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0115" windowHeight="7245"/>
  </bookViews>
  <sheets>
    <sheet name="Lampiran 1" sheetId="1" r:id="rId1"/>
    <sheet name="Februari" sheetId="4" r:id="rId2"/>
    <sheet name="Sheet2" sheetId="2" r:id="rId3"/>
    <sheet name="Sheet3" sheetId="3" r:id="rId4"/>
  </sheets>
  <definedNames>
    <definedName name="_xlnm._FilterDatabase" localSheetId="1" hidden="1">Februari!$A$1:$AG$121</definedName>
  </definedNames>
  <calcPr calcId="145621"/>
</workbook>
</file>

<file path=xl/calcChain.xml><?xml version="1.0" encoding="utf-8"?>
<calcChain xmlns="http://schemas.openxmlformats.org/spreadsheetml/2006/main">
  <c r="AG199" i="4" l="1"/>
  <c r="AE199" i="4"/>
  <c r="AD199" i="4"/>
  <c r="AC199" i="4"/>
  <c r="AB199" i="4"/>
  <c r="AA199" i="4"/>
  <c r="Z199" i="4"/>
  <c r="Y199" i="4"/>
  <c r="X199" i="4"/>
  <c r="W199" i="4"/>
  <c r="V199" i="4"/>
  <c r="U199" i="4"/>
  <c r="T199" i="4"/>
  <c r="S199" i="4"/>
  <c r="R199" i="4"/>
  <c r="Q199" i="4"/>
  <c r="P199" i="4"/>
  <c r="O199" i="4"/>
  <c r="N199" i="4"/>
  <c r="M199" i="4"/>
  <c r="L199" i="4"/>
  <c r="K199" i="4"/>
  <c r="J199" i="4"/>
  <c r="I199" i="4"/>
  <c r="H199" i="4"/>
  <c r="G199" i="4"/>
  <c r="F199" i="4"/>
  <c r="E199" i="4"/>
  <c r="D199" i="4"/>
  <c r="C199" i="4"/>
  <c r="AG121" i="4"/>
  <c r="AF121" i="4"/>
  <c r="AE121" i="4"/>
  <c r="AD121" i="4"/>
  <c r="AC121" i="4"/>
  <c r="AB121" i="4"/>
  <c r="AA121" i="4"/>
  <c r="Z121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AJ22" i="4"/>
  <c r="AI22" i="4"/>
  <c r="AH22" i="4"/>
  <c r="AJ8" i="4"/>
  <c r="AI8" i="4"/>
  <c r="AI11" i="4" s="1"/>
  <c r="AH8" i="4"/>
  <c r="AH11" i="4" s="1"/>
  <c r="G28" i="1"/>
  <c r="G27" i="1"/>
  <c r="F27" i="1"/>
  <c r="F28" i="1" s="1"/>
  <c r="E27" i="1"/>
  <c r="E28" i="1" s="1"/>
  <c r="D28" i="1" s="1"/>
  <c r="D27" i="1"/>
  <c r="G19" i="1"/>
  <c r="E19" i="1" s="1"/>
  <c r="C19" i="1"/>
  <c r="J19" i="1" s="1"/>
  <c r="J18" i="1"/>
  <c r="C18" i="1"/>
  <c r="L18" i="1" s="1"/>
  <c r="I12" i="1"/>
  <c r="H12" i="1"/>
  <c r="G12" i="1"/>
  <c r="F12" i="1"/>
  <c r="E12" i="1"/>
  <c r="D12" i="1"/>
  <c r="I11" i="1"/>
  <c r="G11" i="1"/>
  <c r="F11" i="1"/>
  <c r="E11" i="1"/>
  <c r="D11" i="1"/>
  <c r="I8" i="1"/>
  <c r="H8" i="1"/>
  <c r="G8" i="1"/>
  <c r="F8" i="1"/>
  <c r="E8" i="1"/>
  <c r="D8" i="1"/>
  <c r="H7" i="1"/>
  <c r="G7" i="1"/>
  <c r="F7" i="1"/>
  <c r="E7" i="1"/>
  <c r="AH13" i="4" l="1"/>
  <c r="L19" i="1"/>
  <c r="G18" i="1"/>
  <c r="E18" i="1" s="1"/>
</calcChain>
</file>

<file path=xl/sharedStrings.xml><?xml version="1.0" encoding="utf-8"?>
<sst xmlns="http://schemas.openxmlformats.org/spreadsheetml/2006/main" count="459" uniqueCount="137">
  <si>
    <t>Bulan</t>
  </si>
  <si>
    <t>Klasifikasi</t>
  </si>
  <si>
    <t>Farida</t>
  </si>
  <si>
    <t>Hendra</t>
  </si>
  <si>
    <t>Natasya</t>
  </si>
  <si>
    <t>Novista</t>
  </si>
  <si>
    <t>Safira</t>
  </si>
  <si>
    <t>Tiya</t>
  </si>
  <si>
    <t>Total Kios</t>
  </si>
  <si>
    <t>Kios Aman</t>
  </si>
  <si>
    <t>Target</t>
  </si>
  <si>
    <t>%</t>
  </si>
  <si>
    <t>TC : HENDRA</t>
  </si>
  <si>
    <t>Jml Kali</t>
  </si>
  <si>
    <t>Reminder Intensif</t>
  </si>
  <si>
    <t>Jml Kios</t>
  </si>
  <si>
    <t>Penyelesaian OD 90</t>
  </si>
  <si>
    <t>BULAN</t>
  </si>
  <si>
    <t>TOTAL PD</t>
  </si>
  <si>
    <t>Rata2 OD &lt; 30</t>
  </si>
  <si>
    <t>OD &lt; 30</t>
  </si>
  <si>
    <t>OD 30</t>
  </si>
  <si>
    <t>OD 60</t>
  </si>
  <si>
    <t>30 &amp; 60</t>
  </si>
  <si>
    <t>OD 90</t>
  </si>
  <si>
    <t>Open Plafon OD/Over</t>
  </si>
  <si>
    <t>Target Collection OD 30 &gt; (80%)</t>
  </si>
  <si>
    <t>Kios OD 30 &gt;</t>
  </si>
  <si>
    <t>Tarik OD 60,90 &gt; ke 60&lt;</t>
  </si>
  <si>
    <t>Tambahan Kios OD 60, 90</t>
  </si>
  <si>
    <t>Saldo</t>
  </si>
  <si>
    <t>Selesai</t>
  </si>
  <si>
    <t>Tambahan OD 90</t>
  </si>
  <si>
    <t>JAN</t>
  </si>
  <si>
    <t>FEB</t>
  </si>
  <si>
    <t>TC : Hendra</t>
  </si>
  <si>
    <t>Value Transfer BG</t>
  </si>
  <si>
    <t>Tambahan</t>
  </si>
  <si>
    <t>% Tunai</t>
  </si>
  <si>
    <t>YTD</t>
  </si>
  <si>
    <t>MTD</t>
  </si>
  <si>
    <t>PER BULAN</t>
  </si>
  <si>
    <t>Kios Tunai</t>
  </si>
  <si>
    <t>Kios TF Tagih Tunai</t>
  </si>
  <si>
    <t>BG+KU</t>
  </si>
  <si>
    <t>Tunai</t>
  </si>
  <si>
    <t>Per Bulan</t>
  </si>
  <si>
    <t>44 M</t>
  </si>
  <si>
    <t>KALENDER PENAGIHAN TEAM COLLECTION</t>
  </si>
  <si>
    <t>BULAN FEBRUARI 2026</t>
  </si>
  <si>
    <t xml:space="preserve"> </t>
  </si>
  <si>
    <t>Nama TC</t>
  </si>
  <si>
    <t>:</t>
  </si>
  <si>
    <t>Wilayah</t>
  </si>
  <si>
    <t>Luar Pulau, Jabar Jateng, Jatim Barat</t>
  </si>
  <si>
    <t>Posisi Over Due</t>
  </si>
  <si>
    <t>30 &gt;</t>
  </si>
  <si>
    <t>No</t>
  </si>
  <si>
    <t>Nama Kios</t>
  </si>
  <si>
    <t>Agri Bina Cipta, CV</t>
  </si>
  <si>
    <t>B</t>
  </si>
  <si>
    <t>TB</t>
  </si>
  <si>
    <t>T</t>
  </si>
  <si>
    <t>Amanah, Toko/Sabariah</t>
  </si>
  <si>
    <t>Anda/Darwin</t>
  </si>
  <si>
    <t>Baru Bersinar, UD</t>
  </si>
  <si>
    <t>Cahaya Tani, CV/Nurrohman</t>
  </si>
  <si>
    <t>CV. Surya Agro Pradhana</t>
  </si>
  <si>
    <t>Fajar Tetap Jaya</t>
  </si>
  <si>
    <t>Feryan Tantoni</t>
  </si>
  <si>
    <t>Hadi Putra, UD</t>
  </si>
  <si>
    <t>Harapan Agro Tani, PT</t>
  </si>
  <si>
    <t>Hermada Utama, Toko</t>
  </si>
  <si>
    <t>Hidayat Tani, UD</t>
  </si>
  <si>
    <t>Ilham, UD/Ridha</t>
  </si>
  <si>
    <t>Ingin Maju, UD</t>
  </si>
  <si>
    <t>Karisma Bumi Indah/Fedo</t>
  </si>
  <si>
    <t>Karisma Eka Putra, PT</t>
  </si>
  <si>
    <t>Karya Tani/Hariman</t>
  </si>
  <si>
    <t>Lintang Jaya Tani</t>
  </si>
  <si>
    <t>Mega Agro Sejahtera/Fadli</t>
  </si>
  <si>
    <t>Nusra Persada Agriculture</t>
  </si>
  <si>
    <t>Paten, UD</t>
  </si>
  <si>
    <t>Pelita Tani, CV/Budi</t>
  </si>
  <si>
    <t>Primus Tani, UD</t>
  </si>
  <si>
    <t>Purbaya</t>
  </si>
  <si>
    <t>Pusaka Tani/Budhi Yintoro</t>
  </si>
  <si>
    <t>Rekan Tani Indonesia, CV</t>
  </si>
  <si>
    <t>Sahabat Tani/Suherman</t>
  </si>
  <si>
    <t>Sederhana Tani</t>
  </si>
  <si>
    <t>Subur Makmur, UD</t>
  </si>
  <si>
    <t>Tani Beru/Alberto Jemmy Limonta</t>
  </si>
  <si>
    <t>Tani Illahi/Nunung</t>
  </si>
  <si>
    <t>Tani Sejati/Ivan</t>
  </si>
  <si>
    <t>Tani Sejati/Johny</t>
  </si>
  <si>
    <t>Teguh Satyakarsa, PT</t>
  </si>
  <si>
    <t>Tricu Jaya, UD</t>
  </si>
  <si>
    <t>Yakob/Karisma</t>
  </si>
  <si>
    <t>Maulana Ansori</t>
  </si>
  <si>
    <t>Paesal Rizal</t>
  </si>
  <si>
    <t>Nuansa Tani</t>
  </si>
  <si>
    <t>Bintang Sejahtera/Aprianto</t>
  </si>
  <si>
    <t>TOTAL</t>
  </si>
  <si>
    <t>Tagih Langsung Bayar</t>
  </si>
  <si>
    <t>Tagih</t>
  </si>
  <si>
    <t>Bayar</t>
  </si>
  <si>
    <t>&lt; 30</t>
  </si>
  <si>
    <t>Aisah Turabiah Sape</t>
  </si>
  <si>
    <t>Alaska Prima Perkasa, CV</t>
  </si>
  <si>
    <t>Baba, UD/Suherman</t>
  </si>
  <si>
    <t>Buyung Mas Tani/Rudi Hendrawan</t>
  </si>
  <si>
    <t>Cipta Jaya Multifarm</t>
  </si>
  <si>
    <t>Guna Adi Tani</t>
  </si>
  <si>
    <t>Ikhlas Tani, UD</t>
  </si>
  <si>
    <t>Ilham Tani/Ilham</t>
  </si>
  <si>
    <t>Jaya Makmur, UD/Suguanto Winarko (Jagung)</t>
  </si>
  <si>
    <t>Laju Tani, Toko</t>
  </si>
  <si>
    <t>Maryono</t>
  </si>
  <si>
    <t>Mekar PS/Abdul Halik</t>
  </si>
  <si>
    <t>Mekar Tani/Muhlis</t>
  </si>
  <si>
    <t>Purnama, Toko/Haris</t>
  </si>
  <si>
    <t>Putra Pelita Jaya, CV</t>
  </si>
  <si>
    <t>Rejeki Tani, UD/Christina</t>
  </si>
  <si>
    <t>Rizal Tjowasi</t>
  </si>
  <si>
    <t>Rizal Tjowasi/Tobelo</t>
  </si>
  <si>
    <t>Sarman</t>
  </si>
  <si>
    <t>Sentra Agronusa Bhakti, PT</t>
  </si>
  <si>
    <t>Sumber Makmur/Aris</t>
  </si>
  <si>
    <t>Sumber Tani/Roy</t>
  </si>
  <si>
    <t>Tani Sumber Makmur/Maskur</t>
  </si>
  <si>
    <t>Berkah abadi /widodo</t>
  </si>
  <si>
    <t>Mumbul Tani, UD</t>
  </si>
  <si>
    <t>Subkhi Tani/Irwan</t>
  </si>
  <si>
    <t>Yurid Tani</t>
  </si>
  <si>
    <t>Aqin Tani</t>
  </si>
  <si>
    <t>Bagus Rizki</t>
  </si>
  <si>
    <t>Total Tagihan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</si>
</sst>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0"/>
      <name val="Arial Unicode MS"/>
      <family val="2"/>
    </font>
    <font>
      <b/>
      <sz val="8"/>
      <color theme="1"/>
      <name val="Arial Unicode MS"/>
      <family val="2"/>
    </font>
    <font>
      <b/>
      <sz val="9"/>
      <color theme="1"/>
      <name val="Arial Unicode MS"/>
      <family val="2"/>
    </font>
    <font>
      <sz val="9"/>
      <color theme="1"/>
      <name val="Arial Unicode MS"/>
      <family val="2"/>
    </font>
    <font>
      <sz val="10"/>
      <color theme="1"/>
      <name val="Calibri"/>
      <family val="2"/>
      <scheme val="minor"/>
    </font>
    <font>
      <b/>
      <sz val="7"/>
      <color theme="1"/>
      <name val="Arial Unicode MS"/>
      <family val="2"/>
    </font>
    <font>
      <sz val="9"/>
      <name val="Arial Unicode MS"/>
      <family val="2"/>
    </font>
    <font>
      <sz val="9"/>
      <color theme="0"/>
      <name val="Arial Unicode MS"/>
      <family val="2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Lao UI"/>
      <family val="2"/>
    </font>
    <font>
      <b/>
      <sz val="10"/>
      <color rgb="FF000099"/>
      <name val="Lao UI"/>
      <family val="2"/>
    </font>
    <font>
      <sz val="8"/>
      <color theme="1"/>
      <name val="Lao UI"/>
      <family val="2"/>
    </font>
    <font>
      <b/>
      <sz val="8"/>
      <color theme="1"/>
      <name val="Lao UI"/>
      <family val="2"/>
    </font>
    <font>
      <b/>
      <sz val="8"/>
      <name val="Lao UI"/>
      <family val="2"/>
    </font>
    <font>
      <sz val="8"/>
      <name val="Lao UI"/>
      <family val="2"/>
    </font>
    <font>
      <sz val="10"/>
      <name val="Arial"/>
      <family val="2"/>
    </font>
    <font>
      <sz val="8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5B1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7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3" fillId="0" borderId="0"/>
    <xf numFmtId="0" fontId="24" fillId="0" borderId="0">
      <alignment horizontal="left" vertical="top"/>
    </xf>
  </cellStyleXfs>
  <cellXfs count="9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0" fontId="3" fillId="3" borderId="1" xfId="2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0" fontId="4" fillId="5" borderId="1" xfId="2" applyNumberFormat="1" applyFont="1" applyFill="1" applyBorder="1" applyAlignment="1">
      <alignment horizontal="center"/>
    </xf>
    <xf numFmtId="10" fontId="5" fillId="4" borderId="1" xfId="2" applyNumberFormat="1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9" borderId="2" xfId="0" applyNumberFormat="1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10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 wrapText="1"/>
    </xf>
    <xf numFmtId="0" fontId="11" fillId="17" borderId="2" xfId="0" applyFont="1" applyFill="1" applyBorder="1" applyAlignment="1">
      <alignment horizontal="center" vertical="center" wrapText="1"/>
    </xf>
    <xf numFmtId="0" fontId="7" fillId="18" borderId="2" xfId="0" applyNumberFormat="1" applyFont="1" applyFill="1" applyBorder="1" applyAlignment="1">
      <alignment horizontal="center" vertical="center" wrapText="1"/>
    </xf>
    <xf numFmtId="0" fontId="9" fillId="19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left" vertical="center" indent="1"/>
    </xf>
    <xf numFmtId="164" fontId="12" fillId="0" borderId="2" xfId="3" applyFont="1" applyFill="1" applyBorder="1" applyAlignment="1">
      <alignment vertical="center"/>
    </xf>
    <xf numFmtId="10" fontId="12" fillId="0" borderId="2" xfId="3" applyNumberFormat="1" applyFont="1" applyFill="1" applyBorder="1" applyAlignment="1">
      <alignment horizontal="center" vertical="center"/>
    </xf>
    <xf numFmtId="10" fontId="12" fillId="20" borderId="2" xfId="3" applyNumberFormat="1" applyFont="1" applyFill="1" applyBorder="1" applyAlignment="1">
      <alignment horizontal="center" vertical="center"/>
    </xf>
    <xf numFmtId="10" fontId="12" fillId="0" borderId="2" xfId="2" applyNumberFormat="1" applyFont="1" applyFill="1" applyBorder="1" applyAlignment="1">
      <alignment horizontal="center" vertical="center"/>
    </xf>
    <xf numFmtId="9" fontId="13" fillId="21" borderId="2" xfId="2" applyFont="1" applyFill="1" applyBorder="1" applyAlignment="1">
      <alignment horizontal="center" vertical="center"/>
    </xf>
    <xf numFmtId="10" fontId="12" fillId="20" borderId="2" xfId="2" applyNumberFormat="1" applyFont="1" applyFill="1" applyBorder="1" applyAlignment="1">
      <alignment horizontal="center" vertical="center"/>
    </xf>
    <xf numFmtId="0" fontId="12" fillId="14" borderId="2" xfId="2" applyNumberFormat="1" applyFont="1" applyFill="1" applyBorder="1" applyAlignment="1">
      <alignment horizontal="center" vertical="center"/>
    </xf>
    <xf numFmtId="0" fontId="12" fillId="0" borderId="2" xfId="2" applyNumberFormat="1" applyFont="1" applyFill="1" applyBorder="1" applyAlignment="1">
      <alignment horizontal="center" vertical="center"/>
    </xf>
    <xf numFmtId="9" fontId="12" fillId="20" borderId="2" xfId="2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5" fillId="22" borderId="2" xfId="0" applyFont="1" applyFill="1" applyBorder="1" applyAlignment="1">
      <alignment horizontal="center" vertical="center"/>
    </xf>
    <xf numFmtId="165" fontId="16" fillId="20" borderId="5" xfId="0" applyNumberFormat="1" applyFont="1" applyFill="1" applyBorder="1" applyAlignment="1">
      <alignment horizontal="center" vertical="center"/>
    </xf>
    <xf numFmtId="165" fontId="16" fillId="20" borderId="6" xfId="0" applyNumberFormat="1" applyFont="1" applyFill="1" applyBorder="1" applyAlignment="1">
      <alignment horizontal="center" vertical="center"/>
    </xf>
    <xf numFmtId="165" fontId="16" fillId="20" borderId="7" xfId="0" applyNumberFormat="1" applyFont="1" applyFill="1" applyBorder="1" applyAlignment="1">
      <alignment horizontal="center" vertical="center"/>
    </xf>
    <xf numFmtId="0" fontId="15" fillId="20" borderId="5" xfId="0" applyFont="1" applyFill="1" applyBorder="1" applyAlignment="1">
      <alignment horizontal="center" vertical="center"/>
    </xf>
    <xf numFmtId="0" fontId="15" fillId="20" borderId="7" xfId="0" applyFont="1" applyFill="1" applyBorder="1" applyAlignment="1">
      <alignment horizontal="center" vertical="center"/>
    </xf>
    <xf numFmtId="165" fontId="15" fillId="20" borderId="2" xfId="0" applyNumberFormat="1" applyFont="1" applyFill="1" applyBorder="1" applyAlignment="1">
      <alignment horizontal="center" vertical="center"/>
    </xf>
    <xf numFmtId="165" fontId="16" fillId="23" borderId="5" xfId="0" applyNumberFormat="1" applyFont="1" applyFill="1" applyBorder="1" applyAlignment="1">
      <alignment horizontal="center" vertical="center"/>
    </xf>
    <xf numFmtId="165" fontId="16" fillId="23" borderId="6" xfId="0" applyNumberFormat="1" applyFont="1" applyFill="1" applyBorder="1" applyAlignment="1">
      <alignment horizontal="center" vertical="center"/>
    </xf>
    <xf numFmtId="165" fontId="16" fillId="23" borderId="7" xfId="0" applyNumberFormat="1" applyFont="1" applyFill="1" applyBorder="1" applyAlignment="1">
      <alignment horizontal="center" vertical="center"/>
    </xf>
    <xf numFmtId="165" fontId="16" fillId="8" borderId="5" xfId="0" applyNumberFormat="1" applyFont="1" applyFill="1" applyBorder="1" applyAlignment="1">
      <alignment horizontal="center" vertical="center"/>
    </xf>
    <xf numFmtId="165" fontId="16" fillId="8" borderId="6" xfId="0" applyNumberFormat="1" applyFont="1" applyFill="1" applyBorder="1" applyAlignment="1">
      <alignment horizontal="center" vertical="center"/>
    </xf>
    <xf numFmtId="165" fontId="16" fillId="8" borderId="7" xfId="0" applyNumberFormat="1" applyFont="1" applyFill="1" applyBorder="1" applyAlignment="1">
      <alignment horizontal="center" vertical="center"/>
    </xf>
    <xf numFmtId="165" fontId="16" fillId="24" borderId="5" xfId="0" applyNumberFormat="1" applyFont="1" applyFill="1" applyBorder="1" applyAlignment="1">
      <alignment horizontal="center" vertical="center"/>
    </xf>
    <xf numFmtId="165" fontId="16" fillId="24" borderId="7" xfId="0" applyNumberFormat="1" applyFont="1" applyFill="1" applyBorder="1" applyAlignment="1">
      <alignment horizontal="center" vertical="center"/>
    </xf>
    <xf numFmtId="165" fontId="16" fillId="25" borderId="2" xfId="0" applyNumberFormat="1" applyFont="1" applyFill="1" applyBorder="1" applyAlignment="1">
      <alignment horizontal="center" vertical="center"/>
    </xf>
    <xf numFmtId="0" fontId="16" fillId="26" borderId="2" xfId="0" applyFont="1" applyFill="1" applyBorder="1" applyAlignment="1">
      <alignment horizontal="center" vertical="center"/>
    </xf>
    <xf numFmtId="165" fontId="16" fillId="13" borderId="2" xfId="0" applyNumberFormat="1" applyFont="1" applyFill="1" applyBorder="1" applyAlignment="1">
      <alignment horizontal="center" vertical="center"/>
    </xf>
    <xf numFmtId="165" fontId="16" fillId="12" borderId="2" xfId="0" applyNumberFormat="1" applyFont="1" applyFill="1" applyBorder="1" applyAlignment="1">
      <alignment horizontal="center" vertical="center"/>
    </xf>
    <xf numFmtId="165" fontId="16" fillId="27" borderId="2" xfId="0" applyNumberFormat="1" applyFont="1" applyFill="1" applyBorder="1" applyAlignment="1">
      <alignment horizontal="center" vertical="center" wrapText="1"/>
    </xf>
    <xf numFmtId="165" fontId="16" fillId="27" borderId="2" xfId="0" applyNumberFormat="1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left" vertical="center" indent="1"/>
    </xf>
    <xf numFmtId="10" fontId="16" fillId="0" borderId="2" xfId="2" applyNumberFormat="1" applyFont="1" applyFill="1" applyBorder="1" applyAlignment="1">
      <alignment horizontal="center" vertical="center"/>
    </xf>
    <xf numFmtId="164" fontId="16" fillId="0" borderId="2" xfId="3" applyFont="1" applyFill="1" applyBorder="1" applyAlignment="1">
      <alignment vertical="center"/>
    </xf>
    <xf numFmtId="10" fontId="16" fillId="0" borderId="8" xfId="4" applyNumberFormat="1" applyFont="1" applyFill="1" applyBorder="1" applyAlignment="1">
      <alignment horizontal="center" vertical="center"/>
    </xf>
    <xf numFmtId="164" fontId="16" fillId="0" borderId="8" xfId="3" applyFont="1" applyFill="1" applyBorder="1" applyAlignment="1">
      <alignment horizontal="center" vertical="center"/>
    </xf>
    <xf numFmtId="164" fontId="16" fillId="0" borderId="8" xfId="3" applyFont="1" applyFill="1" applyBorder="1" applyAlignment="1">
      <alignment vertical="center"/>
    </xf>
    <xf numFmtId="0" fontId="16" fillId="0" borderId="8" xfId="3" applyNumberFormat="1" applyFont="1" applyFill="1" applyBorder="1" applyAlignment="1">
      <alignment horizontal="center" vertical="center"/>
    </xf>
    <xf numFmtId="41" fontId="16" fillId="0" borderId="8" xfId="1" applyFont="1" applyFill="1" applyBorder="1" applyAlignment="1">
      <alignment horizontal="center" vertical="center"/>
    </xf>
    <xf numFmtId="0" fontId="17" fillId="28" borderId="0" xfId="0" applyFont="1" applyFill="1" applyAlignment="1">
      <alignment horizontal="center" vertical="center"/>
    </xf>
    <xf numFmtId="0" fontId="0" fillId="28" borderId="0" xfId="0" applyFill="1"/>
    <xf numFmtId="0" fontId="18" fillId="28" borderId="0" xfId="0" applyFont="1" applyFill="1" applyAlignment="1">
      <alignment horizontal="center" vertical="center"/>
    </xf>
    <xf numFmtId="0" fontId="19" fillId="28" borderId="0" xfId="0" applyFont="1" applyFill="1"/>
    <xf numFmtId="0" fontId="20" fillId="28" borderId="0" xfId="0" applyFont="1" applyFill="1" applyAlignment="1">
      <alignment vertical="center"/>
    </xf>
    <xf numFmtId="0" fontId="20" fillId="28" borderId="0" xfId="0" applyFont="1" applyFill="1"/>
    <xf numFmtId="0" fontId="21" fillId="0" borderId="1" xfId="0" applyFont="1" applyFill="1" applyBorder="1" applyAlignment="1">
      <alignment horizontal="center" vertical="center" wrapText="1"/>
    </xf>
    <xf numFmtId="0" fontId="21" fillId="21" borderId="1" xfId="0" applyFont="1" applyFill="1" applyBorder="1" applyAlignment="1">
      <alignment horizontal="center" vertical="center" wrapText="1"/>
    </xf>
    <xf numFmtId="0" fontId="19" fillId="0" borderId="0" xfId="0" applyFont="1"/>
    <xf numFmtId="0" fontId="22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19" fillId="28" borderId="1" xfId="0" applyFont="1" applyFill="1" applyBorder="1" applyAlignment="1">
      <alignment horizontal="center" vertical="center"/>
    </xf>
    <xf numFmtId="0" fontId="19" fillId="24" borderId="0" xfId="0" applyFont="1" applyFill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9" fillId="28" borderId="0" xfId="0" applyFont="1" applyFill="1" applyAlignment="1">
      <alignment horizontal="center" vertical="center"/>
    </xf>
    <xf numFmtId="9" fontId="19" fillId="28" borderId="0" xfId="2" applyFont="1" applyFill="1" applyAlignment="1">
      <alignment horizontal="center" vertical="center"/>
    </xf>
    <xf numFmtId="0" fontId="19" fillId="0" borderId="1" xfId="0" applyFont="1" applyBorder="1"/>
    <xf numFmtId="0" fontId="21" fillId="29" borderId="1" xfId="0" applyFont="1" applyFill="1" applyBorder="1" applyAlignment="1">
      <alignment horizontal="center" vertical="center"/>
    </xf>
    <xf numFmtId="0" fontId="21" fillId="29" borderId="1" xfId="0" applyFont="1" applyFill="1" applyBorder="1" applyAlignment="1">
      <alignment vertical="center"/>
    </xf>
    <xf numFmtId="0" fontId="22" fillId="28" borderId="0" xfId="0" applyFont="1" applyFill="1" applyBorder="1" applyAlignment="1">
      <alignment vertical="center"/>
    </xf>
    <xf numFmtId="0" fontId="21" fillId="0" borderId="1" xfId="0" applyFont="1" applyFill="1" applyBorder="1" applyAlignment="1">
      <alignment vertical="center"/>
    </xf>
  </cellXfs>
  <cellStyles count="7">
    <cellStyle name="Comma [0]" xfId="1" builtinId="6"/>
    <cellStyle name="Comma 10 2" xfId="3"/>
    <cellStyle name="Normal" xfId="0" builtinId="0"/>
    <cellStyle name="Normal 2 2 2" xfId="5"/>
    <cellStyle name="Percent" xfId="2" builtinId="5"/>
    <cellStyle name="Percent 4" xfId="4"/>
    <cellStyle name="S0" xfId="6"/>
  </cellStyles>
  <dxfs count="1333"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23287</xdr:colOff>
      <xdr:row>15</xdr:row>
      <xdr:rowOff>23284</xdr:rowOff>
    </xdr:from>
    <xdr:to>
      <xdr:col>1</xdr:col>
      <xdr:colOff>351371</xdr:colOff>
      <xdr:row>15</xdr:row>
      <xdr:rowOff>309034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xmlns="" id="{00000000-0008-0000-0500-000007000000}"/>
            </a:ext>
          </a:extLst>
        </xdr:cNvPr>
        <xdr:cNvSpPr/>
      </xdr:nvSpPr>
      <xdr:spPr>
        <a:xfrm>
          <a:off x="80437" y="9681634"/>
          <a:ext cx="328084" cy="28575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6</a:t>
          </a:r>
        </a:p>
      </xdr:txBody>
    </xdr:sp>
    <xdr:clientData/>
  </xdr:twoCellAnchor>
  <xdr:twoCellAnchor>
    <xdr:from>
      <xdr:col>1</xdr:col>
      <xdr:colOff>9525</xdr:colOff>
      <xdr:row>22</xdr:row>
      <xdr:rowOff>28575</xdr:rowOff>
    </xdr:from>
    <xdr:to>
      <xdr:col>1</xdr:col>
      <xdr:colOff>337609</xdr:colOff>
      <xdr:row>23</xdr:row>
      <xdr:rowOff>123825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xmlns="" id="{00000000-0008-0000-0A00-000008000000}"/>
            </a:ext>
          </a:extLst>
        </xdr:cNvPr>
        <xdr:cNvSpPr/>
      </xdr:nvSpPr>
      <xdr:spPr>
        <a:xfrm>
          <a:off x="180975" y="8086725"/>
          <a:ext cx="328084" cy="28575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U28"/>
  <sheetViews>
    <sheetView tabSelected="1" topLeftCell="A10" workbookViewId="0">
      <selection activeCell="Q22" sqref="Q22"/>
    </sheetView>
  </sheetViews>
  <sheetFormatPr defaultRowHeight="15"/>
  <cols>
    <col min="3" max="3" width="10.28515625" bestFit="1" customWidth="1"/>
    <col min="5" max="5" width="9.85546875" bestFit="1" customWidth="1"/>
    <col min="6" max="6" width="10" bestFit="1" customWidth="1"/>
    <col min="13" max="13" width="17.42578125" bestFit="1" customWidth="1"/>
  </cols>
  <sheetData>
    <row r="4" spans="2:21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</row>
    <row r="5" spans="2:21">
      <c r="B5" s="2">
        <v>1</v>
      </c>
      <c r="C5" s="3" t="s">
        <v>8</v>
      </c>
      <c r="D5" s="4">
        <v>387</v>
      </c>
      <c r="E5" s="5">
        <v>468</v>
      </c>
      <c r="F5" s="5">
        <v>609</v>
      </c>
      <c r="G5" s="5">
        <v>453</v>
      </c>
      <c r="H5" s="5">
        <v>438</v>
      </c>
      <c r="I5" s="5">
        <v>889</v>
      </c>
    </row>
    <row r="6" spans="2:21">
      <c r="B6" s="2"/>
      <c r="C6" s="3" t="s">
        <v>9</v>
      </c>
      <c r="D6" s="4">
        <v>357</v>
      </c>
      <c r="E6" s="5">
        <v>455</v>
      </c>
      <c r="F6" s="4">
        <v>562</v>
      </c>
      <c r="G6" s="5">
        <v>415</v>
      </c>
      <c r="H6" s="5">
        <v>415</v>
      </c>
      <c r="I6" s="5">
        <v>861</v>
      </c>
    </row>
    <row r="7" spans="2:21">
      <c r="B7" s="2"/>
      <c r="C7" s="3" t="s">
        <v>10</v>
      </c>
      <c r="D7" s="4">
        <v>30</v>
      </c>
      <c r="E7" s="4">
        <f t="shared" ref="E7" si="0">+E5-E6</f>
        <v>13</v>
      </c>
      <c r="F7" s="4">
        <f>+F5-F6</f>
        <v>47</v>
      </c>
      <c r="G7" s="5">
        <f>+G5-G6</f>
        <v>38</v>
      </c>
      <c r="H7" s="4">
        <f>+H5-H6</f>
        <v>23</v>
      </c>
      <c r="I7" s="4">
        <v>28</v>
      </c>
    </row>
    <row r="8" spans="2:21">
      <c r="B8" s="2"/>
      <c r="C8" s="6" t="s">
        <v>11</v>
      </c>
      <c r="D8" s="7">
        <f>D6/D5</f>
        <v>0.92248062015503873</v>
      </c>
      <c r="E8" s="7">
        <f t="shared" ref="E8:I8" si="1">E6/E5</f>
        <v>0.97222222222222221</v>
      </c>
      <c r="F8" s="7">
        <f t="shared" si="1"/>
        <v>0.92282430213464695</v>
      </c>
      <c r="G8" s="7">
        <f>G6/G5</f>
        <v>0.91611479028697573</v>
      </c>
      <c r="H8" s="7">
        <f t="shared" si="1"/>
        <v>0.94748858447488582</v>
      </c>
      <c r="I8" s="7">
        <f t="shared" si="1"/>
        <v>0.96850393700787396</v>
      </c>
    </row>
    <row r="9" spans="2:21">
      <c r="B9" s="2">
        <v>2</v>
      </c>
      <c r="C9" s="3" t="s">
        <v>8</v>
      </c>
      <c r="D9" s="4">
        <v>387</v>
      </c>
      <c r="E9" s="5">
        <v>468</v>
      </c>
      <c r="F9" s="5">
        <v>609</v>
      </c>
      <c r="G9" s="5">
        <v>453</v>
      </c>
      <c r="H9" s="5">
        <v>440</v>
      </c>
      <c r="I9" s="5">
        <v>889</v>
      </c>
    </row>
    <row r="10" spans="2:21">
      <c r="B10" s="2"/>
      <c r="C10" s="3" t="s">
        <v>9</v>
      </c>
      <c r="D10" s="4">
        <v>363</v>
      </c>
      <c r="E10" s="5">
        <v>457</v>
      </c>
      <c r="F10" s="4">
        <v>564</v>
      </c>
      <c r="G10" s="5">
        <v>425</v>
      </c>
      <c r="H10" s="5">
        <v>408</v>
      </c>
      <c r="I10" s="5">
        <v>863</v>
      </c>
    </row>
    <row r="11" spans="2:21">
      <c r="B11" s="2"/>
      <c r="C11" s="3" t="s">
        <v>10</v>
      </c>
      <c r="D11" s="4">
        <f t="shared" ref="D11:I11" si="2">+D9-D10</f>
        <v>24</v>
      </c>
      <c r="E11" s="4">
        <f>+E9-E10</f>
        <v>11</v>
      </c>
      <c r="F11" s="4">
        <f t="shared" si="2"/>
        <v>45</v>
      </c>
      <c r="G11" s="4">
        <f t="shared" si="2"/>
        <v>28</v>
      </c>
      <c r="H11" s="4">
        <v>32</v>
      </c>
      <c r="I11" s="4">
        <f t="shared" si="2"/>
        <v>26</v>
      </c>
    </row>
    <row r="12" spans="2:21">
      <c r="B12" s="2"/>
      <c r="C12" s="8" t="s">
        <v>11</v>
      </c>
      <c r="D12" s="9">
        <f>D10/D9</f>
        <v>0.93798449612403101</v>
      </c>
      <c r="E12" s="9">
        <f t="shared" ref="E12:F12" si="3">E10/E9</f>
        <v>0.97649572649572647</v>
      </c>
      <c r="F12" s="9">
        <f t="shared" si="3"/>
        <v>0.92610837438423643</v>
      </c>
      <c r="G12" s="9">
        <f>G10/G9</f>
        <v>0.9381898454746137</v>
      </c>
      <c r="H12" s="10">
        <f>H10/H9</f>
        <v>0.92727272727272725</v>
      </c>
      <c r="I12" s="9">
        <f t="shared" ref="I12" si="4">I10/I9</f>
        <v>0.97075365579302586</v>
      </c>
    </row>
    <row r="16" spans="2:21" ht="25.5">
      <c r="B16" s="11" t="s">
        <v>12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2" t="s">
        <v>13</v>
      </c>
      <c r="N16" s="13" t="s">
        <v>11</v>
      </c>
      <c r="O16" s="14" t="s">
        <v>14</v>
      </c>
      <c r="P16" s="12" t="s">
        <v>15</v>
      </c>
      <c r="Q16" s="12" t="s">
        <v>15</v>
      </c>
      <c r="R16" s="15" t="s">
        <v>16</v>
      </c>
      <c r="S16" s="15"/>
      <c r="T16" s="15"/>
      <c r="U16" s="14" t="s">
        <v>15</v>
      </c>
    </row>
    <row r="17" spans="2:21" ht="36">
      <c r="B17" s="16" t="s">
        <v>17</v>
      </c>
      <c r="C17" s="17" t="s">
        <v>18</v>
      </c>
      <c r="D17" s="18" t="s">
        <v>10</v>
      </c>
      <c r="E17" s="19" t="s">
        <v>19</v>
      </c>
      <c r="F17" s="20" t="s">
        <v>20</v>
      </c>
      <c r="G17" s="20"/>
      <c r="H17" s="21" t="s">
        <v>21</v>
      </c>
      <c r="I17" s="22" t="s">
        <v>22</v>
      </c>
      <c r="J17" s="23" t="s">
        <v>23</v>
      </c>
      <c r="K17" s="24" t="s">
        <v>24</v>
      </c>
      <c r="L17" s="24"/>
      <c r="M17" s="25" t="s">
        <v>25</v>
      </c>
      <c r="N17" s="26" t="s">
        <v>26</v>
      </c>
      <c r="O17" s="27" t="s">
        <v>27</v>
      </c>
      <c r="P17" s="25" t="s">
        <v>28</v>
      </c>
      <c r="Q17" s="25" t="s">
        <v>29</v>
      </c>
      <c r="R17" s="28" t="s">
        <v>30</v>
      </c>
      <c r="S17" s="28" t="s">
        <v>31</v>
      </c>
      <c r="T17" s="28" t="s">
        <v>11</v>
      </c>
      <c r="U17" s="27" t="s">
        <v>32</v>
      </c>
    </row>
    <row r="18" spans="2:21">
      <c r="B18" s="29" t="s">
        <v>33</v>
      </c>
      <c r="C18" s="30">
        <f>+F18+H18+I18+K18</f>
        <v>52294.618220000033</v>
      </c>
      <c r="D18" s="31">
        <v>0.94</v>
      </c>
      <c r="E18" s="32">
        <f>+G18</f>
        <v>0.97801190755112466</v>
      </c>
      <c r="F18" s="30">
        <v>51144.759320000034</v>
      </c>
      <c r="G18" s="33">
        <f t="shared" ref="G18:G19" si="5">+F18/C18</f>
        <v>0.97801190755112466</v>
      </c>
      <c r="H18" s="30">
        <v>1149.8588999999999</v>
      </c>
      <c r="I18" s="30">
        <v>0</v>
      </c>
      <c r="J18" s="33">
        <f t="shared" ref="J18:J19" si="6">+(H18+I18)/C18</f>
        <v>2.1988092448875309E-2</v>
      </c>
      <c r="K18" s="30">
        <v>0</v>
      </c>
      <c r="L18" s="33">
        <f t="shared" ref="L18:L19" si="7">+K18/C18</f>
        <v>0</v>
      </c>
      <c r="M18" s="34">
        <v>0.47619047619047616</v>
      </c>
      <c r="N18" s="35">
        <v>0.90352516899661139</v>
      </c>
      <c r="O18" s="36"/>
      <c r="P18" s="36"/>
      <c r="Q18" s="36"/>
      <c r="R18" s="30"/>
      <c r="S18" s="30"/>
      <c r="T18" s="33">
        <v>1</v>
      </c>
      <c r="U18" s="37">
        <v>0</v>
      </c>
    </row>
    <row r="19" spans="2:21">
      <c r="B19" s="29" t="s">
        <v>34</v>
      </c>
      <c r="C19" s="30">
        <f>+F19+H19+I19+K19</f>
        <v>67888.558770000003</v>
      </c>
      <c r="D19" s="31">
        <v>0.94</v>
      </c>
      <c r="E19" s="32">
        <f t="shared" ref="E19" si="8">+G19</f>
        <v>0.98722334343643037</v>
      </c>
      <c r="F19" s="30">
        <v>67021.169970000003</v>
      </c>
      <c r="G19" s="31">
        <f t="shared" si="5"/>
        <v>0.98722334343643037</v>
      </c>
      <c r="H19" s="30">
        <v>828.30880000000002</v>
      </c>
      <c r="I19" s="30">
        <v>39.08</v>
      </c>
      <c r="J19" s="33">
        <f t="shared" si="6"/>
        <v>1.2776656563569586E-2</v>
      </c>
      <c r="K19" s="30"/>
      <c r="L19" s="31">
        <f t="shared" si="7"/>
        <v>0</v>
      </c>
      <c r="M19" s="38">
        <v>0.1875</v>
      </c>
      <c r="N19" s="35">
        <v>0.90397016595073043</v>
      </c>
      <c r="O19" s="36"/>
      <c r="P19" s="36"/>
      <c r="Q19" s="36"/>
      <c r="R19" s="30"/>
      <c r="S19" s="30"/>
      <c r="T19" s="33">
        <v>1</v>
      </c>
      <c r="U19" s="37">
        <v>0</v>
      </c>
    </row>
    <row r="23" spans="2:21">
      <c r="B23" s="39" t="s">
        <v>35</v>
      </c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</row>
    <row r="24" spans="2:21">
      <c r="B24" s="41" t="s">
        <v>17</v>
      </c>
      <c r="C24" s="42" t="s">
        <v>36</v>
      </c>
      <c r="D24" s="43"/>
      <c r="E24" s="43"/>
      <c r="F24" s="43"/>
      <c r="G24" s="43"/>
      <c r="H24" s="43"/>
      <c r="I24" s="44"/>
      <c r="J24" s="45" t="s">
        <v>10</v>
      </c>
      <c r="K24" s="46"/>
      <c r="L24" s="47" t="s">
        <v>37</v>
      </c>
      <c r="M24" s="47" t="s">
        <v>38</v>
      </c>
    </row>
    <row r="25" spans="2:21">
      <c r="B25" s="41"/>
      <c r="C25" s="48" t="s">
        <v>39</v>
      </c>
      <c r="D25" s="49"/>
      <c r="E25" s="49"/>
      <c r="F25" s="50"/>
      <c r="G25" s="51" t="s">
        <v>40</v>
      </c>
      <c r="H25" s="52"/>
      <c r="I25" s="53"/>
      <c r="J25" s="54" t="s">
        <v>41</v>
      </c>
      <c r="K25" s="55"/>
      <c r="L25" s="56" t="s">
        <v>42</v>
      </c>
      <c r="M25" s="56" t="s">
        <v>43</v>
      </c>
    </row>
    <row r="26" spans="2:21">
      <c r="B26" s="41"/>
      <c r="C26" s="57" t="s">
        <v>10</v>
      </c>
      <c r="D26" s="58" t="s">
        <v>11</v>
      </c>
      <c r="E26" s="58" t="s">
        <v>44</v>
      </c>
      <c r="F26" s="59" t="s">
        <v>45</v>
      </c>
      <c r="G26" s="58" t="s">
        <v>11</v>
      </c>
      <c r="H26" s="58" t="s">
        <v>44</v>
      </c>
      <c r="I26" s="59" t="s">
        <v>45</v>
      </c>
      <c r="J26" s="60" t="s">
        <v>44</v>
      </c>
      <c r="K26" s="60" t="s">
        <v>45</v>
      </c>
      <c r="L26" s="61" t="s">
        <v>46</v>
      </c>
      <c r="M26" s="61" t="s">
        <v>46</v>
      </c>
    </row>
    <row r="27" spans="2:21">
      <c r="B27" s="62" t="s">
        <v>33</v>
      </c>
      <c r="C27" s="63">
        <v>1</v>
      </c>
      <c r="D27" s="63">
        <f>+E27/(E27+F27)</f>
        <v>1</v>
      </c>
      <c r="E27" s="64">
        <f>+H27</f>
        <v>56584.922460000016</v>
      </c>
      <c r="F27" s="64">
        <f>+I27</f>
        <v>0</v>
      </c>
      <c r="G27" s="65">
        <f t="shared" ref="G27:G28" si="9">+H27/(H27+I27)</f>
        <v>1</v>
      </c>
      <c r="H27" s="66">
        <v>56584.922460000016</v>
      </c>
      <c r="I27" s="67">
        <v>0</v>
      </c>
      <c r="J27" s="66" t="s">
        <v>47</v>
      </c>
      <c r="K27" s="64">
        <v>0</v>
      </c>
      <c r="L27" s="68">
        <v>0</v>
      </c>
      <c r="M27" s="69">
        <v>0</v>
      </c>
    </row>
    <row r="28" spans="2:21">
      <c r="B28" s="62" t="s">
        <v>34</v>
      </c>
      <c r="C28" s="63">
        <v>1</v>
      </c>
      <c r="D28" s="63">
        <f t="shared" ref="D28" si="10">+E28/(E28+F28)</f>
        <v>1</v>
      </c>
      <c r="E28" s="64">
        <f>+E27+H28</f>
        <v>116883.25926000014</v>
      </c>
      <c r="F28" s="64">
        <f>+F27+I28</f>
        <v>0</v>
      </c>
      <c r="G28" s="65">
        <f t="shared" si="9"/>
        <v>1</v>
      </c>
      <c r="H28" s="67">
        <v>60298.336800000114</v>
      </c>
      <c r="I28" s="67">
        <v>0</v>
      </c>
      <c r="J28" s="66" t="s">
        <v>47</v>
      </c>
      <c r="K28" s="64">
        <v>0</v>
      </c>
      <c r="L28" s="68">
        <v>0</v>
      </c>
      <c r="M28" s="69">
        <v>0</v>
      </c>
    </row>
  </sheetData>
  <mergeCells count="13">
    <mergeCell ref="B23:M23"/>
    <mergeCell ref="B24:B26"/>
    <mergeCell ref="C24:I24"/>
    <mergeCell ref="J24:K24"/>
    <mergeCell ref="C25:F25"/>
    <mergeCell ref="G25:I25"/>
    <mergeCell ref="J25:K25"/>
    <mergeCell ref="B5:B8"/>
    <mergeCell ref="B9:B12"/>
    <mergeCell ref="B16:L16"/>
    <mergeCell ref="R16:T16"/>
    <mergeCell ref="F17:G17"/>
    <mergeCell ref="K17:L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99"/>
  <sheetViews>
    <sheetView zoomScale="90" zoomScaleNormal="90" workbookViewId="0">
      <pane xSplit="2" ySplit="6" topLeftCell="C19" activePane="bottomRight" state="frozen"/>
      <selection pane="topRight" activeCell="C1" sqref="C1"/>
      <selection pane="bottomLeft" activeCell="A3" sqref="A3"/>
      <selection pane="bottomRight" activeCell="R18" sqref="R18"/>
    </sheetView>
  </sheetViews>
  <sheetFormatPr defaultRowHeight="15"/>
  <cols>
    <col min="1" max="1" width="4.5703125" customWidth="1"/>
    <col min="2" max="2" width="35.28515625" bestFit="1" customWidth="1"/>
    <col min="3" max="18" width="5.7109375" customWidth="1"/>
    <col min="19" max="19" width="6.28515625" customWidth="1"/>
    <col min="20" max="21" width="5.7109375" customWidth="1"/>
    <col min="22" max="22" width="5" customWidth="1"/>
    <col min="23" max="23" width="5.5703125" customWidth="1"/>
    <col min="24" max="30" width="5.7109375" customWidth="1"/>
    <col min="31" max="33" width="5.7109375" hidden="1" customWidth="1"/>
    <col min="34" max="34" width="7.42578125" customWidth="1"/>
    <col min="35" max="39" width="5.7109375" customWidth="1"/>
  </cols>
  <sheetData>
    <row r="1" spans="1:55" ht="15.75">
      <c r="A1" s="70" t="s">
        <v>48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</row>
    <row r="2" spans="1:55">
      <c r="A2" s="72" t="s">
        <v>49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1" t="s">
        <v>50</v>
      </c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</row>
    <row r="3" spans="1:55">
      <c r="A3" s="73"/>
      <c r="B3" s="74" t="s">
        <v>51</v>
      </c>
      <c r="C3" s="71" t="s">
        <v>52</v>
      </c>
      <c r="D3" s="75" t="s">
        <v>3</v>
      </c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 t="s">
        <v>50</v>
      </c>
      <c r="AD3" s="71"/>
      <c r="AE3" s="71"/>
      <c r="AF3" s="71"/>
      <c r="AG3" s="71"/>
      <c r="AH3" s="71" t="s">
        <v>50</v>
      </c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</row>
    <row r="4" spans="1:55">
      <c r="A4" s="74"/>
      <c r="B4" s="74" t="s">
        <v>53</v>
      </c>
      <c r="C4" s="71" t="s">
        <v>52</v>
      </c>
      <c r="D4" s="75" t="s">
        <v>54</v>
      </c>
      <c r="E4" s="71"/>
      <c r="F4" s="71"/>
      <c r="G4" s="71"/>
      <c r="H4" s="71"/>
      <c r="I4" s="71"/>
      <c r="J4" s="71"/>
      <c r="K4" s="71"/>
      <c r="L4" s="71"/>
      <c r="M4" s="71" t="s">
        <v>50</v>
      </c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 t="s">
        <v>50</v>
      </c>
      <c r="Z4" s="71"/>
      <c r="AA4" s="71"/>
      <c r="AB4" s="71"/>
      <c r="AC4" s="71"/>
      <c r="AD4" s="71"/>
      <c r="AE4" s="71"/>
      <c r="AF4" s="71"/>
      <c r="AG4" s="71" t="s">
        <v>50</v>
      </c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</row>
    <row r="5" spans="1:55">
      <c r="A5" s="74"/>
      <c r="B5" s="74" t="s">
        <v>55</v>
      </c>
      <c r="C5" s="71" t="s">
        <v>52</v>
      </c>
      <c r="D5" s="75" t="s">
        <v>56</v>
      </c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</row>
    <row r="6" spans="1:55" s="78" customFormat="1" ht="12.95" customHeight="1">
      <c r="A6" s="76" t="s">
        <v>57</v>
      </c>
      <c r="B6" s="76" t="s">
        <v>58</v>
      </c>
      <c r="C6" s="77">
        <v>1</v>
      </c>
      <c r="D6" s="76">
        <v>2</v>
      </c>
      <c r="E6" s="76">
        <v>3</v>
      </c>
      <c r="F6" s="76">
        <v>4</v>
      </c>
      <c r="G6" s="76">
        <v>5</v>
      </c>
      <c r="H6" s="76">
        <v>6</v>
      </c>
      <c r="I6" s="76">
        <v>7</v>
      </c>
      <c r="J6" s="77">
        <v>8</v>
      </c>
      <c r="K6" s="76">
        <v>9</v>
      </c>
      <c r="L6" s="76">
        <v>10</v>
      </c>
      <c r="M6" s="76">
        <v>11</v>
      </c>
      <c r="N6" s="76">
        <v>12</v>
      </c>
      <c r="O6" s="76">
        <v>13</v>
      </c>
      <c r="P6" s="76">
        <v>14</v>
      </c>
      <c r="Q6" s="77">
        <v>15</v>
      </c>
      <c r="R6" s="76">
        <v>16</v>
      </c>
      <c r="S6" s="77">
        <v>17</v>
      </c>
      <c r="T6" s="76">
        <v>18</v>
      </c>
      <c r="U6" s="76">
        <v>19</v>
      </c>
      <c r="V6" s="76">
        <v>20</v>
      </c>
      <c r="W6" s="76">
        <v>21</v>
      </c>
      <c r="X6" s="77">
        <v>22</v>
      </c>
      <c r="Y6" s="76">
        <v>23</v>
      </c>
      <c r="Z6" s="76">
        <v>24</v>
      </c>
      <c r="AA6" s="76">
        <v>25</v>
      </c>
      <c r="AB6" s="76">
        <v>26</v>
      </c>
      <c r="AC6" s="76">
        <v>27</v>
      </c>
      <c r="AD6" s="76">
        <v>28</v>
      </c>
      <c r="AE6" s="76">
        <v>29</v>
      </c>
      <c r="AF6" s="76">
        <v>30</v>
      </c>
      <c r="AG6" s="76">
        <v>31</v>
      </c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</row>
    <row r="7" spans="1:55" s="78" customFormat="1" ht="12.95" customHeight="1">
      <c r="A7" s="79">
        <v>1</v>
      </c>
      <c r="B7" s="80" t="s">
        <v>59</v>
      </c>
      <c r="C7" s="81"/>
      <c r="D7" s="81"/>
      <c r="E7" s="81"/>
      <c r="F7" s="81"/>
      <c r="G7" s="81"/>
      <c r="H7" s="82" t="s">
        <v>60</v>
      </c>
      <c r="I7" s="81"/>
      <c r="J7" s="81"/>
      <c r="K7" s="81"/>
      <c r="L7" s="81"/>
      <c r="M7" s="81"/>
      <c r="N7" s="82" t="s">
        <v>61</v>
      </c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3" t="s">
        <v>62</v>
      </c>
      <c r="AI7" s="84" t="s">
        <v>61</v>
      </c>
      <c r="AJ7" s="85" t="s">
        <v>60</v>
      </c>
      <c r="AK7" s="86"/>
      <c r="AL7" s="86"/>
      <c r="AM7" s="86"/>
      <c r="AN7" s="86"/>
      <c r="AO7" s="86"/>
      <c r="AP7" s="86"/>
      <c r="AQ7" s="86"/>
      <c r="AR7" s="86"/>
      <c r="AS7" s="86"/>
      <c r="AT7" s="86"/>
      <c r="AU7" s="86"/>
      <c r="AV7" s="73"/>
      <c r="AW7" s="73"/>
      <c r="AX7" s="73"/>
      <c r="AY7" s="73"/>
      <c r="AZ7" s="73"/>
      <c r="BA7" s="73"/>
      <c r="BB7" s="73"/>
      <c r="BC7" s="73"/>
    </row>
    <row r="8" spans="1:55" s="78" customFormat="1" ht="12.95" customHeight="1">
      <c r="A8" s="79">
        <v>2</v>
      </c>
      <c r="B8" s="80" t="s">
        <v>63</v>
      </c>
      <c r="C8" s="81"/>
      <c r="D8" s="82" t="s">
        <v>62</v>
      </c>
      <c r="E8" s="82" t="s">
        <v>60</v>
      </c>
      <c r="F8" s="81"/>
      <c r="G8" s="81"/>
      <c r="H8" s="81"/>
      <c r="I8" s="81"/>
      <c r="J8" s="81"/>
      <c r="K8" s="81"/>
      <c r="L8" s="81"/>
      <c r="M8" s="82" t="s">
        <v>62</v>
      </c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6">
        <f>COUNTIF(C7:AG120,"T")</f>
        <v>55</v>
      </c>
      <c r="AI8" s="86">
        <f>COUNTIF(C7:AG120,"TB")</f>
        <v>91</v>
      </c>
      <c r="AJ8" s="86">
        <f>COUNTIF(C7:AG120,"B")</f>
        <v>17</v>
      </c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73"/>
      <c r="AW8" s="73"/>
      <c r="AX8" s="73"/>
      <c r="AY8" s="73"/>
      <c r="AZ8" s="73"/>
      <c r="BA8" s="73"/>
      <c r="BB8" s="73"/>
      <c r="BC8" s="73"/>
    </row>
    <row r="9" spans="1:55" s="78" customFormat="1" ht="12.95" customHeight="1">
      <c r="A9" s="79">
        <v>3</v>
      </c>
      <c r="B9" s="80" t="s">
        <v>64</v>
      </c>
      <c r="C9" s="81"/>
      <c r="D9" s="82" t="s">
        <v>61</v>
      </c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73"/>
      <c r="AW9" s="73"/>
      <c r="AX9" s="73"/>
      <c r="AY9" s="73"/>
      <c r="AZ9" s="73"/>
      <c r="BA9" s="73"/>
      <c r="BB9" s="73"/>
      <c r="BC9" s="73"/>
    </row>
    <row r="10" spans="1:55" s="78" customFormat="1" ht="12.95" customHeight="1">
      <c r="A10" s="79">
        <v>4</v>
      </c>
      <c r="B10" s="80" t="s">
        <v>65</v>
      </c>
      <c r="C10" s="81"/>
      <c r="D10" s="81"/>
      <c r="E10" s="81"/>
      <c r="F10" s="81"/>
      <c r="G10" s="82" t="s">
        <v>62</v>
      </c>
      <c r="H10" s="81"/>
      <c r="I10" s="81"/>
      <c r="J10" s="81"/>
      <c r="K10" s="81"/>
      <c r="L10" s="81"/>
      <c r="M10" s="82" t="s">
        <v>62</v>
      </c>
      <c r="N10" s="82"/>
      <c r="O10" s="82" t="s">
        <v>61</v>
      </c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6" t="s">
        <v>62</v>
      </c>
      <c r="AI10" s="86" t="s">
        <v>60</v>
      </c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73"/>
      <c r="AW10" s="73"/>
      <c r="AX10" s="73"/>
      <c r="AY10" s="73"/>
      <c r="AZ10" s="73"/>
      <c r="BA10" s="73"/>
      <c r="BB10" s="73"/>
      <c r="BC10" s="73"/>
    </row>
    <row r="11" spans="1:55" s="78" customFormat="1" ht="12.95" customHeight="1">
      <c r="A11" s="79">
        <v>5</v>
      </c>
      <c r="B11" s="80" t="s">
        <v>66</v>
      </c>
      <c r="C11" s="81"/>
      <c r="D11" s="81"/>
      <c r="E11" s="82" t="s">
        <v>61</v>
      </c>
      <c r="F11" s="81"/>
      <c r="G11" s="81"/>
      <c r="H11" s="81"/>
      <c r="I11" s="81"/>
      <c r="J11" s="81"/>
      <c r="K11" s="81"/>
      <c r="L11" s="82" t="s">
        <v>61</v>
      </c>
      <c r="M11" s="81"/>
      <c r="N11" s="81"/>
      <c r="O11" s="81"/>
      <c r="P11" s="81"/>
      <c r="Q11" s="81"/>
      <c r="R11" s="81"/>
      <c r="S11" s="81"/>
      <c r="T11" s="82" t="s">
        <v>61</v>
      </c>
      <c r="U11" s="81"/>
      <c r="V11" s="81"/>
      <c r="W11" s="81"/>
      <c r="X11" s="81"/>
      <c r="Y11" s="81"/>
      <c r="Z11" s="82" t="s">
        <v>62</v>
      </c>
      <c r="AA11" s="81"/>
      <c r="AB11" s="81"/>
      <c r="AC11" s="81"/>
      <c r="AD11" s="81"/>
      <c r="AE11" s="81"/>
      <c r="AF11" s="81"/>
      <c r="AG11" s="81"/>
      <c r="AH11" s="86">
        <f>AH8+AI8+AH22+AI22</f>
        <v>182</v>
      </c>
      <c r="AI11" s="86">
        <f>AI8+AJ8+AI22+AJ22</f>
        <v>170</v>
      </c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73"/>
      <c r="AW11" s="73"/>
      <c r="AX11" s="73"/>
      <c r="AY11" s="73"/>
      <c r="AZ11" s="73"/>
      <c r="BA11" s="73"/>
      <c r="BB11" s="73"/>
      <c r="BC11" s="73"/>
    </row>
    <row r="12" spans="1:55" s="78" customFormat="1" ht="12.95" customHeight="1">
      <c r="A12" s="79">
        <v>6</v>
      </c>
      <c r="B12" s="80" t="s">
        <v>67</v>
      </c>
      <c r="C12" s="81"/>
      <c r="D12" s="82" t="s">
        <v>61</v>
      </c>
      <c r="E12" s="81"/>
      <c r="F12" s="81"/>
      <c r="G12" s="82" t="s">
        <v>61</v>
      </c>
      <c r="H12" s="81"/>
      <c r="I12" s="82"/>
      <c r="J12" s="81"/>
      <c r="K12" s="82" t="s">
        <v>61</v>
      </c>
      <c r="L12" s="82" t="s">
        <v>61</v>
      </c>
      <c r="M12" s="81"/>
      <c r="N12" s="82" t="s">
        <v>61</v>
      </c>
      <c r="O12" s="82" t="s">
        <v>61</v>
      </c>
      <c r="P12" s="81"/>
      <c r="Q12" s="81"/>
      <c r="R12" s="82" t="s">
        <v>61</v>
      </c>
      <c r="S12" s="81"/>
      <c r="T12" s="82" t="s">
        <v>61</v>
      </c>
      <c r="U12" s="81"/>
      <c r="V12" s="82" t="s">
        <v>61</v>
      </c>
      <c r="W12" s="82" t="s">
        <v>62</v>
      </c>
      <c r="X12" s="81"/>
      <c r="Y12" s="82" t="s">
        <v>61</v>
      </c>
      <c r="Z12" s="81"/>
      <c r="AA12" s="81"/>
      <c r="AB12" s="82"/>
      <c r="AC12" s="82" t="s">
        <v>61</v>
      </c>
      <c r="AD12" s="82" t="s">
        <v>62</v>
      </c>
      <c r="AE12" s="81"/>
      <c r="AF12" s="81"/>
      <c r="AG12" s="81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73"/>
      <c r="AW12" s="73"/>
      <c r="AX12" s="73"/>
      <c r="AY12" s="73"/>
      <c r="AZ12" s="73"/>
      <c r="BA12" s="73"/>
      <c r="BB12" s="73"/>
      <c r="BC12" s="73"/>
    </row>
    <row r="13" spans="1:55" s="78" customFormat="1" ht="12.95" customHeight="1">
      <c r="A13" s="79">
        <v>7</v>
      </c>
      <c r="B13" s="80" t="s">
        <v>68</v>
      </c>
      <c r="C13" s="81"/>
      <c r="D13" s="82" t="s">
        <v>62</v>
      </c>
      <c r="E13" s="81"/>
      <c r="F13" s="82" t="s">
        <v>61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2"/>
      <c r="S13" s="81"/>
      <c r="T13" s="81"/>
      <c r="U13" s="82" t="s">
        <v>61</v>
      </c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7">
        <f>AI11/AH11</f>
        <v>0.93406593406593408</v>
      </c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73"/>
      <c r="AW13" s="73"/>
      <c r="AX13" s="73"/>
      <c r="AY13" s="73"/>
      <c r="AZ13" s="73"/>
      <c r="BA13" s="73"/>
      <c r="BB13" s="73"/>
      <c r="BC13" s="73"/>
    </row>
    <row r="14" spans="1:55" s="78" customFormat="1" ht="12.95" customHeight="1">
      <c r="A14" s="79">
        <v>8</v>
      </c>
      <c r="B14" s="80" t="s">
        <v>69</v>
      </c>
      <c r="C14" s="81"/>
      <c r="D14" s="81"/>
      <c r="E14" s="81"/>
      <c r="F14" s="81"/>
      <c r="G14" s="82" t="s">
        <v>62</v>
      </c>
      <c r="H14" s="81"/>
      <c r="I14" s="81"/>
      <c r="J14" s="81"/>
      <c r="K14" s="81"/>
      <c r="L14" s="82" t="s">
        <v>61</v>
      </c>
      <c r="M14" s="81"/>
      <c r="N14" s="81"/>
      <c r="O14" s="81"/>
      <c r="P14" s="81"/>
      <c r="Q14" s="81"/>
      <c r="R14" s="82" t="s">
        <v>62</v>
      </c>
      <c r="S14" s="81"/>
      <c r="T14" s="81"/>
      <c r="U14" s="81"/>
      <c r="V14" s="82" t="s">
        <v>62</v>
      </c>
      <c r="W14" s="81"/>
      <c r="X14" s="81"/>
      <c r="Y14" s="81"/>
      <c r="Z14" s="82" t="s">
        <v>61</v>
      </c>
      <c r="AA14" s="81"/>
      <c r="AB14" s="81"/>
      <c r="AC14" s="81"/>
      <c r="AD14" s="81"/>
      <c r="AE14" s="81"/>
      <c r="AF14" s="81"/>
      <c r="AG14" s="81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86"/>
      <c r="AU14" s="86"/>
      <c r="AV14" s="73"/>
      <c r="AW14" s="73"/>
      <c r="AX14" s="73"/>
      <c r="AY14" s="73"/>
      <c r="AZ14" s="73"/>
      <c r="BA14" s="73"/>
      <c r="BB14" s="73"/>
      <c r="BC14" s="73"/>
    </row>
    <row r="15" spans="1:55" s="78" customFormat="1" ht="12.95" customHeight="1">
      <c r="A15" s="79">
        <v>9</v>
      </c>
      <c r="B15" s="80" t="s">
        <v>70</v>
      </c>
      <c r="C15" s="81"/>
      <c r="D15" s="81"/>
      <c r="E15" s="82" t="s">
        <v>62</v>
      </c>
      <c r="F15" s="81"/>
      <c r="G15" s="81"/>
      <c r="H15" s="82" t="s">
        <v>61</v>
      </c>
      <c r="I15" s="81"/>
      <c r="J15" s="81"/>
      <c r="K15" s="81"/>
      <c r="L15" s="81"/>
      <c r="M15" s="81"/>
      <c r="N15" s="81"/>
      <c r="O15" s="81"/>
      <c r="P15" s="82" t="s">
        <v>62</v>
      </c>
      <c r="Q15" s="81"/>
      <c r="R15" s="81"/>
      <c r="S15" s="81"/>
      <c r="T15" s="82" t="s">
        <v>62</v>
      </c>
      <c r="U15" s="81"/>
      <c r="V15" s="81"/>
      <c r="X15" s="81"/>
      <c r="Y15" s="81"/>
      <c r="Z15" s="81"/>
      <c r="AA15" s="81"/>
      <c r="AB15" s="82" t="s">
        <v>62</v>
      </c>
      <c r="AC15" s="81"/>
      <c r="AD15" s="81"/>
      <c r="AE15" s="81"/>
      <c r="AF15" s="81"/>
      <c r="AG15" s="81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73"/>
      <c r="AW15" s="73"/>
      <c r="AX15" s="73"/>
      <c r="AY15" s="73"/>
      <c r="AZ15" s="73"/>
      <c r="BA15" s="73"/>
      <c r="BB15" s="73"/>
      <c r="BC15" s="73"/>
    </row>
    <row r="16" spans="1:55" s="78" customFormat="1" ht="12.95" customHeight="1">
      <c r="A16" s="79">
        <v>10</v>
      </c>
      <c r="B16" s="80" t="s">
        <v>71</v>
      </c>
      <c r="C16" s="81"/>
      <c r="D16" s="82" t="s">
        <v>61</v>
      </c>
      <c r="E16" s="81"/>
      <c r="F16" s="81"/>
      <c r="G16" s="81"/>
      <c r="H16" s="81"/>
      <c r="I16" s="81"/>
      <c r="J16" s="81"/>
      <c r="K16" s="82" t="s">
        <v>61</v>
      </c>
      <c r="L16" s="81"/>
      <c r="M16" s="81"/>
      <c r="N16" s="82" t="s">
        <v>61</v>
      </c>
      <c r="O16" s="81"/>
      <c r="P16" s="81"/>
      <c r="Q16" s="81"/>
      <c r="R16" s="81"/>
      <c r="S16" s="81"/>
      <c r="T16" s="81"/>
      <c r="U16" s="81"/>
      <c r="V16" s="81"/>
      <c r="W16" s="82"/>
      <c r="X16" s="81"/>
      <c r="Y16" s="82" t="s">
        <v>62</v>
      </c>
      <c r="Z16" s="81"/>
      <c r="AA16" s="81"/>
      <c r="AB16" s="82" t="s">
        <v>61</v>
      </c>
      <c r="AC16" s="81"/>
      <c r="AD16" s="81"/>
      <c r="AE16" s="81"/>
      <c r="AF16" s="81"/>
      <c r="AG16" s="81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73"/>
      <c r="AW16" s="73"/>
      <c r="AX16" s="73"/>
      <c r="AY16" s="73"/>
      <c r="AZ16" s="73"/>
      <c r="BA16" s="73"/>
      <c r="BB16" s="73"/>
      <c r="BC16" s="73"/>
    </row>
    <row r="17" spans="1:55" s="78" customFormat="1" ht="12.95" customHeight="1">
      <c r="A17" s="79">
        <v>11</v>
      </c>
      <c r="B17" s="80" t="s">
        <v>72</v>
      </c>
      <c r="C17" s="81"/>
      <c r="D17" s="81"/>
      <c r="E17" s="82" t="s">
        <v>62</v>
      </c>
      <c r="F17" s="81"/>
      <c r="G17" s="81"/>
      <c r="H17" s="81"/>
      <c r="I17" s="82" t="s">
        <v>61</v>
      </c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73"/>
      <c r="AW17" s="73"/>
      <c r="AX17" s="73"/>
      <c r="AY17" s="73"/>
      <c r="AZ17" s="73"/>
      <c r="BA17" s="73"/>
      <c r="BB17" s="73"/>
      <c r="BC17" s="73"/>
    </row>
    <row r="18" spans="1:55" s="78" customFormat="1" ht="12.95" customHeight="1">
      <c r="A18" s="79">
        <v>12</v>
      </c>
      <c r="B18" s="80" t="s">
        <v>73</v>
      </c>
      <c r="C18" s="81"/>
      <c r="D18" s="81"/>
      <c r="E18" s="81"/>
      <c r="F18" s="81"/>
      <c r="G18" s="82" t="s">
        <v>62</v>
      </c>
      <c r="H18" s="81"/>
      <c r="I18" s="82" t="s">
        <v>61</v>
      </c>
      <c r="J18" s="81"/>
      <c r="K18" s="81"/>
      <c r="L18" s="81"/>
      <c r="M18" s="82" t="s">
        <v>62</v>
      </c>
      <c r="N18" s="81"/>
      <c r="O18" s="81"/>
      <c r="P18" s="82"/>
      <c r="Q18" s="81"/>
      <c r="R18" s="81"/>
      <c r="S18" s="81"/>
      <c r="T18" s="82" t="s">
        <v>61</v>
      </c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73"/>
      <c r="AW18" s="73"/>
      <c r="AX18" s="73"/>
      <c r="AY18" s="73"/>
      <c r="AZ18" s="73"/>
      <c r="BA18" s="73"/>
      <c r="BB18" s="73"/>
      <c r="BC18" s="73"/>
    </row>
    <row r="19" spans="1:55" s="78" customFormat="1" ht="12.95" customHeight="1">
      <c r="A19" s="79">
        <v>13</v>
      </c>
      <c r="B19" s="80" t="s">
        <v>74</v>
      </c>
      <c r="C19" s="81"/>
      <c r="D19" s="81"/>
      <c r="E19" s="82" t="s">
        <v>62</v>
      </c>
      <c r="F19" s="81"/>
      <c r="G19" s="81"/>
      <c r="H19" s="81"/>
      <c r="I19" s="81"/>
      <c r="J19" s="81"/>
      <c r="K19" s="82" t="s">
        <v>62</v>
      </c>
      <c r="L19" s="81"/>
      <c r="M19" s="81"/>
      <c r="N19" s="81"/>
      <c r="O19" s="81"/>
      <c r="P19" s="82" t="s">
        <v>62</v>
      </c>
      <c r="Q19" s="81"/>
      <c r="R19" s="82" t="s">
        <v>61</v>
      </c>
      <c r="S19" s="81"/>
      <c r="T19" s="81"/>
      <c r="U19" s="81"/>
      <c r="V19" s="82"/>
      <c r="W19" s="82" t="s">
        <v>61</v>
      </c>
      <c r="X19" s="81"/>
      <c r="Y19" s="81"/>
      <c r="Z19" s="81"/>
      <c r="AA19" s="81"/>
      <c r="AB19" s="81"/>
      <c r="AC19" s="81"/>
      <c r="AD19" s="82" t="s">
        <v>62</v>
      </c>
      <c r="AE19" s="81"/>
      <c r="AF19" s="81"/>
      <c r="AG19" s="81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73"/>
      <c r="AW19" s="73"/>
      <c r="AX19" s="73"/>
      <c r="AY19" s="73"/>
      <c r="AZ19" s="73"/>
      <c r="BA19" s="73"/>
      <c r="BB19" s="73"/>
      <c r="BC19" s="73"/>
    </row>
    <row r="20" spans="1:55" s="78" customFormat="1" ht="12.95" customHeight="1">
      <c r="A20" s="79">
        <v>14</v>
      </c>
      <c r="B20" s="80" t="s">
        <v>75</v>
      </c>
      <c r="C20" s="81"/>
      <c r="D20" s="81"/>
      <c r="E20" s="82" t="s">
        <v>62</v>
      </c>
      <c r="F20" s="81"/>
      <c r="G20" s="81"/>
      <c r="H20" s="81"/>
      <c r="I20" s="81"/>
      <c r="J20" s="81"/>
      <c r="K20" s="82" t="s">
        <v>61</v>
      </c>
      <c r="L20" s="81"/>
      <c r="M20" s="81"/>
      <c r="N20" s="81"/>
      <c r="O20" s="81"/>
      <c r="P20" s="81"/>
      <c r="Q20" s="81"/>
      <c r="R20" s="82" t="s">
        <v>62</v>
      </c>
      <c r="S20" s="81"/>
      <c r="T20" s="81"/>
      <c r="U20" s="81"/>
      <c r="V20" s="82" t="s">
        <v>61</v>
      </c>
      <c r="W20" s="81"/>
      <c r="X20" s="81"/>
      <c r="Y20" s="81"/>
      <c r="Z20" s="81"/>
      <c r="AA20" s="82" t="s">
        <v>62</v>
      </c>
      <c r="AB20" s="81"/>
      <c r="AC20" s="81"/>
      <c r="AD20" s="81"/>
      <c r="AE20" s="81"/>
      <c r="AF20" s="81"/>
      <c r="AG20" s="81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73"/>
      <c r="AW20" s="73"/>
      <c r="AX20" s="73"/>
      <c r="AY20" s="73"/>
      <c r="AZ20" s="73"/>
      <c r="BA20" s="73"/>
      <c r="BB20" s="73"/>
      <c r="BC20" s="73"/>
    </row>
    <row r="21" spans="1:55" s="78" customFormat="1" ht="12.95" customHeight="1">
      <c r="A21" s="79">
        <v>15</v>
      </c>
      <c r="B21" s="80" t="s">
        <v>76</v>
      </c>
      <c r="C21" s="81"/>
      <c r="D21" s="81"/>
      <c r="E21" s="81"/>
      <c r="F21" s="82" t="s">
        <v>62</v>
      </c>
      <c r="G21" s="81"/>
      <c r="H21" s="82" t="s">
        <v>61</v>
      </c>
      <c r="I21" s="81"/>
      <c r="J21" s="81"/>
      <c r="K21" s="81"/>
      <c r="L21" s="82" t="s">
        <v>61</v>
      </c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3" t="s">
        <v>62</v>
      </c>
      <c r="AI21" s="84" t="s">
        <v>61</v>
      </c>
      <c r="AJ21" s="85" t="s">
        <v>60</v>
      </c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73"/>
      <c r="AW21" s="73"/>
      <c r="AX21" s="73"/>
      <c r="AY21" s="73"/>
      <c r="AZ21" s="73"/>
      <c r="BA21" s="73"/>
      <c r="BB21" s="73"/>
      <c r="BC21" s="73"/>
    </row>
    <row r="22" spans="1:55" s="78" customFormat="1" ht="12.95" customHeight="1">
      <c r="A22" s="79">
        <v>16</v>
      </c>
      <c r="B22" s="80" t="s">
        <v>77</v>
      </c>
      <c r="C22" s="81"/>
      <c r="D22" s="82" t="s">
        <v>62</v>
      </c>
      <c r="E22" s="81"/>
      <c r="F22" s="81"/>
      <c r="G22" s="81"/>
      <c r="H22" s="82" t="s">
        <v>61</v>
      </c>
      <c r="I22" s="81"/>
      <c r="J22" s="81"/>
      <c r="K22" s="81"/>
      <c r="L22" s="82" t="s">
        <v>62</v>
      </c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2" t="s">
        <v>62</v>
      </c>
      <c r="X22" s="81"/>
      <c r="Y22" s="82" t="s">
        <v>61</v>
      </c>
      <c r="Z22" s="81"/>
      <c r="AA22" s="81"/>
      <c r="AB22" s="82" t="s">
        <v>61</v>
      </c>
      <c r="AC22" s="82" t="s">
        <v>61</v>
      </c>
      <c r="AD22" s="81"/>
      <c r="AE22" s="81"/>
      <c r="AF22" s="81"/>
      <c r="AG22" s="81"/>
      <c r="AH22" s="86">
        <f>COUNTIF(C133:AG147,"T")</f>
        <v>0</v>
      </c>
      <c r="AI22" s="86">
        <f>COUNTIF(C133:AG157,"TB")</f>
        <v>36</v>
      </c>
      <c r="AJ22" s="86">
        <f>COUNTIF(C133:AG198,"B")</f>
        <v>26</v>
      </c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73"/>
      <c r="AW22" s="73"/>
      <c r="AX22" s="73"/>
      <c r="AY22" s="73"/>
      <c r="AZ22" s="73"/>
      <c r="BA22" s="73"/>
      <c r="BB22" s="73"/>
      <c r="BC22" s="73"/>
    </row>
    <row r="23" spans="1:55" s="78" customFormat="1" ht="12.95" customHeight="1">
      <c r="A23" s="79">
        <v>17</v>
      </c>
      <c r="B23" s="80" t="s">
        <v>78</v>
      </c>
      <c r="C23" s="81"/>
      <c r="D23" s="82" t="s">
        <v>61</v>
      </c>
      <c r="E23" s="81"/>
      <c r="F23" s="81"/>
      <c r="G23" s="81"/>
      <c r="H23" s="81"/>
      <c r="I23" s="81"/>
      <c r="J23" s="81"/>
      <c r="K23" s="81"/>
      <c r="L23" s="82" t="s">
        <v>61</v>
      </c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73"/>
      <c r="AW23" s="73"/>
      <c r="AX23" s="73"/>
      <c r="AY23" s="73"/>
      <c r="AZ23" s="73"/>
      <c r="BA23" s="73"/>
      <c r="BB23" s="73"/>
      <c r="BC23" s="73"/>
    </row>
    <row r="24" spans="1:55" s="78" customFormat="1" ht="12.95" customHeight="1">
      <c r="A24" s="79">
        <v>18</v>
      </c>
      <c r="B24" s="80" t="s">
        <v>79</v>
      </c>
      <c r="C24" s="81"/>
      <c r="D24" s="82" t="s">
        <v>61</v>
      </c>
      <c r="E24" s="81"/>
      <c r="F24" s="81"/>
      <c r="G24" s="81"/>
      <c r="H24" s="81"/>
      <c r="I24" s="81"/>
      <c r="J24" s="81"/>
      <c r="K24" s="81"/>
      <c r="L24" s="82" t="s">
        <v>61</v>
      </c>
      <c r="M24" s="81"/>
      <c r="N24" s="82" t="s">
        <v>61</v>
      </c>
      <c r="O24" s="81"/>
      <c r="P24" s="81"/>
      <c r="Q24" s="81"/>
      <c r="R24" s="82" t="s">
        <v>62</v>
      </c>
      <c r="S24" s="81"/>
      <c r="T24" s="82" t="s">
        <v>61</v>
      </c>
      <c r="U24" s="81"/>
      <c r="V24" s="82" t="s">
        <v>62</v>
      </c>
      <c r="W24" s="81"/>
      <c r="X24" s="81"/>
      <c r="Y24" s="81"/>
      <c r="Z24" s="81"/>
      <c r="AA24" s="81"/>
      <c r="AB24" s="82"/>
      <c r="AC24" s="81"/>
      <c r="AD24" s="81"/>
      <c r="AE24" s="81"/>
      <c r="AF24" s="81"/>
      <c r="AG24" s="81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73"/>
      <c r="AW24" s="73"/>
      <c r="AX24" s="73"/>
      <c r="AY24" s="73"/>
      <c r="AZ24" s="73"/>
      <c r="BA24" s="73"/>
      <c r="BB24" s="73"/>
      <c r="BC24" s="73"/>
    </row>
    <row r="25" spans="1:55" s="78" customFormat="1" ht="12.95" customHeight="1">
      <c r="A25" s="79">
        <v>19</v>
      </c>
      <c r="B25" s="80" t="s">
        <v>80</v>
      </c>
      <c r="C25" s="81"/>
      <c r="D25" s="82" t="s">
        <v>60</v>
      </c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73"/>
      <c r="AW25" s="73"/>
      <c r="AX25" s="73"/>
      <c r="AY25" s="73"/>
      <c r="AZ25" s="73"/>
      <c r="BA25" s="73"/>
      <c r="BB25" s="73"/>
      <c r="BC25" s="73"/>
    </row>
    <row r="26" spans="1:55" s="78" customFormat="1" ht="12.95" customHeight="1">
      <c r="A26" s="79">
        <v>20</v>
      </c>
      <c r="B26" s="80" t="s">
        <v>81</v>
      </c>
      <c r="C26" s="81"/>
      <c r="D26" s="81"/>
      <c r="E26" s="81"/>
      <c r="F26" s="81"/>
      <c r="G26" s="82" t="s">
        <v>62</v>
      </c>
      <c r="H26" s="81"/>
      <c r="I26" s="81"/>
      <c r="J26" s="81"/>
      <c r="K26" s="82" t="s">
        <v>62</v>
      </c>
      <c r="L26" s="81"/>
      <c r="M26" s="81"/>
      <c r="N26" s="81"/>
      <c r="O26" s="81"/>
      <c r="P26" s="82" t="s">
        <v>62</v>
      </c>
      <c r="Q26" s="81"/>
      <c r="R26" s="82" t="s">
        <v>61</v>
      </c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73"/>
      <c r="AW26" s="73"/>
      <c r="AX26" s="73"/>
      <c r="AY26" s="73"/>
      <c r="AZ26" s="73"/>
      <c r="BA26" s="73"/>
      <c r="BB26" s="73"/>
      <c r="BC26" s="73"/>
    </row>
    <row r="27" spans="1:55" s="78" customFormat="1" ht="12.95" customHeight="1">
      <c r="A27" s="79">
        <v>21</v>
      </c>
      <c r="B27" s="80" t="s">
        <v>82</v>
      </c>
      <c r="C27" s="81"/>
      <c r="D27" s="81"/>
      <c r="E27" s="82" t="s">
        <v>61</v>
      </c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73"/>
      <c r="AW27" s="73"/>
      <c r="AX27" s="73"/>
      <c r="AY27" s="73"/>
      <c r="AZ27" s="73"/>
      <c r="BA27" s="73"/>
      <c r="BB27" s="73"/>
      <c r="BC27" s="73"/>
    </row>
    <row r="28" spans="1:55" s="78" customFormat="1" ht="12.95" customHeight="1">
      <c r="A28" s="79">
        <v>22</v>
      </c>
      <c r="B28" s="80" t="s">
        <v>83</v>
      </c>
      <c r="C28" s="81"/>
      <c r="D28" s="82" t="s">
        <v>61</v>
      </c>
      <c r="E28" s="81"/>
      <c r="F28" s="82" t="s">
        <v>60</v>
      </c>
      <c r="G28" s="81"/>
      <c r="H28" s="81"/>
      <c r="I28" s="81"/>
      <c r="J28" s="81"/>
      <c r="K28" s="82" t="s">
        <v>60</v>
      </c>
      <c r="L28" s="81"/>
      <c r="M28" s="82" t="s">
        <v>62</v>
      </c>
      <c r="N28" s="81"/>
      <c r="O28" s="82" t="s">
        <v>61</v>
      </c>
      <c r="P28" s="81"/>
      <c r="Q28" s="81"/>
      <c r="R28" s="82" t="s">
        <v>61</v>
      </c>
      <c r="S28" s="81"/>
      <c r="T28" s="81"/>
      <c r="U28" s="82" t="s">
        <v>61</v>
      </c>
      <c r="V28" s="82"/>
      <c r="W28" s="82" t="s">
        <v>61</v>
      </c>
      <c r="X28" s="81"/>
      <c r="Y28" s="81"/>
      <c r="Z28" s="81"/>
      <c r="AA28" s="82" t="s">
        <v>61</v>
      </c>
      <c r="AB28" s="81"/>
      <c r="AC28" s="81"/>
      <c r="AD28" s="81"/>
      <c r="AE28" s="81"/>
      <c r="AF28" s="81"/>
      <c r="AG28" s="81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73"/>
      <c r="AW28" s="73"/>
      <c r="AX28" s="73"/>
      <c r="AY28" s="73"/>
      <c r="AZ28" s="73"/>
      <c r="BA28" s="73"/>
      <c r="BB28" s="73"/>
      <c r="BC28" s="73"/>
    </row>
    <row r="29" spans="1:55" s="78" customFormat="1" ht="12.95" customHeight="1">
      <c r="A29" s="79">
        <v>23</v>
      </c>
      <c r="B29" s="80" t="s">
        <v>84</v>
      </c>
      <c r="C29" s="81"/>
      <c r="D29" s="81"/>
      <c r="E29" s="81"/>
      <c r="F29" s="81"/>
      <c r="G29" s="82" t="s">
        <v>62</v>
      </c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2" t="s">
        <v>62</v>
      </c>
      <c r="S29" s="81"/>
      <c r="T29" s="81"/>
      <c r="U29" s="81"/>
      <c r="V29" s="81"/>
      <c r="W29" s="81"/>
      <c r="X29" s="81"/>
      <c r="Y29" s="82" t="s">
        <v>61</v>
      </c>
      <c r="Z29" s="81"/>
      <c r="AA29" s="82" t="s">
        <v>61</v>
      </c>
      <c r="AB29" s="81"/>
      <c r="AC29" s="81"/>
      <c r="AD29" s="81"/>
      <c r="AE29" s="81"/>
      <c r="AF29" s="81"/>
      <c r="AG29" s="81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73"/>
      <c r="AW29" s="73"/>
      <c r="AX29" s="73"/>
      <c r="AY29" s="73"/>
      <c r="AZ29" s="73"/>
      <c r="BA29" s="73"/>
      <c r="BB29" s="73"/>
      <c r="BC29" s="73"/>
    </row>
    <row r="30" spans="1:55" s="78" customFormat="1" ht="12.95" customHeight="1">
      <c r="A30" s="79">
        <v>24</v>
      </c>
      <c r="B30" s="80" t="s">
        <v>85</v>
      </c>
      <c r="C30" s="81"/>
      <c r="D30" s="81"/>
      <c r="E30" s="82" t="s">
        <v>61</v>
      </c>
      <c r="F30" s="81"/>
      <c r="G30" s="81"/>
      <c r="H30" s="81"/>
      <c r="I30" s="81"/>
      <c r="J30" s="81"/>
      <c r="K30" s="82" t="s">
        <v>60</v>
      </c>
      <c r="L30" s="81"/>
      <c r="M30" s="81"/>
      <c r="N30" s="81"/>
      <c r="O30" s="81"/>
      <c r="P30" s="81"/>
      <c r="Q30" s="81"/>
      <c r="R30" s="81"/>
      <c r="S30" s="81"/>
      <c r="T30" s="82" t="s">
        <v>60</v>
      </c>
      <c r="U30" s="81"/>
      <c r="V30" s="81"/>
      <c r="W30" s="81"/>
      <c r="X30" s="81"/>
      <c r="Y30" s="82" t="s">
        <v>60</v>
      </c>
      <c r="Z30" s="81"/>
      <c r="AA30" s="81"/>
      <c r="AB30" s="81"/>
      <c r="AC30" s="81"/>
      <c r="AD30" s="81"/>
      <c r="AE30" s="81"/>
      <c r="AF30" s="81"/>
      <c r="AG30" s="81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73"/>
      <c r="AW30" s="73"/>
      <c r="AX30" s="73"/>
      <c r="AY30" s="73"/>
      <c r="AZ30" s="73"/>
      <c r="BA30" s="73"/>
      <c r="BB30" s="73"/>
      <c r="BC30" s="73"/>
    </row>
    <row r="31" spans="1:55" s="78" customFormat="1" ht="12.95" customHeight="1">
      <c r="A31" s="79">
        <v>25</v>
      </c>
      <c r="B31" s="80" t="s">
        <v>86</v>
      </c>
      <c r="C31" s="81"/>
      <c r="D31" s="82" t="s">
        <v>62</v>
      </c>
      <c r="E31" s="81"/>
      <c r="F31" s="81"/>
      <c r="G31" s="81"/>
      <c r="H31" s="81"/>
      <c r="I31" s="82"/>
      <c r="J31" s="81"/>
      <c r="K31" s="81"/>
      <c r="L31" s="81"/>
      <c r="M31" s="82"/>
      <c r="N31" s="81"/>
      <c r="O31" s="82" t="s">
        <v>61</v>
      </c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73"/>
      <c r="AW31" s="73"/>
      <c r="AX31" s="73"/>
      <c r="AY31" s="73"/>
      <c r="AZ31" s="73"/>
      <c r="BA31" s="73"/>
      <c r="BB31" s="73"/>
      <c r="BC31" s="73"/>
    </row>
    <row r="32" spans="1:55" s="78" customFormat="1" ht="12.95" customHeight="1">
      <c r="A32" s="79">
        <v>26</v>
      </c>
      <c r="B32" s="80" t="s">
        <v>87</v>
      </c>
      <c r="C32" s="81"/>
      <c r="D32" s="81"/>
      <c r="E32" s="81"/>
      <c r="F32" s="82" t="s">
        <v>61</v>
      </c>
      <c r="G32" s="81"/>
      <c r="H32" s="81"/>
      <c r="I32" s="81"/>
      <c r="J32" s="81"/>
      <c r="K32" s="81"/>
      <c r="L32" s="82" t="s">
        <v>61</v>
      </c>
      <c r="M32" s="81"/>
      <c r="N32" s="81"/>
      <c r="O32" s="82" t="s">
        <v>61</v>
      </c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2" t="s">
        <v>61</v>
      </c>
      <c r="AC32" s="82" t="s">
        <v>60</v>
      </c>
      <c r="AD32" s="81"/>
      <c r="AE32" s="81"/>
      <c r="AF32" s="81"/>
      <c r="AG32" s="81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73"/>
      <c r="AW32" s="73"/>
      <c r="AX32" s="73"/>
      <c r="AY32" s="73"/>
      <c r="AZ32" s="73"/>
      <c r="BA32" s="73"/>
      <c r="BB32" s="73"/>
      <c r="BC32" s="73"/>
    </row>
    <row r="33" spans="1:55" s="78" customFormat="1" ht="12.95" customHeight="1">
      <c r="A33" s="79">
        <v>27</v>
      </c>
      <c r="B33" s="80" t="s">
        <v>88</v>
      </c>
      <c r="C33" s="81"/>
      <c r="D33" s="81"/>
      <c r="E33" s="82" t="s">
        <v>62</v>
      </c>
      <c r="F33" s="81"/>
      <c r="G33" s="81"/>
      <c r="H33" s="81"/>
      <c r="I33" s="82" t="s">
        <v>62</v>
      </c>
      <c r="J33" s="81"/>
      <c r="K33" s="81"/>
      <c r="L33" s="82" t="s">
        <v>61</v>
      </c>
      <c r="M33" s="81"/>
      <c r="N33" s="81"/>
      <c r="O33" s="81"/>
      <c r="P33" s="81"/>
      <c r="Q33" s="81"/>
      <c r="R33" s="82" t="s">
        <v>62</v>
      </c>
      <c r="S33" s="81"/>
      <c r="T33" s="81"/>
      <c r="U33" s="81"/>
      <c r="V33" s="82" t="s">
        <v>62</v>
      </c>
      <c r="W33" s="81"/>
      <c r="X33" s="81"/>
      <c r="Y33" s="82" t="s">
        <v>61</v>
      </c>
      <c r="Z33" s="81"/>
      <c r="AA33" s="82" t="s">
        <v>62</v>
      </c>
      <c r="AB33" s="81"/>
      <c r="AC33" s="81"/>
      <c r="AD33" s="81"/>
      <c r="AE33" s="81"/>
      <c r="AF33" s="81"/>
      <c r="AG33" s="81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73"/>
      <c r="AW33" s="73"/>
      <c r="AX33" s="73"/>
      <c r="AY33" s="73"/>
      <c r="AZ33" s="73"/>
      <c r="BA33" s="73"/>
      <c r="BB33" s="73"/>
      <c r="BC33" s="73"/>
    </row>
    <row r="34" spans="1:55" s="78" customFormat="1" ht="12.95" customHeight="1">
      <c r="A34" s="79">
        <v>28</v>
      </c>
      <c r="B34" s="80" t="s">
        <v>89</v>
      </c>
      <c r="C34" s="81"/>
      <c r="D34" s="81"/>
      <c r="E34" s="82" t="s">
        <v>61</v>
      </c>
      <c r="F34" s="81"/>
      <c r="G34" s="81"/>
      <c r="H34" s="81"/>
      <c r="I34" s="81"/>
      <c r="J34" s="81"/>
      <c r="K34" s="81"/>
      <c r="L34" s="81"/>
      <c r="M34" s="82" t="s">
        <v>61</v>
      </c>
      <c r="N34" s="81"/>
      <c r="O34" s="81"/>
      <c r="P34" s="81"/>
      <c r="Q34" s="81"/>
      <c r="R34" s="82" t="s">
        <v>61</v>
      </c>
      <c r="S34" s="81"/>
      <c r="T34" s="82" t="s">
        <v>61</v>
      </c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73"/>
      <c r="AW34" s="73"/>
      <c r="AX34" s="73"/>
      <c r="AY34" s="73"/>
      <c r="AZ34" s="73"/>
      <c r="BA34" s="73"/>
      <c r="BB34" s="73"/>
      <c r="BC34" s="73"/>
    </row>
    <row r="35" spans="1:55" s="78" customFormat="1" ht="12.95" customHeight="1">
      <c r="A35" s="79">
        <v>29</v>
      </c>
      <c r="B35" s="80" t="s">
        <v>90</v>
      </c>
      <c r="C35" s="81"/>
      <c r="D35" s="82" t="s">
        <v>62</v>
      </c>
      <c r="E35" s="81"/>
      <c r="F35" s="82" t="s">
        <v>61</v>
      </c>
      <c r="G35" s="81"/>
      <c r="H35" s="82" t="s">
        <v>61</v>
      </c>
      <c r="I35" s="81"/>
      <c r="J35" s="81"/>
      <c r="K35" s="81"/>
      <c r="L35" s="81"/>
      <c r="M35" s="82" t="s">
        <v>61</v>
      </c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73"/>
      <c r="AW35" s="73"/>
      <c r="AX35" s="73"/>
      <c r="AY35" s="73"/>
      <c r="AZ35" s="73"/>
      <c r="BA35" s="73"/>
      <c r="BB35" s="73"/>
      <c r="BC35" s="73"/>
    </row>
    <row r="36" spans="1:55" s="78" customFormat="1" ht="12.95" customHeight="1">
      <c r="A36" s="79">
        <v>30</v>
      </c>
      <c r="B36" s="80" t="s">
        <v>91</v>
      </c>
      <c r="C36" s="81"/>
      <c r="D36" s="82" t="s">
        <v>62</v>
      </c>
      <c r="E36" s="81"/>
      <c r="F36" s="81"/>
      <c r="G36" s="81"/>
      <c r="H36" s="82" t="s">
        <v>61</v>
      </c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73"/>
      <c r="AW36" s="73"/>
      <c r="AX36" s="73"/>
      <c r="AY36" s="73"/>
      <c r="AZ36" s="73"/>
      <c r="BA36" s="73"/>
      <c r="BB36" s="73"/>
      <c r="BC36" s="73"/>
    </row>
    <row r="37" spans="1:55" s="78" customFormat="1" ht="12.95" customHeight="1">
      <c r="A37" s="79">
        <v>31</v>
      </c>
      <c r="B37" s="80" t="s">
        <v>92</v>
      </c>
      <c r="C37" s="81"/>
      <c r="D37" s="81"/>
      <c r="E37" s="81"/>
      <c r="F37" s="82" t="s">
        <v>62</v>
      </c>
      <c r="G37" s="81"/>
      <c r="H37" s="81"/>
      <c r="I37" s="82"/>
      <c r="J37" s="81"/>
      <c r="K37" s="81"/>
      <c r="L37" s="82" t="s">
        <v>61</v>
      </c>
      <c r="M37" s="81"/>
      <c r="N37" s="81"/>
      <c r="O37" s="81"/>
      <c r="P37" s="82" t="s">
        <v>62</v>
      </c>
      <c r="Q37" s="81"/>
      <c r="R37" s="81"/>
      <c r="S37" s="81"/>
      <c r="T37" s="81"/>
      <c r="U37" s="81"/>
      <c r="V37" s="82" t="s">
        <v>62</v>
      </c>
      <c r="W37" s="81"/>
      <c r="X37" s="81"/>
      <c r="Y37" s="81"/>
      <c r="Z37" s="81"/>
      <c r="AA37" s="82" t="s">
        <v>62</v>
      </c>
      <c r="AB37" s="81"/>
      <c r="AC37" s="81"/>
      <c r="AD37" s="81"/>
      <c r="AE37" s="81"/>
      <c r="AF37" s="81"/>
      <c r="AG37" s="81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73"/>
      <c r="AW37" s="73"/>
      <c r="AX37" s="73"/>
      <c r="AY37" s="73"/>
      <c r="AZ37" s="73"/>
      <c r="BA37" s="73"/>
      <c r="BB37" s="73"/>
      <c r="BC37" s="73"/>
    </row>
    <row r="38" spans="1:55" s="78" customFormat="1" ht="12.95" customHeight="1">
      <c r="A38" s="79">
        <v>32</v>
      </c>
      <c r="B38" s="80" t="s">
        <v>93</v>
      </c>
      <c r="C38" s="81"/>
      <c r="D38" s="81"/>
      <c r="E38" s="81"/>
      <c r="F38" s="82" t="s">
        <v>61</v>
      </c>
      <c r="G38" s="81"/>
      <c r="H38" s="82" t="s">
        <v>60</v>
      </c>
      <c r="I38" s="81"/>
      <c r="J38" s="81"/>
      <c r="K38" s="82" t="s">
        <v>60</v>
      </c>
      <c r="L38" s="81"/>
      <c r="M38" s="82" t="s">
        <v>60</v>
      </c>
      <c r="N38" s="81"/>
      <c r="O38" s="82" t="s">
        <v>60</v>
      </c>
      <c r="P38" s="81"/>
      <c r="Q38" s="81"/>
      <c r="R38" s="81"/>
      <c r="S38" s="81"/>
      <c r="T38" s="82" t="s">
        <v>60</v>
      </c>
      <c r="U38" s="82"/>
      <c r="V38" s="82" t="s">
        <v>60</v>
      </c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73"/>
      <c r="AW38" s="73"/>
      <c r="AX38" s="73"/>
      <c r="AY38" s="73"/>
      <c r="AZ38" s="73"/>
      <c r="BA38" s="73"/>
      <c r="BB38" s="73"/>
      <c r="BC38" s="73"/>
    </row>
    <row r="39" spans="1:55" s="78" customFormat="1" ht="12.95" customHeight="1">
      <c r="A39" s="79">
        <v>33</v>
      </c>
      <c r="B39" s="80" t="s">
        <v>94</v>
      </c>
      <c r="C39" s="81"/>
      <c r="D39" s="82" t="s">
        <v>61</v>
      </c>
      <c r="E39" s="81"/>
      <c r="F39" s="81"/>
      <c r="G39" s="82" t="s">
        <v>62</v>
      </c>
      <c r="H39" s="81"/>
      <c r="I39" s="82" t="s">
        <v>61</v>
      </c>
      <c r="J39" s="81"/>
      <c r="K39" s="81"/>
      <c r="L39" s="82" t="s">
        <v>61</v>
      </c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2" t="s">
        <v>61</v>
      </c>
      <c r="AA39" s="82" t="s">
        <v>61</v>
      </c>
      <c r="AB39" s="81"/>
      <c r="AC39" s="81"/>
      <c r="AD39" s="81"/>
      <c r="AE39" s="81"/>
      <c r="AF39" s="81"/>
      <c r="AG39" s="81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73"/>
      <c r="AW39" s="73"/>
      <c r="AX39" s="73"/>
      <c r="AY39" s="73"/>
      <c r="AZ39" s="73"/>
      <c r="BA39" s="73"/>
      <c r="BB39" s="73"/>
      <c r="BC39" s="73"/>
    </row>
    <row r="40" spans="1:55" s="78" customFormat="1" ht="12.95" customHeight="1">
      <c r="A40" s="79">
        <v>34</v>
      </c>
      <c r="B40" s="80" t="s">
        <v>95</v>
      </c>
      <c r="C40" s="81"/>
      <c r="D40" s="82" t="s">
        <v>62</v>
      </c>
      <c r="E40" s="81"/>
      <c r="F40" s="82" t="s">
        <v>61</v>
      </c>
      <c r="G40" s="81"/>
      <c r="H40" s="81"/>
      <c r="I40" s="81"/>
      <c r="J40" s="81"/>
      <c r="K40" s="81"/>
      <c r="L40" s="81"/>
      <c r="M40" s="82"/>
      <c r="N40" s="82" t="s">
        <v>61</v>
      </c>
      <c r="O40" s="81"/>
      <c r="P40" s="81"/>
      <c r="Q40" s="81"/>
      <c r="R40" s="82" t="s">
        <v>62</v>
      </c>
      <c r="S40" s="81"/>
      <c r="T40" s="81"/>
      <c r="U40" s="81"/>
      <c r="V40" s="81"/>
      <c r="W40" s="82" t="s">
        <v>62</v>
      </c>
      <c r="X40" s="81"/>
      <c r="Y40" s="82" t="s">
        <v>61</v>
      </c>
      <c r="Z40" s="82" t="s">
        <v>61</v>
      </c>
      <c r="AA40" s="81"/>
      <c r="AB40" s="82" t="s">
        <v>61</v>
      </c>
      <c r="AC40" s="81"/>
      <c r="AD40" s="82" t="s">
        <v>61</v>
      </c>
      <c r="AE40" s="81"/>
      <c r="AF40" s="81"/>
      <c r="AG40" s="81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73"/>
      <c r="AW40" s="73"/>
      <c r="AX40" s="73"/>
      <c r="AY40" s="73"/>
      <c r="AZ40" s="73"/>
      <c r="BA40" s="73"/>
      <c r="BB40" s="73"/>
      <c r="BC40" s="73"/>
    </row>
    <row r="41" spans="1:55" s="78" customFormat="1" ht="12.95" customHeight="1">
      <c r="A41" s="79">
        <v>35</v>
      </c>
      <c r="B41" s="80" t="s">
        <v>96</v>
      </c>
      <c r="C41" s="81"/>
      <c r="D41" s="81"/>
      <c r="E41" s="82" t="s">
        <v>62</v>
      </c>
      <c r="F41" s="81"/>
      <c r="G41" s="81"/>
      <c r="H41" s="82" t="s">
        <v>61</v>
      </c>
      <c r="I41" s="81"/>
      <c r="J41" s="81"/>
      <c r="K41" s="81"/>
      <c r="L41" s="81"/>
      <c r="M41" s="81"/>
      <c r="N41" s="81"/>
      <c r="O41" s="81"/>
      <c r="P41" s="81"/>
      <c r="Q41" s="81"/>
      <c r="R41" s="82"/>
      <c r="S41" s="81"/>
      <c r="T41" s="81"/>
      <c r="U41" s="82" t="s">
        <v>61</v>
      </c>
      <c r="V41" s="81"/>
      <c r="W41" s="81"/>
      <c r="X41" s="81"/>
      <c r="Y41" s="81"/>
      <c r="Z41" s="81"/>
      <c r="AA41" s="81"/>
      <c r="AB41" s="81"/>
      <c r="AC41" s="81"/>
      <c r="AD41" s="82" t="s">
        <v>61</v>
      </c>
      <c r="AE41" s="81"/>
      <c r="AF41" s="81"/>
      <c r="AG41" s="81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73"/>
      <c r="AW41" s="73"/>
      <c r="AX41" s="73"/>
      <c r="AY41" s="73"/>
      <c r="AZ41" s="73"/>
      <c r="BA41" s="73"/>
      <c r="BB41" s="73"/>
      <c r="BC41" s="73"/>
    </row>
    <row r="42" spans="1:55" s="78" customFormat="1" ht="12.95" customHeight="1">
      <c r="A42" s="79">
        <v>36</v>
      </c>
      <c r="B42" s="80" t="s">
        <v>97</v>
      </c>
      <c r="C42" s="81"/>
      <c r="D42" s="88"/>
      <c r="E42" s="88"/>
      <c r="F42" s="81"/>
      <c r="G42" s="81"/>
      <c r="H42" s="81"/>
      <c r="I42" s="81"/>
      <c r="J42" s="81"/>
      <c r="K42" s="81"/>
      <c r="L42" s="82" t="s">
        <v>61</v>
      </c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73"/>
      <c r="AW42" s="73"/>
      <c r="AX42" s="73"/>
      <c r="AY42" s="73"/>
      <c r="AZ42" s="73"/>
      <c r="BA42" s="73"/>
      <c r="BB42" s="73"/>
      <c r="BC42" s="73"/>
    </row>
    <row r="43" spans="1:55" s="78" customFormat="1" ht="12.95" customHeight="1">
      <c r="A43" s="79">
        <v>37</v>
      </c>
      <c r="B43" s="80" t="s">
        <v>98</v>
      </c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2" t="s">
        <v>61</v>
      </c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73"/>
      <c r="AW43" s="73"/>
      <c r="AX43" s="73"/>
      <c r="AY43" s="73"/>
      <c r="AZ43" s="73"/>
      <c r="BA43" s="73"/>
      <c r="BB43" s="73"/>
      <c r="BC43" s="73"/>
    </row>
    <row r="44" spans="1:55" s="78" customFormat="1" ht="12.95" customHeight="1">
      <c r="A44" s="79">
        <v>38</v>
      </c>
      <c r="B44" s="80" t="s">
        <v>99</v>
      </c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2"/>
      <c r="N44" s="81"/>
      <c r="O44" s="81"/>
      <c r="P44" s="82" t="s">
        <v>61</v>
      </c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73"/>
      <c r="AW44" s="73"/>
      <c r="AX44" s="73"/>
      <c r="AY44" s="73"/>
      <c r="AZ44" s="73"/>
      <c r="BA44" s="73"/>
      <c r="BB44" s="73"/>
      <c r="BC44" s="73"/>
    </row>
    <row r="45" spans="1:55" s="78" customFormat="1" ht="12.95" hidden="1" customHeight="1">
      <c r="A45" s="79">
        <v>39</v>
      </c>
      <c r="B45" s="80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73"/>
      <c r="AW45" s="73"/>
      <c r="AX45" s="73"/>
      <c r="AY45" s="73"/>
      <c r="AZ45" s="73"/>
      <c r="BA45" s="73"/>
      <c r="BB45" s="73"/>
      <c r="BC45" s="73"/>
    </row>
    <row r="46" spans="1:55" s="78" customFormat="1" ht="12.95" hidden="1" customHeight="1">
      <c r="A46" s="79">
        <v>40</v>
      </c>
      <c r="B46" s="80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73"/>
      <c r="AW46" s="73"/>
      <c r="AX46" s="73"/>
      <c r="AY46" s="73"/>
      <c r="AZ46" s="73"/>
      <c r="BA46" s="73"/>
      <c r="BB46" s="73"/>
      <c r="BC46" s="73"/>
    </row>
    <row r="47" spans="1:55" s="78" customFormat="1" ht="12.95" hidden="1" customHeight="1">
      <c r="A47" s="79">
        <v>41</v>
      </c>
      <c r="B47" s="80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73"/>
      <c r="AW47" s="73"/>
      <c r="AX47" s="73"/>
      <c r="AY47" s="73"/>
      <c r="AZ47" s="73"/>
      <c r="BA47" s="73"/>
      <c r="BB47" s="73"/>
      <c r="BC47" s="73"/>
    </row>
    <row r="48" spans="1:55" s="78" customFormat="1" ht="12.95" hidden="1" customHeight="1">
      <c r="A48" s="79">
        <v>42</v>
      </c>
      <c r="B48" s="80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73"/>
      <c r="AW48" s="73"/>
      <c r="AX48" s="73"/>
      <c r="AY48" s="73"/>
      <c r="AZ48" s="73"/>
      <c r="BA48" s="73"/>
      <c r="BB48" s="73"/>
      <c r="BC48" s="73"/>
    </row>
    <row r="49" spans="1:55" s="78" customFormat="1" ht="12.95" hidden="1" customHeight="1">
      <c r="A49" s="79">
        <v>43</v>
      </c>
      <c r="B49" s="80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73"/>
      <c r="AW49" s="73"/>
      <c r="AX49" s="73"/>
      <c r="AY49" s="73"/>
      <c r="AZ49" s="73"/>
      <c r="BA49" s="73"/>
      <c r="BB49" s="73"/>
      <c r="BC49" s="73"/>
    </row>
    <row r="50" spans="1:55" s="78" customFormat="1" ht="12.95" hidden="1" customHeight="1">
      <c r="A50" s="79">
        <v>44</v>
      </c>
      <c r="B50" s="80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73"/>
      <c r="AW50" s="73"/>
      <c r="AX50" s="73"/>
      <c r="AY50" s="73"/>
      <c r="AZ50" s="73"/>
      <c r="BA50" s="73"/>
      <c r="BB50" s="73"/>
      <c r="BC50" s="73"/>
    </row>
    <row r="51" spans="1:55" s="78" customFormat="1" ht="12.95" hidden="1" customHeight="1">
      <c r="A51" s="79">
        <v>45</v>
      </c>
      <c r="B51" s="80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73"/>
      <c r="AW51" s="73"/>
      <c r="AX51" s="73"/>
      <c r="AY51" s="73"/>
      <c r="AZ51" s="73"/>
      <c r="BA51" s="73"/>
      <c r="BB51" s="73"/>
      <c r="BC51" s="73"/>
    </row>
    <row r="52" spans="1:55" s="78" customFormat="1" ht="12.95" hidden="1" customHeight="1">
      <c r="A52" s="79">
        <v>46</v>
      </c>
      <c r="B52" s="80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73"/>
      <c r="AW52" s="73"/>
      <c r="AX52" s="73"/>
      <c r="AY52" s="73"/>
      <c r="AZ52" s="73"/>
      <c r="BA52" s="73"/>
      <c r="BB52" s="73"/>
      <c r="BC52" s="73"/>
    </row>
    <row r="53" spans="1:55" s="78" customFormat="1" ht="12.95" hidden="1" customHeight="1">
      <c r="A53" s="79">
        <v>47</v>
      </c>
      <c r="B53" s="80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6"/>
      <c r="AV53" s="73"/>
      <c r="AW53" s="73"/>
      <c r="AX53" s="73"/>
      <c r="AY53" s="73"/>
      <c r="AZ53" s="73"/>
      <c r="BA53" s="73"/>
      <c r="BB53" s="73"/>
      <c r="BC53" s="73"/>
    </row>
    <row r="54" spans="1:55" s="78" customFormat="1" ht="12.95" hidden="1" customHeight="1">
      <c r="A54" s="79">
        <v>48</v>
      </c>
      <c r="B54" s="80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73"/>
      <c r="AW54" s="73"/>
      <c r="AX54" s="73"/>
      <c r="AY54" s="73"/>
      <c r="AZ54" s="73"/>
      <c r="BA54" s="73"/>
      <c r="BB54" s="73"/>
      <c r="BC54" s="73"/>
    </row>
    <row r="55" spans="1:55" s="78" customFormat="1" ht="12.95" hidden="1" customHeight="1">
      <c r="A55" s="79">
        <v>49</v>
      </c>
      <c r="B55" s="80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73"/>
      <c r="AW55" s="73"/>
      <c r="AX55" s="73"/>
      <c r="AY55" s="73"/>
      <c r="AZ55" s="73"/>
      <c r="BA55" s="73"/>
      <c r="BB55" s="73"/>
      <c r="BC55" s="73"/>
    </row>
    <row r="56" spans="1:55" s="78" customFormat="1" ht="12.95" hidden="1" customHeight="1">
      <c r="A56" s="79">
        <v>50</v>
      </c>
      <c r="B56" s="80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  <c r="AV56" s="73"/>
      <c r="AW56" s="73"/>
      <c r="AX56" s="73"/>
      <c r="AY56" s="73"/>
      <c r="AZ56" s="73"/>
      <c r="BA56" s="73"/>
      <c r="BB56" s="73"/>
      <c r="BC56" s="73"/>
    </row>
    <row r="57" spans="1:55" s="78" customFormat="1" ht="12.95" hidden="1" customHeight="1">
      <c r="A57" s="79">
        <v>51</v>
      </c>
      <c r="B57" s="80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6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AS57" s="86"/>
      <c r="AT57" s="86"/>
      <c r="AU57" s="86"/>
      <c r="AV57" s="73"/>
      <c r="AW57" s="73"/>
      <c r="AX57" s="73"/>
      <c r="AY57" s="73"/>
      <c r="AZ57" s="73"/>
      <c r="BA57" s="73"/>
      <c r="BB57" s="73"/>
      <c r="BC57" s="73"/>
    </row>
    <row r="58" spans="1:55" s="78" customFormat="1" ht="12.95" hidden="1" customHeight="1">
      <c r="A58" s="79">
        <v>52</v>
      </c>
      <c r="B58" s="80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6"/>
      <c r="AI58" s="86"/>
      <c r="AJ58" s="86"/>
      <c r="AK58" s="86"/>
      <c r="AL58" s="86"/>
      <c r="AM58" s="86"/>
      <c r="AN58" s="86"/>
      <c r="AO58" s="86"/>
      <c r="AP58" s="86"/>
      <c r="AQ58" s="86"/>
      <c r="AR58" s="86"/>
      <c r="AS58" s="86"/>
      <c r="AT58" s="86"/>
      <c r="AU58" s="86"/>
      <c r="AV58" s="73"/>
      <c r="AW58" s="73"/>
      <c r="AX58" s="73"/>
      <c r="AY58" s="73"/>
      <c r="AZ58" s="73"/>
      <c r="BA58" s="73"/>
      <c r="BB58" s="73"/>
      <c r="BC58" s="73"/>
    </row>
    <row r="59" spans="1:55" s="78" customFormat="1" ht="12.95" hidden="1" customHeight="1">
      <c r="A59" s="79">
        <v>53</v>
      </c>
      <c r="B59" s="80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6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/>
      <c r="AT59" s="86"/>
      <c r="AU59" s="86"/>
      <c r="AV59" s="73"/>
      <c r="AW59" s="73"/>
      <c r="AX59" s="73"/>
      <c r="AY59" s="73"/>
      <c r="AZ59" s="73"/>
      <c r="BA59" s="73"/>
      <c r="BB59" s="73"/>
      <c r="BC59" s="73"/>
    </row>
    <row r="60" spans="1:55" s="78" customFormat="1" ht="12.95" hidden="1" customHeight="1">
      <c r="A60" s="79">
        <v>54</v>
      </c>
      <c r="B60" s="80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73"/>
      <c r="AW60" s="73"/>
      <c r="AX60" s="73"/>
      <c r="AY60" s="73"/>
      <c r="AZ60" s="73"/>
      <c r="BA60" s="73"/>
      <c r="BB60" s="73"/>
      <c r="BC60" s="73"/>
    </row>
    <row r="61" spans="1:55" s="78" customFormat="1" ht="12.95" hidden="1" customHeight="1">
      <c r="A61" s="79">
        <v>55</v>
      </c>
      <c r="B61" s="80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6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6"/>
      <c r="AU61" s="86"/>
      <c r="AV61" s="73"/>
      <c r="AW61" s="73"/>
      <c r="AX61" s="73"/>
      <c r="AY61" s="73"/>
      <c r="AZ61" s="73"/>
      <c r="BA61" s="73"/>
      <c r="BB61" s="73"/>
      <c r="BC61" s="73"/>
    </row>
    <row r="62" spans="1:55" s="78" customFormat="1" ht="12.95" hidden="1" customHeight="1">
      <c r="A62" s="79">
        <v>56</v>
      </c>
      <c r="B62" s="80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6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86"/>
      <c r="AU62" s="86"/>
      <c r="AV62" s="73"/>
      <c r="AW62" s="73"/>
      <c r="AX62" s="73"/>
      <c r="AY62" s="73"/>
      <c r="AZ62" s="73"/>
      <c r="BA62" s="73"/>
      <c r="BB62" s="73"/>
      <c r="BC62" s="73"/>
    </row>
    <row r="63" spans="1:55" s="78" customFormat="1" ht="12.95" hidden="1" customHeight="1">
      <c r="A63" s="79">
        <v>57</v>
      </c>
      <c r="B63" s="80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6"/>
      <c r="AI63" s="86"/>
      <c r="AJ63" s="86"/>
      <c r="AK63" s="86"/>
      <c r="AL63" s="86"/>
      <c r="AM63" s="86"/>
      <c r="AN63" s="86"/>
      <c r="AO63" s="86"/>
      <c r="AP63" s="86"/>
      <c r="AQ63" s="86"/>
      <c r="AR63" s="86"/>
      <c r="AS63" s="86"/>
      <c r="AT63" s="86"/>
      <c r="AU63" s="86"/>
      <c r="AV63" s="73"/>
      <c r="AW63" s="73"/>
      <c r="AX63" s="73"/>
      <c r="AY63" s="73"/>
      <c r="AZ63" s="73"/>
      <c r="BA63" s="73"/>
      <c r="BB63" s="73"/>
      <c r="BC63" s="73"/>
    </row>
    <row r="64" spans="1:55" s="78" customFormat="1" ht="12.95" hidden="1" customHeight="1">
      <c r="A64" s="79">
        <v>58</v>
      </c>
      <c r="B64" s="80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6"/>
      <c r="AI64" s="86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73"/>
      <c r="AW64" s="73"/>
      <c r="AX64" s="73"/>
      <c r="AY64" s="73"/>
      <c r="AZ64" s="73"/>
      <c r="BA64" s="73"/>
      <c r="BB64" s="73"/>
      <c r="BC64" s="73"/>
    </row>
    <row r="65" spans="1:55" s="78" customFormat="1" ht="12.95" hidden="1" customHeight="1">
      <c r="A65" s="79">
        <v>59</v>
      </c>
      <c r="B65" s="80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6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6"/>
      <c r="AU65" s="86"/>
      <c r="AV65" s="73"/>
      <c r="AW65" s="73"/>
      <c r="AX65" s="73"/>
      <c r="AY65" s="73"/>
      <c r="AZ65" s="73"/>
      <c r="BA65" s="73"/>
      <c r="BB65" s="73"/>
      <c r="BC65" s="73"/>
    </row>
    <row r="66" spans="1:55" s="78" customFormat="1" ht="12.95" hidden="1" customHeight="1">
      <c r="A66" s="79">
        <v>60</v>
      </c>
      <c r="B66" s="80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6"/>
      <c r="AI66" s="86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6"/>
      <c r="AU66" s="86"/>
      <c r="AV66" s="73"/>
      <c r="AW66" s="73"/>
      <c r="AX66" s="73"/>
      <c r="AY66" s="73"/>
      <c r="AZ66" s="73"/>
      <c r="BA66" s="73"/>
      <c r="BB66" s="73"/>
      <c r="BC66" s="73"/>
    </row>
    <row r="67" spans="1:55" s="78" customFormat="1" ht="12.95" hidden="1" customHeight="1">
      <c r="A67" s="79">
        <v>61</v>
      </c>
      <c r="B67" s="80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73"/>
      <c r="AW67" s="73"/>
      <c r="AX67" s="73"/>
      <c r="AY67" s="73"/>
      <c r="AZ67" s="73"/>
      <c r="BA67" s="73"/>
      <c r="BB67" s="73"/>
      <c r="BC67" s="73"/>
    </row>
    <row r="68" spans="1:55" s="78" customFormat="1" ht="12.95" hidden="1" customHeight="1">
      <c r="A68" s="79">
        <v>62</v>
      </c>
      <c r="B68" s="80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73"/>
      <c r="AW68" s="73"/>
      <c r="AX68" s="73"/>
      <c r="AY68" s="73"/>
      <c r="AZ68" s="73"/>
      <c r="BA68" s="73"/>
      <c r="BB68" s="73"/>
      <c r="BC68" s="73"/>
    </row>
    <row r="69" spans="1:55" s="78" customFormat="1" ht="12.95" hidden="1" customHeight="1">
      <c r="A69" s="79">
        <v>63</v>
      </c>
      <c r="B69" s="80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6"/>
      <c r="AI69" s="86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  <c r="AU69" s="86"/>
      <c r="AV69" s="73"/>
      <c r="AW69" s="73"/>
      <c r="AX69" s="73"/>
      <c r="AY69" s="73"/>
      <c r="AZ69" s="73"/>
      <c r="BA69" s="73"/>
      <c r="BB69" s="73"/>
      <c r="BC69" s="73"/>
    </row>
    <row r="70" spans="1:55" s="78" customFormat="1" ht="12.95" hidden="1" customHeight="1">
      <c r="A70" s="79">
        <v>64</v>
      </c>
      <c r="B70" s="80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6"/>
      <c r="AI70" s="86"/>
      <c r="AJ70" s="86"/>
      <c r="AK70" s="86"/>
      <c r="AL70" s="86"/>
      <c r="AM70" s="86"/>
      <c r="AN70" s="86"/>
      <c r="AO70" s="86"/>
      <c r="AP70" s="86"/>
      <c r="AQ70" s="86"/>
      <c r="AR70" s="86"/>
      <c r="AS70" s="86"/>
      <c r="AT70" s="86"/>
      <c r="AU70" s="86"/>
      <c r="AV70" s="73"/>
      <c r="AW70" s="73"/>
      <c r="AX70" s="73"/>
      <c r="AY70" s="73"/>
      <c r="AZ70" s="73"/>
      <c r="BA70" s="73"/>
      <c r="BB70" s="73"/>
      <c r="BC70" s="73"/>
    </row>
    <row r="71" spans="1:55" s="78" customFormat="1" ht="12.95" hidden="1" customHeight="1">
      <c r="A71" s="79">
        <v>65</v>
      </c>
      <c r="B71" s="80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6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  <c r="AU71" s="86"/>
      <c r="AV71" s="73"/>
      <c r="AW71" s="73"/>
      <c r="AX71" s="73"/>
      <c r="AY71" s="73"/>
      <c r="AZ71" s="73"/>
      <c r="BA71" s="73"/>
      <c r="BB71" s="73"/>
      <c r="BC71" s="73"/>
    </row>
    <row r="72" spans="1:55" s="78" customFormat="1" ht="12.95" hidden="1" customHeight="1">
      <c r="A72" s="79">
        <v>66</v>
      </c>
      <c r="B72" s="80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73"/>
      <c r="AW72" s="73"/>
      <c r="AX72" s="73"/>
      <c r="AY72" s="73"/>
      <c r="AZ72" s="73"/>
      <c r="BA72" s="73"/>
      <c r="BB72" s="73"/>
      <c r="BC72" s="73"/>
    </row>
    <row r="73" spans="1:55" s="78" customFormat="1" ht="12.95" hidden="1" customHeight="1">
      <c r="A73" s="79">
        <v>67</v>
      </c>
      <c r="B73" s="80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73"/>
      <c r="AW73" s="73"/>
      <c r="AX73" s="73"/>
      <c r="AY73" s="73"/>
      <c r="AZ73" s="73"/>
      <c r="BA73" s="73"/>
      <c r="BB73" s="73"/>
      <c r="BC73" s="73"/>
    </row>
    <row r="74" spans="1:55" s="78" customFormat="1" ht="12.95" hidden="1" customHeight="1">
      <c r="A74" s="79">
        <v>68</v>
      </c>
      <c r="B74" s="80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6"/>
      <c r="AI74" s="86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  <c r="AU74" s="86"/>
      <c r="AV74" s="73"/>
      <c r="AW74" s="73"/>
      <c r="AX74" s="73"/>
      <c r="AY74" s="73"/>
      <c r="AZ74" s="73"/>
      <c r="BA74" s="73"/>
      <c r="BB74" s="73"/>
      <c r="BC74" s="73"/>
    </row>
    <row r="75" spans="1:55" s="78" customFormat="1" ht="12.95" hidden="1" customHeight="1">
      <c r="A75" s="79">
        <v>69</v>
      </c>
      <c r="B75" s="80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6"/>
      <c r="AI75" s="86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  <c r="AU75" s="86"/>
      <c r="AV75" s="73"/>
      <c r="AW75" s="73"/>
      <c r="AX75" s="73"/>
      <c r="AY75" s="73"/>
      <c r="AZ75" s="73"/>
      <c r="BA75" s="73"/>
      <c r="BB75" s="73"/>
      <c r="BC75" s="73"/>
    </row>
    <row r="76" spans="1:55" s="78" customFormat="1" ht="12.95" hidden="1" customHeight="1">
      <c r="A76" s="79">
        <v>70</v>
      </c>
      <c r="B76" s="80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6"/>
      <c r="AI76" s="86"/>
      <c r="AJ76" s="86"/>
      <c r="AK76" s="86"/>
      <c r="AL76" s="86"/>
      <c r="AM76" s="86"/>
      <c r="AN76" s="86"/>
      <c r="AO76" s="86"/>
      <c r="AP76" s="86"/>
      <c r="AQ76" s="86"/>
      <c r="AR76" s="86"/>
      <c r="AS76" s="86"/>
      <c r="AT76" s="86"/>
      <c r="AU76" s="86"/>
      <c r="AV76" s="73"/>
      <c r="AW76" s="73"/>
      <c r="AX76" s="73"/>
      <c r="AY76" s="73"/>
      <c r="AZ76" s="73"/>
      <c r="BA76" s="73"/>
      <c r="BB76" s="73"/>
      <c r="BC76" s="73"/>
    </row>
    <row r="77" spans="1:55" s="78" customFormat="1" ht="12.95" hidden="1" customHeight="1">
      <c r="A77" s="79">
        <v>71</v>
      </c>
      <c r="B77" s="80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6"/>
      <c r="AI77" s="86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  <c r="AU77" s="86"/>
      <c r="AV77" s="73"/>
      <c r="AW77" s="73"/>
      <c r="AX77" s="73"/>
      <c r="AY77" s="73"/>
      <c r="AZ77" s="73"/>
      <c r="BA77" s="73"/>
      <c r="BB77" s="73"/>
      <c r="BC77" s="73"/>
    </row>
    <row r="78" spans="1:55" s="78" customFormat="1" ht="12.95" hidden="1" customHeight="1">
      <c r="A78" s="79">
        <v>72</v>
      </c>
      <c r="B78" s="80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6"/>
      <c r="AI78" s="86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  <c r="AU78" s="86"/>
      <c r="AV78" s="73"/>
      <c r="AW78" s="73"/>
      <c r="AX78" s="73"/>
      <c r="AY78" s="73"/>
      <c r="AZ78" s="73"/>
      <c r="BA78" s="73"/>
      <c r="BB78" s="73"/>
      <c r="BC78" s="73"/>
    </row>
    <row r="79" spans="1:55" s="78" customFormat="1" ht="12.95" hidden="1" customHeight="1">
      <c r="A79" s="79">
        <v>73</v>
      </c>
      <c r="B79" s="80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73"/>
      <c r="AW79" s="73"/>
      <c r="AX79" s="73"/>
      <c r="AY79" s="73"/>
      <c r="AZ79" s="73"/>
      <c r="BA79" s="73"/>
      <c r="BB79" s="73"/>
      <c r="BC79" s="73"/>
    </row>
    <row r="80" spans="1:55" s="78" customFormat="1" ht="12.95" hidden="1" customHeight="1">
      <c r="A80" s="79">
        <v>74</v>
      </c>
      <c r="B80" s="80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6"/>
      <c r="AI80" s="86"/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  <c r="AU80" s="86"/>
      <c r="AV80" s="73"/>
      <c r="AW80" s="73"/>
      <c r="AX80" s="73"/>
      <c r="AY80" s="73"/>
      <c r="AZ80" s="73"/>
      <c r="BA80" s="73"/>
      <c r="BB80" s="73"/>
      <c r="BC80" s="73"/>
    </row>
    <row r="81" spans="1:55" s="78" customFormat="1" ht="12.95" hidden="1" customHeight="1">
      <c r="A81" s="79">
        <v>75</v>
      </c>
      <c r="B81" s="80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6"/>
      <c r="AI81" s="86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AU81" s="86"/>
      <c r="AV81" s="73"/>
      <c r="AW81" s="73"/>
      <c r="AX81" s="73"/>
      <c r="AY81" s="73"/>
      <c r="AZ81" s="73"/>
      <c r="BA81" s="73"/>
      <c r="BB81" s="73"/>
      <c r="BC81" s="73"/>
    </row>
    <row r="82" spans="1:55" s="78" customFormat="1" ht="12.95" hidden="1" customHeight="1">
      <c r="A82" s="79">
        <v>76</v>
      </c>
      <c r="B82" s="80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73"/>
      <c r="AW82" s="73"/>
      <c r="AX82" s="73"/>
      <c r="AY82" s="73"/>
      <c r="AZ82" s="73"/>
      <c r="BA82" s="73"/>
      <c r="BB82" s="73"/>
      <c r="BC82" s="73"/>
    </row>
    <row r="83" spans="1:55" s="78" customFormat="1" ht="12.95" hidden="1" customHeight="1">
      <c r="A83" s="79">
        <v>77</v>
      </c>
      <c r="B83" s="80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73"/>
      <c r="AW83" s="73"/>
      <c r="AX83" s="73"/>
      <c r="AY83" s="73"/>
      <c r="AZ83" s="73"/>
      <c r="BA83" s="73"/>
      <c r="BB83" s="73"/>
      <c r="BC83" s="73"/>
    </row>
    <row r="84" spans="1:55" s="78" customFormat="1" ht="12.95" hidden="1" customHeight="1">
      <c r="A84" s="79">
        <v>78</v>
      </c>
      <c r="B84" s="80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  <c r="AV84" s="73"/>
      <c r="AW84" s="73"/>
      <c r="AX84" s="73"/>
      <c r="AY84" s="73"/>
      <c r="AZ84" s="73"/>
      <c r="BA84" s="73"/>
      <c r="BB84" s="73"/>
      <c r="BC84" s="73"/>
    </row>
    <row r="85" spans="1:55" s="78" customFormat="1" ht="12.95" hidden="1" customHeight="1">
      <c r="A85" s="79">
        <v>79</v>
      </c>
      <c r="B85" s="80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  <c r="AV85" s="73"/>
      <c r="AW85" s="73"/>
      <c r="AX85" s="73"/>
      <c r="AY85" s="73"/>
      <c r="AZ85" s="73"/>
      <c r="BA85" s="73"/>
      <c r="BB85" s="73"/>
      <c r="BC85" s="73"/>
    </row>
    <row r="86" spans="1:55" s="78" customFormat="1" ht="12.95" hidden="1" customHeight="1">
      <c r="A86" s="79">
        <v>80</v>
      </c>
      <c r="B86" s="80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73"/>
      <c r="AW86" s="73"/>
      <c r="AX86" s="73"/>
      <c r="AY86" s="73"/>
      <c r="AZ86" s="73"/>
      <c r="BA86" s="73"/>
      <c r="BB86" s="73"/>
      <c r="BC86" s="73"/>
    </row>
    <row r="87" spans="1:55" s="78" customFormat="1" ht="12.95" hidden="1" customHeight="1">
      <c r="A87" s="79">
        <v>81</v>
      </c>
      <c r="B87" s="80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73"/>
      <c r="AW87" s="73"/>
      <c r="AX87" s="73"/>
      <c r="AY87" s="73"/>
      <c r="AZ87" s="73"/>
      <c r="BA87" s="73"/>
      <c r="BB87" s="73"/>
      <c r="BC87" s="73"/>
    </row>
    <row r="88" spans="1:55" s="78" customFormat="1" ht="12.95" hidden="1" customHeight="1">
      <c r="A88" s="79">
        <v>82</v>
      </c>
      <c r="B88" s="80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  <c r="AV88" s="73"/>
      <c r="AW88" s="73"/>
      <c r="AX88" s="73"/>
      <c r="AY88" s="73"/>
      <c r="AZ88" s="73"/>
      <c r="BA88" s="73"/>
      <c r="BB88" s="73"/>
      <c r="BC88" s="73"/>
    </row>
    <row r="89" spans="1:55" s="78" customFormat="1" ht="12.95" hidden="1" customHeight="1">
      <c r="A89" s="79">
        <v>83</v>
      </c>
      <c r="B89" s="80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6"/>
      <c r="AI89" s="86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  <c r="AV89" s="73"/>
      <c r="AW89" s="73"/>
      <c r="AX89" s="73"/>
      <c r="AY89" s="73"/>
      <c r="AZ89" s="73"/>
      <c r="BA89" s="73"/>
      <c r="BB89" s="73"/>
      <c r="BC89" s="73"/>
    </row>
    <row r="90" spans="1:55" s="78" customFormat="1" ht="12.95" hidden="1" customHeight="1">
      <c r="A90" s="79">
        <v>84</v>
      </c>
      <c r="B90" s="80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6"/>
      <c r="AI90" s="86"/>
      <c r="AJ90" s="86"/>
      <c r="AK90" s="86"/>
      <c r="AL90" s="86"/>
      <c r="AM90" s="86"/>
      <c r="AN90" s="86"/>
      <c r="AO90" s="86"/>
      <c r="AP90" s="86"/>
      <c r="AQ90" s="86"/>
      <c r="AR90" s="86"/>
      <c r="AS90" s="86"/>
      <c r="AT90" s="86"/>
      <c r="AU90" s="86"/>
      <c r="AV90" s="73"/>
      <c r="AW90" s="73"/>
      <c r="AX90" s="73"/>
      <c r="AY90" s="73"/>
      <c r="AZ90" s="73"/>
      <c r="BA90" s="73"/>
      <c r="BB90" s="73"/>
      <c r="BC90" s="73"/>
    </row>
    <row r="91" spans="1:55" s="78" customFormat="1" ht="12.95" hidden="1" customHeight="1">
      <c r="A91" s="79">
        <v>85</v>
      </c>
      <c r="B91" s="80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6"/>
      <c r="AI91" s="86"/>
      <c r="AJ91" s="86"/>
      <c r="AK91" s="86"/>
      <c r="AL91" s="86"/>
      <c r="AM91" s="86"/>
      <c r="AN91" s="86"/>
      <c r="AO91" s="86"/>
      <c r="AP91" s="86"/>
      <c r="AQ91" s="86"/>
      <c r="AR91" s="86"/>
      <c r="AS91" s="86"/>
      <c r="AT91" s="86"/>
      <c r="AU91" s="86"/>
      <c r="AV91" s="73"/>
      <c r="AW91" s="73"/>
      <c r="AX91" s="73"/>
      <c r="AY91" s="73"/>
      <c r="AZ91" s="73"/>
      <c r="BA91" s="73"/>
      <c r="BB91" s="73"/>
      <c r="BC91" s="73"/>
    </row>
    <row r="92" spans="1:55" s="78" customFormat="1" ht="12.95" hidden="1" customHeight="1">
      <c r="A92" s="79">
        <v>86</v>
      </c>
      <c r="B92" s="80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6"/>
      <c r="AI92" s="86"/>
      <c r="AJ92" s="86"/>
      <c r="AK92" s="86"/>
      <c r="AL92" s="86"/>
      <c r="AM92" s="86"/>
      <c r="AN92" s="86"/>
      <c r="AO92" s="86"/>
      <c r="AP92" s="86"/>
      <c r="AQ92" s="86"/>
      <c r="AR92" s="86"/>
      <c r="AS92" s="86"/>
      <c r="AT92" s="86"/>
      <c r="AU92" s="86"/>
      <c r="AV92" s="73"/>
      <c r="AW92" s="73"/>
      <c r="AX92" s="73"/>
      <c r="AY92" s="73"/>
      <c r="AZ92" s="73"/>
      <c r="BA92" s="73"/>
      <c r="BB92" s="73"/>
      <c r="BC92" s="73"/>
    </row>
    <row r="93" spans="1:55" s="78" customFormat="1" ht="12.95" hidden="1" customHeight="1">
      <c r="A93" s="79">
        <v>87</v>
      </c>
      <c r="B93" s="80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  <c r="AT93" s="86"/>
      <c r="AU93" s="86"/>
      <c r="AV93" s="73"/>
      <c r="AW93" s="73"/>
      <c r="AX93" s="73"/>
      <c r="AY93" s="73"/>
      <c r="AZ93" s="73"/>
      <c r="BA93" s="73"/>
      <c r="BB93" s="73"/>
      <c r="BC93" s="73"/>
    </row>
    <row r="94" spans="1:55" s="78" customFormat="1" ht="12.95" hidden="1" customHeight="1">
      <c r="A94" s="79">
        <v>88</v>
      </c>
      <c r="B94" s="80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AS94" s="86"/>
      <c r="AT94" s="86"/>
      <c r="AU94" s="86"/>
      <c r="AV94" s="73"/>
      <c r="AW94" s="73"/>
      <c r="AX94" s="73"/>
      <c r="AY94" s="73"/>
      <c r="AZ94" s="73"/>
      <c r="BA94" s="73"/>
      <c r="BB94" s="73"/>
      <c r="BC94" s="73"/>
    </row>
    <row r="95" spans="1:55" s="78" customFormat="1" ht="12.95" hidden="1" customHeight="1">
      <c r="A95" s="79">
        <v>89</v>
      </c>
      <c r="B95" s="80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6"/>
      <c r="AI95" s="86"/>
      <c r="AJ95" s="86"/>
      <c r="AK95" s="86"/>
      <c r="AL95" s="86"/>
      <c r="AM95" s="86"/>
      <c r="AN95" s="86"/>
      <c r="AO95" s="86"/>
      <c r="AP95" s="86"/>
      <c r="AQ95" s="86"/>
      <c r="AR95" s="86"/>
      <c r="AS95" s="86"/>
      <c r="AT95" s="86"/>
      <c r="AU95" s="86"/>
      <c r="AV95" s="73"/>
      <c r="AW95" s="73"/>
      <c r="AX95" s="73"/>
      <c r="AY95" s="73"/>
      <c r="AZ95" s="73"/>
      <c r="BA95" s="73"/>
      <c r="BB95" s="73"/>
      <c r="BC95" s="73"/>
    </row>
    <row r="96" spans="1:55" s="78" customFormat="1" ht="12.95" hidden="1" customHeight="1">
      <c r="A96" s="79">
        <v>90</v>
      </c>
      <c r="B96" s="80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6"/>
      <c r="AI96" s="86"/>
      <c r="AJ96" s="86"/>
      <c r="AK96" s="86"/>
      <c r="AL96" s="86"/>
      <c r="AM96" s="86"/>
      <c r="AN96" s="86"/>
      <c r="AO96" s="86"/>
      <c r="AP96" s="86"/>
      <c r="AQ96" s="86"/>
      <c r="AR96" s="86"/>
      <c r="AS96" s="86"/>
      <c r="AT96" s="86"/>
      <c r="AU96" s="86"/>
      <c r="AV96" s="73"/>
      <c r="AW96" s="73"/>
      <c r="AX96" s="73"/>
      <c r="AY96" s="73"/>
      <c r="AZ96" s="73"/>
      <c r="BA96" s="73"/>
      <c r="BB96" s="73"/>
      <c r="BC96" s="73"/>
    </row>
    <row r="97" spans="1:55" s="78" customFormat="1" ht="12.95" hidden="1" customHeight="1">
      <c r="A97" s="79">
        <v>91</v>
      </c>
      <c r="B97" s="80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6"/>
      <c r="AI97" s="86"/>
      <c r="AJ97" s="86"/>
      <c r="AK97" s="86"/>
      <c r="AL97" s="86"/>
      <c r="AM97" s="86"/>
      <c r="AN97" s="86"/>
      <c r="AO97" s="86"/>
      <c r="AP97" s="86"/>
      <c r="AQ97" s="86"/>
      <c r="AR97" s="86"/>
      <c r="AS97" s="86"/>
      <c r="AT97" s="86"/>
      <c r="AU97" s="86"/>
      <c r="AV97" s="73"/>
      <c r="AW97" s="73"/>
      <c r="AX97" s="73"/>
      <c r="AY97" s="73"/>
      <c r="AZ97" s="73"/>
      <c r="BA97" s="73"/>
      <c r="BB97" s="73"/>
      <c r="BC97" s="73"/>
    </row>
    <row r="98" spans="1:55" s="78" customFormat="1" ht="12.95" hidden="1" customHeight="1">
      <c r="A98" s="79">
        <v>92</v>
      </c>
      <c r="B98" s="80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6"/>
      <c r="AI98" s="86"/>
      <c r="AJ98" s="86"/>
      <c r="AK98" s="86"/>
      <c r="AL98" s="86"/>
      <c r="AM98" s="86"/>
      <c r="AN98" s="86"/>
      <c r="AO98" s="86"/>
      <c r="AP98" s="86"/>
      <c r="AQ98" s="86"/>
      <c r="AR98" s="86"/>
      <c r="AS98" s="86"/>
      <c r="AT98" s="86"/>
      <c r="AU98" s="86"/>
      <c r="AV98" s="73"/>
      <c r="AW98" s="73"/>
      <c r="AX98" s="73"/>
      <c r="AY98" s="73"/>
      <c r="AZ98" s="73"/>
      <c r="BA98" s="73"/>
      <c r="BB98" s="73"/>
      <c r="BC98" s="73"/>
    </row>
    <row r="99" spans="1:55" s="78" customFormat="1" ht="12.95" hidden="1" customHeight="1">
      <c r="A99" s="79">
        <v>93</v>
      </c>
      <c r="B99" s="80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6"/>
      <c r="AI99" s="86"/>
      <c r="AJ99" s="86"/>
      <c r="AK99" s="86"/>
      <c r="AL99" s="86"/>
      <c r="AM99" s="86"/>
      <c r="AN99" s="86"/>
      <c r="AO99" s="86"/>
      <c r="AP99" s="86"/>
      <c r="AQ99" s="86"/>
      <c r="AR99" s="86"/>
      <c r="AS99" s="86"/>
      <c r="AT99" s="86"/>
      <c r="AU99" s="86"/>
      <c r="AV99" s="73"/>
      <c r="AW99" s="73"/>
      <c r="AX99" s="73"/>
      <c r="AY99" s="73"/>
      <c r="AZ99" s="73"/>
      <c r="BA99" s="73"/>
      <c r="BB99" s="73"/>
      <c r="BC99" s="73"/>
    </row>
    <row r="100" spans="1:55" s="78" customFormat="1" ht="12.95" hidden="1" customHeight="1">
      <c r="A100" s="79">
        <v>94</v>
      </c>
      <c r="B100" s="80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6"/>
      <c r="AI100" s="86"/>
      <c r="AJ100" s="86"/>
      <c r="AK100" s="86"/>
      <c r="AL100" s="86"/>
      <c r="AM100" s="86"/>
      <c r="AN100" s="86"/>
      <c r="AO100" s="86"/>
      <c r="AP100" s="86"/>
      <c r="AQ100" s="86"/>
      <c r="AR100" s="86"/>
      <c r="AS100" s="86"/>
      <c r="AT100" s="86"/>
      <c r="AU100" s="86"/>
      <c r="AV100" s="73"/>
      <c r="AW100" s="73"/>
      <c r="AX100" s="73"/>
      <c r="AY100" s="73"/>
      <c r="AZ100" s="73"/>
      <c r="BA100" s="73"/>
      <c r="BB100" s="73"/>
      <c r="BC100" s="73"/>
    </row>
    <row r="101" spans="1:55" s="78" customFormat="1" ht="12.95" hidden="1" customHeight="1">
      <c r="A101" s="79">
        <v>95</v>
      </c>
      <c r="B101" s="80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6"/>
      <c r="AI101" s="86"/>
      <c r="AJ101" s="86"/>
      <c r="AK101" s="86"/>
      <c r="AL101" s="86"/>
      <c r="AM101" s="86"/>
      <c r="AN101" s="86"/>
      <c r="AO101" s="86"/>
      <c r="AP101" s="86"/>
      <c r="AQ101" s="86"/>
      <c r="AR101" s="86"/>
      <c r="AS101" s="86"/>
      <c r="AT101" s="86"/>
      <c r="AU101" s="86"/>
      <c r="AV101" s="73"/>
      <c r="AW101" s="73"/>
      <c r="AX101" s="73"/>
      <c r="AY101" s="73"/>
      <c r="AZ101" s="73"/>
      <c r="BA101" s="73"/>
      <c r="BB101" s="73"/>
      <c r="BC101" s="73"/>
    </row>
    <row r="102" spans="1:55" s="78" customFormat="1" ht="12.95" hidden="1" customHeight="1">
      <c r="A102" s="79">
        <v>96</v>
      </c>
      <c r="B102" s="80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6"/>
      <c r="AI102" s="86"/>
      <c r="AJ102" s="86"/>
      <c r="AK102" s="86"/>
      <c r="AL102" s="86"/>
      <c r="AM102" s="86"/>
      <c r="AN102" s="86"/>
      <c r="AO102" s="86"/>
      <c r="AP102" s="86"/>
      <c r="AQ102" s="86"/>
      <c r="AR102" s="86"/>
      <c r="AS102" s="86"/>
      <c r="AT102" s="86"/>
      <c r="AU102" s="86"/>
      <c r="AV102" s="73"/>
      <c r="AW102" s="73"/>
      <c r="AX102" s="73"/>
      <c r="AY102" s="73"/>
      <c r="AZ102" s="73"/>
      <c r="BA102" s="73"/>
      <c r="BB102" s="73"/>
      <c r="BC102" s="73"/>
    </row>
    <row r="103" spans="1:55" s="78" customFormat="1" ht="12.95" hidden="1" customHeight="1">
      <c r="A103" s="79">
        <v>97</v>
      </c>
      <c r="B103" s="80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6"/>
      <c r="AI103" s="86"/>
      <c r="AJ103" s="86"/>
      <c r="AK103" s="86"/>
      <c r="AL103" s="86"/>
      <c r="AM103" s="86"/>
      <c r="AN103" s="86"/>
      <c r="AO103" s="86"/>
      <c r="AP103" s="86"/>
      <c r="AQ103" s="86"/>
      <c r="AR103" s="86"/>
      <c r="AS103" s="86"/>
      <c r="AT103" s="86"/>
      <c r="AU103" s="86"/>
      <c r="AV103" s="73"/>
      <c r="AW103" s="73"/>
      <c r="AX103" s="73"/>
      <c r="AY103" s="73"/>
      <c r="AZ103" s="73"/>
      <c r="BA103" s="73"/>
      <c r="BB103" s="73"/>
      <c r="BC103" s="73"/>
    </row>
    <row r="104" spans="1:55" s="78" customFormat="1" ht="12.95" hidden="1" customHeight="1">
      <c r="A104" s="79">
        <v>98</v>
      </c>
      <c r="B104" s="80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6"/>
      <c r="AI104" s="86"/>
      <c r="AJ104" s="86"/>
      <c r="AK104" s="86"/>
      <c r="AL104" s="86"/>
      <c r="AM104" s="86"/>
      <c r="AN104" s="86"/>
      <c r="AO104" s="86"/>
      <c r="AP104" s="86"/>
      <c r="AQ104" s="86"/>
      <c r="AR104" s="86"/>
      <c r="AS104" s="86"/>
      <c r="AT104" s="86"/>
      <c r="AU104" s="86"/>
      <c r="AV104" s="73"/>
      <c r="AW104" s="73"/>
      <c r="AX104" s="73"/>
      <c r="AY104" s="73"/>
      <c r="AZ104" s="73"/>
      <c r="BA104" s="73"/>
      <c r="BB104" s="73"/>
      <c r="BC104" s="73"/>
    </row>
    <row r="105" spans="1:55" s="78" customFormat="1" ht="12.95" hidden="1" customHeight="1">
      <c r="A105" s="79">
        <v>99</v>
      </c>
      <c r="B105" s="80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6"/>
      <c r="AI105" s="86"/>
      <c r="AJ105" s="86"/>
      <c r="AK105" s="86"/>
      <c r="AL105" s="86"/>
      <c r="AM105" s="86"/>
      <c r="AN105" s="86"/>
      <c r="AO105" s="86"/>
      <c r="AP105" s="86"/>
      <c r="AQ105" s="86"/>
      <c r="AR105" s="86"/>
      <c r="AS105" s="86"/>
      <c r="AT105" s="86"/>
      <c r="AU105" s="86"/>
      <c r="AV105" s="73"/>
      <c r="AW105" s="73"/>
      <c r="AX105" s="73"/>
      <c r="AY105" s="73"/>
      <c r="AZ105" s="73"/>
      <c r="BA105" s="73"/>
      <c r="BB105" s="73"/>
      <c r="BC105" s="73"/>
    </row>
    <row r="106" spans="1:55" s="78" customFormat="1" ht="12.95" hidden="1" customHeight="1">
      <c r="A106" s="79">
        <v>100</v>
      </c>
      <c r="B106" s="80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6" t="s">
        <v>50</v>
      </c>
      <c r="AI106" s="86"/>
      <c r="AJ106" s="86"/>
      <c r="AK106" s="86"/>
      <c r="AL106" s="86"/>
      <c r="AM106" s="86"/>
      <c r="AN106" s="86"/>
      <c r="AO106" s="86"/>
      <c r="AP106" s="86"/>
      <c r="AQ106" s="86"/>
      <c r="AR106" s="86"/>
      <c r="AS106" s="86"/>
      <c r="AT106" s="86"/>
      <c r="AU106" s="86"/>
      <c r="AV106" s="73"/>
      <c r="AW106" s="73"/>
      <c r="AX106" s="73"/>
      <c r="AY106" s="73"/>
      <c r="AZ106" s="73"/>
      <c r="BA106" s="73"/>
      <c r="BB106" s="73"/>
      <c r="BC106" s="73"/>
    </row>
    <row r="107" spans="1:55" s="78" customFormat="1" ht="12.95" hidden="1" customHeight="1">
      <c r="A107" s="79">
        <v>101</v>
      </c>
      <c r="B107" s="80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6"/>
      <c r="AI107" s="86"/>
      <c r="AJ107" s="86"/>
      <c r="AK107" s="86"/>
      <c r="AL107" s="86"/>
      <c r="AM107" s="86"/>
      <c r="AN107" s="86"/>
      <c r="AO107" s="86"/>
      <c r="AP107" s="86"/>
      <c r="AQ107" s="86"/>
      <c r="AR107" s="86"/>
      <c r="AS107" s="86"/>
      <c r="AT107" s="86"/>
      <c r="AU107" s="86"/>
      <c r="AV107" s="73"/>
      <c r="AW107" s="73"/>
      <c r="AX107" s="73"/>
      <c r="AY107" s="73"/>
      <c r="AZ107" s="73"/>
      <c r="BA107" s="73"/>
      <c r="BB107" s="73"/>
      <c r="BC107" s="73"/>
    </row>
    <row r="108" spans="1:55" s="78" customFormat="1" ht="12.95" hidden="1" customHeight="1">
      <c r="A108" s="79">
        <v>102</v>
      </c>
      <c r="B108" s="80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6"/>
      <c r="AI108" s="86"/>
      <c r="AJ108" s="86"/>
      <c r="AK108" s="86"/>
      <c r="AL108" s="86"/>
      <c r="AM108" s="86"/>
      <c r="AN108" s="86"/>
      <c r="AO108" s="86"/>
      <c r="AP108" s="86"/>
      <c r="AQ108" s="86"/>
      <c r="AR108" s="86"/>
      <c r="AS108" s="86"/>
      <c r="AT108" s="86"/>
      <c r="AU108" s="86"/>
      <c r="AV108" s="73"/>
      <c r="AW108" s="73"/>
      <c r="AX108" s="73"/>
      <c r="AY108" s="73"/>
      <c r="AZ108" s="73"/>
      <c r="BA108" s="73"/>
      <c r="BB108" s="73"/>
      <c r="BC108" s="73"/>
    </row>
    <row r="109" spans="1:55" s="78" customFormat="1" ht="12.95" hidden="1" customHeight="1">
      <c r="A109" s="79">
        <v>103</v>
      </c>
      <c r="B109" s="80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6"/>
      <c r="AI109" s="86"/>
      <c r="AJ109" s="86"/>
      <c r="AK109" s="86"/>
      <c r="AL109" s="86"/>
      <c r="AM109" s="86"/>
      <c r="AN109" s="86"/>
      <c r="AO109" s="86"/>
      <c r="AP109" s="86"/>
      <c r="AQ109" s="86"/>
      <c r="AR109" s="86"/>
      <c r="AS109" s="86"/>
      <c r="AT109" s="86"/>
      <c r="AU109" s="86"/>
      <c r="AV109" s="73"/>
      <c r="AW109" s="73"/>
      <c r="AX109" s="73"/>
      <c r="AY109" s="73"/>
      <c r="AZ109" s="73"/>
      <c r="BA109" s="73"/>
      <c r="BB109" s="73"/>
      <c r="BC109" s="73"/>
    </row>
    <row r="110" spans="1:55" s="78" customFormat="1" ht="12.95" hidden="1" customHeight="1">
      <c r="A110" s="79">
        <v>104</v>
      </c>
      <c r="B110" s="80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6"/>
      <c r="AI110" s="86"/>
      <c r="AJ110" s="86"/>
      <c r="AK110" s="86"/>
      <c r="AL110" s="86"/>
      <c r="AM110" s="86"/>
      <c r="AN110" s="86"/>
      <c r="AO110" s="86"/>
      <c r="AP110" s="86"/>
      <c r="AQ110" s="86"/>
      <c r="AR110" s="86"/>
      <c r="AS110" s="86"/>
      <c r="AT110" s="86"/>
      <c r="AU110" s="86"/>
      <c r="AV110" s="73"/>
      <c r="AW110" s="73"/>
      <c r="AX110" s="73"/>
      <c r="AY110" s="73"/>
      <c r="AZ110" s="73"/>
      <c r="BA110" s="73"/>
      <c r="BB110" s="73"/>
      <c r="BC110" s="73"/>
    </row>
    <row r="111" spans="1:55" s="78" customFormat="1" ht="12.95" hidden="1" customHeight="1">
      <c r="A111" s="79">
        <v>105</v>
      </c>
      <c r="B111" s="80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6"/>
      <c r="AI111" s="86"/>
      <c r="AJ111" s="86"/>
      <c r="AK111" s="86"/>
      <c r="AL111" s="86"/>
      <c r="AM111" s="86"/>
      <c r="AN111" s="86"/>
      <c r="AO111" s="86"/>
      <c r="AP111" s="86"/>
      <c r="AQ111" s="86"/>
      <c r="AR111" s="86"/>
      <c r="AS111" s="86"/>
      <c r="AT111" s="86"/>
      <c r="AU111" s="86"/>
      <c r="AV111" s="73"/>
      <c r="AW111" s="73"/>
      <c r="AX111" s="73"/>
      <c r="AY111" s="73"/>
      <c r="AZ111" s="73"/>
      <c r="BA111" s="73"/>
      <c r="BB111" s="73"/>
      <c r="BC111" s="73"/>
    </row>
    <row r="112" spans="1:55" s="78" customFormat="1" ht="12.95" hidden="1" customHeight="1">
      <c r="A112" s="79">
        <v>106</v>
      </c>
      <c r="B112" s="80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6"/>
      <c r="AI112" s="86"/>
      <c r="AJ112" s="86"/>
      <c r="AK112" s="86"/>
      <c r="AL112" s="86"/>
      <c r="AM112" s="86"/>
      <c r="AN112" s="86"/>
      <c r="AO112" s="86"/>
      <c r="AP112" s="86"/>
      <c r="AQ112" s="86"/>
      <c r="AR112" s="86"/>
      <c r="AS112" s="86"/>
      <c r="AT112" s="86"/>
      <c r="AU112" s="86"/>
      <c r="AV112" s="73"/>
      <c r="AW112" s="73"/>
      <c r="AX112" s="73"/>
      <c r="AY112" s="73"/>
      <c r="AZ112" s="73"/>
      <c r="BA112" s="73"/>
      <c r="BB112" s="73"/>
      <c r="BC112" s="73"/>
    </row>
    <row r="113" spans="1:55" s="78" customFormat="1" ht="12.95" hidden="1" customHeight="1">
      <c r="A113" s="79">
        <v>107</v>
      </c>
      <c r="B113" s="80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6"/>
      <c r="AI113" s="86"/>
      <c r="AJ113" s="86"/>
      <c r="AK113" s="86"/>
      <c r="AL113" s="86"/>
      <c r="AM113" s="86"/>
      <c r="AN113" s="86"/>
      <c r="AO113" s="86"/>
      <c r="AP113" s="86"/>
      <c r="AQ113" s="86"/>
      <c r="AR113" s="86"/>
      <c r="AS113" s="86"/>
      <c r="AT113" s="86"/>
      <c r="AU113" s="86"/>
      <c r="AV113" s="73"/>
      <c r="AW113" s="73"/>
      <c r="AX113" s="73"/>
      <c r="AY113" s="73"/>
      <c r="AZ113" s="73"/>
      <c r="BA113" s="73"/>
      <c r="BB113" s="73"/>
      <c r="BC113" s="73"/>
    </row>
    <row r="114" spans="1:55" s="78" customFormat="1" ht="12.95" hidden="1" customHeight="1">
      <c r="A114" s="79">
        <v>108</v>
      </c>
      <c r="B114" s="80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6"/>
      <c r="AI114" s="86"/>
      <c r="AJ114" s="86"/>
      <c r="AK114" s="86"/>
      <c r="AL114" s="86"/>
      <c r="AM114" s="86"/>
      <c r="AN114" s="86"/>
      <c r="AO114" s="86"/>
      <c r="AP114" s="86"/>
      <c r="AQ114" s="86"/>
      <c r="AR114" s="86"/>
      <c r="AS114" s="86"/>
      <c r="AT114" s="86"/>
      <c r="AU114" s="86"/>
      <c r="AV114" s="73"/>
      <c r="AW114" s="73"/>
      <c r="AX114" s="73"/>
      <c r="AY114" s="73"/>
      <c r="AZ114" s="73"/>
      <c r="BA114" s="73"/>
      <c r="BB114" s="73"/>
      <c r="BC114" s="73"/>
    </row>
    <row r="115" spans="1:55" s="78" customFormat="1" ht="12.95" hidden="1" customHeight="1">
      <c r="A115" s="79">
        <v>109</v>
      </c>
      <c r="B115" s="80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6"/>
      <c r="AI115" s="86"/>
      <c r="AJ115" s="86"/>
      <c r="AK115" s="86"/>
      <c r="AL115" s="86"/>
      <c r="AM115" s="86"/>
      <c r="AN115" s="86"/>
      <c r="AO115" s="86"/>
      <c r="AP115" s="86"/>
      <c r="AQ115" s="86"/>
      <c r="AR115" s="86"/>
      <c r="AS115" s="86"/>
      <c r="AT115" s="86"/>
      <c r="AU115" s="86"/>
      <c r="AV115" s="73"/>
      <c r="AW115" s="73"/>
      <c r="AX115" s="73"/>
      <c r="AY115" s="73"/>
      <c r="AZ115" s="73"/>
      <c r="BA115" s="73"/>
      <c r="BB115" s="73"/>
      <c r="BC115" s="73"/>
    </row>
    <row r="116" spans="1:55" s="78" customFormat="1" ht="12.95" hidden="1" customHeight="1">
      <c r="A116" s="79">
        <v>110</v>
      </c>
      <c r="B116" s="80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6"/>
      <c r="AI116" s="86"/>
      <c r="AJ116" s="86"/>
      <c r="AK116" s="86"/>
      <c r="AL116" s="86"/>
      <c r="AM116" s="86"/>
      <c r="AN116" s="86"/>
      <c r="AO116" s="86"/>
      <c r="AP116" s="86"/>
      <c r="AQ116" s="86"/>
      <c r="AR116" s="86"/>
      <c r="AS116" s="86"/>
      <c r="AT116" s="86"/>
      <c r="AU116" s="86"/>
      <c r="AV116" s="73"/>
      <c r="AW116" s="73"/>
      <c r="AX116" s="73"/>
      <c r="AY116" s="73"/>
      <c r="AZ116" s="73"/>
      <c r="BA116" s="73"/>
      <c r="BB116" s="73"/>
      <c r="BC116" s="73"/>
    </row>
    <row r="117" spans="1:55" s="78" customFormat="1" ht="12.95" hidden="1" customHeight="1">
      <c r="A117" s="79">
        <v>111</v>
      </c>
      <c r="B117" s="80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73"/>
      <c r="AW117" s="73"/>
      <c r="AX117" s="73"/>
      <c r="AY117" s="73"/>
      <c r="AZ117" s="73"/>
      <c r="BA117" s="73"/>
      <c r="BB117" s="73"/>
      <c r="BC117" s="73"/>
    </row>
    <row r="118" spans="1:55" s="78" customFormat="1" ht="12.95" hidden="1" customHeight="1">
      <c r="A118" s="79">
        <v>112</v>
      </c>
      <c r="B118" s="80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6"/>
      <c r="AI118" s="86"/>
      <c r="AJ118" s="86"/>
      <c r="AK118" s="86"/>
      <c r="AL118" s="86"/>
      <c r="AM118" s="86"/>
      <c r="AN118" s="86"/>
      <c r="AO118" s="86"/>
      <c r="AP118" s="86"/>
      <c r="AQ118" s="86"/>
      <c r="AR118" s="86"/>
      <c r="AS118" s="86"/>
      <c r="AT118" s="86"/>
      <c r="AU118" s="86"/>
      <c r="AV118" s="73"/>
      <c r="AW118" s="73"/>
      <c r="AX118" s="73"/>
      <c r="AY118" s="73"/>
      <c r="AZ118" s="73"/>
      <c r="BA118" s="73"/>
      <c r="BB118" s="73"/>
      <c r="BC118" s="73"/>
    </row>
    <row r="119" spans="1:55" s="78" customFormat="1" ht="12.95" customHeight="1">
      <c r="A119" s="79">
        <v>39</v>
      </c>
      <c r="B119" s="80" t="s">
        <v>100</v>
      </c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2" t="s">
        <v>60</v>
      </c>
      <c r="Q119" s="81"/>
      <c r="R119" s="81"/>
      <c r="S119" s="81"/>
      <c r="T119" s="82" t="s">
        <v>60</v>
      </c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6"/>
      <c r="AI119" s="86"/>
      <c r="AJ119" s="86"/>
      <c r="AK119" s="86"/>
      <c r="AL119" s="86"/>
      <c r="AM119" s="86"/>
      <c r="AN119" s="86"/>
      <c r="AO119" s="86"/>
      <c r="AP119" s="86"/>
      <c r="AQ119" s="86"/>
      <c r="AR119" s="86"/>
      <c r="AS119" s="86"/>
      <c r="AT119" s="86"/>
      <c r="AU119" s="86"/>
      <c r="AV119" s="73"/>
      <c r="AW119" s="73"/>
      <c r="AX119" s="73"/>
      <c r="AY119" s="73"/>
      <c r="AZ119" s="73"/>
      <c r="BA119" s="73"/>
      <c r="BB119" s="73"/>
      <c r="BC119" s="73"/>
    </row>
    <row r="120" spans="1:55" s="78" customFormat="1" ht="12.95" customHeight="1">
      <c r="A120" s="79">
        <v>40</v>
      </c>
      <c r="B120" s="80" t="s">
        <v>101</v>
      </c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2" t="s">
        <v>61</v>
      </c>
      <c r="AA120" s="81"/>
      <c r="AB120" s="81"/>
      <c r="AC120" s="81"/>
      <c r="AD120" s="81"/>
      <c r="AE120" s="81"/>
      <c r="AF120" s="81"/>
      <c r="AG120" s="81"/>
      <c r="AH120" s="86"/>
      <c r="AI120" s="86"/>
      <c r="AJ120" s="86"/>
      <c r="AK120" s="86"/>
      <c r="AL120" s="86"/>
      <c r="AM120" s="86"/>
      <c r="AN120" s="86"/>
      <c r="AO120" s="86"/>
      <c r="AP120" s="86"/>
      <c r="AQ120" s="86"/>
      <c r="AR120" s="86"/>
      <c r="AS120" s="86"/>
      <c r="AT120" s="86"/>
      <c r="AU120" s="86"/>
      <c r="AV120" s="73"/>
      <c r="AW120" s="73"/>
      <c r="AX120" s="73"/>
      <c r="AY120" s="73"/>
      <c r="AZ120" s="73"/>
      <c r="BA120" s="73"/>
      <c r="BB120" s="73"/>
      <c r="BC120" s="73"/>
    </row>
    <row r="121" spans="1:55" s="78" customFormat="1" ht="15" customHeight="1">
      <c r="A121" s="89"/>
      <c r="B121" s="90" t="s">
        <v>102</v>
      </c>
      <c r="C121" s="81">
        <f t="shared" ref="C121:AG121" si="0">COUNTA(C7:C120)</f>
        <v>0</v>
      </c>
      <c r="D121" s="81">
        <f t="shared" si="0"/>
        <v>15</v>
      </c>
      <c r="E121" s="81">
        <f t="shared" si="0"/>
        <v>11</v>
      </c>
      <c r="F121" s="81">
        <f t="shared" si="0"/>
        <v>8</v>
      </c>
      <c r="G121" s="81">
        <f t="shared" si="0"/>
        <v>7</v>
      </c>
      <c r="H121" s="81">
        <f t="shared" si="0"/>
        <v>8</v>
      </c>
      <c r="I121" s="81">
        <f t="shared" si="0"/>
        <v>4</v>
      </c>
      <c r="J121" s="81">
        <f t="shared" si="0"/>
        <v>0</v>
      </c>
      <c r="K121" s="81">
        <f t="shared" si="0"/>
        <v>8</v>
      </c>
      <c r="L121" s="81">
        <f t="shared" si="0"/>
        <v>12</v>
      </c>
      <c r="M121" s="81">
        <f t="shared" si="0"/>
        <v>8</v>
      </c>
      <c r="N121" s="81">
        <f t="shared" si="0"/>
        <v>5</v>
      </c>
      <c r="O121" s="81">
        <f t="shared" si="0"/>
        <v>6</v>
      </c>
      <c r="P121" s="81">
        <f t="shared" si="0"/>
        <v>6</v>
      </c>
      <c r="Q121" s="81">
        <f t="shared" si="0"/>
        <v>0</v>
      </c>
      <c r="R121" s="81">
        <f t="shared" si="0"/>
        <v>11</v>
      </c>
      <c r="S121" s="81">
        <f t="shared" si="0"/>
        <v>0</v>
      </c>
      <c r="T121" s="81">
        <f t="shared" si="0"/>
        <v>9</v>
      </c>
      <c r="U121" s="81">
        <f t="shared" si="0"/>
        <v>3</v>
      </c>
      <c r="V121" s="81">
        <f t="shared" si="0"/>
        <v>7</v>
      </c>
      <c r="W121" s="81">
        <f t="shared" si="0"/>
        <v>5</v>
      </c>
      <c r="X121" s="81">
        <f t="shared" si="0"/>
        <v>0</v>
      </c>
      <c r="Y121" s="81">
        <f t="shared" si="0"/>
        <v>7</v>
      </c>
      <c r="Z121" s="81">
        <f t="shared" si="0"/>
        <v>5</v>
      </c>
      <c r="AA121" s="81">
        <f t="shared" si="0"/>
        <v>6</v>
      </c>
      <c r="AB121" s="81">
        <f t="shared" si="0"/>
        <v>5</v>
      </c>
      <c r="AC121" s="81">
        <f t="shared" si="0"/>
        <v>3</v>
      </c>
      <c r="AD121" s="81">
        <f t="shared" si="0"/>
        <v>4</v>
      </c>
      <c r="AE121" s="81">
        <f t="shared" si="0"/>
        <v>0</v>
      </c>
      <c r="AF121" s="81">
        <f t="shared" si="0"/>
        <v>0</v>
      </c>
      <c r="AG121" s="81">
        <f t="shared" si="0"/>
        <v>0</v>
      </c>
      <c r="AH121" s="86"/>
      <c r="AI121" s="86"/>
      <c r="AJ121" s="86"/>
      <c r="AK121" s="86"/>
      <c r="AL121" s="86"/>
      <c r="AM121" s="86"/>
      <c r="AN121" s="86"/>
      <c r="AO121" s="86"/>
      <c r="AP121" s="86"/>
      <c r="AQ121" s="86"/>
      <c r="AR121" s="86"/>
      <c r="AS121" s="86"/>
      <c r="AT121" s="86"/>
      <c r="AU121" s="86"/>
      <c r="AV121" s="73"/>
      <c r="AW121" s="73"/>
      <c r="AX121" s="73"/>
      <c r="AY121" s="73"/>
      <c r="AZ121" s="73"/>
      <c r="BA121" s="73"/>
      <c r="BB121" s="73"/>
      <c r="BC121" s="73"/>
    </row>
    <row r="122" spans="1:55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71"/>
      <c r="AJ122" s="71"/>
      <c r="AK122" s="71"/>
      <c r="AL122" s="71"/>
      <c r="AM122" s="71"/>
      <c r="AN122" s="71"/>
      <c r="AO122" s="71"/>
      <c r="AP122" s="71"/>
      <c r="AQ122" s="71"/>
      <c r="AR122" s="71"/>
      <c r="AS122" s="71"/>
      <c r="AT122" s="71"/>
      <c r="AU122" s="71"/>
      <c r="AV122" s="71"/>
      <c r="AW122" s="71"/>
      <c r="AX122" s="71"/>
      <c r="AY122" s="71"/>
      <c r="AZ122" s="71"/>
      <c r="BA122" s="71"/>
      <c r="BB122" s="71"/>
      <c r="BC122" s="71"/>
    </row>
    <row r="123" spans="1:55">
      <c r="A123" s="82" t="s">
        <v>61</v>
      </c>
      <c r="B123" s="91" t="s">
        <v>103</v>
      </c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 t="s">
        <v>50</v>
      </c>
      <c r="X123" s="71"/>
      <c r="Y123" s="71"/>
      <c r="Z123" s="71" t="s">
        <v>50</v>
      </c>
      <c r="AA123" s="71"/>
      <c r="AB123" s="71"/>
      <c r="AC123" s="71"/>
      <c r="AD123" s="71"/>
      <c r="AE123" s="71"/>
      <c r="AF123" s="71"/>
      <c r="AG123" s="71"/>
      <c r="AH123" s="71"/>
      <c r="AI123" s="71"/>
      <c r="AJ123" s="71"/>
      <c r="AK123" s="71"/>
      <c r="AL123" s="71"/>
      <c r="AM123" s="71"/>
      <c r="AN123" s="71"/>
      <c r="AO123" s="71"/>
      <c r="AP123" s="71"/>
      <c r="AQ123" s="71"/>
      <c r="AR123" s="71"/>
      <c r="AS123" s="71"/>
      <c r="AT123" s="71"/>
      <c r="AU123" s="71"/>
      <c r="AV123" s="71"/>
      <c r="AW123" s="71"/>
      <c r="AX123" s="71"/>
      <c r="AY123" s="71"/>
      <c r="AZ123" s="71"/>
      <c r="BA123" s="71"/>
      <c r="BB123" s="71"/>
      <c r="BC123" s="71"/>
    </row>
    <row r="124" spans="1:55">
      <c r="A124" s="82" t="s">
        <v>62</v>
      </c>
      <c r="B124" s="91" t="s">
        <v>104</v>
      </c>
      <c r="C124" s="71"/>
      <c r="D124" s="71"/>
      <c r="E124" s="71"/>
      <c r="F124" s="71"/>
      <c r="G124" s="71"/>
      <c r="H124" s="71"/>
      <c r="I124" s="71"/>
      <c r="J124" s="71"/>
      <c r="K124" s="71"/>
      <c r="L124" s="71" t="s">
        <v>50</v>
      </c>
      <c r="M124" s="71"/>
      <c r="N124" s="71"/>
      <c r="O124" s="71" t="s">
        <v>50</v>
      </c>
      <c r="P124" s="71"/>
      <c r="Q124" s="71" t="s">
        <v>50</v>
      </c>
      <c r="R124" s="71"/>
      <c r="S124" s="71"/>
      <c r="T124" s="71"/>
      <c r="U124" s="71"/>
      <c r="V124" s="71"/>
      <c r="W124" s="71"/>
      <c r="X124" s="71" t="s">
        <v>50</v>
      </c>
      <c r="Y124" s="71"/>
      <c r="Z124" s="71"/>
      <c r="AA124" s="71" t="s">
        <v>50</v>
      </c>
      <c r="AB124" s="71"/>
      <c r="AC124" s="71"/>
      <c r="AD124" s="71"/>
      <c r="AE124" s="71"/>
      <c r="AF124" s="71"/>
      <c r="AG124" s="71"/>
      <c r="AH124" s="71"/>
      <c r="AI124" s="71" t="s">
        <v>50</v>
      </c>
      <c r="AJ124" s="71"/>
      <c r="AK124" s="71"/>
      <c r="AL124" s="71"/>
      <c r="AM124" s="71"/>
      <c r="AN124" s="71"/>
      <c r="AO124" s="71"/>
      <c r="AP124" s="71"/>
      <c r="AQ124" s="71"/>
      <c r="AR124" s="71"/>
      <c r="AS124" s="71"/>
      <c r="AT124" s="71"/>
      <c r="AU124" s="71"/>
      <c r="AV124" s="71"/>
      <c r="AW124" s="71"/>
      <c r="AX124" s="71"/>
      <c r="AY124" s="71"/>
      <c r="AZ124" s="71"/>
      <c r="BA124" s="71"/>
      <c r="BB124" s="71"/>
      <c r="BC124" s="71"/>
    </row>
    <row r="125" spans="1:55">
      <c r="A125" s="82" t="s">
        <v>60</v>
      </c>
      <c r="B125" s="91" t="s">
        <v>105</v>
      </c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 t="s">
        <v>50</v>
      </c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71"/>
      <c r="AJ125" s="71"/>
      <c r="AK125" s="71"/>
      <c r="AL125" s="71"/>
      <c r="AM125" s="71"/>
      <c r="AN125" s="71"/>
      <c r="AO125" s="71"/>
      <c r="AP125" s="71"/>
      <c r="AQ125" s="71"/>
      <c r="AR125" s="71"/>
      <c r="AS125" s="71"/>
      <c r="AT125" s="71"/>
      <c r="AU125" s="71"/>
      <c r="AV125" s="71"/>
      <c r="AW125" s="71"/>
      <c r="AX125" s="71"/>
      <c r="AY125" s="71"/>
      <c r="AZ125" s="71"/>
      <c r="BA125" s="71"/>
      <c r="BB125" s="71"/>
      <c r="BC125" s="71"/>
    </row>
    <row r="126" spans="1:55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 t="s">
        <v>50</v>
      </c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 t="s">
        <v>50</v>
      </c>
      <c r="AD126" s="71"/>
      <c r="AE126" s="71"/>
      <c r="AF126" s="71"/>
      <c r="AG126" s="71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s="71"/>
      <c r="AV126" s="71"/>
      <c r="AW126" s="71"/>
      <c r="AX126" s="71"/>
      <c r="AY126" s="71"/>
      <c r="AZ126" s="71"/>
      <c r="BA126" s="71"/>
      <c r="BB126" s="71"/>
      <c r="BC126" s="71"/>
    </row>
    <row r="127" spans="1:55" ht="15.75">
      <c r="A127" s="70" t="s">
        <v>48</v>
      </c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1"/>
      <c r="AI127" s="71"/>
      <c r="AJ127" s="71"/>
      <c r="AK127" s="71"/>
      <c r="AL127" s="71"/>
      <c r="AM127" s="71"/>
      <c r="AN127" s="71"/>
      <c r="AO127" s="71"/>
      <c r="AP127" s="71"/>
      <c r="AQ127" s="71"/>
      <c r="AR127" s="71"/>
      <c r="AS127" s="71"/>
      <c r="AT127" s="71"/>
      <c r="AU127" s="71"/>
      <c r="AV127" s="71"/>
      <c r="AW127" s="71"/>
      <c r="AX127" s="71"/>
      <c r="AY127" s="71"/>
      <c r="AZ127" s="71"/>
      <c r="BA127" s="71"/>
      <c r="BB127" s="71"/>
      <c r="BC127" s="71"/>
    </row>
    <row r="128" spans="1:55">
      <c r="A128" s="72" t="s">
        <v>50</v>
      </c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1"/>
      <c r="AI128" s="71"/>
      <c r="AJ128" s="71"/>
      <c r="AK128" s="71"/>
      <c r="AL128" s="71"/>
      <c r="AM128" s="71"/>
      <c r="AN128" s="71"/>
      <c r="AO128" s="71"/>
      <c r="AP128" s="71"/>
      <c r="AQ128" s="71"/>
      <c r="AR128" s="71"/>
      <c r="AS128" s="71"/>
      <c r="AT128" s="71"/>
      <c r="AU128" s="71"/>
      <c r="AV128" s="71"/>
      <c r="AW128" s="71"/>
      <c r="AX128" s="71"/>
      <c r="AY128" s="71"/>
      <c r="AZ128" s="71"/>
      <c r="BA128" s="71"/>
      <c r="BB128" s="71"/>
      <c r="BC128" s="71"/>
    </row>
    <row r="129" spans="1:55">
      <c r="A129" s="73"/>
      <c r="B129" s="74" t="s">
        <v>51</v>
      </c>
      <c r="C129" s="71" t="s">
        <v>52</v>
      </c>
      <c r="D129" s="75" t="s">
        <v>3</v>
      </c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71"/>
      <c r="AJ129" s="71"/>
      <c r="AK129" s="71"/>
      <c r="AL129" s="71"/>
      <c r="AM129" s="71"/>
      <c r="AN129" s="71"/>
      <c r="AO129" s="71"/>
      <c r="AP129" s="71"/>
      <c r="AQ129" s="71"/>
      <c r="AR129" s="71"/>
      <c r="AS129" s="71"/>
      <c r="AT129" s="71"/>
      <c r="AU129" s="71"/>
      <c r="AV129" s="71"/>
      <c r="AW129" s="71"/>
      <c r="AX129" s="71"/>
      <c r="AY129" s="71"/>
      <c r="AZ129" s="71"/>
      <c r="BA129" s="71"/>
      <c r="BB129" s="71"/>
      <c r="BC129" s="71"/>
    </row>
    <row r="130" spans="1:55">
      <c r="A130" s="74"/>
      <c r="B130" s="74" t="s">
        <v>53</v>
      </c>
      <c r="C130" s="71" t="s">
        <v>52</v>
      </c>
      <c r="D130" s="75" t="s">
        <v>54</v>
      </c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 t="s">
        <v>50</v>
      </c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71"/>
      <c r="AJ130" s="71"/>
      <c r="AK130" s="71"/>
      <c r="AL130" s="71"/>
      <c r="AM130" s="71"/>
      <c r="AN130" s="71"/>
      <c r="AO130" s="71"/>
      <c r="AP130" s="71"/>
      <c r="AQ130" s="71"/>
      <c r="AR130" s="71"/>
      <c r="AS130" s="71"/>
      <c r="AT130" s="71"/>
      <c r="AU130" s="71"/>
      <c r="AV130" s="71"/>
      <c r="AW130" s="71"/>
      <c r="AX130" s="71"/>
      <c r="AY130" s="71"/>
      <c r="AZ130" s="71"/>
      <c r="BA130" s="71"/>
      <c r="BB130" s="71"/>
      <c r="BC130" s="71"/>
    </row>
    <row r="131" spans="1:55">
      <c r="A131" s="74"/>
      <c r="B131" s="74" t="s">
        <v>55</v>
      </c>
      <c r="C131" s="71" t="s">
        <v>52</v>
      </c>
      <c r="D131" s="75" t="s">
        <v>106</v>
      </c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71"/>
      <c r="AJ131" s="71"/>
      <c r="AK131" s="71"/>
      <c r="AL131" s="71"/>
      <c r="AM131" s="71"/>
      <c r="AN131" s="71"/>
      <c r="AO131" s="71"/>
      <c r="AP131" s="71"/>
      <c r="AQ131" s="71"/>
      <c r="AR131" s="71"/>
      <c r="AS131" s="71"/>
      <c r="AT131" s="71"/>
      <c r="AU131" s="71"/>
      <c r="AV131" s="71"/>
      <c r="AW131" s="71"/>
      <c r="AX131" s="71"/>
      <c r="AY131" s="71"/>
      <c r="AZ131" s="71"/>
      <c r="BA131" s="71"/>
      <c r="BB131" s="71"/>
      <c r="BC131" s="71"/>
    </row>
    <row r="132" spans="1:55">
      <c r="A132" s="76" t="s">
        <v>57</v>
      </c>
      <c r="B132" s="76" t="s">
        <v>58</v>
      </c>
      <c r="C132" s="77">
        <v>1</v>
      </c>
      <c r="D132" s="76">
        <v>2</v>
      </c>
      <c r="E132" s="76">
        <v>3</v>
      </c>
      <c r="F132" s="76">
        <v>4</v>
      </c>
      <c r="G132" s="76">
        <v>5</v>
      </c>
      <c r="H132" s="76">
        <v>6</v>
      </c>
      <c r="I132" s="76">
        <v>7</v>
      </c>
      <c r="J132" s="77">
        <v>8</v>
      </c>
      <c r="K132" s="76">
        <v>9</v>
      </c>
      <c r="L132" s="76">
        <v>10</v>
      </c>
      <c r="M132" s="76">
        <v>11</v>
      </c>
      <c r="N132" s="76">
        <v>12</v>
      </c>
      <c r="O132" s="76">
        <v>13</v>
      </c>
      <c r="P132" s="76">
        <v>14</v>
      </c>
      <c r="Q132" s="77">
        <v>15</v>
      </c>
      <c r="R132" s="76">
        <v>16</v>
      </c>
      <c r="S132" s="77">
        <v>17</v>
      </c>
      <c r="T132" s="76">
        <v>18</v>
      </c>
      <c r="U132" s="76">
        <v>19</v>
      </c>
      <c r="V132" s="76">
        <v>20</v>
      </c>
      <c r="W132" s="76">
        <v>21</v>
      </c>
      <c r="X132" s="77">
        <v>22</v>
      </c>
      <c r="Y132" s="76">
        <v>23</v>
      </c>
      <c r="Z132" s="76">
        <v>24</v>
      </c>
      <c r="AA132" s="76">
        <v>25</v>
      </c>
      <c r="AB132" s="76">
        <v>26</v>
      </c>
      <c r="AC132" s="76">
        <v>27</v>
      </c>
      <c r="AD132" s="76">
        <v>28</v>
      </c>
      <c r="AE132" s="76">
        <v>29</v>
      </c>
      <c r="AF132" s="76"/>
      <c r="AG132" s="76">
        <v>30</v>
      </c>
      <c r="AH132" s="71"/>
      <c r="AI132" s="71"/>
      <c r="AJ132" s="71"/>
      <c r="AK132" s="71"/>
      <c r="AL132" s="71"/>
      <c r="AM132" s="71"/>
      <c r="AN132" s="71"/>
      <c r="AO132" s="71"/>
      <c r="AP132" s="71"/>
      <c r="AQ132" s="71"/>
      <c r="AR132" s="71"/>
      <c r="AS132" s="71"/>
      <c r="AT132" s="71"/>
      <c r="AU132" s="71"/>
      <c r="AV132" s="71"/>
      <c r="AW132" s="71"/>
      <c r="AX132" s="71"/>
      <c r="AY132" s="71"/>
      <c r="AZ132" s="71"/>
      <c r="BA132" s="71"/>
      <c r="BB132" s="71"/>
      <c r="BC132" s="71"/>
    </row>
    <row r="133" spans="1:55">
      <c r="A133" s="79">
        <v>1</v>
      </c>
      <c r="B133" s="80" t="s">
        <v>107</v>
      </c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2" t="s">
        <v>61</v>
      </c>
      <c r="AA133" s="81"/>
      <c r="AB133" s="81"/>
      <c r="AC133" s="81"/>
      <c r="AD133" s="81"/>
      <c r="AE133" s="81"/>
      <c r="AF133" s="81"/>
      <c r="AG133" s="81"/>
      <c r="AH133" s="71"/>
      <c r="AI133" s="71"/>
      <c r="AJ133" s="71"/>
      <c r="AK133" s="71"/>
      <c r="AL133" s="71"/>
      <c r="AM133" s="71"/>
      <c r="AN133" s="71"/>
      <c r="AO133" s="71"/>
      <c r="AP133" s="71"/>
      <c r="AQ133" s="71"/>
      <c r="AR133" s="71"/>
      <c r="AS133" s="71"/>
      <c r="AT133" s="71"/>
      <c r="AU133" s="71"/>
      <c r="AV133" s="71"/>
      <c r="AW133" s="71"/>
      <c r="AX133" s="71"/>
      <c r="AY133" s="71"/>
      <c r="AZ133" s="71"/>
      <c r="BA133" s="71"/>
      <c r="BB133" s="71"/>
      <c r="BC133" s="71"/>
    </row>
    <row r="134" spans="1:55">
      <c r="A134" s="79">
        <v>2</v>
      </c>
      <c r="B134" s="80" t="s">
        <v>108</v>
      </c>
      <c r="C134" s="81"/>
      <c r="D134" s="82" t="s">
        <v>60</v>
      </c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2" t="s">
        <v>61</v>
      </c>
      <c r="AD134" s="81"/>
      <c r="AE134" s="81"/>
      <c r="AF134" s="81"/>
      <c r="AG134" s="81"/>
      <c r="AH134" s="71"/>
      <c r="AI134" s="71"/>
      <c r="AJ134" s="71"/>
      <c r="AK134" s="71"/>
      <c r="AL134" s="71"/>
      <c r="AM134" s="71"/>
      <c r="AN134" s="71"/>
      <c r="AO134" s="71"/>
      <c r="AP134" s="71"/>
      <c r="AQ134" s="71"/>
      <c r="AR134" s="71"/>
      <c r="AS134" s="71"/>
      <c r="AT134" s="71"/>
      <c r="AU134" s="71"/>
      <c r="AV134" s="71"/>
      <c r="AW134" s="71"/>
      <c r="AX134" s="71"/>
      <c r="AY134" s="71"/>
      <c r="AZ134" s="71"/>
      <c r="BA134" s="71"/>
      <c r="BB134" s="71"/>
      <c r="BC134" s="71"/>
    </row>
    <row r="135" spans="1:55">
      <c r="A135" s="79">
        <v>3</v>
      </c>
      <c r="B135" s="80" t="s">
        <v>64</v>
      </c>
      <c r="C135" s="81"/>
      <c r="D135" s="82" t="s">
        <v>61</v>
      </c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71"/>
      <c r="AI135" s="71" t="s">
        <v>50</v>
      </c>
      <c r="AJ135" s="71"/>
      <c r="AK135" s="71"/>
      <c r="AL135" s="71"/>
      <c r="AM135" s="71"/>
      <c r="AN135" s="71"/>
      <c r="AO135" s="71"/>
      <c r="AP135" s="71"/>
      <c r="AQ135" s="71"/>
      <c r="AR135" s="71"/>
      <c r="AS135" s="71"/>
      <c r="AT135" s="71"/>
      <c r="AU135" s="71"/>
      <c r="AV135" s="71"/>
      <c r="AW135" s="71"/>
      <c r="AX135" s="71"/>
      <c r="AY135" s="71"/>
      <c r="AZ135" s="71"/>
      <c r="BA135" s="71"/>
      <c r="BB135" s="71"/>
      <c r="BC135" s="71"/>
    </row>
    <row r="136" spans="1:55">
      <c r="A136" s="79">
        <v>4</v>
      </c>
      <c r="B136" s="80" t="s">
        <v>109</v>
      </c>
      <c r="C136" s="81"/>
      <c r="D136" s="82" t="s">
        <v>61</v>
      </c>
      <c r="E136" s="81"/>
      <c r="F136" s="82" t="s">
        <v>61</v>
      </c>
      <c r="G136" s="81"/>
      <c r="H136" s="81"/>
      <c r="I136" s="81"/>
      <c r="J136" s="81"/>
      <c r="K136" s="81"/>
      <c r="L136" s="81"/>
      <c r="M136" s="81"/>
      <c r="N136" s="81"/>
      <c r="O136" s="81"/>
      <c r="P136" s="82" t="s">
        <v>61</v>
      </c>
      <c r="Q136" s="81"/>
      <c r="R136" s="81"/>
      <c r="S136" s="81"/>
      <c r="T136" s="81"/>
      <c r="U136" s="81"/>
      <c r="V136" s="81"/>
      <c r="W136" s="81"/>
      <c r="X136" s="81"/>
      <c r="Y136" s="82" t="s">
        <v>61</v>
      </c>
      <c r="Z136" s="81"/>
      <c r="AA136" s="81"/>
      <c r="AB136" s="81"/>
      <c r="AC136" s="82" t="s">
        <v>61</v>
      </c>
      <c r="AD136" s="81"/>
      <c r="AE136" s="81"/>
      <c r="AF136" s="81"/>
      <c r="AG136" s="81"/>
      <c r="AH136" s="71"/>
      <c r="AI136" s="71"/>
      <c r="AJ136" s="71"/>
      <c r="AK136" s="71"/>
      <c r="AL136" s="71"/>
      <c r="AM136" s="71"/>
      <c r="AN136" s="71"/>
      <c r="AO136" s="71"/>
      <c r="AP136" s="71"/>
      <c r="AQ136" s="71"/>
      <c r="AR136" s="71"/>
      <c r="AS136" s="71"/>
      <c r="AT136" s="71"/>
      <c r="AU136" s="71"/>
      <c r="AV136" s="71"/>
      <c r="AW136" s="71"/>
      <c r="AX136" s="71"/>
      <c r="AY136" s="71"/>
      <c r="AZ136" s="71"/>
      <c r="BA136" s="71"/>
      <c r="BB136" s="71"/>
      <c r="BC136" s="71"/>
    </row>
    <row r="137" spans="1:55">
      <c r="A137" s="79">
        <v>5</v>
      </c>
      <c r="B137" s="80" t="s">
        <v>101</v>
      </c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2"/>
      <c r="AA137" s="81"/>
      <c r="AB137" s="81"/>
      <c r="AC137" s="81"/>
      <c r="AD137" s="81"/>
      <c r="AE137" s="81"/>
      <c r="AF137" s="81"/>
      <c r="AG137" s="81"/>
      <c r="AH137" s="71"/>
      <c r="AI137" s="71"/>
      <c r="AJ137" s="71"/>
      <c r="AK137" s="71"/>
      <c r="AL137" s="71"/>
      <c r="AM137" s="71"/>
      <c r="AN137" s="71"/>
      <c r="AO137" s="71"/>
      <c r="AP137" s="71"/>
      <c r="AQ137" s="71"/>
      <c r="AR137" s="71"/>
      <c r="AS137" s="71"/>
      <c r="AT137" s="71"/>
      <c r="AU137" s="71"/>
      <c r="AV137" s="71"/>
      <c r="AW137" s="71"/>
      <c r="AX137" s="71"/>
      <c r="AY137" s="71"/>
      <c r="AZ137" s="71"/>
      <c r="BA137" s="71"/>
      <c r="BB137" s="71"/>
      <c r="BC137" s="71"/>
    </row>
    <row r="138" spans="1:55">
      <c r="A138" s="79">
        <v>6</v>
      </c>
      <c r="B138" s="80" t="s">
        <v>110</v>
      </c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2" t="s">
        <v>61</v>
      </c>
      <c r="AB138" s="81"/>
      <c r="AC138" s="81"/>
      <c r="AD138" s="81"/>
      <c r="AE138" s="81"/>
      <c r="AF138" s="81"/>
      <c r="AG138" s="81"/>
      <c r="AH138" s="71"/>
      <c r="AI138" s="71"/>
      <c r="AJ138" s="71"/>
      <c r="AK138" s="71"/>
      <c r="AL138" s="71"/>
      <c r="AM138" s="71"/>
      <c r="AN138" s="71"/>
      <c r="AO138" s="71"/>
      <c r="AP138" s="71"/>
      <c r="AQ138" s="71"/>
      <c r="AR138" s="71"/>
      <c r="AS138" s="71"/>
      <c r="AT138" s="71"/>
      <c r="AU138" s="71"/>
      <c r="AV138" s="71"/>
      <c r="AW138" s="71"/>
      <c r="AX138" s="71"/>
      <c r="AY138" s="71"/>
      <c r="AZ138" s="71"/>
      <c r="BA138" s="71"/>
      <c r="BB138" s="71"/>
      <c r="BC138" s="71"/>
    </row>
    <row r="139" spans="1:55">
      <c r="A139" s="79">
        <v>7</v>
      </c>
      <c r="B139" s="80" t="s">
        <v>111</v>
      </c>
      <c r="C139" s="81"/>
      <c r="D139" s="82" t="s">
        <v>60</v>
      </c>
      <c r="E139" s="82" t="s">
        <v>61</v>
      </c>
      <c r="F139" s="82" t="s">
        <v>61</v>
      </c>
      <c r="G139" s="82" t="s">
        <v>61</v>
      </c>
      <c r="H139" s="82" t="s">
        <v>61</v>
      </c>
      <c r="I139" s="81"/>
      <c r="J139" s="81"/>
      <c r="K139" s="82" t="s">
        <v>61</v>
      </c>
      <c r="L139" s="82" t="s">
        <v>60</v>
      </c>
      <c r="M139" s="81"/>
      <c r="N139" s="81"/>
      <c r="O139" s="82" t="s">
        <v>60</v>
      </c>
      <c r="P139" s="81"/>
      <c r="Q139" s="81"/>
      <c r="R139" s="82" t="s">
        <v>60</v>
      </c>
      <c r="T139" s="82" t="s">
        <v>60</v>
      </c>
      <c r="U139" s="82" t="s">
        <v>60</v>
      </c>
      <c r="V139" s="81"/>
      <c r="W139" s="82" t="s">
        <v>61</v>
      </c>
      <c r="X139" s="81"/>
      <c r="Y139" s="81"/>
      <c r="Z139" s="82" t="s">
        <v>60</v>
      </c>
      <c r="AA139" s="81"/>
      <c r="AB139" s="82" t="s">
        <v>60</v>
      </c>
      <c r="AC139" s="82"/>
      <c r="AD139" s="82" t="s">
        <v>61</v>
      </c>
      <c r="AE139" s="81"/>
      <c r="AF139" s="81"/>
      <c r="AG139" s="81"/>
      <c r="AH139" s="71"/>
      <c r="AI139" s="71"/>
      <c r="AJ139" s="71"/>
      <c r="AK139" s="71"/>
      <c r="AL139" s="71"/>
      <c r="AM139" s="71"/>
      <c r="AN139" s="71"/>
      <c r="AO139" s="71"/>
      <c r="AP139" s="71"/>
      <c r="AQ139" s="71"/>
      <c r="AR139" s="71"/>
      <c r="AS139" s="71"/>
      <c r="AT139" s="71"/>
      <c r="AU139" s="71"/>
      <c r="AV139" s="71"/>
      <c r="AW139" s="71"/>
      <c r="AX139" s="71"/>
      <c r="AY139" s="71"/>
      <c r="AZ139" s="71"/>
      <c r="BA139" s="71"/>
      <c r="BB139" s="71"/>
      <c r="BC139" s="71"/>
    </row>
    <row r="140" spans="1:55">
      <c r="A140" s="79">
        <v>8</v>
      </c>
      <c r="B140" s="80" t="s">
        <v>112</v>
      </c>
      <c r="C140" s="81"/>
      <c r="D140" s="81"/>
      <c r="E140" s="82" t="s">
        <v>60</v>
      </c>
      <c r="F140" s="81"/>
      <c r="G140" s="81"/>
      <c r="H140" s="81"/>
      <c r="I140" s="81"/>
      <c r="J140" s="81"/>
      <c r="K140" s="81"/>
      <c r="L140" s="81"/>
      <c r="M140" s="81"/>
      <c r="N140" s="82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71"/>
      <c r="AI140" s="71"/>
      <c r="AJ140" s="71"/>
      <c r="AK140" s="71"/>
      <c r="AL140" s="71"/>
      <c r="AM140" s="71"/>
      <c r="AN140" s="71"/>
      <c r="AO140" s="71"/>
      <c r="AP140" s="71"/>
      <c r="AQ140" s="71"/>
      <c r="AR140" s="71"/>
      <c r="AS140" s="71"/>
      <c r="AT140" s="71"/>
      <c r="AU140" s="71"/>
      <c r="AV140" s="71"/>
      <c r="AW140" s="71"/>
      <c r="AX140" s="71"/>
      <c r="AY140" s="71"/>
      <c r="AZ140" s="71"/>
      <c r="BA140" s="71"/>
      <c r="BB140" s="71"/>
      <c r="BC140" s="71"/>
    </row>
    <row r="141" spans="1:55">
      <c r="A141" s="79">
        <v>9</v>
      </c>
      <c r="B141" s="80" t="s">
        <v>113</v>
      </c>
      <c r="C141" s="81"/>
      <c r="D141" s="81"/>
      <c r="E141" s="81"/>
      <c r="F141" s="81"/>
      <c r="G141" s="82"/>
      <c r="H141" s="81"/>
      <c r="I141" s="81"/>
      <c r="J141" s="81"/>
      <c r="K141" s="81"/>
      <c r="L141" s="81"/>
      <c r="M141" s="81"/>
      <c r="N141" s="82" t="s">
        <v>61</v>
      </c>
      <c r="O141" s="81"/>
      <c r="P141" s="81"/>
      <c r="Q141" s="81"/>
      <c r="R141" s="82" t="s">
        <v>61</v>
      </c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71"/>
      <c r="AI141" s="71"/>
      <c r="AJ141" s="71"/>
      <c r="AK141" s="71"/>
      <c r="AL141" s="71"/>
      <c r="AM141" s="71"/>
      <c r="AN141" s="71"/>
      <c r="AO141" s="71"/>
      <c r="AP141" s="71"/>
      <c r="AQ141" s="71"/>
      <c r="AR141" s="71"/>
      <c r="AS141" s="71"/>
      <c r="AT141" s="71"/>
      <c r="AU141" s="71"/>
      <c r="AV141" s="71"/>
      <c r="AW141" s="71"/>
      <c r="AX141" s="71"/>
      <c r="AY141" s="71"/>
      <c r="AZ141" s="71"/>
      <c r="BA141" s="71"/>
      <c r="BB141" s="71"/>
      <c r="BC141" s="71"/>
    </row>
    <row r="142" spans="1:55">
      <c r="A142" s="79">
        <v>10</v>
      </c>
      <c r="B142" s="80" t="s">
        <v>114</v>
      </c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2" t="s">
        <v>61</v>
      </c>
      <c r="Z142" s="81"/>
      <c r="AA142" s="81"/>
      <c r="AB142" s="81"/>
      <c r="AC142" s="81"/>
      <c r="AD142" s="81"/>
      <c r="AE142" s="81"/>
      <c r="AF142" s="81"/>
      <c r="AG142" s="81"/>
      <c r="AH142" s="71"/>
      <c r="AI142" s="71"/>
      <c r="AJ142" s="71"/>
      <c r="AK142" s="71"/>
      <c r="AL142" s="71"/>
      <c r="AM142" s="71"/>
      <c r="AN142" s="71"/>
      <c r="AO142" s="71"/>
      <c r="AP142" s="71"/>
      <c r="AQ142" s="71"/>
      <c r="AR142" s="71"/>
      <c r="AS142" s="71"/>
      <c r="AT142" s="71"/>
      <c r="AU142" s="71"/>
      <c r="AV142" s="71"/>
      <c r="AW142" s="71"/>
      <c r="AX142" s="71"/>
      <c r="AY142" s="71"/>
      <c r="AZ142" s="71"/>
      <c r="BA142" s="71"/>
      <c r="BB142" s="71"/>
      <c r="BC142" s="71"/>
    </row>
    <row r="143" spans="1:55">
      <c r="A143" s="79">
        <v>11</v>
      </c>
      <c r="B143" s="80" t="s">
        <v>115</v>
      </c>
      <c r="C143" s="81"/>
      <c r="D143" s="81"/>
      <c r="E143" s="82" t="s">
        <v>61</v>
      </c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71"/>
      <c r="AI143" s="71"/>
      <c r="AJ143" s="71"/>
      <c r="AK143" s="71"/>
      <c r="AL143" s="71"/>
      <c r="AM143" s="71"/>
      <c r="AN143" s="71"/>
      <c r="AO143" s="71"/>
      <c r="AP143" s="71"/>
      <c r="AQ143" s="71"/>
      <c r="AR143" s="71"/>
      <c r="AS143" s="71"/>
      <c r="AT143" s="71"/>
      <c r="AU143" s="71"/>
      <c r="AV143" s="71"/>
      <c r="AW143" s="71"/>
      <c r="AX143" s="71"/>
      <c r="AY143" s="71"/>
      <c r="AZ143" s="71"/>
      <c r="BA143" s="71"/>
      <c r="BB143" s="71"/>
      <c r="BC143" s="71"/>
    </row>
    <row r="144" spans="1:55">
      <c r="A144" s="79">
        <v>12</v>
      </c>
      <c r="B144" s="80" t="s">
        <v>116</v>
      </c>
      <c r="C144" s="81"/>
      <c r="D144" s="81"/>
      <c r="E144" s="82" t="s">
        <v>60</v>
      </c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2" t="s">
        <v>61</v>
      </c>
      <c r="S144" s="81"/>
      <c r="T144" s="81"/>
      <c r="U144" s="81"/>
      <c r="V144" s="81"/>
      <c r="W144" s="81"/>
      <c r="X144" s="81"/>
      <c r="Y144" s="82" t="s">
        <v>60</v>
      </c>
      <c r="Z144" s="81"/>
      <c r="AA144" s="81"/>
      <c r="AB144" s="81"/>
      <c r="AC144" s="81"/>
      <c r="AD144" s="82" t="s">
        <v>60</v>
      </c>
      <c r="AE144" s="81"/>
      <c r="AF144" s="81"/>
      <c r="AG144" s="81"/>
      <c r="AH144" s="71"/>
      <c r="AI144" s="71"/>
      <c r="AJ144" s="71"/>
      <c r="AK144" s="71"/>
      <c r="AL144" s="71"/>
      <c r="AM144" s="71"/>
      <c r="AN144" s="71"/>
      <c r="AO144" s="71"/>
      <c r="AP144" s="71"/>
      <c r="AQ144" s="71"/>
      <c r="AR144" s="71"/>
      <c r="AS144" s="71"/>
      <c r="AT144" s="71"/>
      <c r="AU144" s="71"/>
      <c r="AV144" s="71"/>
      <c r="AW144" s="71"/>
      <c r="AX144" s="71"/>
      <c r="AY144" s="71"/>
      <c r="AZ144" s="71"/>
      <c r="BA144" s="71"/>
      <c r="BB144" s="71"/>
      <c r="BC144" s="71"/>
    </row>
    <row r="145" spans="1:55">
      <c r="A145" s="79">
        <v>13</v>
      </c>
      <c r="B145" s="80" t="s">
        <v>117</v>
      </c>
      <c r="C145" s="81"/>
      <c r="D145" s="81"/>
      <c r="E145" s="81"/>
      <c r="F145" s="81"/>
      <c r="G145" s="81"/>
      <c r="H145" s="81"/>
      <c r="I145" s="81"/>
      <c r="J145" s="81"/>
      <c r="K145" s="81"/>
      <c r="L145" s="82" t="s">
        <v>61</v>
      </c>
      <c r="M145" s="82" t="s">
        <v>60</v>
      </c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2" t="s">
        <v>61</v>
      </c>
      <c r="Z145" s="81"/>
      <c r="AA145" s="81"/>
      <c r="AB145" s="81"/>
      <c r="AC145" s="81"/>
      <c r="AD145" s="81"/>
      <c r="AE145" s="81"/>
      <c r="AF145" s="81"/>
      <c r="AG145" s="81"/>
      <c r="AH145" s="71"/>
      <c r="AI145" s="71"/>
      <c r="AJ145" s="71"/>
      <c r="AK145" s="71"/>
      <c r="AL145" s="71"/>
      <c r="AM145" s="71"/>
      <c r="AN145" s="71"/>
      <c r="AO145" s="71"/>
      <c r="AP145" s="71"/>
      <c r="AQ145" s="71"/>
      <c r="AR145" s="71"/>
      <c r="AS145" s="71"/>
      <c r="AT145" s="71"/>
      <c r="AU145" s="71"/>
      <c r="AV145" s="71"/>
      <c r="AW145" s="71"/>
      <c r="AX145" s="71"/>
      <c r="AY145" s="71"/>
      <c r="AZ145" s="71"/>
      <c r="BA145" s="71"/>
      <c r="BB145" s="71"/>
      <c r="BC145" s="71"/>
    </row>
    <row r="146" spans="1:55">
      <c r="A146" s="79">
        <v>14</v>
      </c>
      <c r="B146" s="80" t="s">
        <v>118</v>
      </c>
      <c r="C146" s="81"/>
      <c r="D146" s="82" t="s">
        <v>61</v>
      </c>
      <c r="E146" s="81"/>
      <c r="F146" s="81"/>
      <c r="G146" s="81"/>
      <c r="H146" s="81"/>
      <c r="I146" s="81"/>
      <c r="J146" s="81"/>
      <c r="K146" s="81"/>
      <c r="L146" s="82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71"/>
      <c r="AI146" s="71"/>
      <c r="AJ146" s="71"/>
      <c r="AK146" s="71"/>
      <c r="AL146" s="71"/>
      <c r="AM146" s="71"/>
      <c r="AN146" s="71"/>
      <c r="AO146" s="71"/>
      <c r="AP146" s="71"/>
      <c r="AQ146" s="71"/>
      <c r="AR146" s="71"/>
      <c r="AS146" s="71"/>
      <c r="AT146" s="71"/>
      <c r="AU146" s="71"/>
      <c r="AV146" s="71"/>
      <c r="AW146" s="71"/>
      <c r="AX146" s="71"/>
      <c r="AY146" s="71"/>
      <c r="AZ146" s="71"/>
      <c r="BA146" s="71"/>
      <c r="BB146" s="71"/>
      <c r="BC146" s="71"/>
    </row>
    <row r="147" spans="1:55">
      <c r="A147" s="79">
        <v>15</v>
      </c>
      <c r="B147" s="80" t="s">
        <v>119</v>
      </c>
      <c r="C147" s="81"/>
      <c r="D147" s="81"/>
      <c r="E147" s="81"/>
      <c r="F147" s="81"/>
      <c r="G147" s="82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2" t="s">
        <v>61</v>
      </c>
      <c r="S147" s="81"/>
      <c r="T147" s="81"/>
      <c r="U147" s="81"/>
      <c r="V147" s="81"/>
      <c r="W147" s="81"/>
      <c r="X147" s="81"/>
      <c r="Y147" s="81"/>
      <c r="Z147" s="81"/>
      <c r="AA147" s="81"/>
      <c r="AB147" s="82" t="s">
        <v>61</v>
      </c>
      <c r="AC147" s="81"/>
      <c r="AD147" s="81"/>
      <c r="AE147" s="81"/>
      <c r="AF147" s="81"/>
      <c r="AG147" s="81"/>
      <c r="AH147" s="71"/>
      <c r="AI147" s="71"/>
      <c r="AJ147" s="71"/>
      <c r="AK147" s="71"/>
      <c r="AL147" s="71"/>
      <c r="AM147" s="71"/>
      <c r="AN147" s="71"/>
      <c r="AO147" s="71"/>
      <c r="AP147" s="71"/>
      <c r="AQ147" s="71"/>
      <c r="AR147" s="71"/>
      <c r="AS147" s="71"/>
      <c r="AT147" s="71"/>
      <c r="AU147" s="71"/>
      <c r="AV147" s="71"/>
      <c r="AW147" s="71"/>
      <c r="AX147" s="71"/>
      <c r="AY147" s="71"/>
      <c r="AZ147" s="71"/>
      <c r="BA147" s="71"/>
      <c r="BB147" s="71"/>
      <c r="BC147" s="71"/>
    </row>
    <row r="148" spans="1:55">
      <c r="A148" s="79">
        <v>16</v>
      </c>
      <c r="B148" s="80" t="s">
        <v>120</v>
      </c>
      <c r="C148" s="81"/>
      <c r="D148" s="81"/>
      <c r="E148" s="81"/>
      <c r="F148" s="81"/>
      <c r="G148" s="82"/>
      <c r="H148" s="82" t="s">
        <v>61</v>
      </c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2" t="s">
        <v>60</v>
      </c>
      <c r="AB148" s="81"/>
      <c r="AC148" s="81"/>
      <c r="AD148" s="81"/>
      <c r="AE148" s="81"/>
      <c r="AF148" s="81"/>
      <c r="AG148" s="81"/>
      <c r="AH148" s="71"/>
      <c r="AI148" s="71"/>
      <c r="AJ148" s="71"/>
      <c r="AK148" s="71"/>
      <c r="AL148" s="71"/>
      <c r="AM148" s="71"/>
      <c r="AN148" s="71"/>
      <c r="AO148" s="71"/>
      <c r="AP148" s="71"/>
      <c r="AQ148" s="71"/>
      <c r="AR148" s="71"/>
      <c r="AS148" s="71"/>
      <c r="AT148" s="71"/>
      <c r="AU148" s="71"/>
      <c r="AV148" s="71"/>
      <c r="AW148" s="71"/>
      <c r="AX148" s="71"/>
      <c r="AY148" s="71"/>
      <c r="AZ148" s="71"/>
      <c r="BA148" s="71"/>
      <c r="BB148" s="71"/>
      <c r="BC148" s="71"/>
    </row>
    <row r="149" spans="1:55">
      <c r="A149" s="79">
        <v>17</v>
      </c>
      <c r="B149" s="80" t="s">
        <v>121</v>
      </c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2" t="s">
        <v>60</v>
      </c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71"/>
      <c r="AI149" s="71"/>
      <c r="AJ149" s="71"/>
      <c r="AK149" s="71"/>
      <c r="AL149" s="71"/>
      <c r="AM149" s="71"/>
      <c r="AN149" s="71"/>
      <c r="AO149" s="71"/>
      <c r="AP149" s="71"/>
      <c r="AQ149" s="71"/>
      <c r="AR149" s="71"/>
      <c r="AS149" s="71"/>
      <c r="AT149" s="71"/>
      <c r="AU149" s="71"/>
      <c r="AV149" s="71"/>
      <c r="AW149" s="71"/>
      <c r="AX149" s="71"/>
      <c r="AY149" s="71"/>
      <c r="AZ149" s="71"/>
      <c r="BA149" s="71"/>
      <c r="BB149" s="71"/>
      <c r="BC149" s="71"/>
    </row>
    <row r="150" spans="1:55">
      <c r="A150" s="79">
        <v>18</v>
      </c>
      <c r="B150" s="80" t="s">
        <v>122</v>
      </c>
      <c r="C150" s="81"/>
      <c r="D150" s="81"/>
      <c r="E150" s="81"/>
      <c r="F150" s="82" t="s">
        <v>62</v>
      </c>
      <c r="G150" s="81"/>
      <c r="H150" s="81"/>
      <c r="I150" s="81"/>
      <c r="J150" s="81"/>
      <c r="K150" s="81"/>
      <c r="L150" s="81"/>
      <c r="M150" s="81"/>
      <c r="N150" s="81"/>
      <c r="O150" s="82" t="s">
        <v>62</v>
      </c>
      <c r="P150" s="82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71"/>
      <c r="AI150" s="71"/>
      <c r="AJ150" s="71"/>
      <c r="AK150" s="71"/>
      <c r="AL150" s="71"/>
      <c r="AM150" s="71"/>
      <c r="AN150" s="71"/>
      <c r="AO150" s="71"/>
      <c r="AP150" s="71"/>
      <c r="AQ150" s="71"/>
      <c r="AR150" s="71"/>
      <c r="AS150" s="71"/>
      <c r="AT150" s="71"/>
      <c r="AU150" s="71"/>
      <c r="AV150" s="71"/>
      <c r="AW150" s="71"/>
      <c r="AX150" s="71"/>
      <c r="AY150" s="71"/>
      <c r="AZ150" s="71"/>
      <c r="BA150" s="71"/>
      <c r="BB150" s="71"/>
      <c r="BC150" s="71"/>
    </row>
    <row r="151" spans="1:55">
      <c r="A151" s="79">
        <v>19</v>
      </c>
      <c r="B151" s="80" t="s">
        <v>123</v>
      </c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2" t="s">
        <v>60</v>
      </c>
      <c r="AA151" s="81"/>
      <c r="AB151" s="81"/>
      <c r="AC151" s="81"/>
      <c r="AD151" s="81"/>
      <c r="AE151" s="81"/>
      <c r="AF151" s="81"/>
      <c r="AG151" s="81"/>
      <c r="AH151" s="71"/>
      <c r="AI151" s="71"/>
      <c r="AJ151" s="71"/>
      <c r="AK151" s="71"/>
      <c r="AL151" s="71"/>
      <c r="AM151" s="71"/>
      <c r="AN151" s="71"/>
      <c r="AO151" s="71"/>
      <c r="AP151" s="71"/>
      <c r="AQ151" s="71"/>
      <c r="AR151" s="71"/>
      <c r="AS151" s="71"/>
      <c r="AT151" s="71"/>
      <c r="AU151" s="71"/>
      <c r="AV151" s="71"/>
      <c r="AW151" s="71"/>
      <c r="AX151" s="71"/>
      <c r="AY151" s="71"/>
      <c r="AZ151" s="71"/>
      <c r="BA151" s="71"/>
      <c r="BB151" s="71"/>
      <c r="BC151" s="71"/>
    </row>
    <row r="152" spans="1:55">
      <c r="A152" s="79">
        <v>20</v>
      </c>
      <c r="B152" s="80" t="s">
        <v>124</v>
      </c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2" t="s">
        <v>60</v>
      </c>
      <c r="AA152" s="81"/>
      <c r="AB152" s="81"/>
      <c r="AC152" s="81"/>
      <c r="AD152" s="81"/>
      <c r="AE152" s="81"/>
      <c r="AF152" s="81"/>
      <c r="AG152" s="81"/>
      <c r="AH152" s="71"/>
      <c r="AI152" s="71"/>
      <c r="AJ152" s="71"/>
      <c r="AK152" s="71"/>
      <c r="AL152" s="71"/>
      <c r="AM152" s="71"/>
      <c r="AN152" s="71"/>
      <c r="AO152" s="71"/>
      <c r="AP152" s="71"/>
      <c r="AQ152" s="71"/>
      <c r="AR152" s="71"/>
      <c r="AS152" s="71"/>
      <c r="AT152" s="71"/>
      <c r="AU152" s="71"/>
      <c r="AV152" s="71"/>
      <c r="AW152" s="71"/>
      <c r="AX152" s="71"/>
      <c r="AY152" s="71"/>
      <c r="AZ152" s="71"/>
      <c r="BA152" s="71"/>
      <c r="BB152" s="71"/>
      <c r="BC152" s="71"/>
    </row>
    <row r="153" spans="1:55">
      <c r="A153" s="79">
        <v>21</v>
      </c>
      <c r="B153" s="80" t="s">
        <v>125</v>
      </c>
      <c r="C153" s="81"/>
      <c r="D153" s="81"/>
      <c r="E153" s="81"/>
      <c r="F153" s="82" t="s">
        <v>62</v>
      </c>
      <c r="G153" s="81"/>
      <c r="H153" s="81"/>
      <c r="I153" s="81"/>
      <c r="J153" s="81"/>
      <c r="K153" s="81"/>
      <c r="L153" s="81"/>
      <c r="M153" s="81"/>
      <c r="N153" s="82" t="s">
        <v>61</v>
      </c>
      <c r="O153" s="81"/>
      <c r="P153" s="81"/>
      <c r="Q153" s="81"/>
      <c r="R153" s="81"/>
      <c r="S153" s="81"/>
      <c r="T153" s="81"/>
      <c r="U153" s="82" t="s">
        <v>61</v>
      </c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71"/>
      <c r="AI153" s="71"/>
      <c r="AJ153" s="71"/>
      <c r="AK153" s="71"/>
      <c r="AL153" s="71"/>
      <c r="AM153" s="71"/>
      <c r="AN153" s="71"/>
      <c r="AO153" s="71"/>
      <c r="AP153" s="71"/>
      <c r="AQ153" s="71"/>
      <c r="AR153" s="71"/>
      <c r="AS153" s="71"/>
      <c r="AT153" s="71"/>
      <c r="AU153" s="71"/>
      <c r="AV153" s="71"/>
      <c r="AW153" s="71"/>
      <c r="AX153" s="71"/>
      <c r="AY153" s="71"/>
      <c r="AZ153" s="71"/>
      <c r="BA153" s="71"/>
      <c r="BB153" s="71"/>
      <c r="BC153" s="71"/>
    </row>
    <row r="154" spans="1:55">
      <c r="A154" s="79">
        <v>22</v>
      </c>
      <c r="B154" s="80" t="s">
        <v>126</v>
      </c>
      <c r="C154" s="81"/>
      <c r="D154" s="81"/>
      <c r="E154" s="81"/>
      <c r="F154" s="81"/>
      <c r="G154" s="82" t="s">
        <v>61</v>
      </c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2" t="s">
        <v>61</v>
      </c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71"/>
      <c r="AI154" s="71"/>
      <c r="AJ154" s="71"/>
      <c r="AK154" s="71"/>
      <c r="AL154" s="71"/>
      <c r="AM154" s="71"/>
      <c r="AN154" s="71"/>
      <c r="AO154" s="71"/>
      <c r="AP154" s="71"/>
      <c r="AQ154" s="71"/>
      <c r="AR154" s="71"/>
      <c r="AS154" s="71"/>
      <c r="AT154" s="71"/>
      <c r="AU154" s="71"/>
      <c r="AV154" s="71"/>
      <c r="AW154" s="71"/>
      <c r="AX154" s="71"/>
      <c r="AY154" s="71"/>
      <c r="AZ154" s="71"/>
      <c r="BA154" s="71"/>
      <c r="BB154" s="71"/>
      <c r="BC154" s="71"/>
    </row>
    <row r="155" spans="1:55">
      <c r="A155" s="79">
        <v>23</v>
      </c>
      <c r="B155" s="80" t="s">
        <v>127</v>
      </c>
      <c r="C155" s="81"/>
      <c r="D155" s="82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2" t="s">
        <v>61</v>
      </c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71"/>
      <c r="AI155" s="71"/>
      <c r="AJ155" s="71"/>
      <c r="AK155" s="71"/>
      <c r="AL155" s="71"/>
      <c r="AM155" s="71"/>
      <c r="AN155" s="71"/>
      <c r="AO155" s="71"/>
      <c r="AP155" s="71"/>
      <c r="AQ155" s="71"/>
      <c r="AR155" s="71"/>
      <c r="AS155" s="71"/>
      <c r="AT155" s="71"/>
      <c r="AU155" s="71"/>
      <c r="AV155" s="71"/>
      <c r="AW155" s="71"/>
      <c r="AX155" s="71"/>
      <c r="AY155" s="71"/>
      <c r="AZ155" s="71"/>
      <c r="BA155" s="71"/>
      <c r="BB155" s="71"/>
      <c r="BC155" s="71"/>
    </row>
    <row r="156" spans="1:55">
      <c r="A156" s="79">
        <v>24</v>
      </c>
      <c r="B156" s="80" t="s">
        <v>128</v>
      </c>
      <c r="C156" s="81"/>
      <c r="D156" s="82" t="s">
        <v>61</v>
      </c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2" t="s">
        <v>60</v>
      </c>
      <c r="AA156" s="81"/>
      <c r="AB156" s="81"/>
      <c r="AC156" s="81"/>
      <c r="AD156" s="81"/>
      <c r="AE156" s="81"/>
      <c r="AF156" s="81"/>
      <c r="AG156" s="81"/>
      <c r="AH156" s="71"/>
      <c r="AI156" s="71"/>
      <c r="AJ156" s="71"/>
      <c r="AK156" s="71"/>
      <c r="AL156" s="71"/>
      <c r="AM156" s="71"/>
      <c r="AN156" s="71"/>
      <c r="AO156" s="71"/>
      <c r="AP156" s="71"/>
      <c r="AQ156" s="71"/>
      <c r="AR156" s="71"/>
      <c r="AS156" s="71"/>
      <c r="AT156" s="71"/>
      <c r="AU156" s="71"/>
      <c r="AV156" s="71"/>
      <c r="AW156" s="71"/>
      <c r="AX156" s="71"/>
      <c r="AY156" s="71"/>
      <c r="AZ156" s="71"/>
      <c r="BA156" s="71"/>
      <c r="BB156" s="71"/>
      <c r="BC156" s="71"/>
    </row>
    <row r="157" spans="1:55">
      <c r="A157" s="79">
        <v>25</v>
      </c>
      <c r="B157" s="80" t="s">
        <v>129</v>
      </c>
      <c r="C157" s="81"/>
      <c r="D157" s="81"/>
      <c r="E157" s="81"/>
      <c r="F157" s="81"/>
      <c r="G157" s="82"/>
      <c r="H157" s="82" t="s">
        <v>61</v>
      </c>
      <c r="I157" s="81"/>
      <c r="J157" s="81"/>
      <c r="K157" s="81"/>
      <c r="L157" s="81"/>
      <c r="M157" s="81"/>
      <c r="N157" s="82" t="s">
        <v>61</v>
      </c>
      <c r="O157" s="81"/>
      <c r="P157" s="81"/>
      <c r="Q157" s="81"/>
      <c r="R157" s="81"/>
      <c r="S157" s="82" t="s">
        <v>61</v>
      </c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71"/>
      <c r="AI157" s="71"/>
      <c r="AJ157" s="71"/>
      <c r="AK157" s="71"/>
      <c r="AL157" s="71"/>
      <c r="AM157" s="71"/>
      <c r="AN157" s="71"/>
      <c r="AO157" s="71"/>
      <c r="AP157" s="71"/>
      <c r="AQ157" s="71"/>
      <c r="AR157" s="71"/>
      <c r="AS157" s="71"/>
      <c r="AT157" s="71"/>
      <c r="AU157" s="71"/>
      <c r="AV157" s="71"/>
      <c r="AW157" s="71"/>
      <c r="AX157" s="71"/>
      <c r="AY157" s="71"/>
      <c r="AZ157" s="71"/>
      <c r="BA157" s="71"/>
      <c r="BB157" s="71"/>
      <c r="BC157" s="71"/>
    </row>
    <row r="158" spans="1:55">
      <c r="A158" s="79">
        <v>26</v>
      </c>
      <c r="B158" s="80" t="s">
        <v>130</v>
      </c>
      <c r="C158" s="81"/>
      <c r="D158" s="81"/>
      <c r="E158" s="81"/>
      <c r="F158" s="81"/>
      <c r="G158" s="81"/>
      <c r="H158" s="81"/>
      <c r="I158" s="82" t="s">
        <v>60</v>
      </c>
      <c r="J158" s="81"/>
      <c r="K158" s="82" t="s">
        <v>60</v>
      </c>
      <c r="L158" s="81"/>
      <c r="M158" s="82" t="s">
        <v>60</v>
      </c>
      <c r="N158" s="81"/>
      <c r="O158" s="81"/>
      <c r="P158" s="82" t="s">
        <v>60</v>
      </c>
      <c r="Q158" s="81"/>
      <c r="R158" s="82" t="s">
        <v>61</v>
      </c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71"/>
      <c r="AI158" s="71"/>
      <c r="AJ158" s="71"/>
      <c r="AK158" s="71"/>
      <c r="AL158" s="71"/>
      <c r="AM158" s="71"/>
      <c r="AN158" s="71"/>
      <c r="AO158" s="71"/>
      <c r="AP158" s="71"/>
      <c r="AQ158" s="71"/>
      <c r="AR158" s="71"/>
      <c r="AS158" s="71"/>
      <c r="AT158" s="71"/>
      <c r="AU158" s="71"/>
      <c r="AV158" s="71"/>
      <c r="AW158" s="71"/>
      <c r="AX158" s="71"/>
      <c r="AY158" s="71"/>
      <c r="AZ158" s="71"/>
      <c r="BA158" s="71"/>
      <c r="BB158" s="71"/>
      <c r="BC158" s="71"/>
    </row>
    <row r="159" spans="1:55">
      <c r="A159" s="79">
        <v>27</v>
      </c>
      <c r="B159" s="80" t="s">
        <v>131</v>
      </c>
      <c r="C159" s="81"/>
      <c r="D159" s="81"/>
      <c r="E159" s="81"/>
      <c r="F159" s="81"/>
      <c r="G159" s="81"/>
      <c r="H159" s="81"/>
      <c r="I159" s="81"/>
      <c r="J159" s="81"/>
      <c r="K159" s="81"/>
      <c r="L159" s="82" t="s">
        <v>61</v>
      </c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71"/>
      <c r="AI159" s="71"/>
      <c r="AJ159" s="71"/>
      <c r="AK159" s="71"/>
      <c r="AL159" s="71"/>
      <c r="AM159" s="71"/>
      <c r="AN159" s="71"/>
      <c r="AO159" s="71"/>
      <c r="AP159" s="71"/>
      <c r="AQ159" s="71"/>
      <c r="AR159" s="71"/>
      <c r="AS159" s="71"/>
      <c r="AT159" s="71"/>
      <c r="AU159" s="71"/>
      <c r="AV159" s="71"/>
      <c r="AW159" s="71"/>
      <c r="AX159" s="71"/>
      <c r="AY159" s="71"/>
      <c r="AZ159" s="71"/>
      <c r="BA159" s="71"/>
      <c r="BB159" s="71"/>
      <c r="BC159" s="71"/>
    </row>
    <row r="160" spans="1:55">
      <c r="A160" s="79">
        <v>28</v>
      </c>
      <c r="B160" s="80" t="s">
        <v>121</v>
      </c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2" t="s">
        <v>60</v>
      </c>
      <c r="N160" s="82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71"/>
      <c r="AI160" s="71"/>
      <c r="AJ160" s="71"/>
      <c r="AK160" s="71"/>
      <c r="AL160" s="71"/>
      <c r="AM160" s="71"/>
      <c r="AN160" s="71"/>
      <c r="AO160" s="71"/>
      <c r="AP160" s="71"/>
      <c r="AQ160" s="71"/>
      <c r="AR160" s="71"/>
      <c r="AS160" s="71"/>
      <c r="AT160" s="71"/>
      <c r="AU160" s="71"/>
      <c r="AV160" s="71"/>
      <c r="AW160" s="71"/>
      <c r="AX160" s="71"/>
      <c r="AY160" s="71"/>
      <c r="AZ160" s="71"/>
      <c r="BA160" s="71"/>
      <c r="BB160" s="71"/>
      <c r="BC160" s="71"/>
    </row>
    <row r="161" spans="1:55">
      <c r="A161" s="79">
        <v>29</v>
      </c>
      <c r="B161" s="80" t="s">
        <v>132</v>
      </c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2" t="s">
        <v>61</v>
      </c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2" t="s">
        <v>60</v>
      </c>
      <c r="Z161" s="81"/>
      <c r="AA161" s="81"/>
      <c r="AB161" s="81"/>
      <c r="AC161" s="81"/>
      <c r="AD161" s="81"/>
      <c r="AE161" s="81"/>
      <c r="AF161" s="81"/>
      <c r="AG161" s="81"/>
      <c r="AH161" s="71"/>
      <c r="AI161" s="71"/>
      <c r="AJ161" s="71"/>
      <c r="AK161" s="71"/>
      <c r="AL161" s="71"/>
      <c r="AM161" s="71"/>
      <c r="AN161" s="71"/>
      <c r="AO161" s="71"/>
      <c r="AP161" s="71"/>
      <c r="AQ161" s="71"/>
      <c r="AR161" s="71"/>
      <c r="AS161" s="71"/>
      <c r="AT161" s="71"/>
      <c r="AU161" s="71"/>
      <c r="AV161" s="71"/>
      <c r="AW161" s="71"/>
      <c r="AX161" s="71"/>
      <c r="AY161" s="71"/>
      <c r="AZ161" s="71"/>
      <c r="BA161" s="71"/>
      <c r="BB161" s="71"/>
      <c r="BC161" s="71"/>
    </row>
    <row r="162" spans="1:55">
      <c r="A162" s="79">
        <v>30</v>
      </c>
      <c r="B162" s="80" t="s">
        <v>133</v>
      </c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2" t="s">
        <v>61</v>
      </c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71"/>
      <c r="AI162" s="71"/>
      <c r="AJ162" s="71"/>
      <c r="AK162" s="71"/>
      <c r="AL162" s="71"/>
      <c r="AM162" s="71"/>
      <c r="AN162" s="71"/>
      <c r="AO162" s="71"/>
      <c r="AP162" s="71"/>
      <c r="AQ162" s="71"/>
      <c r="AR162" s="71"/>
      <c r="AS162" s="71"/>
      <c r="AT162" s="71"/>
      <c r="AU162" s="71"/>
      <c r="AV162" s="71"/>
      <c r="AW162" s="71"/>
      <c r="AX162" s="71"/>
      <c r="AY162" s="71"/>
      <c r="AZ162" s="71"/>
      <c r="BA162" s="71"/>
      <c r="BB162" s="71"/>
      <c r="BC162" s="71"/>
    </row>
    <row r="163" spans="1:55">
      <c r="A163" s="79">
        <v>31</v>
      </c>
      <c r="B163" s="80" t="s">
        <v>134</v>
      </c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2" t="s">
        <v>60</v>
      </c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71"/>
      <c r="AI163" s="71"/>
      <c r="AJ163" s="71"/>
      <c r="AK163" s="71"/>
      <c r="AL163" s="71"/>
      <c r="AM163" s="71"/>
      <c r="AN163" s="71"/>
      <c r="AO163" s="71"/>
      <c r="AP163" s="71"/>
      <c r="AQ163" s="71"/>
      <c r="AR163" s="71"/>
      <c r="AS163" s="71"/>
      <c r="AT163" s="71"/>
      <c r="AU163" s="71"/>
      <c r="AV163" s="71"/>
      <c r="AW163" s="71"/>
      <c r="AX163" s="71"/>
      <c r="AY163" s="71"/>
      <c r="AZ163" s="71"/>
      <c r="BA163" s="71"/>
      <c r="BB163" s="71"/>
      <c r="BC163" s="71"/>
    </row>
    <row r="164" spans="1:55">
      <c r="A164" s="79">
        <v>32</v>
      </c>
      <c r="B164" s="80" t="s">
        <v>135</v>
      </c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2" t="s">
        <v>61</v>
      </c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71"/>
      <c r="AI164" s="71"/>
      <c r="AJ164" s="71"/>
      <c r="AK164" s="71"/>
      <c r="AL164" s="71"/>
      <c r="AM164" s="71"/>
      <c r="AN164" s="71"/>
      <c r="AO164" s="71"/>
      <c r="AP164" s="71"/>
      <c r="AQ164" s="71"/>
      <c r="AR164" s="71"/>
      <c r="AS164" s="71"/>
      <c r="AT164" s="71"/>
      <c r="AU164" s="71"/>
      <c r="AV164" s="71"/>
      <c r="AW164" s="71"/>
      <c r="AX164" s="71"/>
      <c r="AY164" s="71"/>
      <c r="AZ164" s="71"/>
      <c r="BA164" s="71"/>
      <c r="BB164" s="71"/>
      <c r="BC164" s="71"/>
    </row>
    <row r="165" spans="1:55">
      <c r="A165" s="79">
        <v>33</v>
      </c>
      <c r="B165" s="80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71"/>
      <c r="AI165" s="71"/>
      <c r="AJ165" s="71"/>
      <c r="AK165" s="71"/>
      <c r="AL165" s="71"/>
      <c r="AM165" s="71"/>
      <c r="AN165" s="71"/>
      <c r="AO165" s="71"/>
      <c r="AP165" s="71"/>
      <c r="AQ165" s="71"/>
      <c r="AR165" s="71"/>
      <c r="AS165" s="71"/>
      <c r="AT165" s="71"/>
      <c r="AU165" s="71"/>
      <c r="AV165" s="71"/>
      <c r="AW165" s="71"/>
      <c r="AX165" s="71"/>
      <c r="AY165" s="71"/>
      <c r="AZ165" s="71"/>
      <c r="BA165" s="71"/>
      <c r="BB165" s="71"/>
      <c r="BC165" s="71"/>
    </row>
    <row r="166" spans="1:55">
      <c r="A166" s="79">
        <v>34</v>
      </c>
      <c r="B166" s="80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71"/>
      <c r="AI166" s="71"/>
      <c r="AJ166" s="71"/>
      <c r="AK166" s="71"/>
      <c r="AL166" s="71"/>
      <c r="AM166" s="71"/>
      <c r="AN166" s="71"/>
      <c r="AO166" s="71"/>
      <c r="AP166" s="71"/>
      <c r="AQ166" s="71"/>
      <c r="AR166" s="71"/>
      <c r="AS166" s="71"/>
      <c r="AT166" s="71"/>
      <c r="AU166" s="71"/>
      <c r="AV166" s="71"/>
      <c r="AW166" s="71"/>
      <c r="AX166" s="71"/>
      <c r="AY166" s="71"/>
      <c r="AZ166" s="71"/>
      <c r="BA166" s="71"/>
      <c r="BB166" s="71"/>
      <c r="BC166" s="71"/>
    </row>
    <row r="167" spans="1:55">
      <c r="A167" s="79">
        <v>35</v>
      </c>
      <c r="B167" s="80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71"/>
      <c r="AI167" s="71"/>
      <c r="AJ167" s="71"/>
      <c r="AK167" s="71"/>
      <c r="AL167" s="71"/>
      <c r="AM167" s="71"/>
      <c r="AN167" s="71"/>
      <c r="AO167" s="71"/>
      <c r="AP167" s="71"/>
      <c r="AQ167" s="71"/>
      <c r="AR167" s="71"/>
      <c r="AS167" s="71"/>
      <c r="AT167" s="71"/>
      <c r="AU167" s="71"/>
      <c r="AV167" s="71"/>
      <c r="AW167" s="71"/>
      <c r="AX167" s="71"/>
      <c r="AY167" s="71"/>
      <c r="AZ167" s="71"/>
      <c r="BA167" s="71"/>
      <c r="BB167" s="71"/>
      <c r="BC167" s="71"/>
    </row>
    <row r="168" spans="1:55">
      <c r="A168" s="79">
        <v>36</v>
      </c>
      <c r="B168" s="80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71"/>
      <c r="AI168" s="71"/>
      <c r="AJ168" s="71"/>
      <c r="AK168" s="71"/>
      <c r="AL168" s="71"/>
      <c r="AM168" s="71"/>
      <c r="AN168" s="71"/>
      <c r="AO168" s="71"/>
      <c r="AP168" s="71"/>
      <c r="AQ168" s="71"/>
      <c r="AR168" s="71"/>
      <c r="AS168" s="71"/>
      <c r="AT168" s="71"/>
      <c r="AU168" s="71"/>
      <c r="AV168" s="71"/>
      <c r="AW168" s="71"/>
      <c r="AX168" s="71"/>
      <c r="AY168" s="71"/>
      <c r="AZ168" s="71"/>
      <c r="BA168" s="71"/>
      <c r="BB168" s="71"/>
      <c r="BC168" s="71"/>
    </row>
    <row r="169" spans="1:55">
      <c r="A169" s="79">
        <v>37</v>
      </c>
      <c r="B169" s="80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71"/>
      <c r="AI169" s="71"/>
      <c r="AJ169" s="71"/>
      <c r="AK169" s="71"/>
      <c r="AL169" s="71"/>
      <c r="AM169" s="71"/>
      <c r="AN169" s="71"/>
      <c r="AO169" s="71"/>
      <c r="AP169" s="71"/>
      <c r="AQ169" s="71"/>
      <c r="AR169" s="71"/>
      <c r="AS169" s="71"/>
      <c r="AT169" s="71"/>
      <c r="AU169" s="71"/>
      <c r="AV169" s="71"/>
      <c r="AW169" s="71"/>
      <c r="AX169" s="71"/>
      <c r="AY169" s="71"/>
      <c r="AZ169" s="71"/>
      <c r="BA169" s="71"/>
      <c r="BB169" s="71"/>
      <c r="BC169" s="71"/>
    </row>
    <row r="170" spans="1:55">
      <c r="A170" s="79">
        <v>38</v>
      </c>
      <c r="B170" s="80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71"/>
      <c r="AI170" s="71"/>
      <c r="AJ170" s="71"/>
      <c r="AK170" s="71"/>
      <c r="AL170" s="71"/>
      <c r="AM170" s="71"/>
      <c r="AN170" s="71"/>
      <c r="AO170" s="71"/>
      <c r="AP170" s="71"/>
      <c r="AQ170" s="71"/>
      <c r="AR170" s="71"/>
      <c r="AS170" s="71"/>
      <c r="AT170" s="71"/>
      <c r="AU170" s="71"/>
      <c r="AV170" s="71"/>
      <c r="AW170" s="71"/>
      <c r="AX170" s="71"/>
      <c r="AY170" s="71"/>
      <c r="AZ170" s="71"/>
      <c r="BA170" s="71"/>
      <c r="BB170" s="71"/>
      <c r="BC170" s="71"/>
    </row>
    <row r="171" spans="1:55">
      <c r="A171" s="79">
        <v>39</v>
      </c>
      <c r="B171" s="80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71"/>
      <c r="AI171" s="71"/>
      <c r="AJ171" s="71"/>
      <c r="AK171" s="71"/>
      <c r="AL171" s="71"/>
      <c r="AM171" s="71"/>
      <c r="AN171" s="71"/>
      <c r="AO171" s="71"/>
      <c r="AP171" s="71"/>
      <c r="AQ171" s="71"/>
      <c r="AR171" s="71"/>
      <c r="AS171" s="71"/>
      <c r="AT171" s="71"/>
      <c r="AU171" s="71"/>
      <c r="AV171" s="71"/>
      <c r="AW171" s="71"/>
      <c r="AX171" s="71"/>
      <c r="AY171" s="71"/>
      <c r="AZ171" s="71"/>
      <c r="BA171" s="71"/>
      <c r="BB171" s="71"/>
      <c r="BC171" s="71"/>
    </row>
    <row r="172" spans="1:55">
      <c r="A172" s="79">
        <v>40</v>
      </c>
      <c r="B172" s="80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71"/>
      <c r="AI172" s="71"/>
      <c r="AJ172" s="71"/>
      <c r="AK172" s="71"/>
      <c r="AL172" s="71"/>
      <c r="AM172" s="71"/>
      <c r="AN172" s="71"/>
      <c r="AO172" s="71"/>
      <c r="AP172" s="71"/>
      <c r="AQ172" s="71"/>
      <c r="AR172" s="71"/>
      <c r="AS172" s="71"/>
      <c r="AT172" s="71"/>
      <c r="AU172" s="71"/>
      <c r="AV172" s="71"/>
      <c r="AW172" s="71"/>
      <c r="AX172" s="71"/>
      <c r="AY172" s="71"/>
      <c r="AZ172" s="71"/>
      <c r="BA172" s="71"/>
      <c r="BB172" s="71"/>
      <c r="BC172" s="71"/>
    </row>
    <row r="173" spans="1:55">
      <c r="A173" s="79">
        <v>41</v>
      </c>
      <c r="B173" s="80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71"/>
      <c r="AI173" s="71"/>
      <c r="AJ173" s="71"/>
      <c r="AK173" s="71"/>
      <c r="AL173" s="71"/>
      <c r="AM173" s="71"/>
      <c r="AN173" s="71"/>
      <c r="AO173" s="71"/>
      <c r="AP173" s="71"/>
      <c r="AQ173" s="71"/>
      <c r="AR173" s="71"/>
      <c r="AS173" s="71"/>
      <c r="AT173" s="71"/>
      <c r="AU173" s="71"/>
      <c r="AV173" s="71"/>
      <c r="AW173" s="71"/>
      <c r="AX173" s="71"/>
      <c r="AY173" s="71"/>
      <c r="AZ173" s="71"/>
      <c r="BA173" s="71"/>
      <c r="BB173" s="71"/>
      <c r="BC173" s="71"/>
    </row>
    <row r="174" spans="1:55">
      <c r="A174" s="79">
        <v>42</v>
      </c>
      <c r="B174" s="80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71"/>
      <c r="AI174" s="71"/>
      <c r="AJ174" s="71"/>
      <c r="AK174" s="71"/>
      <c r="AL174" s="71"/>
      <c r="AM174" s="71"/>
      <c r="AN174" s="71"/>
      <c r="AO174" s="71"/>
      <c r="AP174" s="71"/>
      <c r="AQ174" s="71"/>
      <c r="AR174" s="71"/>
      <c r="AS174" s="71"/>
      <c r="AT174" s="71"/>
      <c r="AU174" s="71"/>
      <c r="AV174" s="71"/>
      <c r="AW174" s="71"/>
      <c r="AX174" s="71"/>
      <c r="AY174" s="71"/>
      <c r="AZ174" s="71"/>
      <c r="BA174" s="71"/>
      <c r="BB174" s="71"/>
      <c r="BC174" s="71"/>
    </row>
    <row r="175" spans="1:55">
      <c r="A175" s="79">
        <v>43</v>
      </c>
      <c r="B175" s="80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71"/>
      <c r="AI175" s="71"/>
      <c r="AJ175" s="71"/>
      <c r="AK175" s="71"/>
      <c r="AL175" s="71"/>
      <c r="AM175" s="71"/>
      <c r="AN175" s="71"/>
      <c r="AO175" s="71"/>
      <c r="AP175" s="71"/>
      <c r="AQ175" s="71"/>
      <c r="AR175" s="71"/>
      <c r="AS175" s="71"/>
      <c r="AT175" s="71"/>
      <c r="AU175" s="71"/>
      <c r="AV175" s="71"/>
      <c r="AW175" s="71"/>
      <c r="AX175" s="71"/>
      <c r="AY175" s="71"/>
      <c r="AZ175" s="71"/>
      <c r="BA175" s="71"/>
      <c r="BB175" s="71"/>
      <c r="BC175" s="71"/>
    </row>
    <row r="176" spans="1:55">
      <c r="A176" s="79">
        <v>44</v>
      </c>
      <c r="B176" s="80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71"/>
      <c r="AI176" s="71"/>
      <c r="AJ176" s="71"/>
      <c r="AK176" s="71"/>
      <c r="AL176" s="71"/>
      <c r="AM176" s="71"/>
      <c r="AN176" s="71"/>
      <c r="AO176" s="71"/>
      <c r="AP176" s="71"/>
      <c r="AQ176" s="71"/>
      <c r="AR176" s="71"/>
      <c r="AS176" s="71"/>
      <c r="AT176" s="71"/>
      <c r="AU176" s="71"/>
      <c r="AV176" s="71"/>
      <c r="AW176" s="71"/>
      <c r="AX176" s="71"/>
      <c r="AY176" s="71"/>
      <c r="AZ176" s="71"/>
      <c r="BA176" s="71"/>
      <c r="BB176" s="71"/>
      <c r="BC176" s="71"/>
    </row>
    <row r="177" spans="1:55">
      <c r="A177" s="79">
        <v>45</v>
      </c>
      <c r="B177" s="80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71"/>
      <c r="AI177" s="71"/>
      <c r="AJ177" s="71"/>
      <c r="AK177" s="71"/>
      <c r="AL177" s="71"/>
      <c r="AM177" s="71"/>
      <c r="AN177" s="71"/>
      <c r="AO177" s="71"/>
      <c r="AP177" s="71"/>
      <c r="AQ177" s="71"/>
      <c r="AR177" s="71"/>
      <c r="AS177" s="71"/>
      <c r="AT177" s="71"/>
      <c r="AU177" s="71"/>
      <c r="AV177" s="71"/>
      <c r="AW177" s="71"/>
      <c r="AX177" s="71"/>
      <c r="AY177" s="71"/>
      <c r="AZ177" s="71"/>
      <c r="BA177" s="71"/>
      <c r="BB177" s="71"/>
      <c r="BC177" s="71"/>
    </row>
    <row r="178" spans="1:55">
      <c r="A178" s="79">
        <v>46</v>
      </c>
      <c r="B178" s="80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71"/>
      <c r="AI178" s="71"/>
      <c r="AJ178" s="71"/>
      <c r="AK178" s="71"/>
      <c r="AL178" s="71"/>
      <c r="AM178" s="71"/>
      <c r="AN178" s="71"/>
      <c r="AO178" s="71"/>
      <c r="AP178" s="71"/>
      <c r="AQ178" s="71"/>
      <c r="AR178" s="71"/>
      <c r="AS178" s="71"/>
      <c r="AT178" s="71"/>
      <c r="AU178" s="71"/>
      <c r="AV178" s="71"/>
      <c r="AW178" s="71"/>
      <c r="AX178" s="71"/>
      <c r="AY178" s="71"/>
      <c r="AZ178" s="71"/>
      <c r="BA178" s="71"/>
      <c r="BB178" s="71"/>
      <c r="BC178" s="71"/>
    </row>
    <row r="179" spans="1:55">
      <c r="A179" s="79">
        <v>47</v>
      </c>
      <c r="B179" s="80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71"/>
      <c r="AI179" s="71"/>
      <c r="AJ179" s="71"/>
      <c r="AK179" s="71"/>
      <c r="AL179" s="71"/>
      <c r="AM179" s="71"/>
      <c r="AN179" s="71"/>
      <c r="AO179" s="71"/>
      <c r="AP179" s="71"/>
      <c r="AQ179" s="71"/>
      <c r="AR179" s="71"/>
      <c r="AS179" s="71"/>
      <c r="AT179" s="71"/>
      <c r="AU179" s="71"/>
      <c r="AV179" s="71"/>
      <c r="AW179" s="71"/>
      <c r="AX179" s="71"/>
      <c r="AY179" s="71"/>
      <c r="AZ179" s="71"/>
      <c r="BA179" s="71"/>
      <c r="BB179" s="71"/>
      <c r="BC179" s="71"/>
    </row>
    <row r="180" spans="1:55">
      <c r="A180" s="79">
        <v>48</v>
      </c>
      <c r="B180" s="80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71"/>
      <c r="AI180" s="71"/>
      <c r="AJ180" s="71"/>
      <c r="AK180" s="71"/>
      <c r="AL180" s="71"/>
      <c r="AM180" s="71"/>
      <c r="AN180" s="71"/>
      <c r="AO180" s="71"/>
      <c r="AP180" s="71"/>
      <c r="AQ180" s="71"/>
      <c r="AR180" s="71"/>
      <c r="AS180" s="71"/>
      <c r="AT180" s="71"/>
      <c r="AU180" s="71"/>
      <c r="AV180" s="71"/>
      <c r="AW180" s="71"/>
      <c r="AX180" s="71"/>
      <c r="AY180" s="71"/>
      <c r="AZ180" s="71"/>
      <c r="BA180" s="71"/>
      <c r="BB180" s="71"/>
      <c r="BC180" s="71"/>
    </row>
    <row r="181" spans="1:55">
      <c r="A181" s="79">
        <v>49</v>
      </c>
      <c r="B181" s="80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71"/>
      <c r="AI181" s="71"/>
      <c r="AJ181" s="71"/>
      <c r="AK181" s="71"/>
      <c r="AL181" s="71"/>
      <c r="AM181" s="71"/>
      <c r="AN181" s="71"/>
      <c r="AO181" s="71"/>
      <c r="AP181" s="71"/>
      <c r="AQ181" s="71"/>
      <c r="AR181" s="71"/>
      <c r="AS181" s="71"/>
      <c r="AT181" s="71"/>
      <c r="AU181" s="71"/>
      <c r="AV181" s="71"/>
      <c r="AW181" s="71"/>
      <c r="AX181" s="71"/>
      <c r="AY181" s="71"/>
      <c r="AZ181" s="71"/>
      <c r="BA181" s="71"/>
      <c r="BB181" s="71"/>
      <c r="BC181" s="71"/>
    </row>
    <row r="182" spans="1:55">
      <c r="A182" s="79">
        <v>50</v>
      </c>
      <c r="B182" s="80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71"/>
      <c r="AI182" s="71"/>
      <c r="AJ182" s="71"/>
      <c r="AK182" s="71"/>
      <c r="AL182" s="71"/>
      <c r="AM182" s="71"/>
      <c r="AN182" s="71"/>
      <c r="AO182" s="71"/>
      <c r="AP182" s="71"/>
      <c r="AQ182" s="71"/>
      <c r="AR182" s="71"/>
      <c r="AS182" s="71"/>
      <c r="AT182" s="71"/>
      <c r="AU182" s="71"/>
      <c r="AV182" s="71"/>
      <c r="AW182" s="71"/>
      <c r="AX182" s="71"/>
      <c r="AY182" s="71"/>
      <c r="AZ182" s="71"/>
      <c r="BA182" s="71"/>
      <c r="BB182" s="71"/>
      <c r="BC182" s="71"/>
    </row>
    <row r="183" spans="1:55">
      <c r="A183" s="79">
        <v>51</v>
      </c>
      <c r="B183" s="80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71"/>
      <c r="AI183" s="71"/>
      <c r="AJ183" s="71"/>
      <c r="AK183" s="71"/>
      <c r="AL183" s="71"/>
      <c r="AM183" s="71"/>
      <c r="AN183" s="71"/>
      <c r="AO183" s="71"/>
      <c r="AP183" s="71"/>
      <c r="AQ183" s="71"/>
      <c r="AR183" s="71"/>
      <c r="AS183" s="71"/>
      <c r="AT183" s="71"/>
      <c r="AU183" s="71"/>
      <c r="AV183" s="71"/>
      <c r="AW183" s="71"/>
      <c r="AX183" s="71"/>
      <c r="AY183" s="71"/>
      <c r="AZ183" s="71"/>
      <c r="BA183" s="71"/>
      <c r="BB183" s="71"/>
      <c r="BC183" s="71"/>
    </row>
    <row r="184" spans="1:55">
      <c r="A184" s="79">
        <v>52</v>
      </c>
      <c r="B184" s="80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71"/>
      <c r="AI184" s="71"/>
      <c r="AJ184" s="71"/>
      <c r="AK184" s="71"/>
      <c r="AL184" s="71"/>
      <c r="AM184" s="71"/>
      <c r="AN184" s="71"/>
      <c r="AO184" s="71"/>
      <c r="AP184" s="71"/>
      <c r="AQ184" s="71"/>
      <c r="AR184" s="71"/>
      <c r="AS184" s="71"/>
      <c r="AT184" s="71"/>
      <c r="AU184" s="71"/>
      <c r="AV184" s="71"/>
      <c r="AW184" s="71"/>
      <c r="AX184" s="71"/>
      <c r="AY184" s="71"/>
      <c r="AZ184" s="71"/>
      <c r="BA184" s="71"/>
      <c r="BB184" s="71"/>
      <c r="BC184" s="71"/>
    </row>
    <row r="185" spans="1:55">
      <c r="A185" s="79">
        <v>53</v>
      </c>
      <c r="B185" s="80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71"/>
      <c r="AI185" s="71"/>
      <c r="AJ185" s="71"/>
      <c r="AK185" s="71"/>
      <c r="AL185" s="71"/>
      <c r="AM185" s="71"/>
      <c r="AN185" s="71"/>
      <c r="AO185" s="71"/>
      <c r="AP185" s="71"/>
      <c r="AQ185" s="71"/>
      <c r="AR185" s="71"/>
      <c r="AS185" s="71"/>
      <c r="AT185" s="71"/>
      <c r="AU185" s="71"/>
      <c r="AV185" s="71"/>
      <c r="AW185" s="71"/>
      <c r="AX185" s="71"/>
      <c r="AY185" s="71"/>
      <c r="AZ185" s="71"/>
      <c r="BA185" s="71"/>
      <c r="BB185" s="71"/>
      <c r="BC185" s="71"/>
    </row>
    <row r="186" spans="1:55">
      <c r="A186" s="79">
        <v>54</v>
      </c>
      <c r="B186" s="80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71"/>
      <c r="AI186" s="71"/>
      <c r="AJ186" s="71"/>
      <c r="AK186" s="71"/>
      <c r="AL186" s="71"/>
      <c r="AM186" s="71"/>
      <c r="AN186" s="71"/>
      <c r="AO186" s="71"/>
      <c r="AP186" s="71"/>
      <c r="AQ186" s="71"/>
      <c r="AR186" s="71"/>
      <c r="AS186" s="71"/>
      <c r="AT186" s="71"/>
      <c r="AU186" s="71"/>
      <c r="AV186" s="71"/>
      <c r="AW186" s="71"/>
      <c r="AX186" s="71"/>
      <c r="AY186" s="71"/>
      <c r="AZ186" s="71"/>
      <c r="BA186" s="71"/>
      <c r="BB186" s="71"/>
      <c r="BC186" s="71"/>
    </row>
    <row r="187" spans="1:55">
      <c r="A187" s="79">
        <v>55</v>
      </c>
      <c r="B187" s="80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71"/>
      <c r="AI187" s="71"/>
      <c r="AJ187" s="71"/>
      <c r="AK187" s="71"/>
      <c r="AL187" s="71"/>
      <c r="AM187" s="71"/>
      <c r="AN187" s="71"/>
      <c r="AO187" s="71"/>
      <c r="AP187" s="71"/>
      <c r="AQ187" s="71"/>
      <c r="AR187" s="71"/>
      <c r="AS187" s="71"/>
      <c r="AT187" s="71"/>
      <c r="AU187" s="71"/>
      <c r="AV187" s="71"/>
      <c r="AW187" s="71"/>
      <c r="AX187" s="71"/>
      <c r="AY187" s="71"/>
      <c r="AZ187" s="71"/>
      <c r="BA187" s="71"/>
      <c r="BB187" s="71"/>
      <c r="BC187" s="71"/>
    </row>
    <row r="188" spans="1:55">
      <c r="A188" s="79">
        <v>56</v>
      </c>
      <c r="B188" s="80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71"/>
      <c r="AI188" s="71"/>
      <c r="AJ188" s="71"/>
      <c r="AK188" s="71"/>
      <c r="AL188" s="71"/>
      <c r="AM188" s="71"/>
      <c r="AN188" s="71"/>
      <c r="AO188" s="71"/>
      <c r="AP188" s="71"/>
      <c r="AQ188" s="71"/>
      <c r="AR188" s="71"/>
      <c r="AS188" s="71"/>
      <c r="AT188" s="71"/>
      <c r="AU188" s="71"/>
      <c r="AV188" s="71"/>
      <c r="AW188" s="71"/>
      <c r="AX188" s="71"/>
      <c r="AY188" s="71"/>
      <c r="AZ188" s="71"/>
      <c r="BA188" s="71"/>
      <c r="BB188" s="71"/>
      <c r="BC188" s="71"/>
    </row>
    <row r="189" spans="1:55">
      <c r="A189" s="79">
        <v>57</v>
      </c>
      <c r="B189" s="80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71"/>
      <c r="AI189" s="71"/>
      <c r="AJ189" s="71"/>
      <c r="AK189" s="71"/>
      <c r="AL189" s="71"/>
      <c r="AM189" s="71"/>
      <c r="AN189" s="71"/>
      <c r="AO189" s="71"/>
      <c r="AP189" s="71"/>
      <c r="AQ189" s="71"/>
      <c r="AR189" s="71"/>
      <c r="AS189" s="71"/>
      <c r="AT189" s="71"/>
      <c r="AU189" s="71"/>
      <c r="AV189" s="71"/>
      <c r="AW189" s="71"/>
      <c r="AX189" s="71"/>
      <c r="AY189" s="71"/>
      <c r="AZ189" s="71"/>
      <c r="BA189" s="71"/>
      <c r="BB189" s="71"/>
      <c r="BC189" s="71"/>
    </row>
    <row r="190" spans="1:55">
      <c r="A190" s="79">
        <v>58</v>
      </c>
      <c r="B190" s="80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71"/>
      <c r="AI190" s="71"/>
      <c r="AJ190" s="71"/>
      <c r="AK190" s="71"/>
      <c r="AL190" s="71"/>
      <c r="AM190" s="71"/>
      <c r="AN190" s="71"/>
      <c r="AO190" s="71"/>
      <c r="AP190" s="71"/>
      <c r="AQ190" s="71"/>
      <c r="AR190" s="71"/>
      <c r="AS190" s="71"/>
      <c r="AT190" s="71"/>
      <c r="AU190" s="71"/>
      <c r="AV190" s="71"/>
      <c r="AW190" s="71"/>
      <c r="AX190" s="71"/>
      <c r="AY190" s="71"/>
      <c r="AZ190" s="71"/>
      <c r="BA190" s="71"/>
      <c r="BB190" s="71"/>
      <c r="BC190" s="71"/>
    </row>
    <row r="191" spans="1:55">
      <c r="A191" s="79">
        <v>59</v>
      </c>
      <c r="B191" s="80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71"/>
      <c r="AI191" s="71"/>
      <c r="AJ191" s="71"/>
      <c r="AK191" s="71"/>
      <c r="AL191" s="71"/>
      <c r="AM191" s="71"/>
      <c r="AN191" s="71"/>
      <c r="AO191" s="71"/>
      <c r="AP191" s="71"/>
      <c r="AQ191" s="71"/>
      <c r="AR191" s="71"/>
      <c r="AS191" s="71"/>
      <c r="AT191" s="71"/>
      <c r="AU191" s="71"/>
      <c r="AV191" s="71"/>
      <c r="AW191" s="71"/>
      <c r="AX191" s="71"/>
      <c r="AY191" s="71"/>
      <c r="AZ191" s="71"/>
      <c r="BA191" s="71"/>
      <c r="BB191" s="71"/>
      <c r="BC191" s="71"/>
    </row>
    <row r="192" spans="1:55">
      <c r="A192" s="79">
        <v>60</v>
      </c>
      <c r="B192" s="80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71"/>
      <c r="AI192" s="71"/>
      <c r="AJ192" s="71"/>
      <c r="AK192" s="71"/>
      <c r="AL192" s="71"/>
      <c r="AM192" s="71"/>
      <c r="AN192" s="71"/>
      <c r="AO192" s="71"/>
      <c r="AP192" s="71"/>
      <c r="AQ192" s="71"/>
      <c r="AR192" s="71"/>
      <c r="AS192" s="71"/>
      <c r="AT192" s="71"/>
      <c r="AU192" s="71"/>
      <c r="AV192" s="71"/>
      <c r="AW192" s="71"/>
      <c r="AX192" s="71"/>
      <c r="AY192" s="71"/>
      <c r="AZ192" s="71"/>
      <c r="BA192" s="71"/>
      <c r="BB192" s="71"/>
      <c r="BC192" s="71"/>
    </row>
    <row r="193" spans="1:55">
      <c r="A193" s="79">
        <v>61</v>
      </c>
      <c r="B193" s="80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71"/>
      <c r="AI193" s="71"/>
      <c r="AJ193" s="71"/>
      <c r="AK193" s="71"/>
      <c r="AL193" s="71"/>
      <c r="AM193" s="71"/>
      <c r="AN193" s="71"/>
      <c r="AO193" s="71"/>
      <c r="AP193" s="71"/>
      <c r="AQ193" s="71"/>
      <c r="AR193" s="71"/>
      <c r="AS193" s="71"/>
      <c r="AT193" s="71"/>
      <c r="AU193" s="71"/>
      <c r="AV193" s="71"/>
      <c r="AW193" s="71"/>
      <c r="AX193" s="71"/>
      <c r="AY193" s="71"/>
      <c r="AZ193" s="71"/>
      <c r="BA193" s="71"/>
      <c r="BB193" s="71"/>
      <c r="BC193" s="71"/>
    </row>
    <row r="194" spans="1:55">
      <c r="A194" s="79">
        <v>62</v>
      </c>
      <c r="B194" s="80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71"/>
      <c r="AI194" s="71"/>
      <c r="AJ194" s="71"/>
      <c r="AK194" s="71"/>
      <c r="AL194" s="71"/>
      <c r="AM194" s="71"/>
      <c r="AN194" s="71"/>
      <c r="AO194" s="71"/>
      <c r="AP194" s="71"/>
      <c r="AQ194" s="71"/>
      <c r="AR194" s="71"/>
      <c r="AS194" s="71"/>
      <c r="AT194" s="71"/>
      <c r="AU194" s="71"/>
      <c r="AV194" s="71"/>
      <c r="AW194" s="71"/>
      <c r="AX194" s="71"/>
      <c r="AY194" s="71"/>
      <c r="AZ194" s="71"/>
      <c r="BA194" s="71"/>
      <c r="BB194" s="71"/>
      <c r="BC194" s="71"/>
    </row>
    <row r="195" spans="1:55">
      <c r="A195" s="79">
        <v>63</v>
      </c>
      <c r="B195" s="80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71"/>
      <c r="AI195" s="71"/>
      <c r="AJ195" s="71"/>
      <c r="AK195" s="71"/>
      <c r="AL195" s="71"/>
      <c r="AM195" s="71"/>
      <c r="AN195" s="71"/>
      <c r="AO195" s="71"/>
      <c r="AP195" s="71"/>
      <c r="AQ195" s="71"/>
      <c r="AR195" s="71"/>
      <c r="AS195" s="71"/>
      <c r="AT195" s="71"/>
      <c r="AU195" s="71"/>
      <c r="AV195" s="71"/>
      <c r="AW195" s="71"/>
      <c r="AX195" s="71"/>
      <c r="AY195" s="71"/>
      <c r="AZ195" s="71"/>
      <c r="BA195" s="71"/>
      <c r="BB195" s="71"/>
      <c r="BC195" s="71"/>
    </row>
    <row r="196" spans="1:55">
      <c r="A196" s="79">
        <v>64</v>
      </c>
      <c r="B196" s="80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71"/>
      <c r="AI196" s="71"/>
      <c r="AJ196" s="71"/>
      <c r="AK196" s="71"/>
      <c r="AL196" s="71"/>
      <c r="AM196" s="71"/>
      <c r="AN196" s="71"/>
      <c r="AO196" s="71"/>
      <c r="AP196" s="71"/>
      <c r="AQ196" s="71"/>
      <c r="AR196" s="71"/>
      <c r="AS196" s="71"/>
      <c r="AT196" s="71"/>
      <c r="AU196" s="71"/>
      <c r="AV196" s="71"/>
      <c r="AW196" s="71"/>
      <c r="AX196" s="71"/>
      <c r="AY196" s="71"/>
      <c r="AZ196" s="71"/>
      <c r="BA196" s="71"/>
      <c r="BB196" s="71"/>
      <c r="BC196" s="71"/>
    </row>
    <row r="197" spans="1:55">
      <c r="A197" s="79">
        <v>65</v>
      </c>
      <c r="B197" s="80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71"/>
      <c r="AI197" s="71"/>
      <c r="AJ197" s="71"/>
      <c r="AK197" s="71"/>
      <c r="AL197" s="71"/>
      <c r="AM197" s="71"/>
      <c r="AN197" s="71"/>
      <c r="AO197" s="71"/>
      <c r="AP197" s="71"/>
      <c r="AQ197" s="71"/>
      <c r="AR197" s="71"/>
      <c r="AS197" s="71"/>
      <c r="AT197" s="71"/>
      <c r="AU197" s="71"/>
      <c r="AV197" s="71"/>
      <c r="AW197" s="71"/>
      <c r="AX197" s="71"/>
      <c r="AY197" s="71"/>
      <c r="AZ197" s="71"/>
      <c r="BA197" s="71"/>
      <c r="BB197" s="71"/>
      <c r="BC197" s="71"/>
    </row>
    <row r="198" spans="1:55">
      <c r="A198" s="79">
        <v>66</v>
      </c>
      <c r="B198" s="80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71"/>
      <c r="AI198" s="71"/>
      <c r="AJ198" s="71"/>
      <c r="AK198" s="71"/>
      <c r="AL198" s="71"/>
      <c r="AM198" s="71"/>
      <c r="AN198" s="71"/>
      <c r="AO198" s="71"/>
      <c r="AP198" s="71"/>
      <c r="AQ198" s="71"/>
      <c r="AR198" s="71"/>
      <c r="AS198" s="71"/>
      <c r="AT198" s="71"/>
      <c r="AU198" s="71"/>
      <c r="AV198" s="71"/>
      <c r="AW198" s="71"/>
      <c r="AX198" s="71"/>
      <c r="AY198" s="71"/>
      <c r="AZ198" s="71"/>
      <c r="BA198" s="71"/>
      <c r="BB198" s="71"/>
      <c r="BC198" s="71"/>
    </row>
    <row r="199" spans="1:55">
      <c r="A199" s="79"/>
      <c r="B199" s="92" t="s">
        <v>136</v>
      </c>
      <c r="C199" s="81">
        <f t="shared" ref="C199:AE199" si="1">COUNTA(C133:C198)</f>
        <v>0</v>
      </c>
      <c r="D199" s="81">
        <f t="shared" si="1"/>
        <v>6</v>
      </c>
      <c r="E199" s="81">
        <f t="shared" si="1"/>
        <v>4</v>
      </c>
      <c r="F199" s="81">
        <f t="shared" si="1"/>
        <v>4</v>
      </c>
      <c r="G199" s="81">
        <f t="shared" si="1"/>
        <v>2</v>
      </c>
      <c r="H199" s="81">
        <f t="shared" si="1"/>
        <v>3</v>
      </c>
      <c r="I199" s="81">
        <f t="shared" si="1"/>
        <v>1</v>
      </c>
      <c r="J199" s="81">
        <f t="shared" si="1"/>
        <v>0</v>
      </c>
      <c r="K199" s="81">
        <f t="shared" si="1"/>
        <v>2</v>
      </c>
      <c r="L199" s="81">
        <f t="shared" si="1"/>
        <v>3</v>
      </c>
      <c r="M199" s="81">
        <f t="shared" si="1"/>
        <v>3</v>
      </c>
      <c r="N199" s="81">
        <f t="shared" si="1"/>
        <v>4</v>
      </c>
      <c r="O199" s="81">
        <f t="shared" si="1"/>
        <v>3</v>
      </c>
      <c r="P199" s="81">
        <f t="shared" si="1"/>
        <v>3</v>
      </c>
      <c r="Q199" s="81">
        <f t="shared" si="1"/>
        <v>0</v>
      </c>
      <c r="R199" s="81">
        <f t="shared" si="1"/>
        <v>6</v>
      </c>
      <c r="S199" s="81">
        <f t="shared" si="1"/>
        <v>1</v>
      </c>
      <c r="T199" s="81">
        <f t="shared" si="1"/>
        <v>2</v>
      </c>
      <c r="U199" s="81">
        <f t="shared" si="1"/>
        <v>4</v>
      </c>
      <c r="V199" s="81">
        <f t="shared" si="1"/>
        <v>0</v>
      </c>
      <c r="W199" s="81">
        <f t="shared" si="1"/>
        <v>1</v>
      </c>
      <c r="X199" s="81">
        <f t="shared" si="1"/>
        <v>0</v>
      </c>
      <c r="Y199" s="81">
        <f t="shared" si="1"/>
        <v>5</v>
      </c>
      <c r="Z199" s="81">
        <f t="shared" si="1"/>
        <v>5</v>
      </c>
      <c r="AA199" s="81">
        <f t="shared" si="1"/>
        <v>2</v>
      </c>
      <c r="AB199" s="81">
        <f t="shared" si="1"/>
        <v>2</v>
      </c>
      <c r="AC199" s="81">
        <f t="shared" si="1"/>
        <v>2</v>
      </c>
      <c r="AD199" s="81">
        <f t="shared" si="1"/>
        <v>2</v>
      </c>
      <c r="AE199" s="81">
        <f t="shared" si="1"/>
        <v>0</v>
      </c>
      <c r="AF199" s="81"/>
      <c r="AG199" s="81">
        <f>COUNTA(AG133:AG198)</f>
        <v>0</v>
      </c>
      <c r="AH199" s="71"/>
      <c r="AI199" s="71"/>
      <c r="AJ199" s="71"/>
      <c r="AK199" s="71"/>
      <c r="AL199" s="71"/>
      <c r="AM199" s="71"/>
      <c r="AN199" s="71"/>
      <c r="AO199" s="71"/>
      <c r="AP199" s="71"/>
      <c r="AQ199" s="71"/>
      <c r="AR199" s="71"/>
      <c r="AS199" s="71"/>
      <c r="AT199" s="71"/>
      <c r="AU199" s="71"/>
      <c r="AV199" s="71"/>
      <c r="AW199" s="71"/>
      <c r="AX199" s="71"/>
      <c r="AY199" s="71"/>
      <c r="AZ199" s="71"/>
      <c r="BA199" s="71"/>
      <c r="BB199" s="71"/>
      <c r="BC199" s="71"/>
    </row>
    <row r="200" spans="1:55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71"/>
      <c r="AJ200" s="71"/>
      <c r="AK200" s="71"/>
      <c r="AL200" s="71"/>
      <c r="AM200" s="71"/>
      <c r="AN200" s="71"/>
      <c r="AO200" s="71"/>
      <c r="AP200" s="71"/>
      <c r="AQ200" s="71"/>
      <c r="AR200" s="71"/>
      <c r="AS200" s="71"/>
      <c r="AT200" s="71"/>
      <c r="AU200" s="71"/>
      <c r="AV200" s="71"/>
      <c r="AW200" s="71"/>
      <c r="AX200" s="71"/>
      <c r="AY200" s="71"/>
      <c r="AZ200" s="71"/>
      <c r="BA200" s="71"/>
      <c r="BB200" s="71"/>
      <c r="BC200" s="71"/>
    </row>
    <row r="201" spans="1:55">
      <c r="A201" s="82" t="s">
        <v>61</v>
      </c>
      <c r="B201" s="91" t="s">
        <v>103</v>
      </c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 t="s">
        <v>50</v>
      </c>
      <c r="N201" s="71"/>
      <c r="O201" s="71"/>
      <c r="P201" s="71"/>
      <c r="Q201" s="71"/>
      <c r="R201" s="71"/>
      <c r="S201" s="71"/>
      <c r="T201" s="71"/>
      <c r="U201" s="71"/>
      <c r="V201" s="71" t="s">
        <v>50</v>
      </c>
      <c r="W201" s="71"/>
      <c r="X201" s="71"/>
      <c r="Y201" s="71" t="s">
        <v>50</v>
      </c>
      <c r="Z201" s="71"/>
      <c r="AA201" s="71"/>
      <c r="AB201" s="71"/>
      <c r="AC201" s="71"/>
      <c r="AD201" s="71"/>
      <c r="AE201" s="71"/>
      <c r="AF201" s="71"/>
      <c r="AG201" s="71"/>
      <c r="AH201" s="71"/>
      <c r="AI201" s="71"/>
      <c r="AJ201" s="71"/>
      <c r="AK201" s="71"/>
      <c r="AL201" s="71"/>
      <c r="AM201" s="71"/>
      <c r="AN201" s="71"/>
      <c r="AO201" s="71"/>
      <c r="AP201" s="71"/>
      <c r="AQ201" s="71"/>
      <c r="AR201" s="71"/>
      <c r="AS201" s="71"/>
      <c r="AT201" s="71"/>
      <c r="AU201" s="71"/>
      <c r="AV201" s="71"/>
      <c r="AW201" s="71"/>
      <c r="AX201" s="71"/>
      <c r="AY201" s="71"/>
      <c r="AZ201" s="71"/>
      <c r="BA201" s="71"/>
      <c r="BB201" s="71"/>
      <c r="BC201" s="71"/>
    </row>
    <row r="202" spans="1:55">
      <c r="A202" s="82" t="s">
        <v>62</v>
      </c>
      <c r="B202" s="91" t="s">
        <v>104</v>
      </c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 t="s">
        <v>50</v>
      </c>
      <c r="Q202" s="71"/>
      <c r="R202" s="71"/>
      <c r="S202" s="71"/>
      <c r="T202" s="71"/>
      <c r="U202" s="71"/>
      <c r="V202" s="71"/>
      <c r="W202" s="71"/>
      <c r="X202" s="71" t="s">
        <v>50</v>
      </c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71"/>
      <c r="AJ202" s="71"/>
      <c r="AK202" s="71"/>
      <c r="AL202" s="71"/>
      <c r="AM202" s="71"/>
      <c r="AN202" s="71"/>
      <c r="AO202" s="71"/>
      <c r="AP202" s="71"/>
      <c r="AQ202" s="71"/>
      <c r="AR202" s="71"/>
      <c r="AS202" s="71"/>
      <c r="AT202" s="71"/>
      <c r="AU202" s="71"/>
      <c r="AV202" s="71"/>
      <c r="AW202" s="71"/>
      <c r="AX202" s="71"/>
      <c r="AY202" s="71"/>
      <c r="AZ202" s="71"/>
      <c r="BA202" s="71"/>
      <c r="BB202" s="71"/>
      <c r="BC202" s="71"/>
    </row>
    <row r="203" spans="1:55">
      <c r="A203" s="82" t="s">
        <v>60</v>
      </c>
      <c r="B203" s="91" t="s">
        <v>105</v>
      </c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 t="s">
        <v>50</v>
      </c>
      <c r="P203" s="71"/>
      <c r="Q203" s="71"/>
      <c r="R203" s="71" t="s">
        <v>50</v>
      </c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71"/>
      <c r="AJ203" s="71"/>
      <c r="AK203" s="71"/>
      <c r="AL203" s="71"/>
      <c r="AM203" s="71"/>
      <c r="AN203" s="71"/>
      <c r="AO203" s="71"/>
      <c r="AP203" s="71"/>
      <c r="AQ203" s="71"/>
      <c r="AR203" s="71"/>
      <c r="AS203" s="71"/>
      <c r="AT203" s="71"/>
      <c r="AU203" s="71"/>
      <c r="AV203" s="71"/>
      <c r="AW203" s="71"/>
      <c r="AX203" s="71"/>
      <c r="AY203" s="71"/>
      <c r="AZ203" s="71"/>
      <c r="BA203" s="71"/>
      <c r="BB203" s="71"/>
      <c r="BC203" s="71"/>
    </row>
    <row r="204" spans="1:55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 t="s">
        <v>50</v>
      </c>
      <c r="O204" s="71"/>
      <c r="P204" s="71" t="s">
        <v>50</v>
      </c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71"/>
      <c r="AJ204" s="71"/>
      <c r="AK204" s="71"/>
      <c r="AL204" s="71"/>
      <c r="AM204" s="71"/>
      <c r="AN204" s="71"/>
      <c r="AO204" s="71"/>
      <c r="AP204" s="71"/>
      <c r="AQ204" s="71"/>
      <c r="AR204" s="71"/>
      <c r="AS204" s="71"/>
      <c r="AT204" s="71"/>
      <c r="AU204" s="71"/>
      <c r="AV204" s="71"/>
      <c r="AW204" s="71"/>
      <c r="AX204" s="71"/>
      <c r="AY204" s="71"/>
      <c r="AZ204" s="71"/>
      <c r="BA204" s="71"/>
      <c r="BB204" s="71"/>
      <c r="BC204" s="71"/>
    </row>
    <row r="205" spans="1:55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 t="s">
        <v>50</v>
      </c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71"/>
      <c r="AJ205" s="71"/>
      <c r="AK205" s="71"/>
      <c r="AL205" s="71"/>
      <c r="AM205" s="71"/>
      <c r="AN205" s="71"/>
      <c r="AO205" s="71"/>
      <c r="AP205" s="71"/>
      <c r="AQ205" s="71"/>
      <c r="AR205" s="71"/>
      <c r="AS205" s="71"/>
      <c r="AT205" s="71"/>
      <c r="AU205" s="71"/>
      <c r="AV205" s="71"/>
      <c r="AW205" s="71"/>
      <c r="AX205" s="71"/>
      <c r="AY205" s="71"/>
      <c r="AZ205" s="71"/>
      <c r="BA205" s="71"/>
      <c r="BB205" s="71"/>
      <c r="BC205" s="71"/>
    </row>
    <row r="206" spans="1:55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 t="s">
        <v>50</v>
      </c>
      <c r="T206" s="71"/>
      <c r="U206" s="71"/>
      <c r="V206" s="71"/>
      <c r="W206" s="71" t="s">
        <v>50</v>
      </c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71"/>
      <c r="AJ206" s="71"/>
      <c r="AK206" s="71"/>
      <c r="AL206" s="71"/>
      <c r="AM206" s="71"/>
      <c r="AN206" s="71"/>
      <c r="AO206" s="71"/>
      <c r="AP206" s="71"/>
      <c r="AQ206" s="71"/>
      <c r="AR206" s="71"/>
      <c r="AS206" s="71"/>
      <c r="AT206" s="71"/>
      <c r="AU206" s="71"/>
      <c r="AV206" s="71"/>
      <c r="AW206" s="71"/>
      <c r="AX206" s="71"/>
      <c r="AY206" s="71"/>
      <c r="AZ206" s="71"/>
      <c r="BA206" s="71"/>
      <c r="BB206" s="71"/>
      <c r="BC206" s="71"/>
    </row>
    <row r="207" spans="1:55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71"/>
      <c r="AJ207" s="71"/>
      <c r="AK207" s="71"/>
      <c r="AL207" s="71"/>
      <c r="AM207" s="71"/>
      <c r="AN207" s="71"/>
      <c r="AO207" s="71"/>
      <c r="AP207" s="71"/>
      <c r="AQ207" s="71"/>
      <c r="AR207" s="71"/>
      <c r="AS207" s="71"/>
      <c r="AT207" s="71"/>
      <c r="AU207" s="71"/>
      <c r="AV207" s="71"/>
      <c r="AW207" s="71"/>
      <c r="AX207" s="71"/>
      <c r="AY207" s="71"/>
      <c r="AZ207" s="71"/>
      <c r="BA207" s="71"/>
      <c r="BB207" s="71"/>
      <c r="BC207" s="71"/>
    </row>
    <row r="208" spans="1:55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 t="s">
        <v>50</v>
      </c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71"/>
      <c r="AJ208" s="71"/>
      <c r="AK208" s="71"/>
      <c r="AL208" s="71"/>
      <c r="AM208" s="71"/>
      <c r="AN208" s="71"/>
      <c r="AO208" s="71"/>
      <c r="AP208" s="71"/>
      <c r="AQ208" s="71"/>
      <c r="AR208" s="71"/>
      <c r="AS208" s="71"/>
      <c r="AT208" s="71"/>
      <c r="AU208" s="71"/>
      <c r="AV208" s="71"/>
      <c r="AW208" s="71"/>
      <c r="AX208" s="71"/>
      <c r="AY208" s="71"/>
      <c r="AZ208" s="71"/>
      <c r="BA208" s="71"/>
      <c r="BB208" s="71"/>
      <c r="BC208" s="71"/>
    </row>
    <row r="209" spans="1:55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71"/>
      <c r="AJ209" s="71"/>
      <c r="AK209" s="71"/>
      <c r="AL209" s="71"/>
      <c r="AM209" s="71"/>
      <c r="AN209" s="71"/>
      <c r="AO209" s="71"/>
      <c r="AP209" s="71"/>
      <c r="AQ209" s="71"/>
      <c r="AR209" s="71"/>
      <c r="AS209" s="71"/>
      <c r="AT209" s="71"/>
      <c r="AU209" s="71"/>
      <c r="AV209" s="71"/>
      <c r="AW209" s="71"/>
      <c r="AX209" s="71"/>
      <c r="AY209" s="71"/>
      <c r="AZ209" s="71"/>
      <c r="BA209" s="71"/>
      <c r="BB209" s="71"/>
      <c r="BC209" s="71"/>
    </row>
    <row r="210" spans="1:55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 t="s">
        <v>50</v>
      </c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71"/>
      <c r="AJ210" s="71"/>
      <c r="AK210" s="71"/>
      <c r="AL210" s="71"/>
      <c r="AM210" s="71"/>
      <c r="AN210" s="71"/>
      <c r="AO210" s="71"/>
      <c r="AP210" s="71"/>
      <c r="AQ210" s="71"/>
      <c r="AR210" s="71"/>
      <c r="AS210" s="71"/>
      <c r="AT210" s="71"/>
      <c r="AU210" s="71"/>
      <c r="AV210" s="71"/>
      <c r="AW210" s="71"/>
      <c r="AX210" s="71"/>
      <c r="AY210" s="71"/>
      <c r="AZ210" s="71"/>
      <c r="BA210" s="71"/>
      <c r="BB210" s="71"/>
      <c r="BC210" s="71"/>
    </row>
    <row r="211" spans="1:55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 t="s">
        <v>50</v>
      </c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71"/>
      <c r="AK211" s="71"/>
      <c r="AL211" s="71"/>
      <c r="AM211" s="71"/>
      <c r="AN211" s="71"/>
      <c r="AO211" s="71"/>
      <c r="AP211" s="71"/>
      <c r="AQ211" s="71"/>
      <c r="AR211" s="71"/>
      <c r="AS211" s="71"/>
      <c r="AT211" s="71"/>
      <c r="AU211" s="71"/>
      <c r="AV211" s="71"/>
      <c r="AW211" s="71"/>
      <c r="AX211" s="71"/>
      <c r="AY211" s="71"/>
      <c r="AZ211" s="71"/>
      <c r="BA211" s="71"/>
      <c r="BB211" s="71"/>
      <c r="BC211" s="71"/>
    </row>
    <row r="212" spans="1:55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71"/>
      <c r="AJ212" s="71"/>
      <c r="AK212" s="71"/>
      <c r="AL212" s="71"/>
      <c r="AM212" s="71"/>
      <c r="AN212" s="71"/>
      <c r="AO212" s="71"/>
      <c r="AP212" s="71"/>
      <c r="AQ212" s="71"/>
      <c r="AR212" s="71"/>
      <c r="AS212" s="71"/>
      <c r="AT212" s="71"/>
      <c r="AU212" s="71"/>
      <c r="AV212" s="71"/>
      <c r="AW212" s="71"/>
      <c r="AX212" s="71"/>
      <c r="AY212" s="71"/>
      <c r="AZ212" s="71"/>
      <c r="BA212" s="71"/>
      <c r="BB212" s="71"/>
      <c r="BC212" s="71"/>
    </row>
    <row r="213" spans="1:55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71"/>
      <c r="AJ213" s="71"/>
      <c r="AK213" s="71"/>
      <c r="AL213" s="71"/>
      <c r="AM213" s="71"/>
      <c r="AN213" s="71"/>
      <c r="AO213" s="71"/>
      <c r="AP213" s="71"/>
      <c r="AQ213" s="71"/>
      <c r="AR213" s="71"/>
      <c r="AS213" s="71"/>
      <c r="AT213" s="71"/>
      <c r="AU213" s="71"/>
      <c r="AV213" s="71"/>
      <c r="AW213" s="71"/>
      <c r="AX213" s="71"/>
      <c r="AY213" s="71"/>
      <c r="AZ213" s="71"/>
      <c r="BA213" s="71"/>
      <c r="BB213" s="71"/>
      <c r="BC213" s="71"/>
    </row>
    <row r="214" spans="1:55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71"/>
      <c r="AJ214" s="71"/>
      <c r="AK214" s="71"/>
      <c r="AL214" s="71"/>
      <c r="AM214" s="71"/>
      <c r="AN214" s="71"/>
      <c r="AO214" s="71"/>
      <c r="AP214" s="71"/>
      <c r="AQ214" s="71"/>
      <c r="AR214" s="71"/>
      <c r="AS214" s="71"/>
      <c r="AT214" s="71"/>
      <c r="AU214" s="71"/>
      <c r="AV214" s="71"/>
      <c r="AW214" s="71"/>
      <c r="AX214" s="71"/>
      <c r="AY214" s="71"/>
      <c r="AZ214" s="71"/>
      <c r="BA214" s="71"/>
      <c r="BB214" s="71"/>
      <c r="BC214" s="71"/>
    </row>
    <row r="215" spans="1:55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 t="s">
        <v>50</v>
      </c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  <c r="AP215" s="71"/>
      <c r="AQ215" s="71"/>
      <c r="AR215" s="71"/>
      <c r="AS215" s="71"/>
      <c r="AT215" s="71"/>
      <c r="AU215" s="71"/>
      <c r="AV215" s="71"/>
      <c r="AW215" s="71"/>
      <c r="AX215" s="71"/>
      <c r="AY215" s="71"/>
      <c r="AZ215" s="71"/>
      <c r="BA215" s="71"/>
      <c r="BB215" s="71"/>
      <c r="BC215" s="71"/>
    </row>
    <row r="216" spans="1:55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  <c r="AP216" s="71"/>
      <c r="AQ216" s="71"/>
      <c r="AR216" s="71"/>
      <c r="AS216" s="71"/>
      <c r="AT216" s="71"/>
      <c r="AU216" s="71"/>
      <c r="AV216" s="71"/>
      <c r="AW216" s="71"/>
      <c r="AX216" s="71"/>
      <c r="AY216" s="71"/>
      <c r="AZ216" s="71"/>
      <c r="BA216" s="71"/>
      <c r="BB216" s="71"/>
      <c r="BC216" s="71"/>
    </row>
    <row r="217" spans="1:55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71"/>
      <c r="AJ217" s="71"/>
      <c r="AK217" s="71"/>
      <c r="AL217" s="71"/>
      <c r="AM217" s="71"/>
      <c r="AN217" s="71"/>
      <c r="AO217" s="71"/>
      <c r="AP217" s="71"/>
      <c r="AQ217" s="71"/>
      <c r="AR217" s="71"/>
      <c r="AS217" s="71"/>
      <c r="AT217" s="71"/>
      <c r="AU217" s="71"/>
      <c r="AV217" s="71"/>
      <c r="AW217" s="71"/>
      <c r="AX217" s="71"/>
      <c r="AY217" s="71"/>
      <c r="AZ217" s="71"/>
      <c r="BA217" s="71"/>
      <c r="BB217" s="71"/>
      <c r="BC217" s="71"/>
    </row>
    <row r="218" spans="1:55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71"/>
      <c r="AJ218" s="71"/>
      <c r="AK218" s="71"/>
      <c r="AL218" s="71"/>
      <c r="AM218" s="71"/>
      <c r="AN218" s="71"/>
      <c r="AO218" s="71"/>
      <c r="AP218" s="71"/>
      <c r="AQ218" s="71"/>
      <c r="AR218" s="71"/>
      <c r="AS218" s="71"/>
      <c r="AT218" s="71"/>
      <c r="AU218" s="71"/>
      <c r="AV218" s="71"/>
      <c r="AW218" s="71"/>
      <c r="AX218" s="71"/>
      <c r="AY218" s="71"/>
      <c r="AZ218" s="71"/>
      <c r="BA218" s="71"/>
      <c r="BB218" s="71"/>
      <c r="BC218" s="71"/>
    </row>
    <row r="219" spans="1:55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71"/>
      <c r="AJ219" s="71"/>
      <c r="AK219" s="71"/>
      <c r="AL219" s="71"/>
      <c r="AM219" s="71"/>
      <c r="AN219" s="71"/>
      <c r="AO219" s="71"/>
      <c r="AP219" s="71"/>
      <c r="AQ219" s="71"/>
      <c r="AR219" s="71"/>
      <c r="AS219" s="71"/>
      <c r="AT219" s="71"/>
      <c r="AU219" s="71"/>
      <c r="AV219" s="71"/>
      <c r="AW219" s="71"/>
      <c r="AX219" s="71"/>
      <c r="AY219" s="71"/>
      <c r="AZ219" s="71"/>
      <c r="BA219" s="71"/>
      <c r="BB219" s="71"/>
      <c r="BC219" s="71"/>
    </row>
    <row r="220" spans="1:55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  <c r="AP220" s="71"/>
      <c r="AQ220" s="71"/>
      <c r="AR220" s="71"/>
      <c r="AS220" s="71"/>
      <c r="AT220" s="71"/>
      <c r="AU220" s="71"/>
      <c r="AV220" s="71"/>
      <c r="AW220" s="71"/>
      <c r="AX220" s="71"/>
      <c r="AY220" s="71"/>
      <c r="AZ220" s="71"/>
      <c r="BA220" s="71"/>
      <c r="BB220" s="71"/>
      <c r="BC220" s="71"/>
    </row>
    <row r="221" spans="1:55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  <c r="AP221" s="71"/>
      <c r="AQ221" s="71"/>
      <c r="AR221" s="71"/>
      <c r="AS221" s="71"/>
      <c r="AT221" s="71"/>
      <c r="AU221" s="71"/>
      <c r="AV221" s="71"/>
      <c r="AW221" s="71"/>
      <c r="AX221" s="71"/>
      <c r="AY221" s="71"/>
      <c r="AZ221" s="71"/>
      <c r="BA221" s="71"/>
      <c r="BB221" s="71"/>
      <c r="BC221" s="71"/>
    </row>
    <row r="222" spans="1:55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1"/>
      <c r="AQ222" s="71"/>
      <c r="AR222" s="71"/>
      <c r="AS222" s="71"/>
      <c r="AT222" s="71"/>
      <c r="AU222" s="71"/>
      <c r="AV222" s="71"/>
      <c r="AW222" s="71"/>
      <c r="AX222" s="71"/>
      <c r="AY222" s="71"/>
      <c r="AZ222" s="71"/>
      <c r="BA222" s="71"/>
      <c r="BB222" s="71"/>
      <c r="BC222" s="71"/>
    </row>
    <row r="223" spans="1:55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71"/>
      <c r="AJ223" s="71"/>
      <c r="AK223" s="71"/>
      <c r="AL223" s="71"/>
      <c r="AM223" s="71"/>
      <c r="AN223" s="71"/>
      <c r="AO223" s="71"/>
      <c r="AP223" s="71"/>
      <c r="AQ223" s="71"/>
      <c r="AR223" s="71"/>
      <c r="AS223" s="71"/>
      <c r="AT223" s="71"/>
      <c r="AU223" s="71"/>
      <c r="AV223" s="71"/>
      <c r="AW223" s="71"/>
      <c r="AX223" s="71"/>
      <c r="AY223" s="71"/>
      <c r="AZ223" s="71"/>
      <c r="BA223" s="71"/>
      <c r="BB223" s="71"/>
      <c r="BC223" s="71"/>
    </row>
    <row r="224" spans="1:55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71"/>
      <c r="AJ224" s="71"/>
      <c r="AK224" s="71"/>
      <c r="AL224" s="71"/>
      <c r="AM224" s="71"/>
      <c r="AN224" s="71"/>
      <c r="AO224" s="71"/>
      <c r="AP224" s="71"/>
      <c r="AQ224" s="71"/>
      <c r="AR224" s="71"/>
      <c r="AS224" s="71"/>
      <c r="AT224" s="71"/>
      <c r="AU224" s="71"/>
      <c r="AV224" s="71"/>
      <c r="AW224" s="71"/>
      <c r="AX224" s="71"/>
      <c r="AY224" s="71"/>
      <c r="AZ224" s="71"/>
      <c r="BA224" s="71"/>
      <c r="BB224" s="71"/>
      <c r="BC224" s="71"/>
    </row>
    <row r="225" spans="1:55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  <c r="AK225" s="71"/>
      <c r="AL225" s="71"/>
      <c r="AM225" s="71"/>
      <c r="AN225" s="71"/>
      <c r="AO225" s="71"/>
      <c r="AP225" s="71"/>
      <c r="AQ225" s="71"/>
      <c r="AR225" s="71"/>
      <c r="AS225" s="71"/>
      <c r="AT225" s="71"/>
      <c r="AU225" s="71"/>
      <c r="AV225" s="71"/>
      <c r="AW225" s="71"/>
      <c r="AX225" s="71"/>
      <c r="AY225" s="71"/>
      <c r="AZ225" s="71"/>
      <c r="BA225" s="71"/>
      <c r="BB225" s="71"/>
      <c r="BC225" s="71"/>
    </row>
    <row r="226" spans="1:55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  <c r="AP226" s="71"/>
      <c r="AQ226" s="71"/>
      <c r="AR226" s="71"/>
      <c r="AS226" s="71"/>
      <c r="AT226" s="71"/>
      <c r="AU226" s="71"/>
      <c r="AV226" s="71"/>
      <c r="AW226" s="71"/>
      <c r="AX226" s="71"/>
      <c r="AY226" s="71"/>
      <c r="AZ226" s="71"/>
      <c r="BA226" s="71"/>
      <c r="BB226" s="71"/>
      <c r="BC226" s="71"/>
    </row>
    <row r="227" spans="1:55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  <c r="AP227" s="71"/>
      <c r="AQ227" s="71"/>
      <c r="AR227" s="71"/>
      <c r="AS227" s="71"/>
      <c r="AT227" s="71"/>
      <c r="AU227" s="71"/>
      <c r="AV227" s="71"/>
      <c r="AW227" s="71"/>
      <c r="AX227" s="71"/>
      <c r="AY227" s="71"/>
      <c r="AZ227" s="71"/>
      <c r="BA227" s="71"/>
      <c r="BB227" s="71"/>
      <c r="BC227" s="71"/>
    </row>
    <row r="228" spans="1:55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71"/>
      <c r="AJ228" s="71"/>
      <c r="AK228" s="71"/>
      <c r="AL228" s="71"/>
      <c r="AM228" s="71"/>
      <c r="AN228" s="71"/>
      <c r="AO228" s="71"/>
      <c r="AP228" s="71"/>
      <c r="AQ228" s="71"/>
      <c r="AR228" s="71"/>
      <c r="AS228" s="71"/>
      <c r="AT228" s="71"/>
      <c r="AU228" s="71"/>
      <c r="AV228" s="71"/>
      <c r="AW228" s="71"/>
      <c r="AX228" s="71"/>
      <c r="AY228" s="71"/>
      <c r="AZ228" s="71"/>
      <c r="BA228" s="71"/>
      <c r="BB228" s="71"/>
      <c r="BC228" s="71"/>
    </row>
    <row r="229" spans="1:55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71"/>
      <c r="AJ229" s="71"/>
      <c r="AK229" s="71"/>
      <c r="AL229" s="71"/>
      <c r="AM229" s="71"/>
      <c r="AN229" s="71"/>
      <c r="AO229" s="71"/>
      <c r="AP229" s="71"/>
      <c r="AQ229" s="71"/>
      <c r="AR229" s="71"/>
      <c r="AS229" s="71"/>
      <c r="AT229" s="71"/>
      <c r="AU229" s="71"/>
      <c r="AV229" s="71"/>
      <c r="AW229" s="71"/>
      <c r="AX229" s="71"/>
      <c r="AY229" s="71"/>
      <c r="AZ229" s="71"/>
      <c r="BA229" s="71"/>
      <c r="BB229" s="71"/>
      <c r="BC229" s="71"/>
    </row>
    <row r="230" spans="1:55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  <c r="AS230" s="71"/>
      <c r="AT230" s="71"/>
      <c r="AU230" s="71"/>
      <c r="AV230" s="71"/>
      <c r="AW230" s="71"/>
      <c r="AX230" s="71"/>
      <c r="AY230" s="71"/>
      <c r="AZ230" s="71"/>
      <c r="BA230" s="71"/>
      <c r="BB230" s="71"/>
      <c r="BC230" s="71"/>
    </row>
    <row r="231" spans="1:55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  <c r="AR231" s="71"/>
      <c r="AS231" s="71"/>
      <c r="AT231" s="71"/>
      <c r="AU231" s="71"/>
      <c r="AV231" s="71"/>
      <c r="AW231" s="71"/>
      <c r="AX231" s="71"/>
      <c r="AY231" s="71"/>
      <c r="AZ231" s="71"/>
      <c r="BA231" s="71"/>
      <c r="BB231" s="71"/>
      <c r="BC231" s="71"/>
    </row>
    <row r="232" spans="1:55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  <c r="AR232" s="71"/>
      <c r="AS232" s="71"/>
      <c r="AT232" s="71"/>
      <c r="AU232" s="71"/>
      <c r="AV232" s="71"/>
      <c r="AW232" s="71"/>
      <c r="AX232" s="71"/>
      <c r="AY232" s="71"/>
      <c r="AZ232" s="71"/>
      <c r="BA232" s="71"/>
      <c r="BB232" s="71"/>
      <c r="BC232" s="71"/>
    </row>
    <row r="233" spans="1:55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 s="71"/>
      <c r="AX233" s="71"/>
      <c r="AY233" s="71"/>
      <c r="AZ233" s="71"/>
      <c r="BA233" s="71"/>
      <c r="BB233" s="71"/>
      <c r="BC233" s="71"/>
    </row>
    <row r="234" spans="1:55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 s="71"/>
      <c r="AX234" s="71"/>
      <c r="AY234" s="71"/>
      <c r="AZ234" s="71"/>
      <c r="BA234" s="71"/>
      <c r="BB234" s="71"/>
      <c r="BC234" s="71"/>
    </row>
    <row r="235" spans="1:55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 s="71"/>
      <c r="AX235" s="71"/>
      <c r="AY235" s="71"/>
      <c r="AZ235" s="71"/>
      <c r="BA235" s="71"/>
      <c r="BB235" s="71"/>
      <c r="BC235" s="71"/>
    </row>
    <row r="236" spans="1:55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 s="71"/>
      <c r="AX236" s="71"/>
      <c r="AY236" s="71"/>
      <c r="AZ236" s="71"/>
      <c r="BA236" s="71"/>
      <c r="BB236" s="71"/>
      <c r="BC236" s="71"/>
    </row>
    <row r="237" spans="1:55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 s="71"/>
      <c r="AX237" s="71"/>
      <c r="AY237" s="71"/>
      <c r="AZ237" s="71"/>
      <c r="BA237" s="71"/>
      <c r="BB237" s="71"/>
      <c r="BC237" s="71"/>
    </row>
    <row r="238" spans="1:55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71"/>
      <c r="AJ238" s="71"/>
      <c r="AK238" s="71"/>
      <c r="AL238" s="71"/>
      <c r="AM238" s="71"/>
      <c r="AN238" s="71"/>
      <c r="AO238" s="71"/>
      <c r="AP238" s="71"/>
      <c r="AQ238" s="71"/>
      <c r="AR238" s="71"/>
      <c r="AS238" s="71"/>
      <c r="AT238" s="71"/>
      <c r="AU238" s="71"/>
      <c r="AV238" s="71"/>
      <c r="AW238" s="71"/>
      <c r="AX238" s="71"/>
      <c r="AY238" s="71"/>
      <c r="AZ238" s="71"/>
      <c r="BA238" s="71"/>
      <c r="BB238" s="71"/>
      <c r="BC238" s="71"/>
    </row>
    <row r="239" spans="1:55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71"/>
      <c r="AJ239" s="71"/>
      <c r="AK239" s="71"/>
      <c r="AL239" s="71"/>
      <c r="AM239" s="71"/>
      <c r="AN239" s="71"/>
      <c r="AO239" s="71"/>
      <c r="AP239" s="71"/>
      <c r="AQ239" s="71"/>
      <c r="AR239" s="71"/>
      <c r="AS239" s="71"/>
      <c r="AT239" s="71"/>
      <c r="AU239" s="71"/>
      <c r="AV239" s="71"/>
      <c r="AW239" s="71"/>
      <c r="AX239" s="71"/>
      <c r="AY239" s="71"/>
      <c r="AZ239" s="71"/>
      <c r="BA239" s="71"/>
      <c r="BB239" s="71"/>
      <c r="BC239" s="71"/>
    </row>
    <row r="240" spans="1:55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71"/>
      <c r="AJ240" s="71"/>
      <c r="AK240" s="71"/>
      <c r="AL240" s="71"/>
      <c r="AM240" s="71"/>
      <c r="AN240" s="71"/>
      <c r="AO240" s="71"/>
      <c r="AP240" s="71"/>
      <c r="AQ240" s="71"/>
      <c r="AR240" s="71"/>
      <c r="AS240" s="71"/>
      <c r="AT240" s="71"/>
      <c r="AU240" s="71"/>
      <c r="AV240" s="71"/>
      <c r="AW240" s="71"/>
      <c r="AX240" s="71"/>
      <c r="AY240" s="71"/>
      <c r="AZ240" s="71"/>
      <c r="BA240" s="71"/>
      <c r="BB240" s="71"/>
      <c r="BC240" s="71"/>
    </row>
    <row r="241" spans="1:55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71"/>
      <c r="AJ241" s="71"/>
      <c r="AK241" s="71"/>
      <c r="AL241" s="71"/>
      <c r="AM241" s="71"/>
      <c r="AN241" s="71"/>
      <c r="AO241" s="71"/>
      <c r="AP241" s="71"/>
      <c r="AQ241" s="71"/>
      <c r="AR241" s="71"/>
      <c r="AS241" s="71"/>
      <c r="AT241" s="71"/>
      <c r="AU241" s="71"/>
      <c r="AV241" s="71"/>
      <c r="AW241" s="71"/>
      <c r="AX241" s="71"/>
      <c r="AY241" s="71"/>
      <c r="AZ241" s="71"/>
      <c r="BA241" s="71"/>
      <c r="BB241" s="71"/>
      <c r="BC241" s="71"/>
    </row>
    <row r="242" spans="1:55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71"/>
      <c r="AJ242" s="71"/>
      <c r="AK242" s="71"/>
      <c r="AL242" s="71"/>
      <c r="AM242" s="71"/>
      <c r="AN242" s="71"/>
      <c r="AO242" s="71"/>
      <c r="AP242" s="71"/>
      <c r="AQ242" s="71"/>
      <c r="AR242" s="71"/>
      <c r="AS242" s="71"/>
      <c r="AT242" s="71"/>
      <c r="AU242" s="71"/>
      <c r="AV242" s="71"/>
      <c r="AW242" s="71"/>
      <c r="AX242" s="71"/>
      <c r="AY242" s="71"/>
      <c r="AZ242" s="71"/>
      <c r="BA242" s="71"/>
      <c r="BB242" s="71"/>
      <c r="BC242" s="71"/>
    </row>
    <row r="243" spans="1:55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71"/>
      <c r="AJ243" s="71"/>
      <c r="AK243" s="71"/>
      <c r="AL243" s="71"/>
      <c r="AM243" s="71"/>
      <c r="AN243" s="71"/>
      <c r="AO243" s="71"/>
      <c r="AP243" s="71"/>
      <c r="AQ243" s="71"/>
      <c r="AR243" s="71"/>
      <c r="AS243" s="71"/>
      <c r="AT243" s="71"/>
      <c r="AU243" s="71"/>
      <c r="AV243" s="71"/>
      <c r="AW243" s="71"/>
      <c r="AX243" s="71"/>
      <c r="AY243" s="71"/>
      <c r="AZ243" s="71"/>
      <c r="BA243" s="71"/>
      <c r="BB243" s="71"/>
      <c r="BC243" s="71"/>
    </row>
    <row r="244" spans="1:55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71"/>
      <c r="AJ244" s="71"/>
      <c r="AK244" s="71"/>
      <c r="AL244" s="71"/>
      <c r="AM244" s="71"/>
      <c r="AN244" s="71"/>
      <c r="AO244" s="71"/>
      <c r="AP244" s="71"/>
      <c r="AQ244" s="71"/>
      <c r="AR244" s="71"/>
      <c r="AS244" s="71"/>
      <c r="AT244" s="71"/>
      <c r="AU244" s="71"/>
      <c r="AV244" s="71"/>
      <c r="AW244" s="71"/>
      <c r="AX244" s="71"/>
      <c r="AY244" s="71"/>
      <c r="AZ244" s="71"/>
      <c r="BA244" s="71"/>
      <c r="BB244" s="71"/>
      <c r="BC244" s="71"/>
    </row>
    <row r="245" spans="1:55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71"/>
      <c r="AJ245" s="71"/>
      <c r="AK245" s="71"/>
      <c r="AL245" s="71"/>
      <c r="AM245" s="71"/>
      <c r="AN245" s="71"/>
      <c r="AO245" s="71"/>
      <c r="AP245" s="71"/>
      <c r="AQ245" s="71"/>
      <c r="AR245" s="71"/>
      <c r="AS245" s="71"/>
      <c r="AT245" s="71"/>
      <c r="AU245" s="71"/>
      <c r="AV245" s="71"/>
      <c r="AW245" s="71"/>
      <c r="AX245" s="71"/>
      <c r="AY245" s="71"/>
      <c r="AZ245" s="71"/>
      <c r="BA245" s="71"/>
      <c r="BB245" s="71"/>
      <c r="BC245" s="71"/>
    </row>
    <row r="246" spans="1:55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71"/>
      <c r="AJ246" s="71"/>
      <c r="AK246" s="71"/>
      <c r="AL246" s="71"/>
      <c r="AM246" s="71"/>
      <c r="AN246" s="71"/>
      <c r="AO246" s="71"/>
      <c r="AP246" s="71"/>
      <c r="AQ246" s="71"/>
      <c r="AR246" s="71"/>
      <c r="AS246" s="71"/>
      <c r="AT246" s="71"/>
      <c r="AU246" s="71"/>
      <c r="AV246" s="71"/>
      <c r="AW246" s="71"/>
      <c r="AX246" s="71"/>
      <c r="AY246" s="71"/>
      <c r="AZ246" s="71"/>
      <c r="BA246" s="71"/>
      <c r="BB246" s="71"/>
      <c r="BC246" s="71"/>
    </row>
    <row r="247" spans="1:55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71"/>
      <c r="AJ247" s="71"/>
      <c r="AK247" s="71"/>
      <c r="AL247" s="71"/>
      <c r="AM247" s="71"/>
      <c r="AN247" s="71"/>
      <c r="AO247" s="71"/>
      <c r="AP247" s="71"/>
      <c r="AQ247" s="71"/>
      <c r="AR247" s="71"/>
      <c r="AS247" s="71"/>
      <c r="AT247" s="71"/>
      <c r="AU247" s="71"/>
      <c r="AV247" s="71"/>
      <c r="AW247" s="71"/>
      <c r="AX247" s="71"/>
      <c r="AY247" s="71"/>
      <c r="AZ247" s="71"/>
      <c r="BA247" s="71"/>
      <c r="BB247" s="71"/>
      <c r="BC247" s="71"/>
    </row>
    <row r="248" spans="1:55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71"/>
      <c r="AJ248" s="71"/>
      <c r="AK248" s="71"/>
      <c r="AL248" s="71"/>
      <c r="AM248" s="71"/>
      <c r="AN248" s="71"/>
      <c r="AO248" s="71"/>
      <c r="AP248" s="71"/>
      <c r="AQ248" s="71"/>
      <c r="AR248" s="71"/>
      <c r="AS248" s="71"/>
      <c r="AT248" s="71"/>
      <c r="AU248" s="71"/>
      <c r="AV248" s="71"/>
      <c r="AW248" s="71"/>
      <c r="AX248" s="71"/>
      <c r="AY248" s="71"/>
      <c r="AZ248" s="71"/>
      <c r="BA248" s="71"/>
      <c r="BB248" s="71"/>
      <c r="BC248" s="71"/>
    </row>
    <row r="249" spans="1:55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71"/>
      <c r="AJ249" s="71"/>
      <c r="AK249" s="71"/>
      <c r="AL249" s="71"/>
      <c r="AM249" s="71"/>
      <c r="AN249" s="71"/>
      <c r="AO249" s="71"/>
      <c r="AP249" s="71"/>
      <c r="AQ249" s="71"/>
      <c r="AR249" s="71"/>
      <c r="AS249" s="71"/>
      <c r="AT249" s="71"/>
      <c r="AU249" s="71"/>
      <c r="AV249" s="71"/>
      <c r="AW249" s="71"/>
      <c r="AX249" s="71"/>
      <c r="AY249" s="71"/>
      <c r="AZ249" s="71"/>
      <c r="BA249" s="71"/>
      <c r="BB249" s="71"/>
      <c r="BC249" s="71"/>
    </row>
    <row r="250" spans="1:55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71"/>
      <c r="AJ250" s="71"/>
      <c r="AK250" s="71"/>
      <c r="AL250" s="71"/>
      <c r="AM250" s="71"/>
      <c r="AN250" s="71"/>
      <c r="AO250" s="71"/>
      <c r="AP250" s="71"/>
      <c r="AQ250" s="71"/>
      <c r="AR250" s="71"/>
      <c r="AS250" s="71"/>
      <c r="AT250" s="71"/>
      <c r="AU250" s="71"/>
      <c r="AV250" s="71"/>
      <c r="AW250" s="71"/>
      <c r="AX250" s="71"/>
      <c r="AY250" s="71"/>
      <c r="AZ250" s="71"/>
      <c r="BA250" s="71"/>
      <c r="BB250" s="71"/>
      <c r="BC250" s="71"/>
    </row>
    <row r="251" spans="1:55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71"/>
      <c r="AJ251" s="71"/>
      <c r="AK251" s="71"/>
      <c r="AL251" s="71"/>
      <c r="AM251" s="71"/>
      <c r="AN251" s="71"/>
      <c r="AO251" s="71"/>
      <c r="AP251" s="71"/>
      <c r="AQ251" s="71"/>
      <c r="AR251" s="71"/>
      <c r="AS251" s="71"/>
      <c r="AT251" s="71"/>
      <c r="AU251" s="71"/>
      <c r="AV251" s="71"/>
      <c r="AW251" s="71"/>
      <c r="AX251" s="71"/>
      <c r="AY251" s="71"/>
      <c r="AZ251" s="71"/>
      <c r="BA251" s="71"/>
      <c r="BB251" s="71"/>
      <c r="BC251" s="71"/>
    </row>
    <row r="252" spans="1:55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71"/>
      <c r="AJ252" s="71"/>
      <c r="AK252" s="71"/>
      <c r="AL252" s="71"/>
      <c r="AM252" s="71"/>
      <c r="AN252" s="71"/>
      <c r="AO252" s="71"/>
      <c r="AP252" s="71"/>
      <c r="AQ252" s="71"/>
      <c r="AR252" s="71"/>
      <c r="AS252" s="71"/>
      <c r="AT252" s="71"/>
      <c r="AU252" s="71"/>
      <c r="AV252" s="71"/>
      <c r="AW252" s="71"/>
      <c r="AX252" s="71"/>
      <c r="AY252" s="71"/>
      <c r="AZ252" s="71"/>
      <c r="BA252" s="71"/>
      <c r="BB252" s="71"/>
      <c r="BC252" s="71"/>
    </row>
    <row r="253" spans="1:55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71"/>
      <c r="AJ253" s="71"/>
      <c r="AK253" s="71"/>
      <c r="AL253" s="71"/>
      <c r="AM253" s="71"/>
      <c r="AN253" s="71"/>
      <c r="AO253" s="71"/>
      <c r="AP253" s="71"/>
      <c r="AQ253" s="71"/>
      <c r="AR253" s="71"/>
      <c r="AS253" s="71"/>
      <c r="AT253" s="71"/>
      <c r="AU253" s="71"/>
      <c r="AV253" s="71"/>
      <c r="AW253" s="71"/>
      <c r="AX253" s="71"/>
      <c r="AY253" s="71"/>
      <c r="AZ253" s="71"/>
      <c r="BA253" s="71"/>
      <c r="BB253" s="71"/>
      <c r="BC253" s="71"/>
    </row>
    <row r="254" spans="1:55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71"/>
      <c r="AJ254" s="71"/>
      <c r="AK254" s="71"/>
      <c r="AL254" s="71"/>
      <c r="AM254" s="71"/>
      <c r="AN254" s="71"/>
      <c r="AO254" s="71"/>
      <c r="AP254" s="71"/>
      <c r="AQ254" s="71"/>
      <c r="AR254" s="71"/>
      <c r="AS254" s="71"/>
      <c r="AT254" s="71"/>
      <c r="AU254" s="71"/>
      <c r="AV254" s="71"/>
      <c r="AW254" s="71"/>
      <c r="AX254" s="71"/>
      <c r="AY254" s="71"/>
      <c r="AZ254" s="71"/>
      <c r="BA254" s="71"/>
      <c r="BB254" s="71"/>
      <c r="BC254" s="71"/>
    </row>
    <row r="255" spans="1:55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71"/>
      <c r="AJ255" s="71"/>
      <c r="AK255" s="71"/>
      <c r="AL255" s="71"/>
      <c r="AM255" s="71"/>
      <c r="AN255" s="71"/>
      <c r="AO255" s="71"/>
      <c r="AP255" s="71"/>
      <c r="AQ255" s="71"/>
      <c r="AR255" s="71"/>
      <c r="AS255" s="71"/>
      <c r="AT255" s="71"/>
      <c r="AU255" s="71"/>
      <c r="AV255" s="71"/>
      <c r="AW255" s="71"/>
      <c r="AX255" s="71"/>
      <c r="AY255" s="71"/>
      <c r="AZ255" s="71"/>
      <c r="BA255" s="71"/>
      <c r="BB255" s="71"/>
      <c r="BC255" s="71"/>
    </row>
    <row r="256" spans="1:55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71"/>
      <c r="AJ256" s="71"/>
      <c r="AK256" s="71"/>
      <c r="AL256" s="71"/>
      <c r="AM256" s="71"/>
      <c r="AN256" s="71"/>
      <c r="AO256" s="71"/>
      <c r="AP256" s="71"/>
      <c r="AQ256" s="71"/>
      <c r="AR256" s="71"/>
      <c r="AS256" s="71"/>
      <c r="AT256" s="71"/>
      <c r="AU256" s="71"/>
      <c r="AV256" s="71"/>
      <c r="AW256" s="71"/>
      <c r="AX256" s="71"/>
      <c r="AY256" s="71"/>
      <c r="AZ256" s="71"/>
      <c r="BA256" s="71"/>
      <c r="BB256" s="71"/>
      <c r="BC256" s="71"/>
    </row>
    <row r="257" spans="1:55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71"/>
      <c r="AJ257" s="71"/>
      <c r="AK257" s="71"/>
      <c r="AL257" s="71"/>
      <c r="AM257" s="71"/>
      <c r="AN257" s="71"/>
      <c r="AO257" s="71"/>
      <c r="AP257" s="71"/>
      <c r="AQ257" s="71"/>
      <c r="AR257" s="71"/>
      <c r="AS257" s="71"/>
      <c r="AT257" s="71"/>
      <c r="AU257" s="71"/>
      <c r="AV257" s="71"/>
      <c r="AW257" s="71"/>
      <c r="AX257" s="71"/>
      <c r="AY257" s="71"/>
      <c r="AZ257" s="71"/>
      <c r="BA257" s="71"/>
      <c r="BB257" s="71"/>
      <c r="BC257" s="71"/>
    </row>
    <row r="258" spans="1:55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71"/>
      <c r="AJ258" s="71"/>
      <c r="AK258" s="71"/>
      <c r="AL258" s="71"/>
      <c r="AM258" s="71"/>
      <c r="AN258" s="71"/>
      <c r="AO258" s="71"/>
      <c r="AP258" s="71"/>
      <c r="AQ258" s="71"/>
      <c r="AR258" s="71"/>
      <c r="AS258" s="71"/>
      <c r="AT258" s="71"/>
      <c r="AU258" s="71"/>
      <c r="AV258" s="71"/>
      <c r="AW258" s="71"/>
      <c r="AX258" s="71"/>
      <c r="AY258" s="71"/>
      <c r="AZ258" s="71"/>
      <c r="BA258" s="71"/>
      <c r="BB258" s="71"/>
      <c r="BC258" s="71"/>
    </row>
    <row r="259" spans="1:55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71"/>
      <c r="AJ259" s="71"/>
      <c r="AK259" s="71"/>
      <c r="AL259" s="71"/>
      <c r="AM259" s="71"/>
      <c r="AN259" s="71"/>
      <c r="AO259" s="71"/>
      <c r="AP259" s="71"/>
      <c r="AQ259" s="71"/>
      <c r="AR259" s="71"/>
      <c r="AS259" s="71"/>
      <c r="AT259" s="71"/>
      <c r="AU259" s="71"/>
      <c r="AV259" s="71"/>
      <c r="AW259" s="71"/>
      <c r="AX259" s="71"/>
      <c r="AY259" s="71"/>
      <c r="AZ259" s="71"/>
      <c r="BA259" s="71"/>
      <c r="BB259" s="71"/>
      <c r="BC259" s="71"/>
    </row>
    <row r="260" spans="1:55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71"/>
      <c r="AJ260" s="71"/>
      <c r="AK260" s="71"/>
      <c r="AL260" s="71"/>
      <c r="AM260" s="71"/>
      <c r="AN260" s="71"/>
      <c r="AO260" s="71"/>
      <c r="AP260" s="71"/>
      <c r="AQ260" s="71"/>
      <c r="AR260" s="71"/>
      <c r="AS260" s="71"/>
      <c r="AT260" s="71"/>
      <c r="AU260" s="71"/>
      <c r="AV260" s="71"/>
      <c r="AW260" s="71"/>
      <c r="AX260" s="71"/>
      <c r="AY260" s="71"/>
      <c r="AZ260" s="71"/>
      <c r="BA260" s="71"/>
      <c r="BB260" s="71"/>
      <c r="BC260" s="71"/>
    </row>
    <row r="261" spans="1:55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71"/>
      <c r="AJ261" s="71"/>
      <c r="AK261" s="71"/>
      <c r="AL261" s="71"/>
      <c r="AM261" s="71"/>
      <c r="AN261" s="71"/>
      <c r="AO261" s="71"/>
      <c r="AP261" s="71"/>
      <c r="AQ261" s="71"/>
      <c r="AR261" s="71"/>
      <c r="AS261" s="71"/>
      <c r="AT261" s="71"/>
      <c r="AU261" s="71"/>
      <c r="AV261" s="71"/>
      <c r="AW261" s="71"/>
      <c r="AX261" s="71"/>
      <c r="AY261" s="71"/>
      <c r="AZ261" s="71"/>
      <c r="BA261" s="71"/>
      <c r="BB261" s="71"/>
      <c r="BC261" s="71"/>
    </row>
    <row r="262" spans="1:55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71"/>
      <c r="AJ262" s="71"/>
      <c r="AK262" s="71"/>
      <c r="AL262" s="71"/>
      <c r="AM262" s="71"/>
      <c r="AN262" s="71"/>
      <c r="AO262" s="71"/>
      <c r="AP262" s="71"/>
      <c r="AQ262" s="71"/>
      <c r="AR262" s="71"/>
      <c r="AS262" s="71"/>
      <c r="AT262" s="71"/>
      <c r="AU262" s="71"/>
      <c r="AV262" s="71"/>
      <c r="AW262" s="71"/>
      <c r="AX262" s="71"/>
      <c r="AY262" s="71"/>
      <c r="AZ262" s="71"/>
      <c r="BA262" s="71"/>
      <c r="BB262" s="71"/>
      <c r="BC262" s="71"/>
    </row>
    <row r="263" spans="1:55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71"/>
      <c r="AJ263" s="71"/>
      <c r="AK263" s="71"/>
      <c r="AL263" s="71"/>
      <c r="AM263" s="71"/>
      <c r="AN263" s="71"/>
      <c r="AO263" s="71"/>
      <c r="AP263" s="71"/>
      <c r="AQ263" s="71"/>
      <c r="AR263" s="71"/>
      <c r="AS263" s="71"/>
      <c r="AT263" s="71"/>
      <c r="AU263" s="71"/>
      <c r="AV263" s="71"/>
      <c r="AW263" s="71"/>
      <c r="AX263" s="71"/>
      <c r="AY263" s="71"/>
      <c r="AZ263" s="71"/>
      <c r="BA263" s="71"/>
      <c r="BB263" s="71"/>
      <c r="BC263" s="71"/>
    </row>
    <row r="264" spans="1:55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71"/>
      <c r="AJ264" s="71"/>
      <c r="AK264" s="71"/>
      <c r="AL264" s="71"/>
      <c r="AM264" s="71"/>
      <c r="AN264" s="71"/>
      <c r="AO264" s="71"/>
      <c r="AP264" s="71"/>
      <c r="AQ264" s="71"/>
      <c r="AR264" s="71"/>
      <c r="AS264" s="71"/>
      <c r="AT264" s="71"/>
      <c r="AU264" s="71"/>
      <c r="AV264" s="71"/>
      <c r="AW264" s="71"/>
      <c r="AX264" s="71"/>
      <c r="AY264" s="71"/>
      <c r="AZ264" s="71"/>
      <c r="BA264" s="71"/>
      <c r="BB264" s="71"/>
      <c r="BC264" s="71"/>
    </row>
    <row r="265" spans="1:5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71"/>
      <c r="AJ265" s="71"/>
      <c r="AK265" s="71"/>
      <c r="AL265" s="71"/>
      <c r="AM265" s="71"/>
      <c r="AN265" s="71"/>
      <c r="AO265" s="71"/>
      <c r="AP265" s="71"/>
      <c r="AQ265" s="71"/>
      <c r="AR265" s="71"/>
      <c r="AS265" s="71"/>
      <c r="AT265" s="71"/>
      <c r="AU265" s="71"/>
      <c r="AV265" s="71"/>
      <c r="AW265" s="71"/>
      <c r="AX265" s="71"/>
      <c r="AY265" s="71"/>
      <c r="AZ265" s="71"/>
      <c r="BA265" s="71"/>
      <c r="BB265" s="71"/>
      <c r="BC265" s="71"/>
    </row>
    <row r="266" spans="1:55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71"/>
      <c r="AJ266" s="71"/>
      <c r="AK266" s="71"/>
      <c r="AL266" s="71"/>
      <c r="AM266" s="71"/>
      <c r="AN266" s="71"/>
      <c r="AO266" s="71"/>
      <c r="AP266" s="71"/>
      <c r="AQ266" s="71"/>
      <c r="AR266" s="71"/>
      <c r="AS266" s="71"/>
      <c r="AT266" s="71"/>
      <c r="AU266" s="71"/>
      <c r="AV266" s="71"/>
      <c r="AW266" s="71"/>
      <c r="AX266" s="71"/>
      <c r="AY266" s="71"/>
      <c r="AZ266" s="71"/>
      <c r="BA266" s="71"/>
      <c r="BB266" s="71"/>
      <c r="BC266" s="71"/>
    </row>
    <row r="267" spans="1:55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71"/>
      <c r="AJ267" s="71"/>
      <c r="AK267" s="71"/>
      <c r="AL267" s="71"/>
      <c r="AM267" s="71"/>
      <c r="AN267" s="71"/>
      <c r="AO267" s="71"/>
      <c r="AP267" s="71"/>
      <c r="AQ267" s="71"/>
      <c r="AR267" s="71"/>
      <c r="AS267" s="71"/>
      <c r="AT267" s="71"/>
      <c r="AU267" s="71"/>
      <c r="AV267" s="71"/>
      <c r="AW267" s="71"/>
      <c r="AX267" s="71"/>
      <c r="AY267" s="71"/>
      <c r="AZ267" s="71"/>
      <c r="BA267" s="71"/>
      <c r="BB267" s="71"/>
      <c r="BC267" s="71"/>
    </row>
    <row r="268" spans="1:55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71"/>
      <c r="AJ268" s="71"/>
      <c r="AK268" s="71"/>
      <c r="AL268" s="71"/>
      <c r="AM268" s="71"/>
      <c r="AN268" s="71"/>
      <c r="AO268" s="71"/>
      <c r="AP268" s="71"/>
      <c r="AQ268" s="71"/>
      <c r="AR268" s="71"/>
      <c r="AS268" s="71"/>
      <c r="AT268" s="71"/>
      <c r="AU268" s="71"/>
      <c r="AV268" s="71"/>
      <c r="AW268" s="71"/>
      <c r="AX268" s="71"/>
      <c r="AY268" s="71"/>
      <c r="AZ268" s="71"/>
      <c r="BA268" s="71"/>
      <c r="BB268" s="71"/>
      <c r="BC268" s="71"/>
    </row>
    <row r="269" spans="1:55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71"/>
      <c r="AJ269" s="71"/>
      <c r="AK269" s="71"/>
      <c r="AL269" s="71"/>
      <c r="AM269" s="71"/>
      <c r="AN269" s="71"/>
      <c r="AO269" s="71"/>
      <c r="AP269" s="71"/>
      <c r="AQ269" s="71"/>
      <c r="AR269" s="71"/>
      <c r="AS269" s="71"/>
      <c r="AT269" s="71"/>
      <c r="AU269" s="71"/>
      <c r="AV269" s="71"/>
      <c r="AW269" s="71"/>
      <c r="AX269" s="71"/>
      <c r="AY269" s="71"/>
      <c r="AZ269" s="71"/>
      <c r="BA269" s="71"/>
      <c r="BB269" s="71"/>
      <c r="BC269" s="71"/>
    </row>
    <row r="270" spans="1:55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71"/>
      <c r="AJ270" s="71"/>
      <c r="AK270" s="71"/>
      <c r="AL270" s="71"/>
      <c r="AM270" s="71"/>
      <c r="AN270" s="71"/>
      <c r="AO270" s="71"/>
      <c r="AP270" s="71"/>
      <c r="AQ270" s="71"/>
      <c r="AR270" s="71"/>
      <c r="AS270" s="71"/>
      <c r="AT270" s="71"/>
      <c r="AU270" s="71"/>
      <c r="AV270" s="71"/>
      <c r="AW270" s="71"/>
      <c r="AX270" s="71"/>
      <c r="AY270" s="71"/>
      <c r="AZ270" s="71"/>
      <c r="BA270" s="71"/>
      <c r="BB270" s="71"/>
      <c r="BC270" s="71"/>
    </row>
    <row r="271" spans="1:55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71"/>
      <c r="AJ271" s="71"/>
      <c r="AK271" s="71"/>
      <c r="AL271" s="71"/>
      <c r="AM271" s="71"/>
      <c r="AN271" s="71"/>
      <c r="AO271" s="71"/>
      <c r="AP271" s="71"/>
      <c r="AQ271" s="71"/>
      <c r="AR271" s="71"/>
      <c r="AS271" s="71"/>
      <c r="AT271" s="71"/>
      <c r="AU271" s="71"/>
      <c r="AV271" s="71"/>
      <c r="AW271" s="71"/>
      <c r="AX271" s="71"/>
      <c r="AY271" s="71"/>
      <c r="AZ271" s="71"/>
      <c r="BA271" s="71"/>
      <c r="BB271" s="71"/>
      <c r="BC271" s="71"/>
    </row>
    <row r="272" spans="1:55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71"/>
      <c r="AJ272" s="71"/>
      <c r="AK272" s="71"/>
      <c r="AL272" s="71"/>
      <c r="AM272" s="71"/>
      <c r="AN272" s="71"/>
      <c r="AO272" s="71"/>
      <c r="AP272" s="71"/>
      <c r="AQ272" s="71"/>
      <c r="AR272" s="71"/>
      <c r="AS272" s="71"/>
      <c r="AT272" s="71"/>
      <c r="AU272" s="71"/>
      <c r="AV272" s="71"/>
      <c r="AW272" s="71"/>
      <c r="AX272" s="71"/>
      <c r="AY272" s="71"/>
      <c r="AZ272" s="71"/>
      <c r="BA272" s="71"/>
      <c r="BB272" s="71"/>
      <c r="BC272" s="71"/>
    </row>
    <row r="273" spans="1:55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71"/>
      <c r="AJ273" s="71"/>
      <c r="AK273" s="71"/>
      <c r="AL273" s="71"/>
      <c r="AM273" s="71"/>
      <c r="AN273" s="71"/>
      <c r="AO273" s="71"/>
      <c r="AP273" s="71"/>
      <c r="AQ273" s="71"/>
      <c r="AR273" s="71"/>
      <c r="AS273" s="71"/>
      <c r="AT273" s="71"/>
      <c r="AU273" s="71"/>
      <c r="AV273" s="71"/>
      <c r="AW273" s="71"/>
      <c r="AX273" s="71"/>
      <c r="AY273" s="71"/>
      <c r="AZ273" s="71"/>
      <c r="BA273" s="71"/>
      <c r="BB273" s="71"/>
      <c r="BC273" s="71"/>
    </row>
    <row r="274" spans="1:55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71"/>
      <c r="AJ274" s="71"/>
      <c r="AK274" s="71"/>
      <c r="AL274" s="71"/>
      <c r="AM274" s="71"/>
      <c r="AN274" s="71"/>
      <c r="AO274" s="71"/>
      <c r="AP274" s="71"/>
      <c r="AQ274" s="71"/>
      <c r="AR274" s="71"/>
      <c r="AS274" s="71"/>
      <c r="AT274" s="71"/>
      <c r="AU274" s="71"/>
      <c r="AV274" s="71"/>
      <c r="AW274" s="71"/>
      <c r="AX274" s="71"/>
      <c r="AY274" s="71"/>
      <c r="AZ274" s="71"/>
      <c r="BA274" s="71"/>
      <c r="BB274" s="71"/>
      <c r="BC274" s="71"/>
    </row>
    <row r="275" spans="1:5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71"/>
      <c r="AJ275" s="71"/>
      <c r="AK275" s="71"/>
      <c r="AL275" s="71"/>
      <c r="AM275" s="71"/>
      <c r="AN275" s="71"/>
      <c r="AO275" s="71"/>
      <c r="AP275" s="71"/>
      <c r="AQ275" s="71"/>
      <c r="AR275" s="71"/>
      <c r="AS275" s="71"/>
      <c r="AT275" s="71"/>
      <c r="AU275" s="71"/>
      <c r="AV275" s="71"/>
      <c r="AW275" s="71"/>
      <c r="AX275" s="71"/>
      <c r="AY275" s="71"/>
      <c r="AZ275" s="71"/>
      <c r="BA275" s="71"/>
      <c r="BB275" s="71"/>
      <c r="BC275" s="71"/>
    </row>
    <row r="276" spans="1:55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71"/>
      <c r="AJ276" s="71"/>
      <c r="AK276" s="71"/>
      <c r="AL276" s="71"/>
      <c r="AM276" s="71"/>
      <c r="AN276" s="71"/>
      <c r="AO276" s="71"/>
      <c r="AP276" s="71"/>
      <c r="AQ276" s="71"/>
      <c r="AR276" s="71"/>
      <c r="AS276" s="71"/>
      <c r="AT276" s="71"/>
      <c r="AU276" s="71"/>
      <c r="AV276" s="71"/>
      <c r="AW276" s="71"/>
      <c r="AX276" s="71"/>
      <c r="AY276" s="71"/>
      <c r="AZ276" s="71"/>
      <c r="BA276" s="71"/>
      <c r="BB276" s="71"/>
      <c r="BC276" s="71"/>
    </row>
    <row r="277" spans="1:55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71"/>
      <c r="AJ277" s="71"/>
      <c r="AK277" s="71"/>
      <c r="AL277" s="71"/>
      <c r="AM277" s="71"/>
      <c r="AN277" s="71"/>
      <c r="AO277" s="71"/>
      <c r="AP277" s="71"/>
      <c r="AQ277" s="71"/>
      <c r="AR277" s="71"/>
      <c r="AS277" s="71"/>
      <c r="AT277" s="71"/>
      <c r="AU277" s="71"/>
      <c r="AV277" s="71"/>
      <c r="AW277" s="71"/>
      <c r="AX277" s="71"/>
      <c r="AY277" s="71"/>
      <c r="AZ277" s="71"/>
      <c r="BA277" s="71"/>
      <c r="BB277" s="71"/>
      <c r="BC277" s="71"/>
    </row>
    <row r="278" spans="1:55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71"/>
      <c r="AJ278" s="71"/>
      <c r="AK278" s="71"/>
      <c r="AL278" s="71"/>
      <c r="AM278" s="71"/>
      <c r="AN278" s="71"/>
      <c r="AO278" s="71"/>
      <c r="AP278" s="71"/>
      <c r="AQ278" s="71"/>
      <c r="AR278" s="71"/>
      <c r="AS278" s="71"/>
      <c r="AT278" s="71"/>
      <c r="AU278" s="71"/>
      <c r="AV278" s="71"/>
      <c r="AW278" s="71"/>
      <c r="AX278" s="71"/>
      <c r="AY278" s="71"/>
      <c r="AZ278" s="71"/>
      <c r="BA278" s="71"/>
      <c r="BB278" s="71"/>
      <c r="BC278" s="71"/>
    </row>
    <row r="279" spans="1:55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71"/>
      <c r="AJ279" s="71"/>
      <c r="AK279" s="71"/>
      <c r="AL279" s="71"/>
      <c r="AM279" s="71"/>
      <c r="AN279" s="71"/>
      <c r="AO279" s="71"/>
      <c r="AP279" s="71"/>
      <c r="AQ279" s="71"/>
      <c r="AR279" s="71"/>
      <c r="AS279" s="71"/>
      <c r="AT279" s="71"/>
      <c r="AU279" s="71"/>
      <c r="AV279" s="71"/>
      <c r="AW279" s="71"/>
      <c r="AX279" s="71"/>
      <c r="AY279" s="71"/>
      <c r="AZ279" s="71"/>
      <c r="BA279" s="71"/>
      <c r="BB279" s="71"/>
      <c r="BC279" s="71"/>
    </row>
    <row r="280" spans="1:55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71"/>
      <c r="AJ280" s="71"/>
      <c r="AK280" s="71"/>
      <c r="AL280" s="71"/>
      <c r="AM280" s="71"/>
      <c r="AN280" s="71"/>
      <c r="AO280" s="71"/>
      <c r="AP280" s="71"/>
      <c r="AQ280" s="71"/>
      <c r="AR280" s="71"/>
      <c r="AS280" s="71"/>
      <c r="AT280" s="71"/>
      <c r="AU280" s="71"/>
      <c r="AV280" s="71"/>
      <c r="AW280" s="71"/>
      <c r="AX280" s="71"/>
      <c r="AY280" s="71"/>
      <c r="AZ280" s="71"/>
      <c r="BA280" s="71"/>
      <c r="BB280" s="71"/>
      <c r="BC280" s="71"/>
    </row>
    <row r="281" spans="1:55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71"/>
      <c r="AJ281" s="71"/>
      <c r="AK281" s="71"/>
      <c r="AL281" s="71"/>
      <c r="AM281" s="71"/>
      <c r="AN281" s="71"/>
      <c r="AO281" s="71"/>
      <c r="AP281" s="71"/>
      <c r="AQ281" s="71"/>
      <c r="AR281" s="71"/>
      <c r="AS281" s="71"/>
      <c r="AT281" s="71"/>
      <c r="AU281" s="71"/>
      <c r="AV281" s="71"/>
      <c r="AW281" s="71"/>
      <c r="AX281" s="71"/>
      <c r="AY281" s="71"/>
      <c r="AZ281" s="71"/>
      <c r="BA281" s="71"/>
      <c r="BB281" s="71"/>
      <c r="BC281" s="71"/>
    </row>
    <row r="282" spans="1:55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71"/>
      <c r="AJ282" s="71"/>
      <c r="AK282" s="71"/>
      <c r="AL282" s="71"/>
      <c r="AM282" s="71"/>
      <c r="AN282" s="71"/>
      <c r="AO282" s="71"/>
      <c r="AP282" s="71"/>
      <c r="AQ282" s="71"/>
      <c r="AR282" s="71"/>
      <c r="AS282" s="71"/>
      <c r="AT282" s="71"/>
      <c r="AU282" s="71"/>
      <c r="AV282" s="71"/>
      <c r="AW282" s="71"/>
      <c r="AX282" s="71"/>
      <c r="AY282" s="71"/>
      <c r="AZ282" s="71"/>
      <c r="BA282" s="71"/>
      <c r="BB282" s="71"/>
      <c r="BC282" s="71"/>
    </row>
    <row r="283" spans="1:55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71"/>
      <c r="AJ283" s="71"/>
      <c r="AK283" s="71"/>
      <c r="AL283" s="71"/>
      <c r="AM283" s="71"/>
      <c r="AN283" s="71"/>
      <c r="AO283" s="71"/>
      <c r="AP283" s="71"/>
      <c r="AQ283" s="71"/>
      <c r="AR283" s="71"/>
      <c r="AS283" s="71"/>
      <c r="AT283" s="71"/>
      <c r="AU283" s="71"/>
      <c r="AV283" s="71"/>
      <c r="AW283" s="71"/>
      <c r="AX283" s="71"/>
      <c r="AY283" s="71"/>
      <c r="AZ283" s="71"/>
      <c r="BA283" s="71"/>
      <c r="BB283" s="71"/>
      <c r="BC283" s="71"/>
    </row>
    <row r="284" spans="1:55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71"/>
      <c r="AJ284" s="71"/>
      <c r="AK284" s="71"/>
      <c r="AL284" s="71"/>
      <c r="AM284" s="71"/>
      <c r="AN284" s="71"/>
      <c r="AO284" s="71"/>
      <c r="AP284" s="71"/>
      <c r="AQ284" s="71"/>
      <c r="AR284" s="71"/>
      <c r="AS284" s="71"/>
      <c r="AT284" s="71"/>
      <c r="AU284" s="71"/>
      <c r="AV284" s="71"/>
      <c r="AW284" s="71"/>
      <c r="AX284" s="71"/>
      <c r="AY284" s="71"/>
      <c r="AZ284" s="71"/>
      <c r="BA284" s="71"/>
      <c r="BB284" s="71"/>
      <c r="BC284" s="71"/>
    </row>
    <row r="285" spans="1:55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71"/>
      <c r="AJ285" s="71"/>
      <c r="AK285" s="71"/>
      <c r="AL285" s="71"/>
      <c r="AM285" s="71"/>
      <c r="AN285" s="71"/>
      <c r="AO285" s="71"/>
      <c r="AP285" s="71"/>
      <c r="AQ285" s="71"/>
      <c r="AR285" s="71"/>
      <c r="AS285" s="71"/>
      <c r="AT285" s="71"/>
      <c r="AU285" s="71"/>
      <c r="AV285" s="71"/>
      <c r="AW285" s="71"/>
      <c r="AX285" s="71"/>
      <c r="AY285" s="71"/>
      <c r="AZ285" s="71"/>
      <c r="BA285" s="71"/>
      <c r="BB285" s="71"/>
      <c r="BC285" s="71"/>
    </row>
    <row r="286" spans="1:55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71"/>
      <c r="AJ286" s="71"/>
      <c r="AK286" s="71"/>
      <c r="AL286" s="71"/>
      <c r="AM286" s="71"/>
      <c r="AN286" s="71"/>
      <c r="AO286" s="71"/>
      <c r="AP286" s="71"/>
      <c r="AQ286" s="71"/>
      <c r="AR286" s="71"/>
      <c r="AS286" s="71"/>
      <c r="AT286" s="71"/>
      <c r="AU286" s="71"/>
      <c r="AV286" s="71"/>
      <c r="AW286" s="71"/>
      <c r="AX286" s="71"/>
      <c r="AY286" s="71"/>
      <c r="AZ286" s="71"/>
      <c r="BA286" s="71"/>
      <c r="BB286" s="71"/>
      <c r="BC286" s="71"/>
    </row>
    <row r="287" spans="1:55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71"/>
      <c r="AJ287" s="71"/>
      <c r="AK287" s="71"/>
      <c r="AL287" s="71"/>
      <c r="AM287" s="71"/>
      <c r="AN287" s="71"/>
      <c r="AO287" s="71"/>
      <c r="AP287" s="71"/>
      <c r="AQ287" s="71"/>
      <c r="AR287" s="71"/>
      <c r="AS287" s="71"/>
      <c r="AT287" s="71"/>
      <c r="AU287" s="71"/>
      <c r="AV287" s="71"/>
      <c r="AW287" s="71"/>
      <c r="AX287" s="71"/>
      <c r="AY287" s="71"/>
      <c r="AZ287" s="71"/>
      <c r="BA287" s="71"/>
      <c r="BB287" s="71"/>
      <c r="BC287" s="71"/>
    </row>
    <row r="288" spans="1:55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71"/>
      <c r="AJ288" s="71"/>
      <c r="AK288" s="71"/>
      <c r="AL288" s="71"/>
      <c r="AM288" s="71"/>
      <c r="AN288" s="71"/>
      <c r="AO288" s="71"/>
      <c r="AP288" s="71"/>
      <c r="AQ288" s="71"/>
      <c r="AR288" s="71"/>
      <c r="AS288" s="71"/>
      <c r="AT288" s="71"/>
      <c r="AU288" s="71"/>
      <c r="AV288" s="71"/>
      <c r="AW288" s="71"/>
      <c r="AX288" s="71"/>
      <c r="AY288" s="71"/>
      <c r="AZ288" s="71"/>
      <c r="BA288" s="71"/>
      <c r="BB288" s="71"/>
      <c r="BC288" s="71"/>
    </row>
    <row r="289" spans="1:55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71"/>
      <c r="AJ289" s="71"/>
      <c r="AK289" s="71"/>
      <c r="AL289" s="71"/>
      <c r="AM289" s="71"/>
      <c r="AN289" s="71"/>
      <c r="AO289" s="71"/>
      <c r="AP289" s="71"/>
      <c r="AQ289" s="71"/>
      <c r="AR289" s="71"/>
      <c r="AS289" s="71"/>
      <c r="AT289" s="71"/>
      <c r="AU289" s="71"/>
      <c r="AV289" s="71"/>
      <c r="AW289" s="71"/>
      <c r="AX289" s="71"/>
      <c r="AY289" s="71"/>
      <c r="AZ289" s="71"/>
      <c r="BA289" s="71"/>
      <c r="BB289" s="71"/>
      <c r="BC289" s="71"/>
    </row>
    <row r="290" spans="1:55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71"/>
      <c r="AJ290" s="71"/>
      <c r="AK290" s="71"/>
      <c r="AL290" s="71"/>
      <c r="AM290" s="71"/>
      <c r="AN290" s="71"/>
      <c r="AO290" s="71"/>
      <c r="AP290" s="71"/>
      <c r="AQ290" s="71"/>
      <c r="AR290" s="71"/>
      <c r="AS290" s="71"/>
      <c r="AT290" s="71"/>
      <c r="AU290" s="71"/>
      <c r="AV290" s="71"/>
      <c r="AW290" s="71"/>
      <c r="AX290" s="71"/>
      <c r="AY290" s="71"/>
      <c r="AZ290" s="71"/>
      <c r="BA290" s="71"/>
      <c r="BB290" s="71"/>
      <c r="BC290" s="71"/>
    </row>
    <row r="291" spans="1:55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71"/>
      <c r="AJ291" s="71"/>
      <c r="AK291" s="71"/>
      <c r="AL291" s="71"/>
      <c r="AM291" s="71"/>
      <c r="AN291" s="71"/>
      <c r="AO291" s="71"/>
      <c r="AP291" s="71"/>
      <c r="AQ291" s="71"/>
      <c r="AR291" s="71"/>
      <c r="AS291" s="71"/>
      <c r="AT291" s="71"/>
      <c r="AU291" s="71"/>
      <c r="AV291" s="71"/>
      <c r="AW291" s="71"/>
      <c r="AX291" s="71"/>
      <c r="AY291" s="71"/>
      <c r="AZ291" s="71"/>
      <c r="BA291" s="71"/>
      <c r="BB291" s="71"/>
      <c r="BC291" s="71"/>
    </row>
    <row r="292" spans="1:55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71"/>
      <c r="AJ292" s="71"/>
      <c r="AK292" s="71"/>
      <c r="AL292" s="71"/>
      <c r="AM292" s="71"/>
      <c r="AN292" s="71"/>
      <c r="AO292" s="71"/>
      <c r="AP292" s="71"/>
      <c r="AQ292" s="71"/>
      <c r="AR292" s="71"/>
      <c r="AS292" s="71"/>
      <c r="AT292" s="71"/>
      <c r="AU292" s="71"/>
      <c r="AV292" s="71"/>
      <c r="AW292" s="71"/>
      <c r="AX292" s="71"/>
      <c r="AY292" s="71"/>
      <c r="AZ292" s="71"/>
      <c r="BA292" s="71"/>
      <c r="BB292" s="71"/>
      <c r="BC292" s="71"/>
    </row>
    <row r="293" spans="1:55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</row>
    <row r="294" spans="1:55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71"/>
      <c r="BC294" s="71"/>
    </row>
    <row r="295" spans="1:55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71"/>
      <c r="BC295" s="71"/>
    </row>
    <row r="296" spans="1:55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  <c r="AX296" s="71"/>
      <c r="AY296" s="71"/>
      <c r="AZ296" s="71"/>
      <c r="BA296" s="71"/>
      <c r="BB296" s="71"/>
      <c r="BC296" s="71"/>
    </row>
    <row r="297" spans="1:55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/>
      <c r="AY297" s="71"/>
      <c r="AZ297" s="71"/>
      <c r="BA297" s="71"/>
      <c r="BB297" s="71"/>
      <c r="BC297" s="71"/>
    </row>
    <row r="298" spans="1:55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/>
      <c r="AY298" s="71"/>
      <c r="AZ298" s="71"/>
      <c r="BA298" s="71"/>
      <c r="BB298" s="71"/>
      <c r="BC298" s="71"/>
    </row>
    <row r="299" spans="1:55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71"/>
      <c r="AJ299" s="71"/>
      <c r="AK299" s="71"/>
      <c r="AL299" s="71"/>
      <c r="AM299" s="71"/>
      <c r="AN299" s="71"/>
      <c r="AO299" s="71"/>
      <c r="AP299" s="71"/>
      <c r="AQ299" s="71"/>
      <c r="AR299" s="71"/>
      <c r="AS299" s="71"/>
      <c r="AT299" s="71"/>
      <c r="AU299" s="71"/>
      <c r="AV299" s="71"/>
      <c r="AW299" s="71"/>
      <c r="AX299" s="71"/>
      <c r="AY299" s="71"/>
      <c r="AZ299" s="71"/>
      <c r="BA299" s="71"/>
      <c r="BB299" s="71"/>
      <c r="BC299" s="71"/>
    </row>
  </sheetData>
  <mergeCells count="4">
    <mergeCell ref="A1:AG1"/>
    <mergeCell ref="A2:AG2"/>
    <mergeCell ref="A127:AG127"/>
    <mergeCell ref="A128:AG128"/>
  </mergeCells>
  <conditionalFormatting sqref="L7:M7 C27 N28 C44:C45 C57 N46:AG56 C60 N58:AG59 C62:C63 N61:AG61 C66 N64:AG65 N67:AG68 K74:AG74 N73:AG73 K77:AG77 O75:AG75 C79:C80 N78:AG78 C86 N81:AG85 C91 N87:AG88 N92:AG93 C94:C96 O94:AG95 C99:C100 N97:AG98 C102:C105 N101:AG101 K69:AG70 N76:AG76 K89:AG90 C71:C72 C120:Y120 C107:C119 E107:AG118 E71:AG72 E102:AG105 E99:AG100 E96:AG96 E91:AG91 E86:AG86 E79:AG80 E66:AG66 E62:AG63 E60:AG60 E57:AG57 E45:AG45 C139 C142:X142 C146 E146:K146 C145:K145 C138:Z138 C140:D140 F140:M140 C143:D144 K143:AG143 C155:C156 E156:Y156 F143:I143 C149:O149 F30:J30 E28:E29 F27:AG27 F15:G15 F17:H17 E16 F19:J19 E18 F11:K11 E9:E10 F14 E12:E14 F23:K24 F25:M25 E21:E26 E31:E32 F34:L34 E35:E40 D41 C39:C42 C43:L43 G13:K13 G32:K32 F36:G36 G35 C151:Y152 C150:E150 G150:N150 C154:F154 C153:E153 G153:M153 F39 I139:J139 G37:H37 F41:G41 G40:L40 F29 H29:Q29 H39 H14:K14 C165:AG198 C157:F157 I157:M157 F10 H10:L10 F26 H26:J26 C141:F141 H141:M141 C147:F148 I15:O15 F22:G22 I22:K22 H154:T154 G38 I38:J38 I36:AG36 I41:Q41 J39:K39 J17:AG17 J37:K37 F31:H31 J31:L31 L38 M139:N139 L19:O19 L26:O26 M37:O37 L30:S30 C158:H158 J158 L158 C159:K159 M159:AG159 M39:Y39 M11:S11 M22:M24 N158:O158 E44:L44 N42:AG43 I35:L35 C160:L160 P10:AG10 N38 O40:Q40 C161:M161 O160:AG160 O140:AG140 O153:T153 O24:Q24 O157:R157 O7:AG7 N31 C29:C36 M32:N32 E155:N155 P155:AG155 P139:Q139 P31:AG31 P28:Q28 P38:S38 I148:Z148 E119:O119 Q119:S119 N44:O44 Q44:AG44 Q158 Q37:U37 Q15:S15 Q19 Q26 S26:AG26 S19:U19 M146:AG146 F144:Q144 S144:X144 S24 H147:Q147 S147:AA147 V139 S40:V40 N35:AG35 N33:Q34 S29:X29 O141:Q141 S141:AG141 S33:U33 C162:Q162 S162:AG162 S158:AG158 T157:AG157 U15:V15 U11:Y11 U24 U119:AG119 S34 U34:AG34 U30:X30 C163:S163 U163:AG163 S41:T41 V41:AC41 S28:T28 X28:Z28 C164:T164 V164:AG164 V153:AG154 X19:AC19 W24:AA24 W33:X33 W38:AG38 X15:AA15 X139:Y139 X40 O161:X161 Z161:AG161 N145:X145 Z145:AG145 Z142:AG142 Z30:AG30 Z33 C137:Y137 AA137:AG137 AA120:AG120 AA156:AG156 AA11:AG11 AA40 AA139 AA151:AG152 AB138:AG138 AB39:AG39 W37:Z37 AB37:AG37 AB33:AG33 Z29 AB28:AG29 AB148:AG148 Q149:AG150 AC15:AG15 AC24:AG24 P32:AA32 AD32:AG32 AC40 AC147:AG147 AE139:AG139 AE40:AG41 AE19:AG19 Z144:AC144 AE144:AG144">
    <cfRule type="containsText" dxfId="1332" priority="1331" operator="containsText" text="B">
      <formula>NOT(ISERROR(SEARCH("B",C7)))</formula>
    </cfRule>
    <cfRule type="containsText" dxfId="1331" priority="1332" operator="containsText" text="TB">
      <formula>NOT(ISERROR(SEARCH("TB",C7)))</formula>
    </cfRule>
    <cfRule type="containsText" dxfId="1330" priority="1333" operator="containsText" text="T">
      <formula>NOT(ISERROR(SEARCH("T",C7)))</formula>
    </cfRule>
  </conditionalFormatting>
  <conditionalFormatting sqref="L7:M7 C27 N28 C44:C45 C57 N46:AG56 C60 N58:AG59 C62:C63 N61:AG61 C66 N64:AG65 N67:AG68 K74:AG74 N73:AG73 K77:AG77 O75:AG75 C79:C80 N78:AG78 C86 N81:AG85 C91 N87:AG88 N92:AG93 C94:C96 O94:AG95 C99:C100 N97:AG98 C102:C105 N101:AG101 K69:AG70 N76:AG76 K89:AG90 C71:C72 C107:C119 E107:AG118 E71:AG72 E102:AG105 E99:AG100 E96:AG96 E91:AG91 E86:AG86 E79:AG80 E66:AG66 E62:AG63 E60:AG60 E57:AG57 E45:AG45 C120:Y120 C139 C142:X142 C146 E146:K146 C145:K145 C138:Z138 C140:D140 F140:M140 C143:D144 K143:AG143 C155:C156 E156:Y156 F143:I143 C149:O149 F30:J30 E28:E29 F27:AG27 F15:G15 F17:H17 E16 F19:J19 E18 F11:K11 E9:E10 F14 E12:E14 F23:K24 F25:M25 E21:E26 E31:E32 F34:L34 E35:E40 D41 C39:C42 C43:L43 G13:K13 G32:K32 F36:G36 G35 C151:Y152 C150:E150 G150:N150 C154:F154 C153:E153 G153:M153 F39 I139:J139 G37:H37 F41:G41 G40:L40 F29 H29:Q29 H39 H14:K14 C165:AG199 C157:F157 I157:M157 F10 H10:L10 F26 H26:J26 C141:F141 H141:M141 C147:F148 I15:O15 F22:G22 I22:K22 H154:T154 G38 I38:J38 I36:AG36 I41:Q41 J39:K39 J17:AG17 J37:K37 F31:H31 J31:L31 L38 M139:N139 L19:O19 L26:O26 M37:O37 L30:S30 C158:H158 J158 L158 C159:K159 M159:AG159 M39:Y39 M11:S11 M22:M24 N158:O158 E44:L44 N42:AG43 I35:L35 C160:L160 P10:AG10 N38 O40:Q40 C161:M161 O160:AG160 O140:AG140 O153:T153 O24:Q24 O157:R157 O7:AG7 N31 C29:C36 M32:N32 E155:N155 P155:AG155 P139:Q139 P31:AG31 P28:Q28 P38:S38 I148:Z148 E119:O119 Q119:S119 N44:O44 Q44:AG44 Q158 Q37:U37 Q15:S15 Q19 Q26 S26:AG26 S19:U19 M146:AG146 F144:Q144 S144:X144 S24 H147:Q147 S147:AA147 V139 S40:V40 N35:AG35 N33:Q34 S29:X29 O141:Q141 S141:AG141 S33:U33 C162:Q162 S162:AG162 S158:AG158 T157:AG157 U15:V15 U11:Y11 U24 U119:AG119 S34 U34:AG34 U30:X30 C163:S163 U163:AG163 S41:T41 V41:AC41 S28:T28 X28:Z28 C164:T164 V164:AG164 V153:AG154 X19:AC19 W24:AA24 W33:X33 W38:AG38 X15:AA15 X139:Y139 X40 O161:X161 Z161:AG161 N145:X145 Z145:AG145 Z142:AG142 Z30:AG30 Z33 C137:Y137 AA137:AG137 AA120:AG120 AA156:AG156 AA11:AG11 AA40 AA139 AA151:AG152 AB138:AG138 AB39:AG39 W37:Z37 AB37:AG37 AB33:AG33 Z29 AB28:AG29 AB148:AG148 Q149:AG150 AC15:AG15 AC24:AG24 P32:AA32 AD32:AG32 AC40 AC147:AG147 AE139:AG139 AE40:AG41 AE19:AG19 Z144:AC144 AE144:AG144">
    <cfRule type="containsText" dxfId="1329" priority="1330" operator="containsText" text="TB">
      <formula>NOT(ISERROR(SEARCH("TB",C7)))</formula>
    </cfRule>
  </conditionalFormatting>
  <conditionalFormatting sqref="A123:A125">
    <cfRule type="containsText" dxfId="1328" priority="1327" operator="containsText" text="B">
      <formula>NOT(ISERROR(SEARCH("B",A123)))</formula>
    </cfRule>
    <cfRule type="containsText" dxfId="1327" priority="1328" operator="containsText" text="TB">
      <formula>NOT(ISERROR(SEARCH("TB",A123)))</formula>
    </cfRule>
    <cfRule type="containsText" dxfId="1326" priority="1329" operator="containsText" text="T">
      <formula>NOT(ISERROR(SEARCH("T",A123)))</formula>
    </cfRule>
  </conditionalFormatting>
  <conditionalFormatting sqref="A123:A125">
    <cfRule type="containsText" dxfId="1325" priority="1326" operator="containsText" text="TB">
      <formula>NOT(ISERROR(SEARCH("TB",A123)))</formula>
    </cfRule>
  </conditionalFormatting>
  <conditionalFormatting sqref="C133:Y133 C134:C136 E135:AG135 E136 G136:O136 Q136:X136 Z136:AB136 AA133:AG133 AD136:AG136 E134:AB134 AD134:AG134">
    <cfRule type="containsText" dxfId="1324" priority="1323" operator="containsText" text="B">
      <formula>NOT(ISERROR(SEARCH("B",C133)))</formula>
    </cfRule>
    <cfRule type="containsText" dxfId="1323" priority="1324" operator="containsText" text="TB">
      <formula>NOT(ISERROR(SEARCH("TB",C133)))</formula>
    </cfRule>
    <cfRule type="containsText" dxfId="1322" priority="1325" operator="containsText" text="T">
      <formula>NOT(ISERROR(SEARCH("T",C133)))</formula>
    </cfRule>
  </conditionalFormatting>
  <conditionalFormatting sqref="C133:Y133 C134:C136 E135:AG135 E136 G136:O136 Q136:X136 Z136:AB136 AA133:AG133 AD136:AG136 E134:AB134 AD134:AG134">
    <cfRule type="containsText" dxfId="1321" priority="1322" operator="containsText" text="TB">
      <formula>NOT(ISERROR(SEARCH("TB",C133)))</formula>
    </cfRule>
  </conditionalFormatting>
  <conditionalFormatting sqref="A201:A203">
    <cfRule type="containsText" dxfId="1320" priority="1319" operator="containsText" text="B">
      <formula>NOT(ISERROR(SEARCH("B",A201)))</formula>
    </cfRule>
    <cfRule type="containsText" dxfId="1319" priority="1320" operator="containsText" text="TB">
      <formula>NOT(ISERROR(SEARCH("TB",A201)))</formula>
    </cfRule>
    <cfRule type="containsText" dxfId="1318" priority="1321" operator="containsText" text="T">
      <formula>NOT(ISERROR(SEARCH("T",A201)))</formula>
    </cfRule>
  </conditionalFormatting>
  <conditionalFormatting sqref="A201:A203">
    <cfRule type="containsText" dxfId="1317" priority="1318" operator="containsText" text="TB">
      <formula>NOT(ISERROR(SEARCH("TB",A201)))</formula>
    </cfRule>
  </conditionalFormatting>
  <conditionalFormatting sqref="C8:C12 C15:C19 C21 L20:Q20 C24 N23:AG23 C26 N25:AG25 G21 F12 F16:J16 F18 F9:AG9 H12 H18 I21:K21 J18:L18 J12 L13:Q13 L16:M16 M14:Q14 M21:AG21 M12 F8:L8 N8:AG8 N18:O18 P12:Q12 O16:V16 Q18:S18 S20:U20 S14:U14 U18:AG18 S12 U12 S13:T13 V13:AG13 W20:Z20 X12 W14:Y14 X16 N22:V22 X22 Z12:AA12 Z16:AA16 Z22:AA22 AA14:AG14 AB20:AG20 AD22:AG22 AC16:AG16 AE12:AG12">
    <cfRule type="containsText" dxfId="1316" priority="1315" operator="containsText" text="B">
      <formula>NOT(ISERROR(SEARCH("B",C8)))</formula>
    </cfRule>
    <cfRule type="containsText" dxfId="1315" priority="1316" operator="containsText" text="TB">
      <formula>NOT(ISERROR(SEARCH("TB",C8)))</formula>
    </cfRule>
    <cfRule type="containsText" dxfId="1314" priority="1317" operator="containsText" text="T">
      <formula>NOT(ISERROR(SEARCH("T",C8)))</formula>
    </cfRule>
  </conditionalFormatting>
  <conditionalFormatting sqref="C8:C12 C15:C19 C21 L20:Q20 C24 N23:AG23 C26 N25:AG25 G21 F12 F16:J16 F18 F9:AG9 H12 H18 I21:K21 J18:L18 J12 L13:Q13 L16:M16 M14:Q14 M21:AG21 M12 F8:L8 N8:AG8 N18:O18 P12:Q12 O16:V16 Q18:S18 S20:U20 S14:U14 U18:AG18 S12 U12 S13:T13 V13:AG13 W20:Z20 X12 W14:Y14 X16 N22:V22 X22 Z12:AA12 Z16:AA16 Z22:AA22 AA14:AG14 AB20:AG20 AD22:AG22 AC16:AG16 AE12:AG12">
    <cfRule type="containsText" dxfId="1313" priority="1314" operator="containsText" text="TB">
      <formula>NOT(ISERROR(SEARCH("TB",C8)))</formula>
    </cfRule>
  </conditionalFormatting>
  <conditionalFormatting sqref="C7 E7:G7 I7:K7">
    <cfRule type="containsText" dxfId="1312" priority="1311" operator="containsText" text="B">
      <formula>NOT(ISERROR(SEARCH("B",C7)))</formula>
    </cfRule>
    <cfRule type="containsText" dxfId="1311" priority="1312" operator="containsText" text="TB">
      <formula>NOT(ISERROR(SEARCH("TB",C7)))</formula>
    </cfRule>
    <cfRule type="containsText" dxfId="1310" priority="1313" operator="containsText" text="T">
      <formula>NOT(ISERROR(SEARCH("T",C7)))</formula>
    </cfRule>
  </conditionalFormatting>
  <conditionalFormatting sqref="C7 E7:G7 I7:K7">
    <cfRule type="containsText" dxfId="1309" priority="1310" operator="containsText" text="TB">
      <formula>NOT(ISERROR(SEARCH("TB",C7)))</formula>
    </cfRule>
  </conditionalFormatting>
  <conditionalFormatting sqref="C13:C14">
    <cfRule type="containsText" dxfId="1308" priority="1307" operator="containsText" text="B">
      <formula>NOT(ISERROR(SEARCH("B",C13)))</formula>
    </cfRule>
    <cfRule type="containsText" dxfId="1307" priority="1308" operator="containsText" text="TB">
      <formula>NOT(ISERROR(SEARCH("TB",C13)))</formula>
    </cfRule>
    <cfRule type="containsText" dxfId="1306" priority="1309" operator="containsText" text="T">
      <formula>NOT(ISERROR(SEARCH("T",C13)))</formula>
    </cfRule>
  </conditionalFormatting>
  <conditionalFormatting sqref="C13:C14">
    <cfRule type="containsText" dxfId="1305" priority="1306" operator="containsText" text="TB">
      <formula>NOT(ISERROR(SEARCH("TB",C13)))</formula>
    </cfRule>
  </conditionalFormatting>
  <conditionalFormatting sqref="C20 F20:J20">
    <cfRule type="containsText" dxfId="1304" priority="1303" operator="containsText" text="B">
      <formula>NOT(ISERROR(SEARCH("B",C20)))</formula>
    </cfRule>
    <cfRule type="containsText" dxfId="1303" priority="1304" operator="containsText" text="TB">
      <formula>NOT(ISERROR(SEARCH("TB",C20)))</formula>
    </cfRule>
    <cfRule type="containsText" dxfId="1302" priority="1305" operator="containsText" text="T">
      <formula>NOT(ISERROR(SEARCH("T",C20)))</formula>
    </cfRule>
  </conditionalFormatting>
  <conditionalFormatting sqref="C20 F20:J20">
    <cfRule type="containsText" dxfId="1301" priority="1302" operator="containsText" text="TB">
      <formula>NOT(ISERROR(SEARCH("TB",C20)))</formula>
    </cfRule>
  </conditionalFormatting>
  <conditionalFormatting sqref="C22:C23">
    <cfRule type="containsText" dxfId="1300" priority="1299" operator="containsText" text="B">
      <formula>NOT(ISERROR(SEARCH("B",C22)))</formula>
    </cfRule>
    <cfRule type="containsText" dxfId="1299" priority="1300" operator="containsText" text="TB">
      <formula>NOT(ISERROR(SEARCH("TB",C22)))</formula>
    </cfRule>
    <cfRule type="containsText" dxfId="1298" priority="1301" operator="containsText" text="T">
      <formula>NOT(ISERROR(SEARCH("T",C22)))</formula>
    </cfRule>
  </conditionalFormatting>
  <conditionalFormatting sqref="C22:C23">
    <cfRule type="containsText" dxfId="1297" priority="1298" operator="containsText" text="TB">
      <formula>NOT(ISERROR(SEARCH("TB",C22)))</formula>
    </cfRule>
  </conditionalFormatting>
  <conditionalFormatting sqref="C25">
    <cfRule type="containsText" dxfId="1296" priority="1295" operator="containsText" text="B">
      <formula>NOT(ISERROR(SEARCH("B",C25)))</formula>
    </cfRule>
    <cfRule type="containsText" dxfId="1295" priority="1296" operator="containsText" text="TB">
      <formula>NOT(ISERROR(SEARCH("TB",C25)))</formula>
    </cfRule>
    <cfRule type="containsText" dxfId="1294" priority="1297" operator="containsText" text="T">
      <formula>NOT(ISERROR(SEARCH("T",C25)))</formula>
    </cfRule>
  </conditionalFormatting>
  <conditionalFormatting sqref="C25">
    <cfRule type="containsText" dxfId="1293" priority="1294" operator="containsText" text="TB">
      <formula>NOT(ISERROR(SEARCH("TB",C25)))</formula>
    </cfRule>
  </conditionalFormatting>
  <conditionalFormatting sqref="C28 G28:J28 L28">
    <cfRule type="containsText" dxfId="1292" priority="1291" operator="containsText" text="B">
      <formula>NOT(ISERROR(SEARCH("B",C28)))</formula>
    </cfRule>
    <cfRule type="containsText" dxfId="1291" priority="1292" operator="containsText" text="TB">
      <formula>NOT(ISERROR(SEARCH("TB",C28)))</formula>
    </cfRule>
    <cfRule type="containsText" dxfId="1290" priority="1293" operator="containsText" text="T">
      <formula>NOT(ISERROR(SEARCH("T",C28)))</formula>
    </cfRule>
  </conditionalFormatting>
  <conditionalFormatting sqref="C28 G28:J28 L28">
    <cfRule type="containsText" dxfId="1289" priority="1290" operator="containsText" text="TB">
      <formula>NOT(ISERROR(SEARCH("TB",C28)))</formula>
    </cfRule>
  </conditionalFormatting>
  <conditionalFormatting sqref="F33:H33 J33:K33 M33">
    <cfRule type="containsText" dxfId="1288" priority="1287" operator="containsText" text="B">
      <formula>NOT(ISERROR(SEARCH("B",F33)))</formula>
    </cfRule>
    <cfRule type="containsText" dxfId="1287" priority="1288" operator="containsText" text="TB">
      <formula>NOT(ISERROR(SEARCH("TB",F33)))</formula>
    </cfRule>
    <cfRule type="containsText" dxfId="1286" priority="1289" operator="containsText" text="T">
      <formula>NOT(ISERROR(SEARCH("T",F33)))</formula>
    </cfRule>
  </conditionalFormatting>
  <conditionalFormatting sqref="F33:H33 J33:K33 M33">
    <cfRule type="containsText" dxfId="1285" priority="1286" operator="containsText" text="TB">
      <formula>NOT(ISERROR(SEARCH("TB",F33)))</formula>
    </cfRule>
  </conditionalFormatting>
  <conditionalFormatting sqref="C37:C38">
    <cfRule type="containsText" dxfId="1284" priority="1283" operator="containsText" text="B">
      <formula>NOT(ISERROR(SEARCH("B",C37)))</formula>
    </cfRule>
    <cfRule type="containsText" dxfId="1283" priority="1284" operator="containsText" text="TB">
      <formula>NOT(ISERROR(SEARCH("TB",C37)))</formula>
    </cfRule>
    <cfRule type="containsText" dxfId="1282" priority="1285" operator="containsText" text="T">
      <formula>NOT(ISERROR(SEARCH("T",C37)))</formula>
    </cfRule>
  </conditionalFormatting>
  <conditionalFormatting sqref="C37:C38">
    <cfRule type="containsText" dxfId="1281" priority="1282" operator="containsText" text="TB">
      <formula>NOT(ISERROR(SEARCH("TB",C37)))</formula>
    </cfRule>
  </conditionalFormatting>
  <conditionalFormatting sqref="F42:K42 M42">
    <cfRule type="containsText" dxfId="1280" priority="1279" operator="containsText" text="B">
      <formula>NOT(ISERROR(SEARCH("B",F42)))</formula>
    </cfRule>
    <cfRule type="containsText" dxfId="1279" priority="1280" operator="containsText" text="TB">
      <formula>NOT(ISERROR(SEARCH("TB",F42)))</formula>
    </cfRule>
    <cfRule type="containsText" dxfId="1278" priority="1281" operator="containsText" text="T">
      <formula>NOT(ISERROR(SEARCH("T",F42)))</formula>
    </cfRule>
  </conditionalFormatting>
  <conditionalFormatting sqref="F42:K42 M42">
    <cfRule type="containsText" dxfId="1277" priority="1278" operator="containsText" text="TB">
      <formula>NOT(ISERROR(SEARCH("TB",F42)))</formula>
    </cfRule>
  </conditionalFormatting>
  <conditionalFormatting sqref="C46:C48 E46:M48">
    <cfRule type="containsText" dxfId="1276" priority="1275" operator="containsText" text="B">
      <formula>NOT(ISERROR(SEARCH("B",C46)))</formula>
    </cfRule>
    <cfRule type="containsText" dxfId="1275" priority="1276" operator="containsText" text="TB">
      <formula>NOT(ISERROR(SEARCH("TB",C46)))</formula>
    </cfRule>
    <cfRule type="containsText" dxfId="1274" priority="1277" operator="containsText" text="T">
      <formula>NOT(ISERROR(SEARCH("T",C46)))</formula>
    </cfRule>
  </conditionalFormatting>
  <conditionalFormatting sqref="C46:C48 E46:M48">
    <cfRule type="containsText" dxfId="1273" priority="1274" operator="containsText" text="TB">
      <formula>NOT(ISERROR(SEARCH("TB",C46)))</formula>
    </cfRule>
  </conditionalFormatting>
  <conditionalFormatting sqref="C49:C51 E49:M51">
    <cfRule type="containsText" dxfId="1272" priority="1271" operator="containsText" text="B">
      <formula>NOT(ISERROR(SEARCH("B",C49)))</formula>
    </cfRule>
    <cfRule type="containsText" dxfId="1271" priority="1272" operator="containsText" text="TB">
      <formula>NOT(ISERROR(SEARCH("TB",C49)))</formula>
    </cfRule>
    <cfRule type="containsText" dxfId="1270" priority="1273" operator="containsText" text="T">
      <formula>NOT(ISERROR(SEARCH("T",C49)))</formula>
    </cfRule>
  </conditionalFormatting>
  <conditionalFormatting sqref="C49:C51 E49:M51">
    <cfRule type="containsText" dxfId="1269" priority="1270" operator="containsText" text="TB">
      <formula>NOT(ISERROR(SEARCH("TB",C49)))</formula>
    </cfRule>
  </conditionalFormatting>
  <conditionalFormatting sqref="C52:C53 E52:M53">
    <cfRule type="containsText" dxfId="1268" priority="1267" operator="containsText" text="B">
      <formula>NOT(ISERROR(SEARCH("B",C52)))</formula>
    </cfRule>
    <cfRule type="containsText" dxfId="1267" priority="1268" operator="containsText" text="TB">
      <formula>NOT(ISERROR(SEARCH("TB",C52)))</formula>
    </cfRule>
    <cfRule type="containsText" dxfId="1266" priority="1269" operator="containsText" text="T">
      <formula>NOT(ISERROR(SEARCH("T",C52)))</formula>
    </cfRule>
  </conditionalFormatting>
  <conditionalFormatting sqref="C52:C53 E52:M53">
    <cfRule type="containsText" dxfId="1265" priority="1266" operator="containsText" text="TB">
      <formula>NOT(ISERROR(SEARCH("TB",C52)))</formula>
    </cfRule>
  </conditionalFormatting>
  <conditionalFormatting sqref="C54:C56 E54:M56">
    <cfRule type="containsText" dxfId="1264" priority="1263" operator="containsText" text="B">
      <formula>NOT(ISERROR(SEARCH("B",C54)))</formula>
    </cfRule>
    <cfRule type="containsText" dxfId="1263" priority="1264" operator="containsText" text="TB">
      <formula>NOT(ISERROR(SEARCH("TB",C54)))</formula>
    </cfRule>
    <cfRule type="containsText" dxfId="1262" priority="1265" operator="containsText" text="T">
      <formula>NOT(ISERROR(SEARCH("T",C54)))</formula>
    </cfRule>
  </conditionalFormatting>
  <conditionalFormatting sqref="C54:C56 E54:M56">
    <cfRule type="containsText" dxfId="1261" priority="1262" operator="containsText" text="TB">
      <formula>NOT(ISERROR(SEARCH("TB",C54)))</formula>
    </cfRule>
  </conditionalFormatting>
  <conditionalFormatting sqref="C58:C59 E58:M59">
    <cfRule type="containsText" dxfId="1260" priority="1259" operator="containsText" text="B">
      <formula>NOT(ISERROR(SEARCH("B",C58)))</formula>
    </cfRule>
    <cfRule type="containsText" dxfId="1259" priority="1260" operator="containsText" text="TB">
      <formula>NOT(ISERROR(SEARCH("TB",C58)))</formula>
    </cfRule>
    <cfRule type="containsText" dxfId="1258" priority="1261" operator="containsText" text="T">
      <formula>NOT(ISERROR(SEARCH("T",C58)))</formula>
    </cfRule>
  </conditionalFormatting>
  <conditionalFormatting sqref="C58:C59 E58:M59">
    <cfRule type="containsText" dxfId="1257" priority="1258" operator="containsText" text="TB">
      <formula>NOT(ISERROR(SEARCH("TB",C58)))</formula>
    </cfRule>
  </conditionalFormatting>
  <conditionalFormatting sqref="C61 E61:M61">
    <cfRule type="containsText" dxfId="1256" priority="1255" operator="containsText" text="B">
      <formula>NOT(ISERROR(SEARCH("B",C61)))</formula>
    </cfRule>
    <cfRule type="containsText" dxfId="1255" priority="1256" operator="containsText" text="TB">
      <formula>NOT(ISERROR(SEARCH("TB",C61)))</formula>
    </cfRule>
    <cfRule type="containsText" dxfId="1254" priority="1257" operator="containsText" text="T">
      <formula>NOT(ISERROR(SEARCH("T",C61)))</formula>
    </cfRule>
  </conditionalFormatting>
  <conditionalFormatting sqref="C61 E61:M61">
    <cfRule type="containsText" dxfId="1253" priority="1254" operator="containsText" text="TB">
      <formula>NOT(ISERROR(SEARCH("TB",C61)))</formula>
    </cfRule>
  </conditionalFormatting>
  <conditionalFormatting sqref="C64 E64:M64">
    <cfRule type="containsText" dxfId="1252" priority="1251" operator="containsText" text="B">
      <formula>NOT(ISERROR(SEARCH("B",C64)))</formula>
    </cfRule>
    <cfRule type="containsText" dxfId="1251" priority="1252" operator="containsText" text="TB">
      <formula>NOT(ISERROR(SEARCH("TB",C64)))</formula>
    </cfRule>
    <cfRule type="containsText" dxfId="1250" priority="1253" operator="containsText" text="T">
      <formula>NOT(ISERROR(SEARCH("T",C64)))</formula>
    </cfRule>
  </conditionalFormatting>
  <conditionalFormatting sqref="C64 E64:M64">
    <cfRule type="containsText" dxfId="1249" priority="1250" operator="containsText" text="TB">
      <formula>NOT(ISERROR(SEARCH("TB",C64)))</formula>
    </cfRule>
  </conditionalFormatting>
  <conditionalFormatting sqref="C65 E65:M65">
    <cfRule type="containsText" dxfId="1248" priority="1247" operator="containsText" text="B">
      <formula>NOT(ISERROR(SEARCH("B",C65)))</formula>
    </cfRule>
    <cfRule type="containsText" dxfId="1247" priority="1248" operator="containsText" text="TB">
      <formula>NOT(ISERROR(SEARCH("TB",C65)))</formula>
    </cfRule>
    <cfRule type="containsText" dxfId="1246" priority="1249" operator="containsText" text="T">
      <formula>NOT(ISERROR(SEARCH("T",C65)))</formula>
    </cfRule>
  </conditionalFormatting>
  <conditionalFormatting sqref="C65 E65:M65">
    <cfRule type="containsText" dxfId="1245" priority="1246" operator="containsText" text="TB">
      <formula>NOT(ISERROR(SEARCH("TB",C65)))</formula>
    </cfRule>
  </conditionalFormatting>
  <conditionalFormatting sqref="C67:C68 E67:M68">
    <cfRule type="containsText" dxfId="1244" priority="1243" operator="containsText" text="B">
      <formula>NOT(ISERROR(SEARCH("B",C67)))</formula>
    </cfRule>
    <cfRule type="containsText" dxfId="1243" priority="1244" operator="containsText" text="TB">
      <formula>NOT(ISERROR(SEARCH("TB",C67)))</formula>
    </cfRule>
    <cfRule type="containsText" dxfId="1242" priority="1245" operator="containsText" text="T">
      <formula>NOT(ISERROR(SEARCH("T",C67)))</formula>
    </cfRule>
  </conditionalFormatting>
  <conditionalFormatting sqref="C67:C68 E67:M68">
    <cfRule type="containsText" dxfId="1241" priority="1242" operator="containsText" text="TB">
      <formula>NOT(ISERROR(SEARCH("TB",C67)))</formula>
    </cfRule>
  </conditionalFormatting>
  <conditionalFormatting sqref="C73 E73:M73">
    <cfRule type="containsText" dxfId="1240" priority="1239" operator="containsText" text="B">
      <formula>NOT(ISERROR(SEARCH("B",C73)))</formula>
    </cfRule>
    <cfRule type="containsText" dxfId="1239" priority="1240" operator="containsText" text="TB">
      <formula>NOT(ISERROR(SEARCH("TB",C73)))</formula>
    </cfRule>
    <cfRule type="containsText" dxfId="1238" priority="1241" operator="containsText" text="T">
      <formula>NOT(ISERROR(SEARCH("T",C73)))</formula>
    </cfRule>
  </conditionalFormatting>
  <conditionalFormatting sqref="C73 E73:M73">
    <cfRule type="containsText" dxfId="1237" priority="1238" operator="containsText" text="TB">
      <formula>NOT(ISERROR(SEARCH("TB",C73)))</formula>
    </cfRule>
  </conditionalFormatting>
  <conditionalFormatting sqref="C75">
    <cfRule type="containsText" dxfId="1236" priority="1235" operator="containsText" text="B">
      <formula>NOT(ISERROR(SEARCH("B",C75)))</formula>
    </cfRule>
    <cfRule type="containsText" dxfId="1235" priority="1236" operator="containsText" text="TB">
      <formula>NOT(ISERROR(SEARCH("TB",C75)))</formula>
    </cfRule>
    <cfRule type="containsText" dxfId="1234" priority="1237" operator="containsText" text="T">
      <formula>NOT(ISERROR(SEARCH("T",C75)))</formula>
    </cfRule>
  </conditionalFormatting>
  <conditionalFormatting sqref="C75">
    <cfRule type="containsText" dxfId="1233" priority="1234" operator="containsText" text="TB">
      <formula>NOT(ISERROR(SEARCH("TB",C75)))</formula>
    </cfRule>
  </conditionalFormatting>
  <conditionalFormatting sqref="E75:N75">
    <cfRule type="containsText" dxfId="1232" priority="1231" operator="containsText" text="B">
      <formula>NOT(ISERROR(SEARCH("B",E75)))</formula>
    </cfRule>
    <cfRule type="containsText" dxfId="1231" priority="1232" operator="containsText" text="TB">
      <formula>NOT(ISERROR(SEARCH("TB",E75)))</formula>
    </cfRule>
    <cfRule type="containsText" dxfId="1230" priority="1233" operator="containsText" text="T">
      <formula>NOT(ISERROR(SEARCH("T",E75)))</formula>
    </cfRule>
  </conditionalFormatting>
  <conditionalFormatting sqref="E75:N75">
    <cfRule type="containsText" dxfId="1229" priority="1230" operator="containsText" text="TB">
      <formula>NOT(ISERROR(SEARCH("TB",E75)))</formula>
    </cfRule>
  </conditionalFormatting>
  <conditionalFormatting sqref="C78 E78:M78">
    <cfRule type="containsText" dxfId="1228" priority="1227" operator="containsText" text="B">
      <formula>NOT(ISERROR(SEARCH("B",C78)))</formula>
    </cfRule>
    <cfRule type="containsText" dxfId="1227" priority="1228" operator="containsText" text="TB">
      <formula>NOT(ISERROR(SEARCH("TB",C78)))</formula>
    </cfRule>
    <cfRule type="containsText" dxfId="1226" priority="1229" operator="containsText" text="T">
      <formula>NOT(ISERROR(SEARCH("T",C78)))</formula>
    </cfRule>
  </conditionalFormatting>
  <conditionalFormatting sqref="C78 E78:M78">
    <cfRule type="containsText" dxfId="1225" priority="1226" operator="containsText" text="TB">
      <formula>NOT(ISERROR(SEARCH("TB",C78)))</formula>
    </cfRule>
  </conditionalFormatting>
  <conditionalFormatting sqref="C81:C82 E81:M82">
    <cfRule type="containsText" dxfId="1224" priority="1223" operator="containsText" text="B">
      <formula>NOT(ISERROR(SEARCH("B",C81)))</formula>
    </cfRule>
    <cfRule type="containsText" dxfId="1223" priority="1224" operator="containsText" text="TB">
      <formula>NOT(ISERROR(SEARCH("TB",C81)))</formula>
    </cfRule>
    <cfRule type="containsText" dxfId="1222" priority="1225" operator="containsText" text="T">
      <formula>NOT(ISERROR(SEARCH("T",C81)))</formula>
    </cfRule>
  </conditionalFormatting>
  <conditionalFormatting sqref="C81:C82 E81:M82">
    <cfRule type="containsText" dxfId="1221" priority="1222" operator="containsText" text="TB">
      <formula>NOT(ISERROR(SEARCH("TB",C81)))</formula>
    </cfRule>
  </conditionalFormatting>
  <conditionalFormatting sqref="C83:C85 E83:M85">
    <cfRule type="containsText" dxfId="1220" priority="1219" operator="containsText" text="B">
      <formula>NOT(ISERROR(SEARCH("B",C83)))</formula>
    </cfRule>
    <cfRule type="containsText" dxfId="1219" priority="1220" operator="containsText" text="TB">
      <formula>NOT(ISERROR(SEARCH("TB",C83)))</formula>
    </cfRule>
    <cfRule type="containsText" dxfId="1218" priority="1221" operator="containsText" text="T">
      <formula>NOT(ISERROR(SEARCH("T",C83)))</formula>
    </cfRule>
  </conditionalFormatting>
  <conditionalFormatting sqref="C83:C85 E83:M85">
    <cfRule type="containsText" dxfId="1217" priority="1218" operator="containsText" text="TB">
      <formula>NOT(ISERROR(SEARCH("TB",C83)))</formula>
    </cfRule>
  </conditionalFormatting>
  <conditionalFormatting sqref="C87:C88 E87:M88">
    <cfRule type="containsText" dxfId="1216" priority="1215" operator="containsText" text="B">
      <formula>NOT(ISERROR(SEARCH("B",C87)))</formula>
    </cfRule>
    <cfRule type="containsText" dxfId="1215" priority="1216" operator="containsText" text="TB">
      <formula>NOT(ISERROR(SEARCH("TB",C87)))</formula>
    </cfRule>
    <cfRule type="containsText" dxfId="1214" priority="1217" operator="containsText" text="T">
      <formula>NOT(ISERROR(SEARCH("T",C87)))</formula>
    </cfRule>
  </conditionalFormatting>
  <conditionalFormatting sqref="C87:C88 E87:M88">
    <cfRule type="containsText" dxfId="1213" priority="1214" operator="containsText" text="TB">
      <formula>NOT(ISERROR(SEARCH("TB",C87)))</formula>
    </cfRule>
  </conditionalFormatting>
  <conditionalFormatting sqref="C92 E92:M92">
    <cfRule type="containsText" dxfId="1212" priority="1211" operator="containsText" text="B">
      <formula>NOT(ISERROR(SEARCH("B",C92)))</formula>
    </cfRule>
    <cfRule type="containsText" dxfId="1211" priority="1212" operator="containsText" text="TB">
      <formula>NOT(ISERROR(SEARCH("TB",C92)))</formula>
    </cfRule>
    <cfRule type="containsText" dxfId="1210" priority="1213" operator="containsText" text="T">
      <formula>NOT(ISERROR(SEARCH("T",C92)))</formula>
    </cfRule>
  </conditionalFormatting>
  <conditionalFormatting sqref="C92 E92:M92">
    <cfRule type="containsText" dxfId="1209" priority="1210" operator="containsText" text="TB">
      <formula>NOT(ISERROR(SEARCH("TB",C92)))</formula>
    </cfRule>
  </conditionalFormatting>
  <conditionalFormatting sqref="C93 E93:M93">
    <cfRule type="containsText" dxfId="1208" priority="1207" operator="containsText" text="B">
      <formula>NOT(ISERROR(SEARCH("B",C93)))</formula>
    </cfRule>
    <cfRule type="containsText" dxfId="1207" priority="1208" operator="containsText" text="TB">
      <formula>NOT(ISERROR(SEARCH("TB",C93)))</formula>
    </cfRule>
    <cfRule type="containsText" dxfId="1206" priority="1209" operator="containsText" text="T">
      <formula>NOT(ISERROR(SEARCH("T",C93)))</formula>
    </cfRule>
  </conditionalFormatting>
  <conditionalFormatting sqref="C93 E93:M93">
    <cfRule type="containsText" dxfId="1205" priority="1206" operator="containsText" text="TB">
      <formula>NOT(ISERROR(SEARCH("TB",C93)))</formula>
    </cfRule>
  </conditionalFormatting>
  <conditionalFormatting sqref="E94:N95">
    <cfRule type="containsText" dxfId="1204" priority="1203" operator="containsText" text="B">
      <formula>NOT(ISERROR(SEARCH("B",E94)))</formula>
    </cfRule>
    <cfRule type="containsText" dxfId="1203" priority="1204" operator="containsText" text="TB">
      <formula>NOT(ISERROR(SEARCH("TB",E94)))</formula>
    </cfRule>
    <cfRule type="containsText" dxfId="1202" priority="1205" operator="containsText" text="T">
      <formula>NOT(ISERROR(SEARCH("T",E94)))</formula>
    </cfRule>
  </conditionalFormatting>
  <conditionalFormatting sqref="E94:N95">
    <cfRule type="containsText" dxfId="1201" priority="1202" operator="containsText" text="TB">
      <formula>NOT(ISERROR(SEARCH("TB",E94)))</formula>
    </cfRule>
  </conditionalFormatting>
  <conditionalFormatting sqref="C97:C98 E97:M98">
    <cfRule type="containsText" dxfId="1200" priority="1199" operator="containsText" text="B">
      <formula>NOT(ISERROR(SEARCH("B",C97)))</formula>
    </cfRule>
    <cfRule type="containsText" dxfId="1199" priority="1200" operator="containsText" text="TB">
      <formula>NOT(ISERROR(SEARCH("TB",C97)))</formula>
    </cfRule>
    <cfRule type="containsText" dxfId="1198" priority="1201" operator="containsText" text="T">
      <formula>NOT(ISERROR(SEARCH("T",C97)))</formula>
    </cfRule>
  </conditionalFormatting>
  <conditionalFormatting sqref="C97:C98 E97:M98">
    <cfRule type="containsText" dxfId="1197" priority="1198" operator="containsText" text="TB">
      <formula>NOT(ISERROR(SEARCH("TB",C97)))</formula>
    </cfRule>
  </conditionalFormatting>
  <conditionalFormatting sqref="C101 E101:M101">
    <cfRule type="containsText" dxfId="1196" priority="1195" operator="containsText" text="B">
      <formula>NOT(ISERROR(SEARCH("B",C101)))</formula>
    </cfRule>
    <cfRule type="containsText" dxfId="1195" priority="1196" operator="containsText" text="TB">
      <formula>NOT(ISERROR(SEARCH("TB",C101)))</formula>
    </cfRule>
    <cfRule type="containsText" dxfId="1194" priority="1197" operator="containsText" text="T">
      <formula>NOT(ISERROR(SEARCH("T",C101)))</formula>
    </cfRule>
  </conditionalFormatting>
  <conditionalFormatting sqref="C101 E101:M101">
    <cfRule type="containsText" dxfId="1193" priority="1194" operator="containsText" text="TB">
      <formula>NOT(ISERROR(SEARCH("TB",C101)))</formula>
    </cfRule>
  </conditionalFormatting>
  <conditionalFormatting sqref="C69:C70 E69:J70">
    <cfRule type="containsText" dxfId="1192" priority="1191" operator="containsText" text="B">
      <formula>NOT(ISERROR(SEARCH("B",C69)))</formula>
    </cfRule>
    <cfRule type="containsText" dxfId="1191" priority="1192" operator="containsText" text="TB">
      <formula>NOT(ISERROR(SEARCH("TB",C69)))</formula>
    </cfRule>
    <cfRule type="containsText" dxfId="1190" priority="1193" operator="containsText" text="T">
      <formula>NOT(ISERROR(SEARCH("T",C69)))</formula>
    </cfRule>
  </conditionalFormatting>
  <conditionalFormatting sqref="C69:C70 E69:J70">
    <cfRule type="containsText" dxfId="1189" priority="1190" operator="containsText" text="TB">
      <formula>NOT(ISERROR(SEARCH("TB",C69)))</formula>
    </cfRule>
  </conditionalFormatting>
  <conditionalFormatting sqref="C74 E74:J74">
    <cfRule type="containsText" dxfId="1188" priority="1187" operator="containsText" text="B">
      <formula>NOT(ISERROR(SEARCH("B",C74)))</formula>
    </cfRule>
    <cfRule type="containsText" dxfId="1187" priority="1188" operator="containsText" text="TB">
      <formula>NOT(ISERROR(SEARCH("TB",C74)))</formula>
    </cfRule>
    <cfRule type="containsText" dxfId="1186" priority="1189" operator="containsText" text="T">
      <formula>NOT(ISERROR(SEARCH("T",C74)))</formula>
    </cfRule>
  </conditionalFormatting>
  <conditionalFormatting sqref="C74 E74:J74">
    <cfRule type="containsText" dxfId="1185" priority="1186" operator="containsText" text="TB">
      <formula>NOT(ISERROR(SEARCH("TB",C74)))</formula>
    </cfRule>
  </conditionalFormatting>
  <conditionalFormatting sqref="C76 E76:M76">
    <cfRule type="containsText" dxfId="1184" priority="1183" operator="containsText" text="B">
      <formula>NOT(ISERROR(SEARCH("B",C76)))</formula>
    </cfRule>
    <cfRule type="containsText" dxfId="1183" priority="1184" operator="containsText" text="TB">
      <formula>NOT(ISERROR(SEARCH("TB",C76)))</formula>
    </cfRule>
    <cfRule type="containsText" dxfId="1182" priority="1185" operator="containsText" text="T">
      <formula>NOT(ISERROR(SEARCH("T",C76)))</formula>
    </cfRule>
  </conditionalFormatting>
  <conditionalFormatting sqref="C76 E76:M76">
    <cfRule type="containsText" dxfId="1181" priority="1182" operator="containsText" text="TB">
      <formula>NOT(ISERROR(SEARCH("TB",C76)))</formula>
    </cfRule>
  </conditionalFormatting>
  <conditionalFormatting sqref="C77 E77:J77">
    <cfRule type="containsText" dxfId="1180" priority="1179" operator="containsText" text="B">
      <formula>NOT(ISERROR(SEARCH("B",C77)))</formula>
    </cfRule>
    <cfRule type="containsText" dxfId="1179" priority="1180" operator="containsText" text="TB">
      <formula>NOT(ISERROR(SEARCH("TB",C77)))</formula>
    </cfRule>
    <cfRule type="containsText" dxfId="1178" priority="1181" operator="containsText" text="T">
      <formula>NOT(ISERROR(SEARCH("T",C77)))</formula>
    </cfRule>
  </conditionalFormatting>
  <conditionalFormatting sqref="C77 E77:J77">
    <cfRule type="containsText" dxfId="1177" priority="1178" operator="containsText" text="TB">
      <formula>NOT(ISERROR(SEARCH("TB",C77)))</formula>
    </cfRule>
  </conditionalFormatting>
  <conditionalFormatting sqref="C89:C90 E89:J90">
    <cfRule type="containsText" dxfId="1176" priority="1175" operator="containsText" text="B">
      <formula>NOT(ISERROR(SEARCH("B",C89)))</formula>
    </cfRule>
    <cfRule type="containsText" dxfId="1175" priority="1176" operator="containsText" text="TB">
      <formula>NOT(ISERROR(SEARCH("TB",C89)))</formula>
    </cfRule>
    <cfRule type="containsText" dxfId="1174" priority="1177" operator="containsText" text="T">
      <formula>NOT(ISERROR(SEARCH("T",C89)))</formula>
    </cfRule>
  </conditionalFormatting>
  <conditionalFormatting sqref="C89:C90 E89:J90">
    <cfRule type="containsText" dxfId="1173" priority="1174" operator="containsText" text="TB">
      <formula>NOT(ISERROR(SEARCH("TB",C89)))</formula>
    </cfRule>
  </conditionalFormatting>
  <conditionalFormatting sqref="J143">
    <cfRule type="containsText" dxfId="1172" priority="1171" operator="containsText" text="B">
      <formula>NOT(ISERROR(SEARCH("B",J143)))</formula>
    </cfRule>
    <cfRule type="containsText" dxfId="1171" priority="1172" operator="containsText" text="TB">
      <formula>NOT(ISERROR(SEARCH("TB",J143)))</formula>
    </cfRule>
    <cfRule type="containsText" dxfId="1170" priority="1173" operator="containsText" text="T">
      <formula>NOT(ISERROR(SEARCH("T",J143)))</formula>
    </cfRule>
  </conditionalFormatting>
  <conditionalFormatting sqref="J143">
    <cfRule type="containsText" dxfId="1169" priority="1170" operator="containsText" text="TB">
      <formula>NOT(ISERROR(SEARCH("TB",J143)))</formula>
    </cfRule>
  </conditionalFormatting>
  <conditionalFormatting sqref="C106 E106:AG106">
    <cfRule type="containsText" dxfId="1168" priority="1167" operator="containsText" text="B">
      <formula>NOT(ISERROR(SEARCH("B",C106)))</formula>
    </cfRule>
    <cfRule type="containsText" dxfId="1167" priority="1168" operator="containsText" text="TB">
      <formula>NOT(ISERROR(SEARCH("TB",C106)))</formula>
    </cfRule>
    <cfRule type="containsText" dxfId="1166" priority="1169" operator="containsText" text="T">
      <formula>NOT(ISERROR(SEARCH("T",C106)))</formula>
    </cfRule>
  </conditionalFormatting>
  <conditionalFormatting sqref="C106 E106:AG106">
    <cfRule type="containsText" dxfId="1165" priority="1166" operator="containsText" text="TB">
      <formula>NOT(ISERROR(SEARCH("TB",C106)))</formula>
    </cfRule>
  </conditionalFormatting>
  <conditionalFormatting sqref="D26 D29:D30 D33:D34 D38 D44:D45 D57 D60 D62:D63 D66 D79:D80 D86 D91 D94:D96 D99:D100 D102:D105 D71:D72 D107:D119">
    <cfRule type="containsText" dxfId="1164" priority="1163" operator="containsText" text="B">
      <formula>NOT(ISERROR(SEARCH("B",D26)))</formula>
    </cfRule>
    <cfRule type="containsText" dxfId="1163" priority="1164" operator="containsText" text="TB">
      <formula>NOT(ISERROR(SEARCH("TB",D26)))</formula>
    </cfRule>
    <cfRule type="containsText" dxfId="1162" priority="1165" operator="containsText" text="T">
      <formula>NOT(ISERROR(SEARCH("T",D26)))</formula>
    </cfRule>
  </conditionalFormatting>
  <conditionalFormatting sqref="D26 D29:D30 D33:D34 D38 D44:D45 D57 D60 D62:D63 D66 D79:D80 D86 D91 D94:D96 D99:D100 D102:D105 D71:D72 D107:D119">
    <cfRule type="containsText" dxfId="1161" priority="1162" operator="containsText" text="TB">
      <formula>NOT(ISERROR(SEARCH("TB",D26)))</formula>
    </cfRule>
  </conditionalFormatting>
  <conditionalFormatting sqref="D14:D15 D20 D10:D11 D17:D18">
    <cfRule type="containsText" dxfId="1160" priority="1159" operator="containsText" text="B">
      <formula>NOT(ISERROR(SEARCH("B",D10)))</formula>
    </cfRule>
    <cfRule type="containsText" dxfId="1159" priority="1160" operator="containsText" text="TB">
      <formula>NOT(ISERROR(SEARCH("TB",D10)))</formula>
    </cfRule>
    <cfRule type="containsText" dxfId="1158" priority="1161" operator="containsText" text="T">
      <formula>NOT(ISERROR(SEARCH("T",D10)))</formula>
    </cfRule>
  </conditionalFormatting>
  <conditionalFormatting sqref="D14:D15 D20 D10:D11 D17:D18">
    <cfRule type="containsText" dxfId="1157" priority="1158" operator="containsText" text="TB">
      <formula>NOT(ISERROR(SEARCH("TB",D10)))</formula>
    </cfRule>
  </conditionalFormatting>
  <conditionalFormatting sqref="D7">
    <cfRule type="containsText" dxfId="1156" priority="1155" operator="containsText" text="B">
      <formula>NOT(ISERROR(SEARCH("B",D7)))</formula>
    </cfRule>
    <cfRule type="containsText" dxfId="1155" priority="1156" operator="containsText" text="TB">
      <formula>NOT(ISERROR(SEARCH("TB",D7)))</formula>
    </cfRule>
    <cfRule type="containsText" dxfId="1154" priority="1157" operator="containsText" text="T">
      <formula>NOT(ISERROR(SEARCH("T",D7)))</formula>
    </cfRule>
  </conditionalFormatting>
  <conditionalFormatting sqref="D7">
    <cfRule type="containsText" dxfId="1153" priority="1154" operator="containsText" text="TB">
      <formula>NOT(ISERROR(SEARCH("TB",D7)))</formula>
    </cfRule>
  </conditionalFormatting>
  <conditionalFormatting sqref="D54:D56">
    <cfRule type="containsText" dxfId="1152" priority="1119" operator="containsText" text="B">
      <formula>NOT(ISERROR(SEARCH("B",D54)))</formula>
    </cfRule>
    <cfRule type="containsText" dxfId="1151" priority="1120" operator="containsText" text="TB">
      <formula>NOT(ISERROR(SEARCH("TB",D54)))</formula>
    </cfRule>
    <cfRule type="containsText" dxfId="1150" priority="1121" operator="containsText" text="T">
      <formula>NOT(ISERROR(SEARCH("T",D54)))</formula>
    </cfRule>
  </conditionalFormatting>
  <conditionalFormatting sqref="D54:D56">
    <cfRule type="containsText" dxfId="1149" priority="1118" operator="containsText" text="TB">
      <formula>NOT(ISERROR(SEARCH("TB",D54)))</formula>
    </cfRule>
  </conditionalFormatting>
  <conditionalFormatting sqref="D19">
    <cfRule type="containsText" dxfId="1148" priority="1151" operator="containsText" text="B">
      <formula>NOT(ISERROR(SEARCH("B",D19)))</formula>
    </cfRule>
    <cfRule type="containsText" dxfId="1147" priority="1152" operator="containsText" text="TB">
      <formula>NOT(ISERROR(SEARCH("TB",D19)))</formula>
    </cfRule>
    <cfRule type="containsText" dxfId="1146" priority="1153" operator="containsText" text="T">
      <formula>NOT(ISERROR(SEARCH("T",D19)))</formula>
    </cfRule>
  </conditionalFormatting>
  <conditionalFormatting sqref="D19">
    <cfRule type="containsText" dxfId="1145" priority="1150" operator="containsText" text="TB">
      <formula>NOT(ISERROR(SEARCH("TB",D19)))</formula>
    </cfRule>
  </conditionalFormatting>
  <conditionalFormatting sqref="D21">
    <cfRule type="containsText" dxfId="1144" priority="1147" operator="containsText" text="B">
      <formula>NOT(ISERROR(SEARCH("B",D21)))</formula>
    </cfRule>
    <cfRule type="containsText" dxfId="1143" priority="1148" operator="containsText" text="TB">
      <formula>NOT(ISERROR(SEARCH("TB",D21)))</formula>
    </cfRule>
    <cfRule type="containsText" dxfId="1142" priority="1149" operator="containsText" text="T">
      <formula>NOT(ISERROR(SEARCH("T",D21)))</formula>
    </cfRule>
  </conditionalFormatting>
  <conditionalFormatting sqref="D21">
    <cfRule type="containsText" dxfId="1141" priority="1146" operator="containsText" text="TB">
      <formula>NOT(ISERROR(SEARCH("TB",D21)))</formula>
    </cfRule>
  </conditionalFormatting>
  <conditionalFormatting sqref="D75">
    <cfRule type="containsText" dxfId="1140" priority="1091" operator="containsText" text="B">
      <formula>NOT(ISERROR(SEARCH("B",D75)))</formula>
    </cfRule>
    <cfRule type="containsText" dxfId="1139" priority="1092" operator="containsText" text="TB">
      <formula>NOT(ISERROR(SEARCH("TB",D75)))</formula>
    </cfRule>
    <cfRule type="containsText" dxfId="1138" priority="1093" operator="containsText" text="T">
      <formula>NOT(ISERROR(SEARCH("T",D75)))</formula>
    </cfRule>
  </conditionalFormatting>
  <conditionalFormatting sqref="D75">
    <cfRule type="containsText" dxfId="1137" priority="1090" operator="containsText" text="TB">
      <formula>NOT(ISERROR(SEARCH("TB",D75)))</formula>
    </cfRule>
  </conditionalFormatting>
  <conditionalFormatting sqref="D27">
    <cfRule type="containsText" dxfId="1136" priority="1143" operator="containsText" text="B">
      <formula>NOT(ISERROR(SEARCH("B",D27)))</formula>
    </cfRule>
    <cfRule type="containsText" dxfId="1135" priority="1144" operator="containsText" text="TB">
      <formula>NOT(ISERROR(SEARCH("TB",D27)))</formula>
    </cfRule>
    <cfRule type="containsText" dxfId="1134" priority="1145" operator="containsText" text="T">
      <formula>NOT(ISERROR(SEARCH("T",D27)))</formula>
    </cfRule>
  </conditionalFormatting>
  <conditionalFormatting sqref="D27">
    <cfRule type="containsText" dxfId="1133" priority="1142" operator="containsText" text="TB">
      <formula>NOT(ISERROR(SEARCH("TB",D27)))</formula>
    </cfRule>
  </conditionalFormatting>
  <conditionalFormatting sqref="D32">
    <cfRule type="containsText" dxfId="1132" priority="1139" operator="containsText" text="B">
      <formula>NOT(ISERROR(SEARCH("B",D32)))</formula>
    </cfRule>
    <cfRule type="containsText" dxfId="1131" priority="1140" operator="containsText" text="TB">
      <formula>NOT(ISERROR(SEARCH("TB",D32)))</formula>
    </cfRule>
    <cfRule type="containsText" dxfId="1130" priority="1141" operator="containsText" text="T">
      <formula>NOT(ISERROR(SEARCH("T",D32)))</formula>
    </cfRule>
  </conditionalFormatting>
  <conditionalFormatting sqref="D32">
    <cfRule type="containsText" dxfId="1129" priority="1138" operator="containsText" text="TB">
      <formula>NOT(ISERROR(SEARCH("TB",D32)))</formula>
    </cfRule>
  </conditionalFormatting>
  <conditionalFormatting sqref="D37">
    <cfRule type="containsText" dxfId="1128" priority="1135" operator="containsText" text="B">
      <formula>NOT(ISERROR(SEARCH("B",D37)))</formula>
    </cfRule>
    <cfRule type="containsText" dxfId="1127" priority="1136" operator="containsText" text="TB">
      <formula>NOT(ISERROR(SEARCH("TB",D37)))</formula>
    </cfRule>
    <cfRule type="containsText" dxfId="1126" priority="1137" operator="containsText" text="T">
      <formula>NOT(ISERROR(SEARCH("T",D37)))</formula>
    </cfRule>
  </conditionalFormatting>
  <conditionalFormatting sqref="D37">
    <cfRule type="containsText" dxfId="1125" priority="1134" operator="containsText" text="TB">
      <formula>NOT(ISERROR(SEARCH("TB",D37)))</formula>
    </cfRule>
  </conditionalFormatting>
  <conditionalFormatting sqref="D46:D48">
    <cfRule type="containsText" dxfId="1124" priority="1131" operator="containsText" text="B">
      <formula>NOT(ISERROR(SEARCH("B",D46)))</formula>
    </cfRule>
    <cfRule type="containsText" dxfId="1123" priority="1132" operator="containsText" text="TB">
      <formula>NOT(ISERROR(SEARCH("TB",D46)))</formula>
    </cfRule>
    <cfRule type="containsText" dxfId="1122" priority="1133" operator="containsText" text="T">
      <formula>NOT(ISERROR(SEARCH("T",D46)))</formula>
    </cfRule>
  </conditionalFormatting>
  <conditionalFormatting sqref="D46:D48">
    <cfRule type="containsText" dxfId="1121" priority="1130" operator="containsText" text="TB">
      <formula>NOT(ISERROR(SEARCH("TB",D46)))</formula>
    </cfRule>
  </conditionalFormatting>
  <conditionalFormatting sqref="D49:D51">
    <cfRule type="containsText" dxfId="1120" priority="1127" operator="containsText" text="B">
      <formula>NOT(ISERROR(SEARCH("B",D49)))</formula>
    </cfRule>
    <cfRule type="containsText" dxfId="1119" priority="1128" operator="containsText" text="TB">
      <formula>NOT(ISERROR(SEARCH("TB",D49)))</formula>
    </cfRule>
    <cfRule type="containsText" dxfId="1118" priority="1129" operator="containsText" text="T">
      <formula>NOT(ISERROR(SEARCH("T",D49)))</formula>
    </cfRule>
  </conditionalFormatting>
  <conditionalFormatting sqref="D49:D51">
    <cfRule type="containsText" dxfId="1117" priority="1126" operator="containsText" text="TB">
      <formula>NOT(ISERROR(SEARCH("TB",D49)))</formula>
    </cfRule>
  </conditionalFormatting>
  <conditionalFormatting sqref="D52:D53">
    <cfRule type="containsText" dxfId="1116" priority="1123" operator="containsText" text="B">
      <formula>NOT(ISERROR(SEARCH("B",D52)))</formula>
    </cfRule>
    <cfRule type="containsText" dxfId="1115" priority="1124" operator="containsText" text="TB">
      <formula>NOT(ISERROR(SEARCH("TB",D52)))</formula>
    </cfRule>
    <cfRule type="containsText" dxfId="1114" priority="1125" operator="containsText" text="T">
      <formula>NOT(ISERROR(SEARCH("T",D52)))</formula>
    </cfRule>
  </conditionalFormatting>
  <conditionalFormatting sqref="D52:D53">
    <cfRule type="containsText" dxfId="1113" priority="1122" operator="containsText" text="TB">
      <formula>NOT(ISERROR(SEARCH("TB",D52)))</formula>
    </cfRule>
  </conditionalFormatting>
  <conditionalFormatting sqref="D58:D59">
    <cfRule type="containsText" dxfId="1112" priority="1115" operator="containsText" text="B">
      <formula>NOT(ISERROR(SEARCH("B",D58)))</formula>
    </cfRule>
    <cfRule type="containsText" dxfId="1111" priority="1116" operator="containsText" text="TB">
      <formula>NOT(ISERROR(SEARCH("TB",D58)))</formula>
    </cfRule>
    <cfRule type="containsText" dxfId="1110" priority="1117" operator="containsText" text="T">
      <formula>NOT(ISERROR(SEARCH("T",D58)))</formula>
    </cfRule>
  </conditionalFormatting>
  <conditionalFormatting sqref="D58:D59">
    <cfRule type="containsText" dxfId="1109" priority="1114" operator="containsText" text="TB">
      <formula>NOT(ISERROR(SEARCH("TB",D58)))</formula>
    </cfRule>
  </conditionalFormatting>
  <conditionalFormatting sqref="D61">
    <cfRule type="containsText" dxfId="1108" priority="1111" operator="containsText" text="B">
      <formula>NOT(ISERROR(SEARCH("B",D61)))</formula>
    </cfRule>
    <cfRule type="containsText" dxfId="1107" priority="1112" operator="containsText" text="TB">
      <formula>NOT(ISERROR(SEARCH("TB",D61)))</formula>
    </cfRule>
    <cfRule type="containsText" dxfId="1106" priority="1113" operator="containsText" text="T">
      <formula>NOT(ISERROR(SEARCH("T",D61)))</formula>
    </cfRule>
  </conditionalFormatting>
  <conditionalFormatting sqref="D61">
    <cfRule type="containsText" dxfId="1105" priority="1110" operator="containsText" text="TB">
      <formula>NOT(ISERROR(SEARCH("TB",D61)))</formula>
    </cfRule>
  </conditionalFormatting>
  <conditionalFormatting sqref="D64">
    <cfRule type="containsText" dxfId="1104" priority="1107" operator="containsText" text="B">
      <formula>NOT(ISERROR(SEARCH("B",D64)))</formula>
    </cfRule>
    <cfRule type="containsText" dxfId="1103" priority="1108" operator="containsText" text="TB">
      <formula>NOT(ISERROR(SEARCH("TB",D64)))</formula>
    </cfRule>
    <cfRule type="containsText" dxfId="1102" priority="1109" operator="containsText" text="T">
      <formula>NOT(ISERROR(SEARCH("T",D64)))</formula>
    </cfRule>
  </conditionalFormatting>
  <conditionalFormatting sqref="D64">
    <cfRule type="containsText" dxfId="1101" priority="1106" operator="containsText" text="TB">
      <formula>NOT(ISERROR(SEARCH("TB",D64)))</formula>
    </cfRule>
  </conditionalFormatting>
  <conditionalFormatting sqref="D65">
    <cfRule type="containsText" dxfId="1100" priority="1103" operator="containsText" text="B">
      <formula>NOT(ISERROR(SEARCH("B",D65)))</formula>
    </cfRule>
    <cfRule type="containsText" dxfId="1099" priority="1104" operator="containsText" text="TB">
      <formula>NOT(ISERROR(SEARCH("TB",D65)))</formula>
    </cfRule>
    <cfRule type="containsText" dxfId="1098" priority="1105" operator="containsText" text="T">
      <formula>NOT(ISERROR(SEARCH("T",D65)))</formula>
    </cfRule>
  </conditionalFormatting>
  <conditionalFormatting sqref="D65">
    <cfRule type="containsText" dxfId="1097" priority="1102" operator="containsText" text="TB">
      <formula>NOT(ISERROR(SEARCH("TB",D65)))</formula>
    </cfRule>
  </conditionalFormatting>
  <conditionalFormatting sqref="D67:D68">
    <cfRule type="containsText" dxfId="1096" priority="1099" operator="containsText" text="B">
      <formula>NOT(ISERROR(SEARCH("B",D67)))</formula>
    </cfRule>
    <cfRule type="containsText" dxfId="1095" priority="1100" operator="containsText" text="TB">
      <formula>NOT(ISERROR(SEARCH("TB",D67)))</formula>
    </cfRule>
    <cfRule type="containsText" dxfId="1094" priority="1101" operator="containsText" text="T">
      <formula>NOT(ISERROR(SEARCH("T",D67)))</formula>
    </cfRule>
  </conditionalFormatting>
  <conditionalFormatting sqref="D67:D68">
    <cfRule type="containsText" dxfId="1093" priority="1098" operator="containsText" text="TB">
      <formula>NOT(ISERROR(SEARCH("TB",D67)))</formula>
    </cfRule>
  </conditionalFormatting>
  <conditionalFormatting sqref="D73">
    <cfRule type="containsText" dxfId="1092" priority="1095" operator="containsText" text="B">
      <formula>NOT(ISERROR(SEARCH("B",D73)))</formula>
    </cfRule>
    <cfRule type="containsText" dxfId="1091" priority="1096" operator="containsText" text="TB">
      <formula>NOT(ISERROR(SEARCH("TB",D73)))</formula>
    </cfRule>
    <cfRule type="containsText" dxfId="1090" priority="1097" operator="containsText" text="T">
      <formula>NOT(ISERROR(SEARCH("T",D73)))</formula>
    </cfRule>
  </conditionalFormatting>
  <conditionalFormatting sqref="D73">
    <cfRule type="containsText" dxfId="1089" priority="1094" operator="containsText" text="TB">
      <formula>NOT(ISERROR(SEARCH("TB",D73)))</formula>
    </cfRule>
  </conditionalFormatting>
  <conditionalFormatting sqref="D78">
    <cfRule type="containsText" dxfId="1088" priority="1087" operator="containsText" text="B">
      <formula>NOT(ISERROR(SEARCH("B",D78)))</formula>
    </cfRule>
    <cfRule type="containsText" dxfId="1087" priority="1088" operator="containsText" text="TB">
      <formula>NOT(ISERROR(SEARCH("TB",D78)))</formula>
    </cfRule>
    <cfRule type="containsText" dxfId="1086" priority="1089" operator="containsText" text="T">
      <formula>NOT(ISERROR(SEARCH("T",D78)))</formula>
    </cfRule>
  </conditionalFormatting>
  <conditionalFormatting sqref="D78">
    <cfRule type="containsText" dxfId="1085" priority="1086" operator="containsText" text="TB">
      <formula>NOT(ISERROR(SEARCH("TB",D78)))</formula>
    </cfRule>
  </conditionalFormatting>
  <conditionalFormatting sqref="D81:D82">
    <cfRule type="containsText" dxfId="1084" priority="1083" operator="containsText" text="B">
      <formula>NOT(ISERROR(SEARCH("B",D81)))</formula>
    </cfRule>
    <cfRule type="containsText" dxfId="1083" priority="1084" operator="containsText" text="TB">
      <formula>NOT(ISERROR(SEARCH("TB",D81)))</formula>
    </cfRule>
    <cfRule type="containsText" dxfId="1082" priority="1085" operator="containsText" text="T">
      <formula>NOT(ISERROR(SEARCH("T",D81)))</formula>
    </cfRule>
  </conditionalFormatting>
  <conditionalFormatting sqref="D81:D82">
    <cfRule type="containsText" dxfId="1081" priority="1082" operator="containsText" text="TB">
      <formula>NOT(ISERROR(SEARCH("TB",D81)))</formula>
    </cfRule>
  </conditionalFormatting>
  <conditionalFormatting sqref="D83:D85">
    <cfRule type="containsText" dxfId="1080" priority="1079" operator="containsText" text="B">
      <formula>NOT(ISERROR(SEARCH("B",D83)))</formula>
    </cfRule>
    <cfRule type="containsText" dxfId="1079" priority="1080" operator="containsText" text="TB">
      <formula>NOT(ISERROR(SEARCH("TB",D83)))</formula>
    </cfRule>
    <cfRule type="containsText" dxfId="1078" priority="1081" operator="containsText" text="T">
      <formula>NOT(ISERROR(SEARCH("T",D83)))</formula>
    </cfRule>
  </conditionalFormatting>
  <conditionalFormatting sqref="D83:D85">
    <cfRule type="containsText" dxfId="1077" priority="1078" operator="containsText" text="TB">
      <formula>NOT(ISERROR(SEARCH("TB",D83)))</formula>
    </cfRule>
  </conditionalFormatting>
  <conditionalFormatting sqref="D87:D88">
    <cfRule type="containsText" dxfId="1076" priority="1075" operator="containsText" text="B">
      <formula>NOT(ISERROR(SEARCH("B",D87)))</formula>
    </cfRule>
    <cfRule type="containsText" dxfId="1075" priority="1076" operator="containsText" text="TB">
      <formula>NOT(ISERROR(SEARCH("TB",D87)))</formula>
    </cfRule>
    <cfRule type="containsText" dxfId="1074" priority="1077" operator="containsText" text="T">
      <formula>NOT(ISERROR(SEARCH("T",D87)))</formula>
    </cfRule>
  </conditionalFormatting>
  <conditionalFormatting sqref="D87:D88">
    <cfRule type="containsText" dxfId="1073" priority="1074" operator="containsText" text="TB">
      <formula>NOT(ISERROR(SEARCH("TB",D87)))</formula>
    </cfRule>
  </conditionalFormatting>
  <conditionalFormatting sqref="D92">
    <cfRule type="containsText" dxfId="1072" priority="1071" operator="containsText" text="B">
      <formula>NOT(ISERROR(SEARCH("B",D92)))</formula>
    </cfRule>
    <cfRule type="containsText" dxfId="1071" priority="1072" operator="containsText" text="TB">
      <formula>NOT(ISERROR(SEARCH("TB",D92)))</formula>
    </cfRule>
    <cfRule type="containsText" dxfId="1070" priority="1073" operator="containsText" text="T">
      <formula>NOT(ISERROR(SEARCH("T",D92)))</formula>
    </cfRule>
  </conditionalFormatting>
  <conditionalFormatting sqref="D92">
    <cfRule type="containsText" dxfId="1069" priority="1070" operator="containsText" text="TB">
      <formula>NOT(ISERROR(SEARCH("TB",D92)))</formula>
    </cfRule>
  </conditionalFormatting>
  <conditionalFormatting sqref="D93">
    <cfRule type="containsText" dxfId="1068" priority="1067" operator="containsText" text="B">
      <formula>NOT(ISERROR(SEARCH("B",D93)))</formula>
    </cfRule>
    <cfRule type="containsText" dxfId="1067" priority="1068" operator="containsText" text="TB">
      <formula>NOT(ISERROR(SEARCH("TB",D93)))</formula>
    </cfRule>
    <cfRule type="containsText" dxfId="1066" priority="1069" operator="containsText" text="T">
      <formula>NOT(ISERROR(SEARCH("T",D93)))</formula>
    </cfRule>
  </conditionalFormatting>
  <conditionalFormatting sqref="D93">
    <cfRule type="containsText" dxfId="1065" priority="1066" operator="containsText" text="TB">
      <formula>NOT(ISERROR(SEARCH("TB",D93)))</formula>
    </cfRule>
  </conditionalFormatting>
  <conditionalFormatting sqref="D97:D98">
    <cfRule type="containsText" dxfId="1064" priority="1063" operator="containsText" text="B">
      <formula>NOT(ISERROR(SEARCH("B",D97)))</formula>
    </cfRule>
    <cfRule type="containsText" dxfId="1063" priority="1064" operator="containsText" text="TB">
      <formula>NOT(ISERROR(SEARCH("TB",D97)))</formula>
    </cfRule>
    <cfRule type="containsText" dxfId="1062" priority="1065" operator="containsText" text="T">
      <formula>NOT(ISERROR(SEARCH("T",D97)))</formula>
    </cfRule>
  </conditionalFormatting>
  <conditionalFormatting sqref="D97:D98">
    <cfRule type="containsText" dxfId="1061" priority="1062" operator="containsText" text="TB">
      <formula>NOT(ISERROR(SEARCH("TB",D97)))</formula>
    </cfRule>
  </conditionalFormatting>
  <conditionalFormatting sqref="D101">
    <cfRule type="containsText" dxfId="1060" priority="1059" operator="containsText" text="B">
      <formula>NOT(ISERROR(SEARCH("B",D101)))</formula>
    </cfRule>
    <cfRule type="containsText" dxfId="1059" priority="1060" operator="containsText" text="TB">
      <formula>NOT(ISERROR(SEARCH("TB",D101)))</formula>
    </cfRule>
    <cfRule type="containsText" dxfId="1058" priority="1061" operator="containsText" text="T">
      <formula>NOT(ISERROR(SEARCH("T",D101)))</formula>
    </cfRule>
  </conditionalFormatting>
  <conditionalFormatting sqref="D101">
    <cfRule type="containsText" dxfId="1057" priority="1058" operator="containsText" text="TB">
      <formula>NOT(ISERROR(SEARCH("TB",D101)))</formula>
    </cfRule>
  </conditionalFormatting>
  <conditionalFormatting sqref="D69:D70">
    <cfRule type="containsText" dxfId="1056" priority="1055" operator="containsText" text="B">
      <formula>NOT(ISERROR(SEARCH("B",D69)))</formula>
    </cfRule>
    <cfRule type="containsText" dxfId="1055" priority="1056" operator="containsText" text="TB">
      <formula>NOT(ISERROR(SEARCH("TB",D69)))</formula>
    </cfRule>
    <cfRule type="containsText" dxfId="1054" priority="1057" operator="containsText" text="T">
      <formula>NOT(ISERROR(SEARCH("T",D69)))</formula>
    </cfRule>
  </conditionalFormatting>
  <conditionalFormatting sqref="D69:D70">
    <cfRule type="containsText" dxfId="1053" priority="1054" operator="containsText" text="TB">
      <formula>NOT(ISERROR(SEARCH("TB",D69)))</formula>
    </cfRule>
  </conditionalFormatting>
  <conditionalFormatting sqref="D74">
    <cfRule type="containsText" dxfId="1052" priority="1051" operator="containsText" text="B">
      <formula>NOT(ISERROR(SEARCH("B",D74)))</formula>
    </cfRule>
    <cfRule type="containsText" dxfId="1051" priority="1052" operator="containsText" text="TB">
      <formula>NOT(ISERROR(SEARCH("TB",D74)))</formula>
    </cfRule>
    <cfRule type="containsText" dxfId="1050" priority="1053" operator="containsText" text="T">
      <formula>NOT(ISERROR(SEARCH("T",D74)))</formula>
    </cfRule>
  </conditionalFormatting>
  <conditionalFormatting sqref="D74">
    <cfRule type="containsText" dxfId="1049" priority="1050" operator="containsText" text="TB">
      <formula>NOT(ISERROR(SEARCH("TB",D74)))</formula>
    </cfRule>
  </conditionalFormatting>
  <conditionalFormatting sqref="D76">
    <cfRule type="containsText" dxfId="1048" priority="1047" operator="containsText" text="B">
      <formula>NOT(ISERROR(SEARCH("B",D76)))</formula>
    </cfRule>
    <cfRule type="containsText" dxfId="1047" priority="1048" operator="containsText" text="TB">
      <formula>NOT(ISERROR(SEARCH("TB",D76)))</formula>
    </cfRule>
    <cfRule type="containsText" dxfId="1046" priority="1049" operator="containsText" text="T">
      <formula>NOT(ISERROR(SEARCH("T",D76)))</formula>
    </cfRule>
  </conditionalFormatting>
  <conditionalFormatting sqref="D76">
    <cfRule type="containsText" dxfId="1045" priority="1046" operator="containsText" text="TB">
      <formula>NOT(ISERROR(SEARCH("TB",D76)))</formula>
    </cfRule>
  </conditionalFormatting>
  <conditionalFormatting sqref="D77">
    <cfRule type="containsText" dxfId="1044" priority="1043" operator="containsText" text="B">
      <formula>NOT(ISERROR(SEARCH("B",D77)))</formula>
    </cfRule>
    <cfRule type="containsText" dxfId="1043" priority="1044" operator="containsText" text="TB">
      <formula>NOT(ISERROR(SEARCH("TB",D77)))</formula>
    </cfRule>
    <cfRule type="containsText" dxfId="1042" priority="1045" operator="containsText" text="T">
      <formula>NOT(ISERROR(SEARCH("T",D77)))</formula>
    </cfRule>
  </conditionalFormatting>
  <conditionalFormatting sqref="D77">
    <cfRule type="containsText" dxfId="1041" priority="1042" operator="containsText" text="TB">
      <formula>NOT(ISERROR(SEARCH("TB",D77)))</formula>
    </cfRule>
  </conditionalFormatting>
  <conditionalFormatting sqref="D89:D90">
    <cfRule type="containsText" dxfId="1040" priority="1039" operator="containsText" text="B">
      <formula>NOT(ISERROR(SEARCH("B",D89)))</formula>
    </cfRule>
    <cfRule type="containsText" dxfId="1039" priority="1040" operator="containsText" text="TB">
      <formula>NOT(ISERROR(SEARCH("TB",D89)))</formula>
    </cfRule>
    <cfRule type="containsText" dxfId="1038" priority="1041" operator="containsText" text="T">
      <formula>NOT(ISERROR(SEARCH("T",D89)))</formula>
    </cfRule>
  </conditionalFormatting>
  <conditionalFormatting sqref="D89:D90">
    <cfRule type="containsText" dxfId="1037" priority="1038" operator="containsText" text="TB">
      <formula>NOT(ISERROR(SEARCH("TB",D89)))</formula>
    </cfRule>
  </conditionalFormatting>
  <conditionalFormatting sqref="D106">
    <cfRule type="containsText" dxfId="1036" priority="1035" operator="containsText" text="B">
      <formula>NOT(ISERROR(SEARCH("B",D106)))</formula>
    </cfRule>
    <cfRule type="containsText" dxfId="1035" priority="1036" operator="containsText" text="TB">
      <formula>NOT(ISERROR(SEARCH("TB",D106)))</formula>
    </cfRule>
    <cfRule type="containsText" dxfId="1034" priority="1037" operator="containsText" text="T">
      <formula>NOT(ISERROR(SEARCH("T",D106)))</formula>
    </cfRule>
  </conditionalFormatting>
  <conditionalFormatting sqref="D106">
    <cfRule type="containsText" dxfId="1033" priority="1034" operator="containsText" text="TB">
      <formula>NOT(ISERROR(SEARCH("TB",D106)))</formula>
    </cfRule>
  </conditionalFormatting>
  <conditionalFormatting sqref="C121:AG121">
    <cfRule type="containsText" dxfId="1032" priority="1033" operator="containsText" text="TB">
      <formula>NOT(ISERROR(SEARCH("TB",C121)))</formula>
    </cfRule>
  </conditionalFormatting>
  <conditionalFormatting sqref="D8">
    <cfRule type="containsText" dxfId="1031" priority="1030" operator="containsText" text="B">
      <formula>NOT(ISERROR(SEARCH("B",D8)))</formula>
    </cfRule>
    <cfRule type="containsText" dxfId="1030" priority="1031" operator="containsText" text="TB">
      <formula>NOT(ISERROR(SEARCH("TB",D8)))</formula>
    </cfRule>
    <cfRule type="containsText" dxfId="1029" priority="1032" operator="containsText" text="T">
      <formula>NOT(ISERROR(SEARCH("T",D8)))</formula>
    </cfRule>
  </conditionalFormatting>
  <conditionalFormatting sqref="D8">
    <cfRule type="containsText" dxfId="1028" priority="1029" operator="containsText" text="TB">
      <formula>NOT(ISERROR(SEARCH("TB",D8)))</formula>
    </cfRule>
  </conditionalFormatting>
  <conditionalFormatting sqref="D9">
    <cfRule type="containsText" dxfId="1027" priority="1026" operator="containsText" text="B">
      <formula>NOT(ISERROR(SEARCH("B",D9)))</formula>
    </cfRule>
    <cfRule type="containsText" dxfId="1026" priority="1027" operator="containsText" text="TB">
      <formula>NOT(ISERROR(SEARCH("TB",D9)))</formula>
    </cfRule>
    <cfRule type="containsText" dxfId="1025" priority="1028" operator="containsText" text="T">
      <formula>NOT(ISERROR(SEARCH("T",D9)))</formula>
    </cfRule>
  </conditionalFormatting>
  <conditionalFormatting sqref="D9">
    <cfRule type="containsText" dxfId="1024" priority="1025" operator="containsText" text="TB">
      <formula>NOT(ISERROR(SEARCH("TB",D9)))</formula>
    </cfRule>
  </conditionalFormatting>
  <conditionalFormatting sqref="D24">
    <cfRule type="containsText" dxfId="1023" priority="1022" operator="containsText" text="B">
      <formula>NOT(ISERROR(SEARCH("B",D24)))</formula>
    </cfRule>
    <cfRule type="containsText" dxfId="1022" priority="1023" operator="containsText" text="TB">
      <formula>NOT(ISERROR(SEARCH("TB",D24)))</formula>
    </cfRule>
    <cfRule type="containsText" dxfId="1021" priority="1024" operator="containsText" text="T">
      <formula>NOT(ISERROR(SEARCH("T",D24)))</formula>
    </cfRule>
  </conditionalFormatting>
  <conditionalFormatting sqref="D24">
    <cfRule type="containsText" dxfId="1020" priority="1021" operator="containsText" text="TB">
      <formula>NOT(ISERROR(SEARCH("TB",D24)))</formula>
    </cfRule>
  </conditionalFormatting>
  <conditionalFormatting sqref="D23">
    <cfRule type="containsText" dxfId="1019" priority="1018" operator="containsText" text="B">
      <formula>NOT(ISERROR(SEARCH("B",D23)))</formula>
    </cfRule>
    <cfRule type="containsText" dxfId="1018" priority="1019" operator="containsText" text="TB">
      <formula>NOT(ISERROR(SEARCH("TB",D23)))</formula>
    </cfRule>
    <cfRule type="containsText" dxfId="1017" priority="1020" operator="containsText" text="T">
      <formula>NOT(ISERROR(SEARCH("T",D23)))</formula>
    </cfRule>
  </conditionalFormatting>
  <conditionalFormatting sqref="D23">
    <cfRule type="containsText" dxfId="1016" priority="1017" operator="containsText" text="TB">
      <formula>NOT(ISERROR(SEARCH("TB",D23)))</formula>
    </cfRule>
  </conditionalFormatting>
  <conditionalFormatting sqref="D156">
    <cfRule type="containsText" dxfId="1015" priority="1014" operator="containsText" text="B">
      <formula>NOT(ISERROR(SEARCH("B",D156)))</formula>
    </cfRule>
    <cfRule type="containsText" dxfId="1014" priority="1015" operator="containsText" text="TB">
      <formula>NOT(ISERROR(SEARCH("TB",D156)))</formula>
    </cfRule>
    <cfRule type="containsText" dxfId="1013" priority="1016" operator="containsText" text="T">
      <formula>NOT(ISERROR(SEARCH("T",D156)))</formula>
    </cfRule>
  </conditionalFormatting>
  <conditionalFormatting sqref="D156">
    <cfRule type="containsText" dxfId="1012" priority="1013" operator="containsText" text="TB">
      <formula>NOT(ISERROR(SEARCH("TB",D156)))</formula>
    </cfRule>
  </conditionalFormatting>
  <conditionalFormatting sqref="D12">
    <cfRule type="containsText" dxfId="1011" priority="1010" operator="containsText" text="B">
      <formula>NOT(ISERROR(SEARCH("B",D12)))</formula>
    </cfRule>
    <cfRule type="containsText" dxfId="1010" priority="1011" operator="containsText" text="TB">
      <formula>NOT(ISERROR(SEARCH("TB",D12)))</formula>
    </cfRule>
    <cfRule type="containsText" dxfId="1009" priority="1012" operator="containsText" text="T">
      <formula>NOT(ISERROR(SEARCH("T",D12)))</formula>
    </cfRule>
  </conditionalFormatting>
  <conditionalFormatting sqref="D12">
    <cfRule type="containsText" dxfId="1008" priority="1009" operator="containsText" text="TB">
      <formula>NOT(ISERROR(SEARCH("TB",D12)))</formula>
    </cfRule>
  </conditionalFormatting>
  <conditionalFormatting sqref="D13">
    <cfRule type="containsText" dxfId="1007" priority="1006" operator="containsText" text="B">
      <formula>NOT(ISERROR(SEARCH("B",D13)))</formula>
    </cfRule>
    <cfRule type="containsText" dxfId="1006" priority="1007" operator="containsText" text="TB">
      <formula>NOT(ISERROR(SEARCH("TB",D13)))</formula>
    </cfRule>
    <cfRule type="containsText" dxfId="1005" priority="1008" operator="containsText" text="T">
      <formula>NOT(ISERROR(SEARCH("T",D13)))</formula>
    </cfRule>
  </conditionalFormatting>
  <conditionalFormatting sqref="D13">
    <cfRule type="containsText" dxfId="1004" priority="1005" operator="containsText" text="TB">
      <formula>NOT(ISERROR(SEARCH("TB",D13)))</formula>
    </cfRule>
  </conditionalFormatting>
  <conditionalFormatting sqref="D22">
    <cfRule type="containsText" dxfId="1003" priority="1002" operator="containsText" text="B">
      <formula>NOT(ISERROR(SEARCH("B",D22)))</formula>
    </cfRule>
    <cfRule type="containsText" dxfId="1002" priority="1003" operator="containsText" text="TB">
      <formula>NOT(ISERROR(SEARCH("TB",D22)))</formula>
    </cfRule>
    <cfRule type="containsText" dxfId="1001" priority="1004" operator="containsText" text="T">
      <formula>NOT(ISERROR(SEARCH("T",D22)))</formula>
    </cfRule>
  </conditionalFormatting>
  <conditionalFormatting sqref="D22">
    <cfRule type="containsText" dxfId="1000" priority="1001" operator="containsText" text="TB">
      <formula>NOT(ISERROR(SEARCH("TB",D22)))</formula>
    </cfRule>
  </conditionalFormatting>
  <conditionalFormatting sqref="D25">
    <cfRule type="containsText" dxfId="999" priority="998" operator="containsText" text="B">
      <formula>NOT(ISERROR(SEARCH("B",D25)))</formula>
    </cfRule>
    <cfRule type="containsText" dxfId="998" priority="999" operator="containsText" text="TB">
      <formula>NOT(ISERROR(SEARCH("TB",D25)))</formula>
    </cfRule>
    <cfRule type="containsText" dxfId="997" priority="1000" operator="containsText" text="T">
      <formula>NOT(ISERROR(SEARCH("T",D25)))</formula>
    </cfRule>
  </conditionalFormatting>
  <conditionalFormatting sqref="D25">
    <cfRule type="containsText" dxfId="996" priority="997" operator="containsText" text="TB">
      <formula>NOT(ISERROR(SEARCH("TB",D25)))</formula>
    </cfRule>
  </conditionalFormatting>
  <conditionalFormatting sqref="D28">
    <cfRule type="containsText" dxfId="995" priority="994" operator="containsText" text="B">
      <formula>NOT(ISERROR(SEARCH("B",D28)))</formula>
    </cfRule>
    <cfRule type="containsText" dxfId="994" priority="995" operator="containsText" text="TB">
      <formula>NOT(ISERROR(SEARCH("TB",D28)))</formula>
    </cfRule>
    <cfRule type="containsText" dxfId="993" priority="996" operator="containsText" text="T">
      <formula>NOT(ISERROR(SEARCH("T",D28)))</formula>
    </cfRule>
  </conditionalFormatting>
  <conditionalFormatting sqref="D28">
    <cfRule type="containsText" dxfId="992" priority="993" operator="containsText" text="TB">
      <formula>NOT(ISERROR(SEARCH("TB",D28)))</formula>
    </cfRule>
  </conditionalFormatting>
  <conditionalFormatting sqref="D31">
    <cfRule type="containsText" dxfId="991" priority="990" operator="containsText" text="B">
      <formula>NOT(ISERROR(SEARCH("B",D31)))</formula>
    </cfRule>
    <cfRule type="containsText" dxfId="990" priority="991" operator="containsText" text="TB">
      <formula>NOT(ISERROR(SEARCH("TB",D31)))</formula>
    </cfRule>
    <cfRule type="containsText" dxfId="989" priority="992" operator="containsText" text="T">
      <formula>NOT(ISERROR(SEARCH("T",D31)))</formula>
    </cfRule>
  </conditionalFormatting>
  <conditionalFormatting sqref="D31">
    <cfRule type="containsText" dxfId="988" priority="989" operator="containsText" text="TB">
      <formula>NOT(ISERROR(SEARCH("TB",D31)))</formula>
    </cfRule>
  </conditionalFormatting>
  <conditionalFormatting sqref="D35">
    <cfRule type="containsText" dxfId="987" priority="986" operator="containsText" text="B">
      <formula>NOT(ISERROR(SEARCH("B",D35)))</formula>
    </cfRule>
    <cfRule type="containsText" dxfId="986" priority="987" operator="containsText" text="TB">
      <formula>NOT(ISERROR(SEARCH("TB",D35)))</formula>
    </cfRule>
    <cfRule type="containsText" dxfId="985" priority="988" operator="containsText" text="T">
      <formula>NOT(ISERROR(SEARCH("T",D35)))</formula>
    </cfRule>
  </conditionalFormatting>
  <conditionalFormatting sqref="D35">
    <cfRule type="containsText" dxfId="984" priority="985" operator="containsText" text="TB">
      <formula>NOT(ISERROR(SEARCH("TB",D35)))</formula>
    </cfRule>
  </conditionalFormatting>
  <conditionalFormatting sqref="D36">
    <cfRule type="containsText" dxfId="983" priority="982" operator="containsText" text="B">
      <formula>NOT(ISERROR(SEARCH("B",D36)))</formula>
    </cfRule>
    <cfRule type="containsText" dxfId="982" priority="983" operator="containsText" text="TB">
      <formula>NOT(ISERROR(SEARCH("TB",D36)))</formula>
    </cfRule>
    <cfRule type="containsText" dxfId="981" priority="984" operator="containsText" text="T">
      <formula>NOT(ISERROR(SEARCH("T",D36)))</formula>
    </cfRule>
  </conditionalFormatting>
  <conditionalFormatting sqref="D36">
    <cfRule type="containsText" dxfId="980" priority="981" operator="containsText" text="TB">
      <formula>NOT(ISERROR(SEARCH("TB",D36)))</formula>
    </cfRule>
  </conditionalFormatting>
  <conditionalFormatting sqref="D39">
    <cfRule type="containsText" dxfId="979" priority="978" operator="containsText" text="B">
      <formula>NOT(ISERROR(SEARCH("B",D39)))</formula>
    </cfRule>
    <cfRule type="containsText" dxfId="978" priority="979" operator="containsText" text="TB">
      <formula>NOT(ISERROR(SEARCH("TB",D39)))</formula>
    </cfRule>
    <cfRule type="containsText" dxfId="977" priority="980" operator="containsText" text="T">
      <formula>NOT(ISERROR(SEARCH("T",D39)))</formula>
    </cfRule>
  </conditionalFormatting>
  <conditionalFormatting sqref="D39">
    <cfRule type="containsText" dxfId="976" priority="977" operator="containsText" text="TB">
      <formula>NOT(ISERROR(SEARCH("TB",D39)))</formula>
    </cfRule>
  </conditionalFormatting>
  <conditionalFormatting sqref="D40">
    <cfRule type="containsText" dxfId="975" priority="974" operator="containsText" text="B">
      <formula>NOT(ISERROR(SEARCH("B",D40)))</formula>
    </cfRule>
    <cfRule type="containsText" dxfId="974" priority="975" operator="containsText" text="TB">
      <formula>NOT(ISERROR(SEARCH("TB",D40)))</formula>
    </cfRule>
    <cfRule type="containsText" dxfId="973" priority="976" operator="containsText" text="T">
      <formula>NOT(ISERROR(SEARCH("T",D40)))</formula>
    </cfRule>
  </conditionalFormatting>
  <conditionalFormatting sqref="D40">
    <cfRule type="containsText" dxfId="972" priority="973" operator="containsText" text="TB">
      <formula>NOT(ISERROR(SEARCH("TB",D40)))</formula>
    </cfRule>
  </conditionalFormatting>
  <conditionalFormatting sqref="D135">
    <cfRule type="containsText" dxfId="971" priority="970" operator="containsText" text="B">
      <formula>NOT(ISERROR(SEARCH("B",D135)))</formula>
    </cfRule>
    <cfRule type="containsText" dxfId="970" priority="971" operator="containsText" text="TB">
      <formula>NOT(ISERROR(SEARCH("TB",D135)))</formula>
    </cfRule>
    <cfRule type="containsText" dxfId="969" priority="972" operator="containsText" text="T">
      <formula>NOT(ISERROR(SEARCH("T",D135)))</formula>
    </cfRule>
  </conditionalFormatting>
  <conditionalFormatting sqref="D135">
    <cfRule type="containsText" dxfId="968" priority="969" operator="containsText" text="TB">
      <formula>NOT(ISERROR(SEARCH("TB",D135)))</formula>
    </cfRule>
  </conditionalFormatting>
  <conditionalFormatting sqref="D136">
    <cfRule type="containsText" dxfId="967" priority="966" operator="containsText" text="B">
      <formula>NOT(ISERROR(SEARCH("B",D136)))</formula>
    </cfRule>
    <cfRule type="containsText" dxfId="966" priority="967" operator="containsText" text="TB">
      <formula>NOT(ISERROR(SEARCH("TB",D136)))</formula>
    </cfRule>
    <cfRule type="containsText" dxfId="965" priority="968" operator="containsText" text="T">
      <formula>NOT(ISERROR(SEARCH("T",D136)))</formula>
    </cfRule>
  </conditionalFormatting>
  <conditionalFormatting sqref="D136">
    <cfRule type="containsText" dxfId="964" priority="965" operator="containsText" text="TB">
      <formula>NOT(ISERROR(SEARCH("TB",D136)))</formula>
    </cfRule>
  </conditionalFormatting>
  <conditionalFormatting sqref="D139">
    <cfRule type="containsText" dxfId="963" priority="962" operator="containsText" text="B">
      <formula>NOT(ISERROR(SEARCH("B",D139)))</formula>
    </cfRule>
    <cfRule type="containsText" dxfId="962" priority="963" operator="containsText" text="TB">
      <formula>NOT(ISERROR(SEARCH("TB",D139)))</formula>
    </cfRule>
    <cfRule type="containsText" dxfId="961" priority="964" operator="containsText" text="T">
      <formula>NOT(ISERROR(SEARCH("T",D139)))</formula>
    </cfRule>
  </conditionalFormatting>
  <conditionalFormatting sqref="D139">
    <cfRule type="containsText" dxfId="960" priority="961" operator="containsText" text="TB">
      <formula>NOT(ISERROR(SEARCH("TB",D139)))</formula>
    </cfRule>
  </conditionalFormatting>
  <conditionalFormatting sqref="D146">
    <cfRule type="containsText" dxfId="959" priority="958" operator="containsText" text="B">
      <formula>NOT(ISERROR(SEARCH("B",D146)))</formula>
    </cfRule>
    <cfRule type="containsText" dxfId="958" priority="959" operator="containsText" text="TB">
      <formula>NOT(ISERROR(SEARCH("TB",D146)))</formula>
    </cfRule>
    <cfRule type="containsText" dxfId="957" priority="960" operator="containsText" text="T">
      <formula>NOT(ISERROR(SEARCH("T",D146)))</formula>
    </cfRule>
  </conditionalFormatting>
  <conditionalFormatting sqref="D146">
    <cfRule type="containsText" dxfId="956" priority="957" operator="containsText" text="TB">
      <formula>NOT(ISERROR(SEARCH("TB",D146)))</formula>
    </cfRule>
  </conditionalFormatting>
  <conditionalFormatting sqref="D155">
    <cfRule type="containsText" dxfId="955" priority="954" operator="containsText" text="B">
      <formula>NOT(ISERROR(SEARCH("B",D155)))</formula>
    </cfRule>
    <cfRule type="containsText" dxfId="954" priority="955" operator="containsText" text="TB">
      <formula>NOT(ISERROR(SEARCH("TB",D155)))</formula>
    </cfRule>
    <cfRule type="containsText" dxfId="953" priority="956" operator="containsText" text="T">
      <formula>NOT(ISERROR(SEARCH("T",D155)))</formula>
    </cfRule>
  </conditionalFormatting>
  <conditionalFormatting sqref="D155">
    <cfRule type="containsText" dxfId="952" priority="953" operator="containsText" text="TB">
      <formula>NOT(ISERROR(SEARCH("TB",D155)))</formula>
    </cfRule>
  </conditionalFormatting>
  <conditionalFormatting sqref="D134">
    <cfRule type="containsText" dxfId="951" priority="950" operator="containsText" text="B">
      <formula>NOT(ISERROR(SEARCH("B",D134)))</formula>
    </cfRule>
    <cfRule type="containsText" dxfId="950" priority="951" operator="containsText" text="TB">
      <formula>NOT(ISERROR(SEARCH("TB",D134)))</formula>
    </cfRule>
    <cfRule type="containsText" dxfId="949" priority="952" operator="containsText" text="T">
      <formula>NOT(ISERROR(SEARCH("T",D134)))</formula>
    </cfRule>
  </conditionalFormatting>
  <conditionalFormatting sqref="D134">
    <cfRule type="containsText" dxfId="948" priority="949" operator="containsText" text="TB">
      <formula>NOT(ISERROR(SEARCH("TB",D134)))</formula>
    </cfRule>
  </conditionalFormatting>
  <conditionalFormatting sqref="D16">
    <cfRule type="containsText" dxfId="947" priority="946" operator="containsText" text="B">
      <formula>NOT(ISERROR(SEARCH("B",D16)))</formula>
    </cfRule>
    <cfRule type="containsText" dxfId="946" priority="947" operator="containsText" text="TB">
      <formula>NOT(ISERROR(SEARCH("TB",D16)))</formula>
    </cfRule>
    <cfRule type="containsText" dxfId="945" priority="948" operator="containsText" text="T">
      <formula>NOT(ISERROR(SEARCH("T",D16)))</formula>
    </cfRule>
  </conditionalFormatting>
  <conditionalFormatting sqref="D16">
    <cfRule type="containsText" dxfId="944" priority="945" operator="containsText" text="TB">
      <formula>NOT(ISERROR(SEARCH("TB",D16)))</formula>
    </cfRule>
  </conditionalFormatting>
  <conditionalFormatting sqref="E140">
    <cfRule type="containsText" dxfId="943" priority="942" operator="containsText" text="B">
      <formula>NOT(ISERROR(SEARCH("B",E140)))</formula>
    </cfRule>
    <cfRule type="containsText" dxfId="942" priority="943" operator="containsText" text="TB">
      <formula>NOT(ISERROR(SEARCH("TB",E140)))</formula>
    </cfRule>
    <cfRule type="containsText" dxfId="941" priority="944" operator="containsText" text="T">
      <formula>NOT(ISERROR(SEARCH("T",E140)))</formula>
    </cfRule>
  </conditionalFormatting>
  <conditionalFormatting sqref="E140">
    <cfRule type="containsText" dxfId="940" priority="941" operator="containsText" text="TB">
      <formula>NOT(ISERROR(SEARCH("TB",E140)))</formula>
    </cfRule>
  </conditionalFormatting>
  <conditionalFormatting sqref="E11">
    <cfRule type="containsText" dxfId="939" priority="938" operator="containsText" text="B">
      <formula>NOT(ISERROR(SEARCH("B",E11)))</formula>
    </cfRule>
    <cfRule type="containsText" dxfId="938" priority="939" operator="containsText" text="TB">
      <formula>NOT(ISERROR(SEARCH("TB",E11)))</formula>
    </cfRule>
    <cfRule type="containsText" dxfId="937" priority="940" operator="containsText" text="T">
      <formula>NOT(ISERROR(SEARCH("T",E11)))</formula>
    </cfRule>
  </conditionalFormatting>
  <conditionalFormatting sqref="E11">
    <cfRule type="containsText" dxfId="936" priority="937" operator="containsText" text="TB">
      <formula>NOT(ISERROR(SEARCH("TB",E11)))</formula>
    </cfRule>
  </conditionalFormatting>
  <conditionalFormatting sqref="E15">
    <cfRule type="containsText" dxfId="935" priority="930" operator="containsText" text="B">
      <formula>NOT(ISERROR(SEARCH("B",E15)))</formula>
    </cfRule>
    <cfRule type="containsText" dxfId="934" priority="931" operator="containsText" text="TB">
      <formula>NOT(ISERROR(SEARCH("TB",E15)))</formula>
    </cfRule>
    <cfRule type="containsText" dxfId="933" priority="932" operator="containsText" text="T">
      <formula>NOT(ISERROR(SEARCH("T",E15)))</formula>
    </cfRule>
  </conditionalFormatting>
  <conditionalFormatting sqref="E15">
    <cfRule type="containsText" dxfId="932" priority="929" operator="containsText" text="TB">
      <formula>NOT(ISERROR(SEARCH("TB",E15)))</formula>
    </cfRule>
  </conditionalFormatting>
  <conditionalFormatting sqref="E33">
    <cfRule type="containsText" dxfId="931" priority="934" operator="containsText" text="B">
      <formula>NOT(ISERROR(SEARCH("B",E33)))</formula>
    </cfRule>
    <cfRule type="containsText" dxfId="930" priority="935" operator="containsText" text="TB">
      <formula>NOT(ISERROR(SEARCH("TB",E33)))</formula>
    </cfRule>
    <cfRule type="containsText" dxfId="929" priority="936" operator="containsText" text="T">
      <formula>NOT(ISERROR(SEARCH("T",E33)))</formula>
    </cfRule>
  </conditionalFormatting>
  <conditionalFormatting sqref="E33">
    <cfRule type="containsText" dxfId="928" priority="933" operator="containsText" text="TB">
      <formula>NOT(ISERROR(SEARCH("TB",E33)))</formula>
    </cfRule>
  </conditionalFormatting>
  <conditionalFormatting sqref="E17">
    <cfRule type="containsText" dxfId="927" priority="926" operator="containsText" text="B">
      <formula>NOT(ISERROR(SEARCH("B",E17)))</formula>
    </cfRule>
    <cfRule type="containsText" dxfId="926" priority="927" operator="containsText" text="TB">
      <formula>NOT(ISERROR(SEARCH("TB",E17)))</formula>
    </cfRule>
    <cfRule type="containsText" dxfId="925" priority="928" operator="containsText" text="T">
      <formula>NOT(ISERROR(SEARCH("T",E17)))</formula>
    </cfRule>
  </conditionalFormatting>
  <conditionalFormatting sqref="E17">
    <cfRule type="containsText" dxfId="924" priority="925" operator="containsText" text="TB">
      <formula>NOT(ISERROR(SEARCH("TB",E17)))</formula>
    </cfRule>
  </conditionalFormatting>
  <conditionalFormatting sqref="E19:E20">
    <cfRule type="containsText" dxfId="923" priority="922" operator="containsText" text="B">
      <formula>NOT(ISERROR(SEARCH("B",E19)))</formula>
    </cfRule>
    <cfRule type="containsText" dxfId="922" priority="923" operator="containsText" text="TB">
      <formula>NOT(ISERROR(SEARCH("TB",E19)))</formula>
    </cfRule>
    <cfRule type="containsText" dxfId="921" priority="924" operator="containsText" text="T">
      <formula>NOT(ISERROR(SEARCH("T",E19)))</formula>
    </cfRule>
  </conditionalFormatting>
  <conditionalFormatting sqref="E19:E20">
    <cfRule type="containsText" dxfId="920" priority="921" operator="containsText" text="TB">
      <formula>NOT(ISERROR(SEARCH("TB",E19)))</formula>
    </cfRule>
  </conditionalFormatting>
  <conditionalFormatting sqref="E8">
    <cfRule type="containsText" dxfId="919" priority="914" operator="containsText" text="B">
      <formula>NOT(ISERROR(SEARCH("B",E8)))</formula>
    </cfRule>
    <cfRule type="containsText" dxfId="918" priority="915" operator="containsText" text="TB">
      <formula>NOT(ISERROR(SEARCH("TB",E8)))</formula>
    </cfRule>
    <cfRule type="containsText" dxfId="917" priority="916" operator="containsText" text="T">
      <formula>NOT(ISERROR(SEARCH("T",E8)))</formula>
    </cfRule>
  </conditionalFormatting>
  <conditionalFormatting sqref="E8">
    <cfRule type="containsText" dxfId="916" priority="913" operator="containsText" text="TB">
      <formula>NOT(ISERROR(SEARCH("TB",E8)))</formula>
    </cfRule>
  </conditionalFormatting>
  <conditionalFormatting sqref="E41">
    <cfRule type="containsText" dxfId="915" priority="918" operator="containsText" text="B">
      <formula>NOT(ISERROR(SEARCH("B",E41)))</formula>
    </cfRule>
    <cfRule type="containsText" dxfId="914" priority="919" operator="containsText" text="TB">
      <formula>NOT(ISERROR(SEARCH("TB",E41)))</formula>
    </cfRule>
    <cfRule type="containsText" dxfId="913" priority="920" operator="containsText" text="T">
      <formula>NOT(ISERROR(SEARCH("T",E41)))</formula>
    </cfRule>
  </conditionalFormatting>
  <conditionalFormatting sqref="E41">
    <cfRule type="containsText" dxfId="912" priority="917" operator="containsText" text="TB">
      <formula>NOT(ISERROR(SEARCH("TB",E41)))</formula>
    </cfRule>
  </conditionalFormatting>
  <conditionalFormatting sqref="E34">
    <cfRule type="containsText" dxfId="911" priority="910" operator="containsText" text="B">
      <formula>NOT(ISERROR(SEARCH("B",E34)))</formula>
    </cfRule>
    <cfRule type="containsText" dxfId="910" priority="911" operator="containsText" text="TB">
      <formula>NOT(ISERROR(SEARCH("TB",E34)))</formula>
    </cfRule>
    <cfRule type="containsText" dxfId="909" priority="912" operator="containsText" text="T">
      <formula>NOT(ISERROR(SEARCH("T",E34)))</formula>
    </cfRule>
  </conditionalFormatting>
  <conditionalFormatting sqref="E34">
    <cfRule type="containsText" dxfId="908" priority="909" operator="containsText" text="TB">
      <formula>NOT(ISERROR(SEARCH("TB",E34)))</formula>
    </cfRule>
  </conditionalFormatting>
  <conditionalFormatting sqref="E143">
    <cfRule type="containsText" dxfId="907" priority="906" operator="containsText" text="B">
      <formula>NOT(ISERROR(SEARCH("B",E143)))</formula>
    </cfRule>
    <cfRule type="containsText" dxfId="906" priority="907" operator="containsText" text="TB">
      <formula>NOT(ISERROR(SEARCH("TB",E143)))</formula>
    </cfRule>
    <cfRule type="containsText" dxfId="905" priority="908" operator="containsText" text="T">
      <formula>NOT(ISERROR(SEARCH("T",E143)))</formula>
    </cfRule>
  </conditionalFormatting>
  <conditionalFormatting sqref="E143">
    <cfRule type="containsText" dxfId="904" priority="905" operator="containsText" text="TB">
      <formula>NOT(ISERROR(SEARCH("TB",E143)))</formula>
    </cfRule>
  </conditionalFormatting>
  <conditionalFormatting sqref="E144">
    <cfRule type="containsText" dxfId="903" priority="902" operator="containsText" text="B">
      <formula>NOT(ISERROR(SEARCH("B",E144)))</formula>
    </cfRule>
    <cfRule type="containsText" dxfId="902" priority="903" operator="containsText" text="TB">
      <formula>NOT(ISERROR(SEARCH("TB",E144)))</formula>
    </cfRule>
    <cfRule type="containsText" dxfId="901" priority="904" operator="containsText" text="T">
      <formula>NOT(ISERROR(SEARCH("T",E144)))</formula>
    </cfRule>
  </conditionalFormatting>
  <conditionalFormatting sqref="E144">
    <cfRule type="containsText" dxfId="900" priority="901" operator="containsText" text="TB">
      <formula>NOT(ISERROR(SEARCH("TB",E144)))</formula>
    </cfRule>
  </conditionalFormatting>
  <conditionalFormatting sqref="E30">
    <cfRule type="containsText" dxfId="899" priority="898" operator="containsText" text="B">
      <formula>NOT(ISERROR(SEARCH("B",E30)))</formula>
    </cfRule>
    <cfRule type="containsText" dxfId="898" priority="899" operator="containsText" text="TB">
      <formula>NOT(ISERROR(SEARCH("TB",E30)))</formula>
    </cfRule>
    <cfRule type="containsText" dxfId="897" priority="900" operator="containsText" text="T">
      <formula>NOT(ISERROR(SEARCH("T",E30)))</formula>
    </cfRule>
  </conditionalFormatting>
  <conditionalFormatting sqref="E30">
    <cfRule type="containsText" dxfId="896" priority="897" operator="containsText" text="TB">
      <formula>NOT(ISERROR(SEARCH("TB",E30)))</formula>
    </cfRule>
  </conditionalFormatting>
  <conditionalFormatting sqref="E27">
    <cfRule type="containsText" dxfId="895" priority="894" operator="containsText" text="B">
      <formula>NOT(ISERROR(SEARCH("B",E27)))</formula>
    </cfRule>
    <cfRule type="containsText" dxfId="894" priority="895" operator="containsText" text="TB">
      <formula>NOT(ISERROR(SEARCH("TB",E27)))</formula>
    </cfRule>
    <cfRule type="containsText" dxfId="893" priority="896" operator="containsText" text="T">
      <formula>NOT(ISERROR(SEARCH("T",E27)))</formula>
    </cfRule>
  </conditionalFormatting>
  <conditionalFormatting sqref="E27">
    <cfRule type="containsText" dxfId="892" priority="893" operator="containsText" text="TB">
      <formula>NOT(ISERROR(SEARCH("TB",E27)))</formula>
    </cfRule>
  </conditionalFormatting>
  <conditionalFormatting sqref="E139">
    <cfRule type="containsText" dxfId="891" priority="890" operator="containsText" text="B">
      <formula>NOT(ISERROR(SEARCH("B",E139)))</formula>
    </cfRule>
    <cfRule type="containsText" dxfId="890" priority="891" operator="containsText" text="TB">
      <formula>NOT(ISERROR(SEARCH("TB",E139)))</formula>
    </cfRule>
    <cfRule type="containsText" dxfId="889" priority="892" operator="containsText" text="T">
      <formula>NOT(ISERROR(SEARCH("T",E139)))</formula>
    </cfRule>
  </conditionalFormatting>
  <conditionalFormatting sqref="E139">
    <cfRule type="containsText" dxfId="888" priority="889" operator="containsText" text="TB">
      <formula>NOT(ISERROR(SEARCH("TB",E139)))</formula>
    </cfRule>
  </conditionalFormatting>
  <conditionalFormatting sqref="F13">
    <cfRule type="containsText" dxfId="887" priority="886" operator="containsText" text="B">
      <formula>NOT(ISERROR(SEARCH("B",F13)))</formula>
    </cfRule>
    <cfRule type="containsText" dxfId="886" priority="887" operator="containsText" text="TB">
      <formula>NOT(ISERROR(SEARCH("TB",F13)))</formula>
    </cfRule>
    <cfRule type="containsText" dxfId="885" priority="888" operator="containsText" text="T">
      <formula>NOT(ISERROR(SEARCH("T",F13)))</formula>
    </cfRule>
  </conditionalFormatting>
  <conditionalFormatting sqref="F13">
    <cfRule type="containsText" dxfId="884" priority="885" operator="containsText" text="TB">
      <formula>NOT(ISERROR(SEARCH("TB",F13)))</formula>
    </cfRule>
  </conditionalFormatting>
  <conditionalFormatting sqref="F32">
    <cfRule type="containsText" dxfId="883" priority="882" operator="containsText" text="B">
      <formula>NOT(ISERROR(SEARCH("B",F32)))</formula>
    </cfRule>
    <cfRule type="containsText" dxfId="882" priority="883" operator="containsText" text="TB">
      <formula>NOT(ISERROR(SEARCH("TB",F32)))</formula>
    </cfRule>
    <cfRule type="containsText" dxfId="881" priority="884" operator="containsText" text="T">
      <formula>NOT(ISERROR(SEARCH("T",F32)))</formula>
    </cfRule>
  </conditionalFormatting>
  <conditionalFormatting sqref="F32">
    <cfRule type="containsText" dxfId="880" priority="881" operator="containsText" text="TB">
      <formula>NOT(ISERROR(SEARCH("TB",F32)))</formula>
    </cfRule>
  </conditionalFormatting>
  <conditionalFormatting sqref="F35">
    <cfRule type="containsText" dxfId="879" priority="878" operator="containsText" text="B">
      <formula>NOT(ISERROR(SEARCH("B",F35)))</formula>
    </cfRule>
    <cfRule type="containsText" dxfId="878" priority="879" operator="containsText" text="TB">
      <formula>NOT(ISERROR(SEARCH("TB",F35)))</formula>
    </cfRule>
    <cfRule type="containsText" dxfId="877" priority="880" operator="containsText" text="T">
      <formula>NOT(ISERROR(SEARCH("T",F35)))</formula>
    </cfRule>
  </conditionalFormatting>
  <conditionalFormatting sqref="F35">
    <cfRule type="containsText" dxfId="876" priority="877" operator="containsText" text="TB">
      <formula>NOT(ISERROR(SEARCH("TB",F35)))</formula>
    </cfRule>
  </conditionalFormatting>
  <conditionalFormatting sqref="F21">
    <cfRule type="containsText" dxfId="875" priority="874" operator="containsText" text="B">
      <formula>NOT(ISERROR(SEARCH("B",F21)))</formula>
    </cfRule>
    <cfRule type="containsText" dxfId="874" priority="875" operator="containsText" text="TB">
      <formula>NOT(ISERROR(SEARCH("TB",F21)))</formula>
    </cfRule>
    <cfRule type="containsText" dxfId="873" priority="876" operator="containsText" text="T">
      <formula>NOT(ISERROR(SEARCH("T",F21)))</formula>
    </cfRule>
  </conditionalFormatting>
  <conditionalFormatting sqref="F21">
    <cfRule type="containsText" dxfId="872" priority="873" operator="containsText" text="TB">
      <formula>NOT(ISERROR(SEARCH("TB",F21)))</formula>
    </cfRule>
  </conditionalFormatting>
  <conditionalFormatting sqref="F150">
    <cfRule type="containsText" dxfId="871" priority="870" operator="containsText" text="B">
      <formula>NOT(ISERROR(SEARCH("B",F150)))</formula>
    </cfRule>
    <cfRule type="containsText" dxfId="870" priority="871" operator="containsText" text="TB">
      <formula>NOT(ISERROR(SEARCH("TB",F150)))</formula>
    </cfRule>
    <cfRule type="containsText" dxfId="869" priority="872" operator="containsText" text="T">
      <formula>NOT(ISERROR(SEARCH("T",F150)))</formula>
    </cfRule>
  </conditionalFormatting>
  <conditionalFormatting sqref="F150">
    <cfRule type="containsText" dxfId="868" priority="869" operator="containsText" text="TB">
      <formula>NOT(ISERROR(SEARCH("TB",F150)))</formula>
    </cfRule>
  </conditionalFormatting>
  <conditionalFormatting sqref="F153">
    <cfRule type="containsText" dxfId="867" priority="866" operator="containsText" text="B">
      <formula>NOT(ISERROR(SEARCH("B",F153)))</formula>
    </cfRule>
    <cfRule type="containsText" dxfId="866" priority="867" operator="containsText" text="TB">
      <formula>NOT(ISERROR(SEARCH("TB",F153)))</formula>
    </cfRule>
    <cfRule type="containsText" dxfId="865" priority="868" operator="containsText" text="T">
      <formula>NOT(ISERROR(SEARCH("T",F153)))</formula>
    </cfRule>
  </conditionalFormatting>
  <conditionalFormatting sqref="F153">
    <cfRule type="containsText" dxfId="864" priority="865" operator="containsText" text="TB">
      <formula>NOT(ISERROR(SEARCH("TB",F153)))</formula>
    </cfRule>
  </conditionalFormatting>
  <conditionalFormatting sqref="F136">
    <cfRule type="containsText" dxfId="863" priority="862" operator="containsText" text="B">
      <formula>NOT(ISERROR(SEARCH("B",F136)))</formula>
    </cfRule>
    <cfRule type="containsText" dxfId="862" priority="863" operator="containsText" text="TB">
      <formula>NOT(ISERROR(SEARCH("TB",F136)))</formula>
    </cfRule>
    <cfRule type="containsText" dxfId="861" priority="864" operator="containsText" text="T">
      <formula>NOT(ISERROR(SEARCH("T",F136)))</formula>
    </cfRule>
  </conditionalFormatting>
  <conditionalFormatting sqref="F136">
    <cfRule type="containsText" dxfId="860" priority="861" operator="containsText" text="TB">
      <formula>NOT(ISERROR(SEARCH("TB",F136)))</formula>
    </cfRule>
  </conditionalFormatting>
  <conditionalFormatting sqref="F28">
    <cfRule type="containsText" dxfId="859" priority="858" operator="containsText" text="B">
      <formula>NOT(ISERROR(SEARCH("B",F28)))</formula>
    </cfRule>
    <cfRule type="containsText" dxfId="858" priority="859" operator="containsText" text="TB">
      <formula>NOT(ISERROR(SEARCH("TB",F28)))</formula>
    </cfRule>
    <cfRule type="containsText" dxfId="857" priority="860" operator="containsText" text="T">
      <formula>NOT(ISERROR(SEARCH("T",F28)))</formula>
    </cfRule>
  </conditionalFormatting>
  <conditionalFormatting sqref="F28">
    <cfRule type="containsText" dxfId="856" priority="857" operator="containsText" text="TB">
      <formula>NOT(ISERROR(SEARCH("TB",F28)))</formula>
    </cfRule>
  </conditionalFormatting>
  <conditionalFormatting sqref="F38">
    <cfRule type="containsText" dxfId="855" priority="854" operator="containsText" text="B">
      <formula>NOT(ISERROR(SEARCH("B",F38)))</formula>
    </cfRule>
    <cfRule type="containsText" dxfId="854" priority="855" operator="containsText" text="TB">
      <formula>NOT(ISERROR(SEARCH("TB",F38)))</formula>
    </cfRule>
    <cfRule type="containsText" dxfId="853" priority="856" operator="containsText" text="T">
      <formula>NOT(ISERROR(SEARCH("T",F38)))</formula>
    </cfRule>
  </conditionalFormatting>
  <conditionalFormatting sqref="F38">
    <cfRule type="containsText" dxfId="852" priority="853" operator="containsText" text="TB">
      <formula>NOT(ISERROR(SEARCH("TB",F38)))</formula>
    </cfRule>
  </conditionalFormatting>
  <conditionalFormatting sqref="F139">
    <cfRule type="containsText" dxfId="851" priority="850" operator="containsText" text="B">
      <formula>NOT(ISERROR(SEARCH("B",F139)))</formula>
    </cfRule>
    <cfRule type="containsText" dxfId="850" priority="851" operator="containsText" text="TB">
      <formula>NOT(ISERROR(SEARCH("TB",F139)))</formula>
    </cfRule>
    <cfRule type="containsText" dxfId="849" priority="852" operator="containsText" text="T">
      <formula>NOT(ISERROR(SEARCH("T",F139)))</formula>
    </cfRule>
  </conditionalFormatting>
  <conditionalFormatting sqref="F139">
    <cfRule type="containsText" dxfId="848" priority="849" operator="containsText" text="TB">
      <formula>NOT(ISERROR(SEARCH("TB",F139)))</formula>
    </cfRule>
  </conditionalFormatting>
  <conditionalFormatting sqref="F37">
    <cfRule type="containsText" dxfId="847" priority="846" operator="containsText" text="B">
      <formula>NOT(ISERROR(SEARCH("B",F37)))</formula>
    </cfRule>
    <cfRule type="containsText" dxfId="846" priority="847" operator="containsText" text="TB">
      <formula>NOT(ISERROR(SEARCH("TB",F37)))</formula>
    </cfRule>
    <cfRule type="containsText" dxfId="845" priority="848" operator="containsText" text="T">
      <formula>NOT(ISERROR(SEARCH("T",F37)))</formula>
    </cfRule>
  </conditionalFormatting>
  <conditionalFormatting sqref="F37">
    <cfRule type="containsText" dxfId="844" priority="845" operator="containsText" text="TB">
      <formula>NOT(ISERROR(SEARCH("TB",F37)))</formula>
    </cfRule>
  </conditionalFormatting>
  <conditionalFormatting sqref="F40">
    <cfRule type="containsText" dxfId="843" priority="842" operator="containsText" text="B">
      <formula>NOT(ISERROR(SEARCH("B",F40)))</formula>
    </cfRule>
    <cfRule type="containsText" dxfId="842" priority="843" operator="containsText" text="TB">
      <formula>NOT(ISERROR(SEARCH("TB",F40)))</formula>
    </cfRule>
    <cfRule type="containsText" dxfId="841" priority="844" operator="containsText" text="T">
      <formula>NOT(ISERROR(SEARCH("T",F40)))</formula>
    </cfRule>
  </conditionalFormatting>
  <conditionalFormatting sqref="F40">
    <cfRule type="containsText" dxfId="840" priority="841" operator="containsText" text="TB">
      <formula>NOT(ISERROR(SEARCH("TB",F40)))</formula>
    </cfRule>
  </conditionalFormatting>
  <conditionalFormatting sqref="G12">
    <cfRule type="containsText" dxfId="839" priority="838" operator="containsText" text="B">
      <formula>NOT(ISERROR(SEARCH("B",G12)))</formula>
    </cfRule>
    <cfRule type="containsText" dxfId="838" priority="839" operator="containsText" text="TB">
      <formula>NOT(ISERROR(SEARCH("TB",G12)))</formula>
    </cfRule>
    <cfRule type="containsText" dxfId="837" priority="840" operator="containsText" text="T">
      <formula>NOT(ISERROR(SEARCH("T",G12)))</formula>
    </cfRule>
  </conditionalFormatting>
  <conditionalFormatting sqref="G12">
    <cfRule type="containsText" dxfId="836" priority="837" operator="containsText" text="TB">
      <formula>NOT(ISERROR(SEARCH("TB",G12)))</formula>
    </cfRule>
  </conditionalFormatting>
  <conditionalFormatting sqref="G29">
    <cfRule type="containsText" dxfId="835" priority="834" operator="containsText" text="B">
      <formula>NOT(ISERROR(SEARCH("B",G29)))</formula>
    </cfRule>
    <cfRule type="containsText" dxfId="834" priority="835" operator="containsText" text="TB">
      <formula>NOT(ISERROR(SEARCH("TB",G29)))</formula>
    </cfRule>
    <cfRule type="containsText" dxfId="833" priority="836" operator="containsText" text="T">
      <formula>NOT(ISERROR(SEARCH("T",G29)))</formula>
    </cfRule>
  </conditionalFormatting>
  <conditionalFormatting sqref="G29">
    <cfRule type="containsText" dxfId="832" priority="833" operator="containsText" text="TB">
      <formula>NOT(ISERROR(SEARCH("TB",G29)))</formula>
    </cfRule>
  </conditionalFormatting>
  <conditionalFormatting sqref="G39">
    <cfRule type="containsText" dxfId="831" priority="830" operator="containsText" text="B">
      <formula>NOT(ISERROR(SEARCH("B",G39)))</formula>
    </cfRule>
    <cfRule type="containsText" dxfId="830" priority="831" operator="containsText" text="TB">
      <formula>NOT(ISERROR(SEARCH("TB",G39)))</formula>
    </cfRule>
    <cfRule type="containsText" dxfId="829" priority="832" operator="containsText" text="T">
      <formula>NOT(ISERROR(SEARCH("T",G39)))</formula>
    </cfRule>
  </conditionalFormatting>
  <conditionalFormatting sqref="G39">
    <cfRule type="containsText" dxfId="828" priority="829" operator="containsText" text="TB">
      <formula>NOT(ISERROR(SEARCH("TB",G39)))</formula>
    </cfRule>
  </conditionalFormatting>
  <conditionalFormatting sqref="G14">
    <cfRule type="containsText" dxfId="827" priority="826" operator="containsText" text="B">
      <formula>NOT(ISERROR(SEARCH("B",G14)))</formula>
    </cfRule>
    <cfRule type="containsText" dxfId="826" priority="827" operator="containsText" text="TB">
      <formula>NOT(ISERROR(SEARCH("TB",G14)))</formula>
    </cfRule>
    <cfRule type="containsText" dxfId="825" priority="828" operator="containsText" text="T">
      <formula>NOT(ISERROR(SEARCH("T",G14)))</formula>
    </cfRule>
  </conditionalFormatting>
  <conditionalFormatting sqref="G14">
    <cfRule type="containsText" dxfId="824" priority="825" operator="containsText" text="TB">
      <formula>NOT(ISERROR(SEARCH("TB",G14)))</formula>
    </cfRule>
  </conditionalFormatting>
  <conditionalFormatting sqref="G157">
    <cfRule type="containsText" dxfId="823" priority="822" operator="containsText" text="B">
      <formula>NOT(ISERROR(SEARCH("B",G157)))</formula>
    </cfRule>
    <cfRule type="containsText" dxfId="822" priority="823" operator="containsText" text="TB">
      <formula>NOT(ISERROR(SEARCH("TB",G157)))</formula>
    </cfRule>
    <cfRule type="containsText" dxfId="821" priority="824" operator="containsText" text="T">
      <formula>NOT(ISERROR(SEARCH("T",G157)))</formula>
    </cfRule>
  </conditionalFormatting>
  <conditionalFormatting sqref="G157">
    <cfRule type="containsText" dxfId="820" priority="821" operator="containsText" text="TB">
      <formula>NOT(ISERROR(SEARCH("TB",G157)))</formula>
    </cfRule>
  </conditionalFormatting>
  <conditionalFormatting sqref="G10">
    <cfRule type="containsText" dxfId="819" priority="818" operator="containsText" text="B">
      <formula>NOT(ISERROR(SEARCH("B",G10)))</formula>
    </cfRule>
    <cfRule type="containsText" dxfId="818" priority="819" operator="containsText" text="TB">
      <formula>NOT(ISERROR(SEARCH("TB",G10)))</formula>
    </cfRule>
    <cfRule type="containsText" dxfId="817" priority="820" operator="containsText" text="T">
      <formula>NOT(ISERROR(SEARCH("T",G10)))</formula>
    </cfRule>
  </conditionalFormatting>
  <conditionalFormatting sqref="G10">
    <cfRule type="containsText" dxfId="816" priority="817" operator="containsText" text="TB">
      <formula>NOT(ISERROR(SEARCH("TB",G10)))</formula>
    </cfRule>
  </conditionalFormatting>
  <conditionalFormatting sqref="G18">
    <cfRule type="containsText" dxfId="815" priority="814" operator="containsText" text="B">
      <formula>NOT(ISERROR(SEARCH("B",G18)))</formula>
    </cfRule>
    <cfRule type="containsText" dxfId="814" priority="815" operator="containsText" text="TB">
      <formula>NOT(ISERROR(SEARCH("TB",G18)))</formula>
    </cfRule>
    <cfRule type="containsText" dxfId="813" priority="816" operator="containsText" text="T">
      <formula>NOT(ISERROR(SEARCH("T",G18)))</formula>
    </cfRule>
  </conditionalFormatting>
  <conditionalFormatting sqref="G18">
    <cfRule type="containsText" dxfId="812" priority="813" operator="containsText" text="TB">
      <formula>NOT(ISERROR(SEARCH("TB",G18)))</formula>
    </cfRule>
  </conditionalFormatting>
  <conditionalFormatting sqref="G26">
    <cfRule type="containsText" dxfId="811" priority="810" operator="containsText" text="B">
      <formula>NOT(ISERROR(SEARCH("B",G26)))</formula>
    </cfRule>
    <cfRule type="containsText" dxfId="810" priority="811" operator="containsText" text="TB">
      <formula>NOT(ISERROR(SEARCH("TB",G26)))</formula>
    </cfRule>
    <cfRule type="containsText" dxfId="809" priority="812" operator="containsText" text="T">
      <formula>NOT(ISERROR(SEARCH("T",G26)))</formula>
    </cfRule>
  </conditionalFormatting>
  <conditionalFormatting sqref="G26">
    <cfRule type="containsText" dxfId="808" priority="809" operator="containsText" text="TB">
      <formula>NOT(ISERROR(SEARCH("TB",G26)))</formula>
    </cfRule>
  </conditionalFormatting>
  <conditionalFormatting sqref="G141">
    <cfRule type="containsText" dxfId="807" priority="806" operator="containsText" text="B">
      <formula>NOT(ISERROR(SEARCH("B",G141)))</formula>
    </cfRule>
    <cfRule type="containsText" dxfId="806" priority="807" operator="containsText" text="TB">
      <formula>NOT(ISERROR(SEARCH("TB",G141)))</formula>
    </cfRule>
    <cfRule type="containsText" dxfId="805" priority="808" operator="containsText" text="T">
      <formula>NOT(ISERROR(SEARCH("T",G141)))</formula>
    </cfRule>
  </conditionalFormatting>
  <conditionalFormatting sqref="G141">
    <cfRule type="containsText" dxfId="804" priority="805" operator="containsText" text="TB">
      <formula>NOT(ISERROR(SEARCH("TB",G141)))</formula>
    </cfRule>
  </conditionalFormatting>
  <conditionalFormatting sqref="G147">
    <cfRule type="containsText" dxfId="803" priority="802" operator="containsText" text="B">
      <formula>NOT(ISERROR(SEARCH("B",G147)))</formula>
    </cfRule>
    <cfRule type="containsText" dxfId="802" priority="803" operator="containsText" text="TB">
      <formula>NOT(ISERROR(SEARCH("TB",G147)))</formula>
    </cfRule>
    <cfRule type="containsText" dxfId="801" priority="804" operator="containsText" text="T">
      <formula>NOT(ISERROR(SEARCH("T",G147)))</formula>
    </cfRule>
  </conditionalFormatting>
  <conditionalFormatting sqref="G147">
    <cfRule type="containsText" dxfId="800" priority="801" operator="containsText" text="TB">
      <formula>NOT(ISERROR(SEARCH("TB",G147)))</formula>
    </cfRule>
  </conditionalFormatting>
  <conditionalFormatting sqref="G148">
    <cfRule type="containsText" dxfId="799" priority="798" operator="containsText" text="B">
      <formula>NOT(ISERROR(SEARCH("B",G148)))</formula>
    </cfRule>
    <cfRule type="containsText" dxfId="798" priority="799" operator="containsText" text="TB">
      <formula>NOT(ISERROR(SEARCH("TB",G148)))</formula>
    </cfRule>
    <cfRule type="containsText" dxfId="797" priority="800" operator="containsText" text="T">
      <formula>NOT(ISERROR(SEARCH("T",G148)))</formula>
    </cfRule>
  </conditionalFormatting>
  <conditionalFormatting sqref="G148">
    <cfRule type="containsText" dxfId="796" priority="797" operator="containsText" text="TB">
      <formula>NOT(ISERROR(SEARCH("TB",G148)))</formula>
    </cfRule>
  </conditionalFormatting>
  <conditionalFormatting sqref="H15">
    <cfRule type="containsText" dxfId="795" priority="794" operator="containsText" text="B">
      <formula>NOT(ISERROR(SEARCH("B",H15)))</formula>
    </cfRule>
    <cfRule type="containsText" dxfId="794" priority="795" operator="containsText" text="TB">
      <formula>NOT(ISERROR(SEARCH("TB",H15)))</formula>
    </cfRule>
    <cfRule type="containsText" dxfId="793" priority="796" operator="containsText" text="T">
      <formula>NOT(ISERROR(SEARCH("T",H15)))</formula>
    </cfRule>
  </conditionalFormatting>
  <conditionalFormatting sqref="H15">
    <cfRule type="containsText" dxfId="792" priority="793" operator="containsText" text="TB">
      <formula>NOT(ISERROR(SEARCH("TB",H15)))</formula>
    </cfRule>
  </conditionalFormatting>
  <conditionalFormatting sqref="H36">
    <cfRule type="containsText" dxfId="791" priority="790" operator="containsText" text="B">
      <formula>NOT(ISERROR(SEARCH("B",H36)))</formula>
    </cfRule>
    <cfRule type="containsText" dxfId="790" priority="791" operator="containsText" text="TB">
      <formula>NOT(ISERROR(SEARCH("TB",H36)))</formula>
    </cfRule>
    <cfRule type="containsText" dxfId="789" priority="792" operator="containsText" text="T">
      <formula>NOT(ISERROR(SEARCH("T",H36)))</formula>
    </cfRule>
  </conditionalFormatting>
  <conditionalFormatting sqref="H36">
    <cfRule type="containsText" dxfId="788" priority="789" operator="containsText" text="TB">
      <formula>NOT(ISERROR(SEARCH("TB",H36)))</formula>
    </cfRule>
  </conditionalFormatting>
  <conditionalFormatting sqref="H157">
    <cfRule type="containsText" dxfId="787" priority="786" operator="containsText" text="B">
      <formula>NOT(ISERROR(SEARCH("B",H157)))</formula>
    </cfRule>
    <cfRule type="containsText" dxfId="786" priority="787" operator="containsText" text="TB">
      <formula>NOT(ISERROR(SEARCH("TB",H157)))</formula>
    </cfRule>
    <cfRule type="containsText" dxfId="785" priority="788" operator="containsText" text="T">
      <formula>NOT(ISERROR(SEARCH("T",H157)))</formula>
    </cfRule>
  </conditionalFormatting>
  <conditionalFormatting sqref="H157">
    <cfRule type="containsText" dxfId="784" priority="785" operator="containsText" text="TB">
      <formula>NOT(ISERROR(SEARCH("TB",H157)))</formula>
    </cfRule>
  </conditionalFormatting>
  <conditionalFormatting sqref="H22">
    <cfRule type="containsText" dxfId="783" priority="782" operator="containsText" text="B">
      <formula>NOT(ISERROR(SEARCH("B",H22)))</formula>
    </cfRule>
    <cfRule type="containsText" dxfId="782" priority="783" operator="containsText" text="TB">
      <formula>NOT(ISERROR(SEARCH("TB",H22)))</formula>
    </cfRule>
    <cfRule type="containsText" dxfId="781" priority="784" operator="containsText" text="T">
      <formula>NOT(ISERROR(SEARCH("T",H22)))</formula>
    </cfRule>
  </conditionalFormatting>
  <conditionalFormatting sqref="H22">
    <cfRule type="containsText" dxfId="780" priority="781" operator="containsText" text="TB">
      <formula>NOT(ISERROR(SEARCH("TB",H22)))</formula>
    </cfRule>
  </conditionalFormatting>
  <conditionalFormatting sqref="H21">
    <cfRule type="containsText" dxfId="779" priority="778" operator="containsText" text="B">
      <formula>NOT(ISERROR(SEARCH("B",H21)))</formula>
    </cfRule>
    <cfRule type="containsText" dxfId="778" priority="779" operator="containsText" text="TB">
      <formula>NOT(ISERROR(SEARCH("TB",H21)))</formula>
    </cfRule>
    <cfRule type="containsText" dxfId="777" priority="780" operator="containsText" text="T">
      <formula>NOT(ISERROR(SEARCH("T",H21)))</formula>
    </cfRule>
  </conditionalFormatting>
  <conditionalFormatting sqref="H21">
    <cfRule type="containsText" dxfId="776" priority="777" operator="containsText" text="TB">
      <formula>NOT(ISERROR(SEARCH("TB",H21)))</formula>
    </cfRule>
  </conditionalFormatting>
  <conditionalFormatting sqref="H148">
    <cfRule type="containsText" dxfId="775" priority="774" operator="containsText" text="B">
      <formula>NOT(ISERROR(SEARCH("B",H148)))</formula>
    </cfRule>
    <cfRule type="containsText" dxfId="774" priority="775" operator="containsText" text="TB">
      <formula>NOT(ISERROR(SEARCH("TB",H148)))</formula>
    </cfRule>
    <cfRule type="containsText" dxfId="773" priority="776" operator="containsText" text="T">
      <formula>NOT(ISERROR(SEARCH("T",H148)))</formula>
    </cfRule>
  </conditionalFormatting>
  <conditionalFormatting sqref="H148">
    <cfRule type="containsText" dxfId="772" priority="773" operator="containsText" text="TB">
      <formula>NOT(ISERROR(SEARCH("TB",H148)))</formula>
    </cfRule>
  </conditionalFormatting>
  <conditionalFormatting sqref="G154">
    <cfRule type="containsText" dxfId="771" priority="770" operator="containsText" text="B">
      <formula>NOT(ISERROR(SEARCH("B",G154)))</formula>
    </cfRule>
    <cfRule type="containsText" dxfId="770" priority="771" operator="containsText" text="TB">
      <formula>NOT(ISERROR(SEARCH("TB",G154)))</formula>
    </cfRule>
    <cfRule type="containsText" dxfId="769" priority="772" operator="containsText" text="T">
      <formula>NOT(ISERROR(SEARCH("T",G154)))</formula>
    </cfRule>
  </conditionalFormatting>
  <conditionalFormatting sqref="G154">
    <cfRule type="containsText" dxfId="768" priority="769" operator="containsText" text="TB">
      <formula>NOT(ISERROR(SEARCH("TB",G154)))</formula>
    </cfRule>
  </conditionalFormatting>
  <conditionalFormatting sqref="H38">
    <cfRule type="containsText" dxfId="767" priority="766" operator="containsText" text="B">
      <formula>NOT(ISERROR(SEARCH("B",H38)))</formula>
    </cfRule>
    <cfRule type="containsText" dxfId="766" priority="767" operator="containsText" text="TB">
      <formula>NOT(ISERROR(SEARCH("TB",H38)))</formula>
    </cfRule>
    <cfRule type="containsText" dxfId="765" priority="768" operator="containsText" text="T">
      <formula>NOT(ISERROR(SEARCH("T",H38)))</formula>
    </cfRule>
  </conditionalFormatting>
  <conditionalFormatting sqref="H38">
    <cfRule type="containsText" dxfId="764" priority="765" operator="containsText" text="TB">
      <formula>NOT(ISERROR(SEARCH("TB",H38)))</formula>
    </cfRule>
  </conditionalFormatting>
  <conditionalFormatting sqref="H35">
    <cfRule type="containsText" dxfId="763" priority="762" operator="containsText" text="B">
      <formula>NOT(ISERROR(SEARCH("B",H35)))</formula>
    </cfRule>
    <cfRule type="containsText" dxfId="762" priority="763" operator="containsText" text="TB">
      <formula>NOT(ISERROR(SEARCH("TB",H35)))</formula>
    </cfRule>
    <cfRule type="containsText" dxfId="761" priority="764" operator="containsText" text="T">
      <formula>NOT(ISERROR(SEARCH("T",H35)))</formula>
    </cfRule>
  </conditionalFormatting>
  <conditionalFormatting sqref="H35">
    <cfRule type="containsText" dxfId="760" priority="761" operator="containsText" text="TB">
      <formula>NOT(ISERROR(SEARCH("TB",H35)))</formula>
    </cfRule>
  </conditionalFormatting>
  <conditionalFormatting sqref="H7">
    <cfRule type="containsText" dxfId="759" priority="758" operator="containsText" text="B">
      <formula>NOT(ISERROR(SEARCH("B",H7)))</formula>
    </cfRule>
    <cfRule type="containsText" dxfId="758" priority="759" operator="containsText" text="TB">
      <formula>NOT(ISERROR(SEARCH("TB",H7)))</formula>
    </cfRule>
    <cfRule type="containsText" dxfId="757" priority="760" operator="containsText" text="T">
      <formula>NOT(ISERROR(SEARCH("T",H7)))</formula>
    </cfRule>
  </conditionalFormatting>
  <conditionalFormatting sqref="H7">
    <cfRule type="containsText" dxfId="756" priority="757" operator="containsText" text="TB">
      <formula>NOT(ISERROR(SEARCH("TB",H7)))</formula>
    </cfRule>
  </conditionalFormatting>
  <conditionalFormatting sqref="H41">
    <cfRule type="containsText" dxfId="755" priority="754" operator="containsText" text="B">
      <formula>NOT(ISERROR(SEARCH("B",H41)))</formula>
    </cfRule>
    <cfRule type="containsText" dxfId="754" priority="755" operator="containsText" text="TB">
      <formula>NOT(ISERROR(SEARCH("TB",H41)))</formula>
    </cfRule>
    <cfRule type="containsText" dxfId="753" priority="756" operator="containsText" text="T">
      <formula>NOT(ISERROR(SEARCH("T",H41)))</formula>
    </cfRule>
  </conditionalFormatting>
  <conditionalFormatting sqref="H41">
    <cfRule type="containsText" dxfId="752" priority="753" operator="containsText" text="TB">
      <formula>NOT(ISERROR(SEARCH("TB",H41)))</formula>
    </cfRule>
  </conditionalFormatting>
  <conditionalFormatting sqref="G139">
    <cfRule type="containsText" dxfId="751" priority="750" operator="containsText" text="B">
      <formula>NOT(ISERROR(SEARCH("B",G139)))</formula>
    </cfRule>
    <cfRule type="containsText" dxfId="750" priority="751" operator="containsText" text="TB">
      <formula>NOT(ISERROR(SEARCH("TB",G139)))</formula>
    </cfRule>
    <cfRule type="containsText" dxfId="749" priority="752" operator="containsText" text="T">
      <formula>NOT(ISERROR(SEARCH("T",G139)))</formula>
    </cfRule>
  </conditionalFormatting>
  <conditionalFormatting sqref="G139">
    <cfRule type="containsText" dxfId="748" priority="749" operator="containsText" text="TB">
      <formula>NOT(ISERROR(SEARCH("TB",G139)))</formula>
    </cfRule>
  </conditionalFormatting>
  <conditionalFormatting sqref="H139">
    <cfRule type="containsText" dxfId="747" priority="746" operator="containsText" text="B">
      <formula>NOT(ISERROR(SEARCH("B",H139)))</formula>
    </cfRule>
    <cfRule type="containsText" dxfId="746" priority="747" operator="containsText" text="TB">
      <formula>NOT(ISERROR(SEARCH("TB",H139)))</formula>
    </cfRule>
    <cfRule type="containsText" dxfId="745" priority="748" operator="containsText" text="T">
      <formula>NOT(ISERROR(SEARCH("T",H139)))</formula>
    </cfRule>
  </conditionalFormatting>
  <conditionalFormatting sqref="H139">
    <cfRule type="containsText" dxfId="744" priority="745" operator="containsText" text="TB">
      <formula>NOT(ISERROR(SEARCH("TB",H139)))</formula>
    </cfRule>
  </conditionalFormatting>
  <conditionalFormatting sqref="I39">
    <cfRule type="containsText" dxfId="743" priority="742" operator="containsText" text="B">
      <formula>NOT(ISERROR(SEARCH("B",I39)))</formula>
    </cfRule>
    <cfRule type="containsText" dxfId="742" priority="743" operator="containsText" text="TB">
      <formula>NOT(ISERROR(SEARCH("TB",I39)))</formula>
    </cfRule>
    <cfRule type="containsText" dxfId="741" priority="744" operator="containsText" text="T">
      <formula>NOT(ISERROR(SEARCH("T",I39)))</formula>
    </cfRule>
  </conditionalFormatting>
  <conditionalFormatting sqref="I39">
    <cfRule type="containsText" dxfId="740" priority="741" operator="containsText" text="TB">
      <formula>NOT(ISERROR(SEARCH("TB",I39)))</formula>
    </cfRule>
  </conditionalFormatting>
  <conditionalFormatting sqref="I18">
    <cfRule type="containsText" dxfId="739" priority="738" operator="containsText" text="B">
      <formula>NOT(ISERROR(SEARCH("B",I18)))</formula>
    </cfRule>
    <cfRule type="containsText" dxfId="738" priority="739" operator="containsText" text="TB">
      <formula>NOT(ISERROR(SEARCH("TB",I18)))</formula>
    </cfRule>
    <cfRule type="containsText" dxfId="737" priority="740" operator="containsText" text="T">
      <formula>NOT(ISERROR(SEARCH("T",I18)))</formula>
    </cfRule>
  </conditionalFormatting>
  <conditionalFormatting sqref="I18">
    <cfRule type="containsText" dxfId="736" priority="737" operator="containsText" text="TB">
      <formula>NOT(ISERROR(SEARCH("TB",I18)))</formula>
    </cfRule>
  </conditionalFormatting>
  <conditionalFormatting sqref="I17">
    <cfRule type="containsText" dxfId="735" priority="734" operator="containsText" text="B">
      <formula>NOT(ISERROR(SEARCH("B",I17)))</formula>
    </cfRule>
    <cfRule type="containsText" dxfId="734" priority="735" operator="containsText" text="TB">
      <formula>NOT(ISERROR(SEARCH("TB",I17)))</formula>
    </cfRule>
    <cfRule type="containsText" dxfId="733" priority="736" operator="containsText" text="T">
      <formula>NOT(ISERROR(SEARCH("T",I17)))</formula>
    </cfRule>
  </conditionalFormatting>
  <conditionalFormatting sqref="I17">
    <cfRule type="containsText" dxfId="732" priority="733" operator="containsText" text="TB">
      <formula>NOT(ISERROR(SEARCH("TB",I17)))</formula>
    </cfRule>
  </conditionalFormatting>
  <conditionalFormatting sqref="I12">
    <cfRule type="containsText" dxfId="731" priority="730" operator="containsText" text="B">
      <formula>NOT(ISERROR(SEARCH("B",I12)))</formula>
    </cfRule>
    <cfRule type="containsText" dxfId="730" priority="731" operator="containsText" text="TB">
      <formula>NOT(ISERROR(SEARCH("TB",I12)))</formula>
    </cfRule>
    <cfRule type="containsText" dxfId="729" priority="732" operator="containsText" text="T">
      <formula>NOT(ISERROR(SEARCH("T",I12)))</formula>
    </cfRule>
  </conditionalFormatting>
  <conditionalFormatting sqref="I12">
    <cfRule type="containsText" dxfId="728" priority="729" operator="containsText" text="TB">
      <formula>NOT(ISERROR(SEARCH("TB",I12)))</formula>
    </cfRule>
  </conditionalFormatting>
  <conditionalFormatting sqref="I33">
    <cfRule type="containsText" dxfId="727" priority="726" operator="containsText" text="B">
      <formula>NOT(ISERROR(SEARCH("B",I33)))</formula>
    </cfRule>
    <cfRule type="containsText" dxfId="726" priority="727" operator="containsText" text="TB">
      <formula>NOT(ISERROR(SEARCH("TB",I33)))</formula>
    </cfRule>
    <cfRule type="containsText" dxfId="725" priority="728" operator="containsText" text="T">
      <formula>NOT(ISERROR(SEARCH("T",I33)))</formula>
    </cfRule>
  </conditionalFormatting>
  <conditionalFormatting sqref="I33">
    <cfRule type="containsText" dxfId="724" priority="725" operator="containsText" text="TB">
      <formula>NOT(ISERROR(SEARCH("TB",I33)))</formula>
    </cfRule>
  </conditionalFormatting>
  <conditionalFormatting sqref="I37">
    <cfRule type="containsText" dxfId="723" priority="722" operator="containsText" text="B">
      <formula>NOT(ISERROR(SEARCH("B",I37)))</formula>
    </cfRule>
    <cfRule type="containsText" dxfId="722" priority="723" operator="containsText" text="TB">
      <formula>NOT(ISERROR(SEARCH("TB",I37)))</formula>
    </cfRule>
    <cfRule type="containsText" dxfId="721" priority="724" operator="containsText" text="T">
      <formula>NOT(ISERROR(SEARCH("T",I37)))</formula>
    </cfRule>
  </conditionalFormatting>
  <conditionalFormatting sqref="I37">
    <cfRule type="containsText" dxfId="720" priority="721" operator="containsText" text="TB">
      <formula>NOT(ISERROR(SEARCH("TB",I37)))</formula>
    </cfRule>
  </conditionalFormatting>
  <conditionalFormatting sqref="I31">
    <cfRule type="containsText" dxfId="719" priority="718" operator="containsText" text="B">
      <formula>NOT(ISERROR(SEARCH("B",I31)))</formula>
    </cfRule>
    <cfRule type="containsText" dxfId="718" priority="719" operator="containsText" text="TB">
      <formula>NOT(ISERROR(SEARCH("TB",I31)))</formula>
    </cfRule>
    <cfRule type="containsText" dxfId="717" priority="720" operator="containsText" text="T">
      <formula>NOT(ISERROR(SEARCH("T",I31)))</formula>
    </cfRule>
  </conditionalFormatting>
  <conditionalFormatting sqref="I31">
    <cfRule type="containsText" dxfId="716" priority="717" operator="containsText" text="TB">
      <formula>NOT(ISERROR(SEARCH("TB",I31)))</formula>
    </cfRule>
  </conditionalFormatting>
  <conditionalFormatting sqref="K12">
    <cfRule type="containsText" dxfId="715" priority="714" operator="containsText" text="B">
      <formula>NOT(ISERROR(SEARCH("B",K12)))</formula>
    </cfRule>
    <cfRule type="containsText" dxfId="714" priority="715" operator="containsText" text="TB">
      <formula>NOT(ISERROR(SEARCH("TB",K12)))</formula>
    </cfRule>
    <cfRule type="containsText" dxfId="713" priority="716" operator="containsText" text="T">
      <formula>NOT(ISERROR(SEARCH("T",K12)))</formula>
    </cfRule>
  </conditionalFormatting>
  <conditionalFormatting sqref="K12">
    <cfRule type="containsText" dxfId="712" priority="713" operator="containsText" text="TB">
      <formula>NOT(ISERROR(SEARCH("TB",K12)))</formula>
    </cfRule>
  </conditionalFormatting>
  <conditionalFormatting sqref="K38">
    <cfRule type="containsText" dxfId="711" priority="710" operator="containsText" text="B">
      <formula>NOT(ISERROR(SEARCH("B",K38)))</formula>
    </cfRule>
    <cfRule type="containsText" dxfId="710" priority="711" operator="containsText" text="TB">
      <formula>NOT(ISERROR(SEARCH("TB",K38)))</formula>
    </cfRule>
    <cfRule type="containsText" dxfId="709" priority="712" operator="containsText" text="T">
      <formula>NOT(ISERROR(SEARCH("T",K38)))</formula>
    </cfRule>
  </conditionalFormatting>
  <conditionalFormatting sqref="K38">
    <cfRule type="containsText" dxfId="708" priority="709" operator="containsText" text="TB">
      <formula>NOT(ISERROR(SEARCH("TB",K38)))</formula>
    </cfRule>
  </conditionalFormatting>
  <conditionalFormatting sqref="K20">
    <cfRule type="containsText" dxfId="707" priority="706" operator="containsText" text="B">
      <formula>NOT(ISERROR(SEARCH("B",K20)))</formula>
    </cfRule>
    <cfRule type="containsText" dxfId="706" priority="707" operator="containsText" text="TB">
      <formula>NOT(ISERROR(SEARCH("TB",K20)))</formula>
    </cfRule>
    <cfRule type="containsText" dxfId="705" priority="708" operator="containsText" text="T">
      <formula>NOT(ISERROR(SEARCH("T",K20)))</formula>
    </cfRule>
  </conditionalFormatting>
  <conditionalFormatting sqref="K20">
    <cfRule type="containsText" dxfId="704" priority="705" operator="containsText" text="TB">
      <formula>NOT(ISERROR(SEARCH("TB",K20)))</formula>
    </cfRule>
  </conditionalFormatting>
  <conditionalFormatting sqref="K139">
    <cfRule type="containsText" dxfId="703" priority="702" operator="containsText" text="B">
      <formula>NOT(ISERROR(SEARCH("B",K139)))</formula>
    </cfRule>
    <cfRule type="containsText" dxfId="702" priority="703" operator="containsText" text="TB">
      <formula>NOT(ISERROR(SEARCH("TB",K139)))</formula>
    </cfRule>
    <cfRule type="containsText" dxfId="701" priority="704" operator="containsText" text="T">
      <formula>NOT(ISERROR(SEARCH("T",K139)))</formula>
    </cfRule>
  </conditionalFormatting>
  <conditionalFormatting sqref="K139">
    <cfRule type="containsText" dxfId="700" priority="701" operator="containsText" text="TB">
      <formula>NOT(ISERROR(SEARCH("TB",K139)))</formula>
    </cfRule>
  </conditionalFormatting>
  <conditionalFormatting sqref="K16">
    <cfRule type="containsText" dxfId="699" priority="698" operator="containsText" text="B">
      <formula>NOT(ISERROR(SEARCH("B",K16)))</formula>
    </cfRule>
    <cfRule type="containsText" dxfId="698" priority="699" operator="containsText" text="TB">
      <formula>NOT(ISERROR(SEARCH("TB",K16)))</formula>
    </cfRule>
    <cfRule type="containsText" dxfId="697" priority="700" operator="containsText" text="T">
      <formula>NOT(ISERROR(SEARCH("T",K16)))</formula>
    </cfRule>
  </conditionalFormatting>
  <conditionalFormatting sqref="K16">
    <cfRule type="containsText" dxfId="696" priority="697" operator="containsText" text="TB">
      <formula>NOT(ISERROR(SEARCH("TB",K16)))</formula>
    </cfRule>
  </conditionalFormatting>
  <conditionalFormatting sqref="K28">
    <cfRule type="containsText" dxfId="695" priority="694" operator="containsText" text="B">
      <formula>NOT(ISERROR(SEARCH("B",K28)))</formula>
    </cfRule>
    <cfRule type="containsText" dxfId="694" priority="695" operator="containsText" text="TB">
      <formula>NOT(ISERROR(SEARCH("TB",K28)))</formula>
    </cfRule>
    <cfRule type="containsText" dxfId="693" priority="696" operator="containsText" text="T">
      <formula>NOT(ISERROR(SEARCH("T",K28)))</formula>
    </cfRule>
  </conditionalFormatting>
  <conditionalFormatting sqref="K28">
    <cfRule type="containsText" dxfId="692" priority="693" operator="containsText" text="TB">
      <formula>NOT(ISERROR(SEARCH("TB",K28)))</formula>
    </cfRule>
  </conditionalFormatting>
  <conditionalFormatting sqref="K19">
    <cfRule type="containsText" dxfId="691" priority="690" operator="containsText" text="B">
      <formula>NOT(ISERROR(SEARCH("B",K19)))</formula>
    </cfRule>
    <cfRule type="containsText" dxfId="690" priority="691" operator="containsText" text="TB">
      <formula>NOT(ISERROR(SEARCH("TB",K19)))</formula>
    </cfRule>
    <cfRule type="containsText" dxfId="689" priority="692" operator="containsText" text="T">
      <formula>NOT(ISERROR(SEARCH("T",K19)))</formula>
    </cfRule>
  </conditionalFormatting>
  <conditionalFormatting sqref="K19">
    <cfRule type="containsText" dxfId="688" priority="689" operator="containsText" text="TB">
      <formula>NOT(ISERROR(SEARCH("TB",K19)))</formula>
    </cfRule>
  </conditionalFormatting>
  <conditionalFormatting sqref="K26">
    <cfRule type="containsText" dxfId="687" priority="686" operator="containsText" text="B">
      <formula>NOT(ISERROR(SEARCH("B",K26)))</formula>
    </cfRule>
    <cfRule type="containsText" dxfId="686" priority="687" operator="containsText" text="TB">
      <formula>NOT(ISERROR(SEARCH("TB",K26)))</formula>
    </cfRule>
    <cfRule type="containsText" dxfId="685" priority="688" operator="containsText" text="T">
      <formula>NOT(ISERROR(SEARCH("T",K26)))</formula>
    </cfRule>
  </conditionalFormatting>
  <conditionalFormatting sqref="K26">
    <cfRule type="containsText" dxfId="684" priority="685" operator="containsText" text="TB">
      <formula>NOT(ISERROR(SEARCH("TB",K26)))</formula>
    </cfRule>
  </conditionalFormatting>
  <conditionalFormatting sqref="L23">
    <cfRule type="containsText" dxfId="683" priority="682" operator="containsText" text="B">
      <formula>NOT(ISERROR(SEARCH("B",L23)))</formula>
    </cfRule>
    <cfRule type="containsText" dxfId="682" priority="683" operator="containsText" text="TB">
      <formula>NOT(ISERROR(SEARCH("TB",L23)))</formula>
    </cfRule>
    <cfRule type="containsText" dxfId="681" priority="684" operator="containsText" text="T">
      <formula>NOT(ISERROR(SEARCH("T",L23)))</formula>
    </cfRule>
  </conditionalFormatting>
  <conditionalFormatting sqref="L23">
    <cfRule type="containsText" dxfId="680" priority="681" operator="containsText" text="TB">
      <formula>NOT(ISERROR(SEARCH("TB",L23)))</formula>
    </cfRule>
  </conditionalFormatting>
  <conditionalFormatting sqref="L139">
    <cfRule type="containsText" dxfId="679" priority="678" operator="containsText" text="B">
      <formula>NOT(ISERROR(SEARCH("B",L139)))</formula>
    </cfRule>
    <cfRule type="containsText" dxfId="678" priority="679" operator="containsText" text="TB">
      <formula>NOT(ISERROR(SEARCH("TB",L139)))</formula>
    </cfRule>
    <cfRule type="containsText" dxfId="677" priority="680" operator="containsText" text="T">
      <formula>NOT(ISERROR(SEARCH("T",L139)))</formula>
    </cfRule>
  </conditionalFormatting>
  <conditionalFormatting sqref="L139">
    <cfRule type="containsText" dxfId="676" priority="677" operator="containsText" text="TB">
      <formula>NOT(ISERROR(SEARCH("TB",L139)))</formula>
    </cfRule>
  </conditionalFormatting>
  <conditionalFormatting sqref="L37">
    <cfRule type="containsText" dxfId="675" priority="674" operator="containsText" text="B">
      <formula>NOT(ISERROR(SEARCH("B",L37)))</formula>
    </cfRule>
    <cfRule type="containsText" dxfId="674" priority="675" operator="containsText" text="TB">
      <formula>NOT(ISERROR(SEARCH("TB",L37)))</formula>
    </cfRule>
    <cfRule type="containsText" dxfId="673" priority="676" operator="containsText" text="T">
      <formula>NOT(ISERROR(SEARCH("T",L37)))</formula>
    </cfRule>
  </conditionalFormatting>
  <conditionalFormatting sqref="L37">
    <cfRule type="containsText" dxfId="672" priority="673" operator="containsText" text="TB">
      <formula>NOT(ISERROR(SEARCH("TB",L37)))</formula>
    </cfRule>
  </conditionalFormatting>
  <conditionalFormatting sqref="K30">
    <cfRule type="containsText" dxfId="671" priority="670" operator="containsText" text="B">
      <formula>NOT(ISERROR(SEARCH("B",K30)))</formula>
    </cfRule>
    <cfRule type="containsText" dxfId="670" priority="671" operator="containsText" text="TB">
      <formula>NOT(ISERROR(SEARCH("TB",K30)))</formula>
    </cfRule>
    <cfRule type="containsText" dxfId="669" priority="672" operator="containsText" text="T">
      <formula>NOT(ISERROR(SEARCH("T",K30)))</formula>
    </cfRule>
  </conditionalFormatting>
  <conditionalFormatting sqref="K30">
    <cfRule type="containsText" dxfId="668" priority="669" operator="containsText" text="TB">
      <formula>NOT(ISERROR(SEARCH("TB",K30)))</formula>
    </cfRule>
  </conditionalFormatting>
  <conditionalFormatting sqref="L14">
    <cfRule type="containsText" dxfId="667" priority="666" operator="containsText" text="B">
      <formula>NOT(ISERROR(SEARCH("B",L14)))</formula>
    </cfRule>
    <cfRule type="containsText" dxfId="666" priority="667" operator="containsText" text="TB">
      <formula>NOT(ISERROR(SEARCH("TB",L14)))</formula>
    </cfRule>
    <cfRule type="containsText" dxfId="665" priority="668" operator="containsText" text="T">
      <formula>NOT(ISERROR(SEARCH("T",L14)))</formula>
    </cfRule>
  </conditionalFormatting>
  <conditionalFormatting sqref="L14">
    <cfRule type="containsText" dxfId="664" priority="665" operator="containsText" text="TB">
      <formula>NOT(ISERROR(SEARCH("TB",L14)))</formula>
    </cfRule>
  </conditionalFormatting>
  <conditionalFormatting sqref="I158">
    <cfRule type="containsText" dxfId="663" priority="662" operator="containsText" text="B">
      <formula>NOT(ISERROR(SEARCH("B",I158)))</formula>
    </cfRule>
    <cfRule type="containsText" dxfId="662" priority="663" operator="containsText" text="TB">
      <formula>NOT(ISERROR(SEARCH("TB",I158)))</formula>
    </cfRule>
    <cfRule type="containsText" dxfId="661" priority="664" operator="containsText" text="T">
      <formula>NOT(ISERROR(SEARCH("T",I158)))</formula>
    </cfRule>
  </conditionalFormatting>
  <conditionalFormatting sqref="I158">
    <cfRule type="containsText" dxfId="660" priority="661" operator="containsText" text="TB">
      <formula>NOT(ISERROR(SEARCH("TB",I158)))</formula>
    </cfRule>
  </conditionalFormatting>
  <conditionalFormatting sqref="K158">
    <cfRule type="containsText" dxfId="659" priority="658" operator="containsText" text="B">
      <formula>NOT(ISERROR(SEARCH("B",K158)))</formula>
    </cfRule>
    <cfRule type="containsText" dxfId="658" priority="659" operator="containsText" text="TB">
      <formula>NOT(ISERROR(SEARCH("TB",K158)))</formula>
    </cfRule>
    <cfRule type="containsText" dxfId="657" priority="660" operator="containsText" text="T">
      <formula>NOT(ISERROR(SEARCH("T",K158)))</formula>
    </cfRule>
  </conditionalFormatting>
  <conditionalFormatting sqref="K158">
    <cfRule type="containsText" dxfId="656" priority="657" operator="containsText" text="TB">
      <formula>NOT(ISERROR(SEARCH("TB",K158)))</formula>
    </cfRule>
  </conditionalFormatting>
  <conditionalFormatting sqref="L159">
    <cfRule type="containsText" dxfId="655" priority="654" operator="containsText" text="B">
      <formula>NOT(ISERROR(SEARCH("B",L159)))</formula>
    </cfRule>
    <cfRule type="containsText" dxfId="654" priority="655" operator="containsText" text="TB">
      <formula>NOT(ISERROR(SEARCH("TB",L159)))</formula>
    </cfRule>
    <cfRule type="containsText" dxfId="653" priority="656" operator="containsText" text="T">
      <formula>NOT(ISERROR(SEARCH("T",L159)))</formula>
    </cfRule>
  </conditionalFormatting>
  <conditionalFormatting sqref="L159">
    <cfRule type="containsText" dxfId="652" priority="653" operator="containsText" text="TB">
      <formula>NOT(ISERROR(SEARCH("TB",L159)))</formula>
    </cfRule>
  </conditionalFormatting>
  <conditionalFormatting sqref="L39">
    <cfRule type="containsText" dxfId="651" priority="650" operator="containsText" text="B">
      <formula>NOT(ISERROR(SEARCH("B",L39)))</formula>
    </cfRule>
    <cfRule type="containsText" dxfId="650" priority="651" operator="containsText" text="TB">
      <formula>NOT(ISERROR(SEARCH("TB",L39)))</formula>
    </cfRule>
    <cfRule type="containsText" dxfId="649" priority="652" operator="containsText" text="T">
      <formula>NOT(ISERROR(SEARCH("T",L39)))</formula>
    </cfRule>
  </conditionalFormatting>
  <conditionalFormatting sqref="L39">
    <cfRule type="containsText" dxfId="648" priority="649" operator="containsText" text="TB">
      <formula>NOT(ISERROR(SEARCH("TB",L39)))</formula>
    </cfRule>
  </conditionalFormatting>
  <conditionalFormatting sqref="L42">
    <cfRule type="containsText" dxfId="647" priority="646" operator="containsText" text="B">
      <formula>NOT(ISERROR(SEARCH("B",L42)))</formula>
    </cfRule>
    <cfRule type="containsText" dxfId="646" priority="647" operator="containsText" text="TB">
      <formula>NOT(ISERROR(SEARCH("TB",L42)))</formula>
    </cfRule>
    <cfRule type="containsText" dxfId="645" priority="648" operator="containsText" text="T">
      <formula>NOT(ISERROR(SEARCH("T",L42)))</formula>
    </cfRule>
  </conditionalFormatting>
  <conditionalFormatting sqref="L42">
    <cfRule type="containsText" dxfId="644" priority="645" operator="containsText" text="TB">
      <formula>NOT(ISERROR(SEARCH("TB",L42)))</formula>
    </cfRule>
  </conditionalFormatting>
  <conditionalFormatting sqref="L21">
    <cfRule type="containsText" dxfId="643" priority="642" operator="containsText" text="B">
      <formula>NOT(ISERROR(SEARCH("B",L21)))</formula>
    </cfRule>
    <cfRule type="containsText" dxfId="642" priority="643" operator="containsText" text="TB">
      <formula>NOT(ISERROR(SEARCH("TB",L21)))</formula>
    </cfRule>
    <cfRule type="containsText" dxfId="641" priority="644" operator="containsText" text="T">
      <formula>NOT(ISERROR(SEARCH("T",L21)))</formula>
    </cfRule>
  </conditionalFormatting>
  <conditionalFormatting sqref="L21">
    <cfRule type="containsText" dxfId="640" priority="641" operator="containsText" text="TB">
      <formula>NOT(ISERROR(SEARCH("TB",L21)))</formula>
    </cfRule>
  </conditionalFormatting>
  <conditionalFormatting sqref="L33">
    <cfRule type="containsText" dxfId="639" priority="638" operator="containsText" text="B">
      <formula>NOT(ISERROR(SEARCH("B",L33)))</formula>
    </cfRule>
    <cfRule type="containsText" dxfId="638" priority="639" operator="containsText" text="TB">
      <formula>NOT(ISERROR(SEARCH("TB",L33)))</formula>
    </cfRule>
    <cfRule type="containsText" dxfId="637" priority="640" operator="containsText" text="T">
      <formula>NOT(ISERROR(SEARCH("T",L33)))</formula>
    </cfRule>
  </conditionalFormatting>
  <conditionalFormatting sqref="L33">
    <cfRule type="containsText" dxfId="636" priority="637" operator="containsText" text="TB">
      <formula>NOT(ISERROR(SEARCH("TB",L33)))</formula>
    </cfRule>
  </conditionalFormatting>
  <conditionalFormatting sqref="L11">
    <cfRule type="containsText" dxfId="635" priority="634" operator="containsText" text="B">
      <formula>NOT(ISERROR(SEARCH("B",L11)))</formula>
    </cfRule>
    <cfRule type="containsText" dxfId="634" priority="635" operator="containsText" text="TB">
      <formula>NOT(ISERROR(SEARCH("TB",L11)))</formula>
    </cfRule>
    <cfRule type="containsText" dxfId="633" priority="636" operator="containsText" text="T">
      <formula>NOT(ISERROR(SEARCH("T",L11)))</formula>
    </cfRule>
  </conditionalFormatting>
  <conditionalFormatting sqref="L11">
    <cfRule type="containsText" dxfId="632" priority="633" operator="containsText" text="TB">
      <formula>NOT(ISERROR(SEARCH("TB",L11)))</formula>
    </cfRule>
  </conditionalFormatting>
  <conditionalFormatting sqref="L22">
    <cfRule type="containsText" dxfId="631" priority="630" operator="containsText" text="B">
      <formula>NOT(ISERROR(SEARCH("B",L22)))</formula>
    </cfRule>
    <cfRule type="containsText" dxfId="630" priority="631" operator="containsText" text="TB">
      <formula>NOT(ISERROR(SEARCH("TB",L22)))</formula>
    </cfRule>
    <cfRule type="containsText" dxfId="629" priority="632" operator="containsText" text="T">
      <formula>NOT(ISERROR(SEARCH("T",L22)))</formula>
    </cfRule>
  </conditionalFormatting>
  <conditionalFormatting sqref="L22">
    <cfRule type="containsText" dxfId="628" priority="629" operator="containsText" text="TB">
      <formula>NOT(ISERROR(SEARCH("TB",L22)))</formula>
    </cfRule>
  </conditionalFormatting>
  <conditionalFormatting sqref="L24">
    <cfRule type="containsText" dxfId="627" priority="626" operator="containsText" text="B">
      <formula>NOT(ISERROR(SEARCH("B",L24)))</formula>
    </cfRule>
    <cfRule type="containsText" dxfId="626" priority="627" operator="containsText" text="TB">
      <formula>NOT(ISERROR(SEARCH("TB",L24)))</formula>
    </cfRule>
    <cfRule type="containsText" dxfId="625" priority="628" operator="containsText" text="T">
      <formula>NOT(ISERROR(SEARCH("T",L24)))</formula>
    </cfRule>
  </conditionalFormatting>
  <conditionalFormatting sqref="L24">
    <cfRule type="containsText" dxfId="624" priority="625" operator="containsText" text="TB">
      <formula>NOT(ISERROR(SEARCH("TB",L24)))</formula>
    </cfRule>
  </conditionalFormatting>
  <conditionalFormatting sqref="L12">
    <cfRule type="containsText" dxfId="623" priority="622" operator="containsText" text="B">
      <formula>NOT(ISERROR(SEARCH("B",L12)))</formula>
    </cfRule>
    <cfRule type="containsText" dxfId="622" priority="623" operator="containsText" text="TB">
      <formula>NOT(ISERROR(SEARCH("TB",L12)))</formula>
    </cfRule>
    <cfRule type="containsText" dxfId="621" priority="624" operator="containsText" text="T">
      <formula>NOT(ISERROR(SEARCH("T",L12)))</formula>
    </cfRule>
  </conditionalFormatting>
  <conditionalFormatting sqref="L12">
    <cfRule type="containsText" dxfId="620" priority="621" operator="containsText" text="TB">
      <formula>NOT(ISERROR(SEARCH("TB",L12)))</formula>
    </cfRule>
  </conditionalFormatting>
  <conditionalFormatting sqref="L32">
    <cfRule type="containsText" dxfId="619" priority="618" operator="containsText" text="B">
      <formula>NOT(ISERROR(SEARCH("B",L32)))</formula>
    </cfRule>
    <cfRule type="containsText" dxfId="618" priority="619" operator="containsText" text="TB">
      <formula>NOT(ISERROR(SEARCH("TB",L32)))</formula>
    </cfRule>
    <cfRule type="containsText" dxfId="617" priority="620" operator="containsText" text="T">
      <formula>NOT(ISERROR(SEARCH("T",L32)))</formula>
    </cfRule>
  </conditionalFormatting>
  <conditionalFormatting sqref="L32">
    <cfRule type="containsText" dxfId="616" priority="617" operator="containsText" text="TB">
      <formula>NOT(ISERROR(SEARCH("TB",L32)))</formula>
    </cfRule>
  </conditionalFormatting>
  <conditionalFormatting sqref="L146">
    <cfRule type="containsText" dxfId="615" priority="614" operator="containsText" text="B">
      <formula>NOT(ISERROR(SEARCH("B",L146)))</formula>
    </cfRule>
    <cfRule type="containsText" dxfId="614" priority="615" operator="containsText" text="TB">
      <formula>NOT(ISERROR(SEARCH("TB",L146)))</formula>
    </cfRule>
    <cfRule type="containsText" dxfId="613" priority="616" operator="containsText" text="T">
      <formula>NOT(ISERROR(SEARCH("T",L146)))</formula>
    </cfRule>
  </conditionalFormatting>
  <conditionalFormatting sqref="L146">
    <cfRule type="containsText" dxfId="612" priority="613" operator="containsText" text="TB">
      <formula>NOT(ISERROR(SEARCH("TB",L146)))</formula>
    </cfRule>
  </conditionalFormatting>
  <conditionalFormatting sqref="M158">
    <cfRule type="containsText" dxfId="611" priority="610" operator="containsText" text="B">
      <formula>NOT(ISERROR(SEARCH("B",M158)))</formula>
    </cfRule>
    <cfRule type="containsText" dxfId="610" priority="611" operator="containsText" text="TB">
      <formula>NOT(ISERROR(SEARCH("TB",M158)))</formula>
    </cfRule>
    <cfRule type="containsText" dxfId="609" priority="612" operator="containsText" text="T">
      <formula>NOT(ISERROR(SEARCH("T",M158)))</formula>
    </cfRule>
  </conditionalFormatting>
  <conditionalFormatting sqref="M158">
    <cfRule type="containsText" dxfId="608" priority="609" operator="containsText" text="TB">
      <formula>NOT(ISERROR(SEARCH("TB",M158)))</formula>
    </cfRule>
  </conditionalFormatting>
  <conditionalFormatting sqref="M44">
    <cfRule type="containsText" dxfId="607" priority="606" operator="containsText" text="B">
      <formula>NOT(ISERROR(SEARCH("B",M44)))</formula>
    </cfRule>
    <cfRule type="containsText" dxfId="606" priority="607" operator="containsText" text="TB">
      <formula>NOT(ISERROR(SEARCH("TB",M44)))</formula>
    </cfRule>
    <cfRule type="containsText" dxfId="605" priority="608" operator="containsText" text="T">
      <formula>NOT(ISERROR(SEARCH("T",M44)))</formula>
    </cfRule>
  </conditionalFormatting>
  <conditionalFormatting sqref="M44">
    <cfRule type="containsText" dxfId="604" priority="605" operator="containsText" text="TB">
      <formula>NOT(ISERROR(SEARCH("TB",M44)))</formula>
    </cfRule>
  </conditionalFormatting>
  <conditionalFormatting sqref="M43">
    <cfRule type="containsText" dxfId="603" priority="602" operator="containsText" text="B">
      <formula>NOT(ISERROR(SEARCH("B",M43)))</formula>
    </cfRule>
    <cfRule type="containsText" dxfId="602" priority="603" operator="containsText" text="TB">
      <formula>NOT(ISERROR(SEARCH("TB",M43)))</formula>
    </cfRule>
    <cfRule type="containsText" dxfId="601" priority="604" operator="containsText" text="T">
      <formula>NOT(ISERROR(SEARCH("T",M43)))</formula>
    </cfRule>
  </conditionalFormatting>
  <conditionalFormatting sqref="M43">
    <cfRule type="containsText" dxfId="600" priority="601" operator="containsText" text="TB">
      <formula>NOT(ISERROR(SEARCH("TB",M43)))</formula>
    </cfRule>
  </conditionalFormatting>
  <conditionalFormatting sqref="L145">
    <cfRule type="containsText" dxfId="599" priority="598" operator="containsText" text="B">
      <formula>NOT(ISERROR(SEARCH("B",L145)))</formula>
    </cfRule>
    <cfRule type="containsText" dxfId="598" priority="599" operator="containsText" text="TB">
      <formula>NOT(ISERROR(SEARCH("TB",L145)))</formula>
    </cfRule>
    <cfRule type="containsText" dxfId="597" priority="600" operator="containsText" text="T">
      <formula>NOT(ISERROR(SEARCH("T",L145)))</formula>
    </cfRule>
  </conditionalFormatting>
  <conditionalFormatting sqref="L145">
    <cfRule type="containsText" dxfId="596" priority="597" operator="containsText" text="TB">
      <formula>NOT(ISERROR(SEARCH("TB",L145)))</formula>
    </cfRule>
  </conditionalFormatting>
  <conditionalFormatting sqref="M145">
    <cfRule type="containsText" dxfId="595" priority="594" operator="containsText" text="B">
      <formula>NOT(ISERROR(SEARCH("B",M145)))</formula>
    </cfRule>
    <cfRule type="containsText" dxfId="594" priority="595" operator="containsText" text="TB">
      <formula>NOT(ISERROR(SEARCH("TB",M145)))</formula>
    </cfRule>
    <cfRule type="containsText" dxfId="593" priority="596" operator="containsText" text="T">
      <formula>NOT(ISERROR(SEARCH("T",M145)))</formula>
    </cfRule>
  </conditionalFormatting>
  <conditionalFormatting sqref="M145">
    <cfRule type="containsText" dxfId="592" priority="593" operator="containsText" text="TB">
      <formula>NOT(ISERROR(SEARCH("TB",M145)))</formula>
    </cfRule>
  </conditionalFormatting>
  <conditionalFormatting sqref="M31">
    <cfRule type="containsText" dxfId="591" priority="566" operator="containsText" text="B">
      <formula>NOT(ISERROR(SEARCH("B",M31)))</formula>
    </cfRule>
    <cfRule type="containsText" dxfId="590" priority="567" operator="containsText" text="TB">
      <formula>NOT(ISERROR(SEARCH("TB",M31)))</formula>
    </cfRule>
    <cfRule type="containsText" dxfId="589" priority="568" operator="containsText" text="T">
      <formula>NOT(ISERROR(SEARCH("T",M31)))</formula>
    </cfRule>
  </conditionalFormatting>
  <conditionalFormatting sqref="M31">
    <cfRule type="containsText" dxfId="588" priority="565" operator="containsText" text="TB">
      <formula>NOT(ISERROR(SEARCH("TB",M31)))</formula>
    </cfRule>
  </conditionalFormatting>
  <conditionalFormatting sqref="M35">
    <cfRule type="containsText" dxfId="587" priority="590" operator="containsText" text="B">
      <formula>NOT(ISERROR(SEARCH("B",M35)))</formula>
    </cfRule>
    <cfRule type="containsText" dxfId="586" priority="591" operator="containsText" text="TB">
      <formula>NOT(ISERROR(SEARCH("TB",M35)))</formula>
    </cfRule>
    <cfRule type="containsText" dxfId="585" priority="592" operator="containsText" text="T">
      <formula>NOT(ISERROR(SEARCH("T",M35)))</formula>
    </cfRule>
  </conditionalFormatting>
  <conditionalFormatting sqref="M35">
    <cfRule type="containsText" dxfId="584" priority="589" operator="containsText" text="TB">
      <formula>NOT(ISERROR(SEARCH("TB",M35)))</formula>
    </cfRule>
  </conditionalFormatting>
  <conditionalFormatting sqref="N160">
    <cfRule type="containsText" dxfId="583" priority="586" operator="containsText" text="B">
      <formula>NOT(ISERROR(SEARCH("B",N160)))</formula>
    </cfRule>
    <cfRule type="containsText" dxfId="582" priority="587" operator="containsText" text="TB">
      <formula>NOT(ISERROR(SEARCH("TB",N160)))</formula>
    </cfRule>
    <cfRule type="containsText" dxfId="581" priority="588" operator="containsText" text="T">
      <formula>NOT(ISERROR(SEARCH("T",N160)))</formula>
    </cfRule>
  </conditionalFormatting>
  <conditionalFormatting sqref="N160">
    <cfRule type="containsText" dxfId="580" priority="585" operator="containsText" text="TB">
      <formula>NOT(ISERROR(SEARCH("TB",N160)))</formula>
    </cfRule>
  </conditionalFormatting>
  <conditionalFormatting sqref="M160">
    <cfRule type="containsText" dxfId="579" priority="582" operator="containsText" text="B">
      <formula>NOT(ISERROR(SEARCH("B",M160)))</formula>
    </cfRule>
    <cfRule type="containsText" dxfId="578" priority="583" operator="containsText" text="TB">
      <formula>NOT(ISERROR(SEARCH("TB",M160)))</formula>
    </cfRule>
    <cfRule type="containsText" dxfId="577" priority="584" operator="containsText" text="T">
      <formula>NOT(ISERROR(SEARCH("T",M160)))</formula>
    </cfRule>
  </conditionalFormatting>
  <conditionalFormatting sqref="M160">
    <cfRule type="containsText" dxfId="576" priority="581" operator="containsText" text="TB">
      <formula>NOT(ISERROR(SEARCH("TB",M160)))</formula>
    </cfRule>
  </conditionalFormatting>
  <conditionalFormatting sqref="M8">
    <cfRule type="containsText" dxfId="575" priority="578" operator="containsText" text="B">
      <formula>NOT(ISERROR(SEARCH("B",M8)))</formula>
    </cfRule>
    <cfRule type="containsText" dxfId="574" priority="579" operator="containsText" text="TB">
      <formula>NOT(ISERROR(SEARCH("TB",M8)))</formula>
    </cfRule>
    <cfRule type="containsText" dxfId="573" priority="580" operator="containsText" text="T">
      <formula>NOT(ISERROR(SEARCH("T",M8)))</formula>
    </cfRule>
  </conditionalFormatting>
  <conditionalFormatting sqref="M8">
    <cfRule type="containsText" dxfId="572" priority="577" operator="containsText" text="TB">
      <formula>NOT(ISERROR(SEARCH("TB",M8)))</formula>
    </cfRule>
  </conditionalFormatting>
  <conditionalFormatting sqref="M10">
    <cfRule type="containsText" dxfId="571" priority="574" operator="containsText" text="B">
      <formula>NOT(ISERROR(SEARCH("B",M10)))</formula>
    </cfRule>
    <cfRule type="containsText" dxfId="570" priority="575" operator="containsText" text="TB">
      <formula>NOT(ISERROR(SEARCH("TB",M10)))</formula>
    </cfRule>
    <cfRule type="containsText" dxfId="569" priority="576" operator="containsText" text="T">
      <formula>NOT(ISERROR(SEARCH("T",M10)))</formula>
    </cfRule>
  </conditionalFormatting>
  <conditionalFormatting sqref="M10">
    <cfRule type="containsText" dxfId="568" priority="573" operator="containsText" text="TB">
      <formula>NOT(ISERROR(SEARCH("TB",M10)))</formula>
    </cfRule>
  </conditionalFormatting>
  <conditionalFormatting sqref="M18">
    <cfRule type="containsText" dxfId="567" priority="570" operator="containsText" text="B">
      <formula>NOT(ISERROR(SEARCH("B",M18)))</formula>
    </cfRule>
    <cfRule type="containsText" dxfId="566" priority="571" operator="containsText" text="TB">
      <formula>NOT(ISERROR(SEARCH("TB",M18)))</formula>
    </cfRule>
    <cfRule type="containsText" dxfId="565" priority="572" operator="containsText" text="T">
      <formula>NOT(ISERROR(SEARCH("T",M18)))</formula>
    </cfRule>
  </conditionalFormatting>
  <conditionalFormatting sqref="M18">
    <cfRule type="containsText" dxfId="564" priority="569" operator="containsText" text="TB">
      <formula>NOT(ISERROR(SEARCH("TB",M18)))</formula>
    </cfRule>
  </conditionalFormatting>
  <conditionalFormatting sqref="M38">
    <cfRule type="containsText" dxfId="563" priority="562" operator="containsText" text="B">
      <formula>NOT(ISERROR(SEARCH("B",M38)))</formula>
    </cfRule>
    <cfRule type="containsText" dxfId="562" priority="563" operator="containsText" text="TB">
      <formula>NOT(ISERROR(SEARCH("TB",M38)))</formula>
    </cfRule>
    <cfRule type="containsText" dxfId="561" priority="564" operator="containsText" text="T">
      <formula>NOT(ISERROR(SEARCH("T",M38)))</formula>
    </cfRule>
  </conditionalFormatting>
  <conditionalFormatting sqref="M38">
    <cfRule type="containsText" dxfId="560" priority="561" operator="containsText" text="TB">
      <formula>NOT(ISERROR(SEARCH("TB",M38)))</formula>
    </cfRule>
  </conditionalFormatting>
  <conditionalFormatting sqref="M40">
    <cfRule type="containsText" dxfId="559" priority="558" operator="containsText" text="B">
      <formula>NOT(ISERROR(SEARCH("B",M40)))</formula>
    </cfRule>
    <cfRule type="containsText" dxfId="558" priority="559" operator="containsText" text="TB">
      <formula>NOT(ISERROR(SEARCH("TB",M40)))</formula>
    </cfRule>
    <cfRule type="containsText" dxfId="557" priority="560" operator="containsText" text="T">
      <formula>NOT(ISERROR(SEARCH("T",M40)))</formula>
    </cfRule>
  </conditionalFormatting>
  <conditionalFormatting sqref="M40">
    <cfRule type="containsText" dxfId="556" priority="557" operator="containsText" text="TB">
      <formula>NOT(ISERROR(SEARCH("TB",M40)))</formula>
    </cfRule>
  </conditionalFormatting>
  <conditionalFormatting sqref="M28">
    <cfRule type="containsText" dxfId="555" priority="554" operator="containsText" text="B">
      <formula>NOT(ISERROR(SEARCH("B",M28)))</formula>
    </cfRule>
    <cfRule type="containsText" dxfId="554" priority="555" operator="containsText" text="TB">
      <formula>NOT(ISERROR(SEARCH("TB",M28)))</formula>
    </cfRule>
    <cfRule type="containsText" dxfId="553" priority="556" operator="containsText" text="T">
      <formula>NOT(ISERROR(SEARCH("T",M28)))</formula>
    </cfRule>
  </conditionalFormatting>
  <conditionalFormatting sqref="M28">
    <cfRule type="containsText" dxfId="552" priority="553" operator="containsText" text="TB">
      <formula>NOT(ISERROR(SEARCH("TB",M28)))</formula>
    </cfRule>
  </conditionalFormatting>
  <conditionalFormatting sqref="N161">
    <cfRule type="containsText" dxfId="551" priority="550" operator="containsText" text="B">
      <formula>NOT(ISERROR(SEARCH("B",N161)))</formula>
    </cfRule>
    <cfRule type="containsText" dxfId="550" priority="551" operator="containsText" text="TB">
      <formula>NOT(ISERROR(SEARCH("TB",N161)))</formula>
    </cfRule>
    <cfRule type="containsText" dxfId="549" priority="552" operator="containsText" text="T">
      <formula>NOT(ISERROR(SEARCH("T",N161)))</formula>
    </cfRule>
  </conditionalFormatting>
  <conditionalFormatting sqref="N161">
    <cfRule type="containsText" dxfId="548" priority="549" operator="containsText" text="TB">
      <formula>NOT(ISERROR(SEARCH("TB",N161)))</formula>
    </cfRule>
  </conditionalFormatting>
  <conditionalFormatting sqref="N140">
    <cfRule type="containsText" dxfId="547" priority="546" operator="containsText" text="B">
      <formula>NOT(ISERROR(SEARCH("B",N140)))</formula>
    </cfRule>
    <cfRule type="containsText" dxfId="546" priority="547" operator="containsText" text="TB">
      <formula>NOT(ISERROR(SEARCH("TB",N140)))</formula>
    </cfRule>
    <cfRule type="containsText" dxfId="545" priority="548" operator="containsText" text="T">
      <formula>NOT(ISERROR(SEARCH("T",N140)))</formula>
    </cfRule>
  </conditionalFormatting>
  <conditionalFormatting sqref="N140">
    <cfRule type="containsText" dxfId="544" priority="545" operator="containsText" text="TB">
      <formula>NOT(ISERROR(SEARCH("TB",N140)))</formula>
    </cfRule>
  </conditionalFormatting>
  <conditionalFormatting sqref="N141">
    <cfRule type="containsText" dxfId="543" priority="542" operator="containsText" text="B">
      <formula>NOT(ISERROR(SEARCH("B",N141)))</formula>
    </cfRule>
    <cfRule type="containsText" dxfId="542" priority="543" operator="containsText" text="TB">
      <formula>NOT(ISERROR(SEARCH("TB",N141)))</formula>
    </cfRule>
    <cfRule type="containsText" dxfId="541" priority="544" operator="containsText" text="T">
      <formula>NOT(ISERROR(SEARCH("T",N141)))</formula>
    </cfRule>
  </conditionalFormatting>
  <conditionalFormatting sqref="N141">
    <cfRule type="containsText" dxfId="540" priority="541" operator="containsText" text="TB">
      <formula>NOT(ISERROR(SEARCH("TB",N141)))</formula>
    </cfRule>
  </conditionalFormatting>
  <conditionalFormatting sqref="N153">
    <cfRule type="containsText" dxfId="539" priority="538" operator="containsText" text="B">
      <formula>NOT(ISERROR(SEARCH("B",N153)))</formula>
    </cfRule>
    <cfRule type="containsText" dxfId="538" priority="539" operator="containsText" text="TB">
      <formula>NOT(ISERROR(SEARCH("TB",N153)))</formula>
    </cfRule>
    <cfRule type="containsText" dxfId="537" priority="540" operator="containsText" text="T">
      <formula>NOT(ISERROR(SEARCH("T",N153)))</formula>
    </cfRule>
  </conditionalFormatting>
  <conditionalFormatting sqref="N153">
    <cfRule type="containsText" dxfId="536" priority="537" operator="containsText" text="TB">
      <formula>NOT(ISERROR(SEARCH("TB",N153)))</formula>
    </cfRule>
  </conditionalFormatting>
  <conditionalFormatting sqref="N12">
    <cfRule type="containsText" dxfId="535" priority="534" operator="containsText" text="B">
      <formula>NOT(ISERROR(SEARCH("B",N12)))</formula>
    </cfRule>
    <cfRule type="containsText" dxfId="534" priority="535" operator="containsText" text="TB">
      <formula>NOT(ISERROR(SEARCH("TB",N12)))</formula>
    </cfRule>
    <cfRule type="containsText" dxfId="533" priority="536" operator="containsText" text="T">
      <formula>NOT(ISERROR(SEARCH("T",N12)))</formula>
    </cfRule>
  </conditionalFormatting>
  <conditionalFormatting sqref="N12">
    <cfRule type="containsText" dxfId="532" priority="533" operator="containsText" text="TB">
      <formula>NOT(ISERROR(SEARCH("TB",N12)))</formula>
    </cfRule>
  </conditionalFormatting>
  <conditionalFormatting sqref="M34">
    <cfRule type="containsText" dxfId="531" priority="530" operator="containsText" text="B">
      <formula>NOT(ISERROR(SEARCH("B",M34)))</formula>
    </cfRule>
    <cfRule type="containsText" dxfId="530" priority="531" operator="containsText" text="TB">
      <formula>NOT(ISERROR(SEARCH("TB",M34)))</formula>
    </cfRule>
    <cfRule type="containsText" dxfId="529" priority="532" operator="containsText" text="T">
      <formula>NOT(ISERROR(SEARCH("T",M34)))</formula>
    </cfRule>
  </conditionalFormatting>
  <conditionalFormatting sqref="M34">
    <cfRule type="containsText" dxfId="528" priority="529" operator="containsText" text="TB">
      <formula>NOT(ISERROR(SEARCH("TB",M34)))</formula>
    </cfRule>
  </conditionalFormatting>
  <conditionalFormatting sqref="N16">
    <cfRule type="containsText" dxfId="527" priority="526" operator="containsText" text="B">
      <formula>NOT(ISERROR(SEARCH("B",N16)))</formula>
    </cfRule>
    <cfRule type="containsText" dxfId="526" priority="527" operator="containsText" text="TB">
      <formula>NOT(ISERROR(SEARCH("TB",N16)))</formula>
    </cfRule>
    <cfRule type="containsText" dxfId="525" priority="528" operator="containsText" text="T">
      <formula>NOT(ISERROR(SEARCH("T",N16)))</formula>
    </cfRule>
  </conditionalFormatting>
  <conditionalFormatting sqref="N16">
    <cfRule type="containsText" dxfId="524" priority="525" operator="containsText" text="TB">
      <formula>NOT(ISERROR(SEARCH("TB",N16)))</formula>
    </cfRule>
  </conditionalFormatting>
  <conditionalFormatting sqref="N24">
    <cfRule type="containsText" dxfId="523" priority="522" operator="containsText" text="B">
      <formula>NOT(ISERROR(SEARCH("B",N24)))</formula>
    </cfRule>
    <cfRule type="containsText" dxfId="522" priority="523" operator="containsText" text="TB">
      <formula>NOT(ISERROR(SEARCH("TB",N24)))</formula>
    </cfRule>
    <cfRule type="containsText" dxfId="521" priority="524" operator="containsText" text="T">
      <formula>NOT(ISERROR(SEARCH("T",N24)))</formula>
    </cfRule>
  </conditionalFormatting>
  <conditionalFormatting sqref="N24">
    <cfRule type="containsText" dxfId="520" priority="521" operator="containsText" text="TB">
      <formula>NOT(ISERROR(SEARCH("TB",N24)))</formula>
    </cfRule>
  </conditionalFormatting>
  <conditionalFormatting sqref="N40">
    <cfRule type="containsText" dxfId="519" priority="518" operator="containsText" text="B">
      <formula>NOT(ISERROR(SEARCH("B",N40)))</formula>
    </cfRule>
    <cfRule type="containsText" dxfId="518" priority="519" operator="containsText" text="TB">
      <formula>NOT(ISERROR(SEARCH("TB",N40)))</formula>
    </cfRule>
    <cfRule type="containsText" dxfId="517" priority="520" operator="containsText" text="T">
      <formula>NOT(ISERROR(SEARCH("T",N40)))</formula>
    </cfRule>
  </conditionalFormatting>
  <conditionalFormatting sqref="N40">
    <cfRule type="containsText" dxfId="516" priority="517" operator="containsText" text="TB">
      <formula>NOT(ISERROR(SEARCH("TB",N40)))</formula>
    </cfRule>
  </conditionalFormatting>
  <conditionalFormatting sqref="N10">
    <cfRule type="containsText" dxfId="515" priority="514" operator="containsText" text="B">
      <formula>NOT(ISERROR(SEARCH("B",N10)))</formula>
    </cfRule>
    <cfRule type="containsText" dxfId="514" priority="515" operator="containsText" text="TB">
      <formula>NOT(ISERROR(SEARCH("TB",N10)))</formula>
    </cfRule>
    <cfRule type="containsText" dxfId="513" priority="516" operator="containsText" text="T">
      <formula>NOT(ISERROR(SEARCH("T",N10)))</formula>
    </cfRule>
  </conditionalFormatting>
  <conditionalFormatting sqref="N10">
    <cfRule type="containsText" dxfId="512" priority="513" operator="containsText" text="TB">
      <formula>NOT(ISERROR(SEARCH("TB",N10)))</formula>
    </cfRule>
  </conditionalFormatting>
  <conditionalFormatting sqref="N157">
    <cfRule type="containsText" dxfId="511" priority="510" operator="containsText" text="B">
      <formula>NOT(ISERROR(SEARCH("B",N157)))</formula>
    </cfRule>
    <cfRule type="containsText" dxfId="510" priority="511" operator="containsText" text="TB">
      <formula>NOT(ISERROR(SEARCH("TB",N157)))</formula>
    </cfRule>
    <cfRule type="containsText" dxfId="509" priority="512" operator="containsText" text="T">
      <formula>NOT(ISERROR(SEARCH("T",N157)))</formula>
    </cfRule>
  </conditionalFormatting>
  <conditionalFormatting sqref="N157">
    <cfRule type="containsText" dxfId="508" priority="509" operator="containsText" text="TB">
      <formula>NOT(ISERROR(SEARCH("TB",N157)))</formula>
    </cfRule>
  </conditionalFormatting>
  <conditionalFormatting sqref="N7">
    <cfRule type="containsText" dxfId="507" priority="506" operator="containsText" text="B">
      <formula>NOT(ISERROR(SEARCH("B",N7)))</formula>
    </cfRule>
    <cfRule type="containsText" dxfId="506" priority="507" operator="containsText" text="TB">
      <formula>NOT(ISERROR(SEARCH("TB",N7)))</formula>
    </cfRule>
    <cfRule type="containsText" dxfId="505" priority="508" operator="containsText" text="T">
      <formula>NOT(ISERROR(SEARCH("T",N7)))</formula>
    </cfRule>
  </conditionalFormatting>
  <conditionalFormatting sqref="N7">
    <cfRule type="containsText" dxfId="504" priority="505" operator="containsText" text="TB">
      <formula>NOT(ISERROR(SEARCH("TB",N7)))</formula>
    </cfRule>
  </conditionalFormatting>
  <conditionalFormatting sqref="O32">
    <cfRule type="containsText" dxfId="503" priority="502" operator="containsText" text="B">
      <formula>NOT(ISERROR(SEARCH("B",O32)))</formula>
    </cfRule>
    <cfRule type="containsText" dxfId="502" priority="503" operator="containsText" text="TB">
      <formula>NOT(ISERROR(SEARCH("TB",O32)))</formula>
    </cfRule>
    <cfRule type="containsText" dxfId="501" priority="504" operator="containsText" text="T">
      <formula>NOT(ISERROR(SEARCH("T",O32)))</formula>
    </cfRule>
  </conditionalFormatting>
  <conditionalFormatting sqref="O32">
    <cfRule type="containsText" dxfId="500" priority="501" operator="containsText" text="TB">
      <formula>NOT(ISERROR(SEARCH("TB",O32)))</formula>
    </cfRule>
  </conditionalFormatting>
  <conditionalFormatting sqref="O10">
    <cfRule type="containsText" dxfId="499" priority="498" operator="containsText" text="B">
      <formula>NOT(ISERROR(SEARCH("B",O10)))</formula>
    </cfRule>
    <cfRule type="containsText" dxfId="498" priority="499" operator="containsText" text="TB">
      <formula>NOT(ISERROR(SEARCH("TB",O10)))</formula>
    </cfRule>
    <cfRule type="containsText" dxfId="497" priority="500" operator="containsText" text="T">
      <formula>NOT(ISERROR(SEARCH("T",O10)))</formula>
    </cfRule>
  </conditionalFormatting>
  <conditionalFormatting sqref="O10">
    <cfRule type="containsText" dxfId="496" priority="497" operator="containsText" text="TB">
      <formula>NOT(ISERROR(SEARCH("TB",O10)))</formula>
    </cfRule>
  </conditionalFormatting>
  <conditionalFormatting sqref="O155">
    <cfRule type="containsText" dxfId="495" priority="494" operator="containsText" text="B">
      <formula>NOT(ISERROR(SEARCH("B",O155)))</formula>
    </cfRule>
    <cfRule type="containsText" dxfId="494" priority="495" operator="containsText" text="TB">
      <formula>NOT(ISERROR(SEARCH("TB",O155)))</formula>
    </cfRule>
    <cfRule type="containsText" dxfId="493" priority="496" operator="containsText" text="T">
      <formula>NOT(ISERROR(SEARCH("T",O155)))</formula>
    </cfRule>
  </conditionalFormatting>
  <conditionalFormatting sqref="O155">
    <cfRule type="containsText" dxfId="492" priority="493" operator="containsText" text="TB">
      <formula>NOT(ISERROR(SEARCH("TB",O155)))</formula>
    </cfRule>
  </conditionalFormatting>
  <conditionalFormatting sqref="O139">
    <cfRule type="containsText" dxfId="491" priority="490" operator="containsText" text="B">
      <formula>NOT(ISERROR(SEARCH("B",O139)))</formula>
    </cfRule>
    <cfRule type="containsText" dxfId="490" priority="491" operator="containsText" text="TB">
      <formula>NOT(ISERROR(SEARCH("TB",O139)))</formula>
    </cfRule>
    <cfRule type="containsText" dxfId="489" priority="492" operator="containsText" text="T">
      <formula>NOT(ISERROR(SEARCH("T",O139)))</formula>
    </cfRule>
  </conditionalFormatting>
  <conditionalFormatting sqref="O139">
    <cfRule type="containsText" dxfId="488" priority="489" operator="containsText" text="TB">
      <formula>NOT(ISERROR(SEARCH("TB",O139)))</formula>
    </cfRule>
  </conditionalFormatting>
  <conditionalFormatting sqref="O31">
    <cfRule type="containsText" dxfId="487" priority="486" operator="containsText" text="B">
      <formula>NOT(ISERROR(SEARCH("B",O31)))</formula>
    </cfRule>
    <cfRule type="containsText" dxfId="486" priority="487" operator="containsText" text="TB">
      <formula>NOT(ISERROR(SEARCH("TB",O31)))</formula>
    </cfRule>
    <cfRule type="containsText" dxfId="485" priority="488" operator="containsText" text="T">
      <formula>NOT(ISERROR(SEARCH("T",O31)))</formula>
    </cfRule>
  </conditionalFormatting>
  <conditionalFormatting sqref="O31">
    <cfRule type="containsText" dxfId="484" priority="485" operator="containsText" text="TB">
      <formula>NOT(ISERROR(SEARCH("TB",O31)))</formula>
    </cfRule>
  </conditionalFormatting>
  <conditionalFormatting sqref="O28">
    <cfRule type="containsText" dxfId="483" priority="482" operator="containsText" text="B">
      <formula>NOT(ISERROR(SEARCH("B",O28)))</formula>
    </cfRule>
    <cfRule type="containsText" dxfId="482" priority="483" operator="containsText" text="TB">
      <formula>NOT(ISERROR(SEARCH("TB",O28)))</formula>
    </cfRule>
    <cfRule type="containsText" dxfId="481" priority="484" operator="containsText" text="T">
      <formula>NOT(ISERROR(SEARCH("T",O28)))</formula>
    </cfRule>
  </conditionalFormatting>
  <conditionalFormatting sqref="O28">
    <cfRule type="containsText" dxfId="480" priority="481" operator="containsText" text="TB">
      <formula>NOT(ISERROR(SEARCH("TB",O28)))</formula>
    </cfRule>
  </conditionalFormatting>
  <conditionalFormatting sqref="O12">
    <cfRule type="containsText" dxfId="479" priority="478" operator="containsText" text="B">
      <formula>NOT(ISERROR(SEARCH("B",O12)))</formula>
    </cfRule>
    <cfRule type="containsText" dxfId="478" priority="479" operator="containsText" text="TB">
      <formula>NOT(ISERROR(SEARCH("TB",O12)))</formula>
    </cfRule>
    <cfRule type="containsText" dxfId="477" priority="480" operator="containsText" text="T">
      <formula>NOT(ISERROR(SEARCH("T",O12)))</formula>
    </cfRule>
  </conditionalFormatting>
  <conditionalFormatting sqref="O12">
    <cfRule type="containsText" dxfId="476" priority="477" operator="containsText" text="TB">
      <formula>NOT(ISERROR(SEARCH("TB",O12)))</formula>
    </cfRule>
  </conditionalFormatting>
  <conditionalFormatting sqref="O38">
    <cfRule type="containsText" dxfId="475" priority="474" operator="containsText" text="B">
      <formula>NOT(ISERROR(SEARCH("B",O38)))</formula>
    </cfRule>
    <cfRule type="containsText" dxfId="474" priority="475" operator="containsText" text="TB">
      <formula>NOT(ISERROR(SEARCH("TB",O38)))</formula>
    </cfRule>
    <cfRule type="containsText" dxfId="473" priority="476" operator="containsText" text="T">
      <formula>NOT(ISERROR(SEARCH("T",O38)))</formula>
    </cfRule>
  </conditionalFormatting>
  <conditionalFormatting sqref="O38">
    <cfRule type="containsText" dxfId="472" priority="473" operator="containsText" text="TB">
      <formula>NOT(ISERROR(SEARCH("TB",O38)))</formula>
    </cfRule>
  </conditionalFormatting>
  <conditionalFormatting sqref="O150">
    <cfRule type="containsText" dxfId="471" priority="470" operator="containsText" text="B">
      <formula>NOT(ISERROR(SEARCH("B",O150)))</formula>
    </cfRule>
    <cfRule type="containsText" dxfId="470" priority="471" operator="containsText" text="TB">
      <formula>NOT(ISERROR(SEARCH("TB",O150)))</formula>
    </cfRule>
    <cfRule type="containsText" dxfId="469" priority="472" operator="containsText" text="T">
      <formula>NOT(ISERROR(SEARCH("T",O150)))</formula>
    </cfRule>
  </conditionalFormatting>
  <conditionalFormatting sqref="O150">
    <cfRule type="containsText" dxfId="468" priority="469" operator="containsText" text="TB">
      <formula>NOT(ISERROR(SEARCH("TB",O150)))</formula>
    </cfRule>
  </conditionalFormatting>
  <conditionalFormatting sqref="P150">
    <cfRule type="containsText" dxfId="467" priority="466" operator="containsText" text="B">
      <formula>NOT(ISERROR(SEARCH("B",P150)))</formula>
    </cfRule>
    <cfRule type="containsText" dxfId="466" priority="467" operator="containsText" text="TB">
      <formula>NOT(ISERROR(SEARCH("TB",P150)))</formula>
    </cfRule>
    <cfRule type="containsText" dxfId="465" priority="468" operator="containsText" text="T">
      <formula>NOT(ISERROR(SEARCH("T",P150)))</formula>
    </cfRule>
  </conditionalFormatting>
  <conditionalFormatting sqref="P150">
    <cfRule type="containsText" dxfId="464" priority="465" operator="containsText" text="TB">
      <formula>NOT(ISERROR(SEARCH("TB",P150)))</formula>
    </cfRule>
  </conditionalFormatting>
  <conditionalFormatting sqref="P119">
    <cfRule type="containsText" dxfId="463" priority="462" operator="containsText" text="B">
      <formula>NOT(ISERROR(SEARCH("B",P119)))</formula>
    </cfRule>
    <cfRule type="containsText" dxfId="462" priority="463" operator="containsText" text="TB">
      <formula>NOT(ISERROR(SEARCH("TB",P119)))</formula>
    </cfRule>
    <cfRule type="containsText" dxfId="461" priority="464" operator="containsText" text="T">
      <formula>NOT(ISERROR(SEARCH("T",P119)))</formula>
    </cfRule>
  </conditionalFormatting>
  <conditionalFormatting sqref="P119">
    <cfRule type="containsText" dxfId="460" priority="461" operator="containsText" text="TB">
      <formula>NOT(ISERROR(SEARCH("TB",P119)))</formula>
    </cfRule>
  </conditionalFormatting>
  <conditionalFormatting sqref="P44">
    <cfRule type="containsText" dxfId="459" priority="458" operator="containsText" text="B">
      <formula>NOT(ISERROR(SEARCH("B",P44)))</formula>
    </cfRule>
    <cfRule type="containsText" dxfId="458" priority="459" operator="containsText" text="TB">
      <formula>NOT(ISERROR(SEARCH("TB",P44)))</formula>
    </cfRule>
    <cfRule type="containsText" dxfId="457" priority="460" operator="containsText" text="T">
      <formula>NOT(ISERROR(SEARCH("T",P44)))</formula>
    </cfRule>
  </conditionalFormatting>
  <conditionalFormatting sqref="P44">
    <cfRule type="containsText" dxfId="456" priority="457" operator="containsText" text="TB">
      <formula>NOT(ISERROR(SEARCH("TB",P44)))</formula>
    </cfRule>
  </conditionalFormatting>
  <conditionalFormatting sqref="P158">
    <cfRule type="containsText" dxfId="455" priority="454" operator="containsText" text="B">
      <formula>NOT(ISERROR(SEARCH("B",P158)))</formula>
    </cfRule>
    <cfRule type="containsText" dxfId="454" priority="455" operator="containsText" text="TB">
      <formula>NOT(ISERROR(SEARCH("TB",P158)))</formula>
    </cfRule>
    <cfRule type="containsText" dxfId="453" priority="456" operator="containsText" text="T">
      <formula>NOT(ISERROR(SEARCH("T",P158)))</formula>
    </cfRule>
  </conditionalFormatting>
  <conditionalFormatting sqref="P158">
    <cfRule type="containsText" dxfId="452" priority="453" operator="containsText" text="TB">
      <formula>NOT(ISERROR(SEARCH("TB",P158)))</formula>
    </cfRule>
  </conditionalFormatting>
  <conditionalFormatting sqref="P37">
    <cfRule type="containsText" dxfId="451" priority="450" operator="containsText" text="B">
      <formula>NOT(ISERROR(SEARCH("B",P37)))</formula>
    </cfRule>
    <cfRule type="containsText" dxfId="450" priority="451" operator="containsText" text="TB">
      <formula>NOT(ISERROR(SEARCH("TB",P37)))</formula>
    </cfRule>
    <cfRule type="containsText" dxfId="449" priority="452" operator="containsText" text="T">
      <formula>NOT(ISERROR(SEARCH("T",P37)))</formula>
    </cfRule>
  </conditionalFormatting>
  <conditionalFormatting sqref="P37">
    <cfRule type="containsText" dxfId="448" priority="449" operator="containsText" text="TB">
      <formula>NOT(ISERROR(SEARCH("TB",P37)))</formula>
    </cfRule>
  </conditionalFormatting>
  <conditionalFormatting sqref="P136">
    <cfRule type="containsText" dxfId="447" priority="446" operator="containsText" text="B">
      <formula>NOT(ISERROR(SEARCH("B",P136)))</formula>
    </cfRule>
    <cfRule type="containsText" dxfId="446" priority="447" operator="containsText" text="TB">
      <formula>NOT(ISERROR(SEARCH("TB",P136)))</formula>
    </cfRule>
    <cfRule type="containsText" dxfId="445" priority="448" operator="containsText" text="T">
      <formula>NOT(ISERROR(SEARCH("T",P136)))</formula>
    </cfRule>
  </conditionalFormatting>
  <conditionalFormatting sqref="P136">
    <cfRule type="containsText" dxfId="444" priority="445" operator="containsText" text="TB">
      <formula>NOT(ISERROR(SEARCH("TB",P136)))</formula>
    </cfRule>
  </conditionalFormatting>
  <conditionalFormatting sqref="P15">
    <cfRule type="containsText" dxfId="443" priority="442" operator="containsText" text="B">
      <formula>NOT(ISERROR(SEARCH("B",P15)))</formula>
    </cfRule>
    <cfRule type="containsText" dxfId="442" priority="443" operator="containsText" text="TB">
      <formula>NOT(ISERROR(SEARCH("TB",P15)))</formula>
    </cfRule>
    <cfRule type="containsText" dxfId="441" priority="444" operator="containsText" text="T">
      <formula>NOT(ISERROR(SEARCH("T",P15)))</formula>
    </cfRule>
  </conditionalFormatting>
  <conditionalFormatting sqref="P15">
    <cfRule type="containsText" dxfId="440" priority="441" operator="containsText" text="TB">
      <formula>NOT(ISERROR(SEARCH("TB",P15)))</formula>
    </cfRule>
  </conditionalFormatting>
  <conditionalFormatting sqref="P18">
    <cfRule type="containsText" dxfId="439" priority="438" operator="containsText" text="B">
      <formula>NOT(ISERROR(SEARCH("B",P18)))</formula>
    </cfRule>
    <cfRule type="containsText" dxfId="438" priority="439" operator="containsText" text="TB">
      <formula>NOT(ISERROR(SEARCH("TB",P18)))</formula>
    </cfRule>
    <cfRule type="containsText" dxfId="437" priority="440" operator="containsText" text="T">
      <formula>NOT(ISERROR(SEARCH("T",P18)))</formula>
    </cfRule>
  </conditionalFormatting>
  <conditionalFormatting sqref="P18">
    <cfRule type="containsText" dxfId="436" priority="437" operator="containsText" text="TB">
      <formula>NOT(ISERROR(SEARCH("TB",P18)))</formula>
    </cfRule>
  </conditionalFormatting>
  <conditionalFormatting sqref="P19">
    <cfRule type="containsText" dxfId="435" priority="434" operator="containsText" text="B">
      <formula>NOT(ISERROR(SEARCH("B",P19)))</formula>
    </cfRule>
    <cfRule type="containsText" dxfId="434" priority="435" operator="containsText" text="TB">
      <formula>NOT(ISERROR(SEARCH("TB",P19)))</formula>
    </cfRule>
    <cfRule type="containsText" dxfId="433" priority="436" operator="containsText" text="T">
      <formula>NOT(ISERROR(SEARCH("T",P19)))</formula>
    </cfRule>
  </conditionalFormatting>
  <conditionalFormatting sqref="P19">
    <cfRule type="containsText" dxfId="432" priority="433" operator="containsText" text="TB">
      <formula>NOT(ISERROR(SEARCH("TB",P19)))</formula>
    </cfRule>
  </conditionalFormatting>
  <conditionalFormatting sqref="P26">
    <cfRule type="containsText" dxfId="431" priority="430" operator="containsText" text="B">
      <formula>NOT(ISERROR(SEARCH("B",P26)))</formula>
    </cfRule>
    <cfRule type="containsText" dxfId="430" priority="431" operator="containsText" text="TB">
      <formula>NOT(ISERROR(SEARCH("TB",P26)))</formula>
    </cfRule>
    <cfRule type="containsText" dxfId="429" priority="432" operator="containsText" text="T">
      <formula>NOT(ISERROR(SEARCH("T",P26)))</formula>
    </cfRule>
  </conditionalFormatting>
  <conditionalFormatting sqref="P26">
    <cfRule type="containsText" dxfId="428" priority="429" operator="containsText" text="TB">
      <formula>NOT(ISERROR(SEARCH("TB",P26)))</formula>
    </cfRule>
  </conditionalFormatting>
  <conditionalFormatting sqref="R26">
    <cfRule type="containsText" dxfId="427" priority="426" operator="containsText" text="B">
      <formula>NOT(ISERROR(SEARCH("B",R26)))</formula>
    </cfRule>
    <cfRule type="containsText" dxfId="426" priority="427" operator="containsText" text="TB">
      <formula>NOT(ISERROR(SEARCH("TB",R26)))</formula>
    </cfRule>
    <cfRule type="containsText" dxfId="425" priority="428" operator="containsText" text="T">
      <formula>NOT(ISERROR(SEARCH("T",R26)))</formula>
    </cfRule>
  </conditionalFormatting>
  <conditionalFormatting sqref="R26">
    <cfRule type="containsText" dxfId="424" priority="425" operator="containsText" text="TB">
      <formula>NOT(ISERROR(SEARCH("TB",R26)))</formula>
    </cfRule>
  </conditionalFormatting>
  <conditionalFormatting sqref="R19">
    <cfRule type="containsText" dxfId="423" priority="422" operator="containsText" text="B">
      <formula>NOT(ISERROR(SEARCH("B",R19)))</formula>
    </cfRule>
    <cfRule type="containsText" dxfId="422" priority="423" operator="containsText" text="TB">
      <formula>NOT(ISERROR(SEARCH("TB",R19)))</formula>
    </cfRule>
    <cfRule type="containsText" dxfId="421" priority="424" operator="containsText" text="T">
      <formula>NOT(ISERROR(SEARCH("T",R19)))</formula>
    </cfRule>
  </conditionalFormatting>
  <conditionalFormatting sqref="R19">
    <cfRule type="containsText" dxfId="420" priority="421" operator="containsText" text="TB">
      <formula>NOT(ISERROR(SEARCH("TB",R19)))</formula>
    </cfRule>
  </conditionalFormatting>
  <conditionalFormatting sqref="R144">
    <cfRule type="containsText" dxfId="419" priority="418" operator="containsText" text="B">
      <formula>NOT(ISERROR(SEARCH("B",R144)))</formula>
    </cfRule>
    <cfRule type="containsText" dxfId="418" priority="419" operator="containsText" text="TB">
      <formula>NOT(ISERROR(SEARCH("TB",R144)))</formula>
    </cfRule>
    <cfRule type="containsText" dxfId="417" priority="420" operator="containsText" text="T">
      <formula>NOT(ISERROR(SEARCH("T",R144)))</formula>
    </cfRule>
  </conditionalFormatting>
  <conditionalFormatting sqref="R144">
    <cfRule type="containsText" dxfId="416" priority="417" operator="containsText" text="TB">
      <formula>NOT(ISERROR(SEARCH("TB",R144)))</formula>
    </cfRule>
  </conditionalFormatting>
  <conditionalFormatting sqref="R14">
    <cfRule type="containsText" dxfId="415" priority="414" operator="containsText" text="B">
      <formula>NOT(ISERROR(SEARCH("B",R14)))</formula>
    </cfRule>
    <cfRule type="containsText" dxfId="414" priority="415" operator="containsText" text="TB">
      <formula>NOT(ISERROR(SEARCH("TB",R14)))</formula>
    </cfRule>
    <cfRule type="containsText" dxfId="413" priority="416" operator="containsText" text="T">
      <formula>NOT(ISERROR(SEARCH("T",R14)))</formula>
    </cfRule>
  </conditionalFormatting>
  <conditionalFormatting sqref="R14">
    <cfRule type="containsText" dxfId="412" priority="413" operator="containsText" text="TB">
      <formula>NOT(ISERROR(SEARCH("TB",R14)))</formula>
    </cfRule>
  </conditionalFormatting>
  <conditionalFormatting sqref="R13">
    <cfRule type="containsText" dxfId="411" priority="410" operator="containsText" text="B">
      <formula>NOT(ISERROR(SEARCH("B",R13)))</formula>
    </cfRule>
    <cfRule type="containsText" dxfId="410" priority="411" operator="containsText" text="TB">
      <formula>NOT(ISERROR(SEARCH("TB",R13)))</formula>
    </cfRule>
    <cfRule type="containsText" dxfId="409" priority="412" operator="containsText" text="T">
      <formula>NOT(ISERROR(SEARCH("T",R13)))</formula>
    </cfRule>
  </conditionalFormatting>
  <conditionalFormatting sqref="R13">
    <cfRule type="containsText" dxfId="408" priority="409" operator="containsText" text="TB">
      <formula>NOT(ISERROR(SEARCH("TB",R13)))</formula>
    </cfRule>
  </conditionalFormatting>
  <conditionalFormatting sqref="R20">
    <cfRule type="containsText" dxfId="407" priority="406" operator="containsText" text="B">
      <formula>NOT(ISERROR(SEARCH("B",R20)))</formula>
    </cfRule>
    <cfRule type="containsText" dxfId="406" priority="407" operator="containsText" text="TB">
      <formula>NOT(ISERROR(SEARCH("TB",R20)))</formula>
    </cfRule>
    <cfRule type="containsText" dxfId="405" priority="408" operator="containsText" text="T">
      <formula>NOT(ISERROR(SEARCH("T",R20)))</formula>
    </cfRule>
  </conditionalFormatting>
  <conditionalFormatting sqref="R20">
    <cfRule type="containsText" dxfId="404" priority="405" operator="containsText" text="TB">
      <formula>NOT(ISERROR(SEARCH("TB",R20)))</formula>
    </cfRule>
  </conditionalFormatting>
  <conditionalFormatting sqref="R29">
    <cfRule type="containsText" dxfId="403" priority="402" operator="containsText" text="B">
      <formula>NOT(ISERROR(SEARCH("B",R29)))</formula>
    </cfRule>
    <cfRule type="containsText" dxfId="402" priority="403" operator="containsText" text="TB">
      <formula>NOT(ISERROR(SEARCH("TB",R29)))</formula>
    </cfRule>
    <cfRule type="containsText" dxfId="401" priority="404" operator="containsText" text="T">
      <formula>NOT(ISERROR(SEARCH("T",R29)))</formula>
    </cfRule>
  </conditionalFormatting>
  <conditionalFormatting sqref="R29">
    <cfRule type="containsText" dxfId="400" priority="401" operator="containsText" text="TB">
      <formula>NOT(ISERROR(SEARCH("TB",R29)))</formula>
    </cfRule>
  </conditionalFormatting>
  <conditionalFormatting sqref="R24">
    <cfRule type="containsText" dxfId="399" priority="398" operator="containsText" text="B">
      <formula>NOT(ISERROR(SEARCH("B",R24)))</formula>
    </cfRule>
    <cfRule type="containsText" dxfId="398" priority="399" operator="containsText" text="TB">
      <formula>NOT(ISERROR(SEARCH("TB",R24)))</formula>
    </cfRule>
    <cfRule type="containsText" dxfId="397" priority="400" operator="containsText" text="T">
      <formula>NOT(ISERROR(SEARCH("T",R24)))</formula>
    </cfRule>
  </conditionalFormatting>
  <conditionalFormatting sqref="R24">
    <cfRule type="containsText" dxfId="396" priority="397" operator="containsText" text="TB">
      <formula>NOT(ISERROR(SEARCH("TB",R24)))</formula>
    </cfRule>
  </conditionalFormatting>
  <conditionalFormatting sqref="R147">
    <cfRule type="containsText" dxfId="395" priority="394" operator="containsText" text="B">
      <formula>NOT(ISERROR(SEARCH("B",R147)))</formula>
    </cfRule>
    <cfRule type="containsText" dxfId="394" priority="395" operator="containsText" text="TB">
      <formula>NOT(ISERROR(SEARCH("TB",R147)))</formula>
    </cfRule>
    <cfRule type="containsText" dxfId="393" priority="396" operator="containsText" text="T">
      <formula>NOT(ISERROR(SEARCH("T",R147)))</formula>
    </cfRule>
  </conditionalFormatting>
  <conditionalFormatting sqref="R147">
    <cfRule type="containsText" dxfId="392" priority="393" operator="containsText" text="TB">
      <formula>NOT(ISERROR(SEARCH("TB",R147)))</formula>
    </cfRule>
  </conditionalFormatting>
  <conditionalFormatting sqref="R139">
    <cfRule type="containsText" dxfId="391" priority="390" operator="containsText" text="B">
      <formula>NOT(ISERROR(SEARCH("B",R139)))</formula>
    </cfRule>
    <cfRule type="containsText" dxfId="390" priority="391" operator="containsText" text="TB">
      <formula>NOT(ISERROR(SEARCH("TB",R139)))</formula>
    </cfRule>
    <cfRule type="containsText" dxfId="389" priority="392" operator="containsText" text="T">
      <formula>NOT(ISERROR(SEARCH("T",R139)))</formula>
    </cfRule>
  </conditionalFormatting>
  <conditionalFormatting sqref="R139">
    <cfRule type="containsText" dxfId="388" priority="389" operator="containsText" text="TB">
      <formula>NOT(ISERROR(SEARCH("TB",R139)))</formula>
    </cfRule>
  </conditionalFormatting>
  <conditionalFormatting sqref="R40">
    <cfRule type="containsText" dxfId="387" priority="386" operator="containsText" text="B">
      <formula>NOT(ISERROR(SEARCH("B",R40)))</formula>
    </cfRule>
    <cfRule type="containsText" dxfId="386" priority="387" operator="containsText" text="TB">
      <formula>NOT(ISERROR(SEARCH("TB",R40)))</formula>
    </cfRule>
    <cfRule type="containsText" dxfId="385" priority="388" operator="containsText" text="T">
      <formula>NOT(ISERROR(SEARCH("T",R40)))</formula>
    </cfRule>
  </conditionalFormatting>
  <conditionalFormatting sqref="R40">
    <cfRule type="containsText" dxfId="384" priority="385" operator="containsText" text="TB">
      <formula>NOT(ISERROR(SEARCH("TB",R40)))</formula>
    </cfRule>
  </conditionalFormatting>
  <conditionalFormatting sqref="R41">
    <cfRule type="containsText" dxfId="383" priority="382" operator="containsText" text="B">
      <formula>NOT(ISERROR(SEARCH("B",R41)))</formula>
    </cfRule>
    <cfRule type="containsText" dxfId="382" priority="383" operator="containsText" text="TB">
      <formula>NOT(ISERROR(SEARCH("TB",R41)))</formula>
    </cfRule>
    <cfRule type="containsText" dxfId="381" priority="384" operator="containsText" text="T">
      <formula>NOT(ISERROR(SEARCH("T",R41)))</formula>
    </cfRule>
  </conditionalFormatting>
  <conditionalFormatting sqref="R41">
    <cfRule type="containsText" dxfId="380" priority="381" operator="containsText" text="TB">
      <formula>NOT(ISERROR(SEARCH("TB",R41)))</formula>
    </cfRule>
  </conditionalFormatting>
  <conditionalFormatting sqref="R12">
    <cfRule type="containsText" dxfId="379" priority="378" operator="containsText" text="B">
      <formula>NOT(ISERROR(SEARCH("B",R12)))</formula>
    </cfRule>
    <cfRule type="containsText" dxfId="378" priority="379" operator="containsText" text="TB">
      <formula>NOT(ISERROR(SEARCH("TB",R12)))</formula>
    </cfRule>
    <cfRule type="containsText" dxfId="377" priority="380" operator="containsText" text="T">
      <formula>NOT(ISERROR(SEARCH("T",R12)))</formula>
    </cfRule>
  </conditionalFormatting>
  <conditionalFormatting sqref="R12">
    <cfRule type="containsText" dxfId="376" priority="377" operator="containsText" text="TB">
      <formula>NOT(ISERROR(SEARCH("TB",R12)))</formula>
    </cfRule>
  </conditionalFormatting>
  <conditionalFormatting sqref="R34">
    <cfRule type="containsText" dxfId="375" priority="374" operator="containsText" text="B">
      <formula>NOT(ISERROR(SEARCH("B",R34)))</formula>
    </cfRule>
    <cfRule type="containsText" dxfId="374" priority="375" operator="containsText" text="TB">
      <formula>NOT(ISERROR(SEARCH("TB",R34)))</formula>
    </cfRule>
    <cfRule type="containsText" dxfId="373" priority="376" operator="containsText" text="T">
      <formula>NOT(ISERROR(SEARCH("T",R34)))</formula>
    </cfRule>
  </conditionalFormatting>
  <conditionalFormatting sqref="R34">
    <cfRule type="containsText" dxfId="372" priority="373" operator="containsText" text="TB">
      <formula>NOT(ISERROR(SEARCH("TB",R34)))</formula>
    </cfRule>
  </conditionalFormatting>
  <conditionalFormatting sqref="R28">
    <cfRule type="containsText" dxfId="371" priority="370" operator="containsText" text="B">
      <formula>NOT(ISERROR(SEARCH("B",R28)))</formula>
    </cfRule>
    <cfRule type="containsText" dxfId="370" priority="371" operator="containsText" text="TB">
      <formula>NOT(ISERROR(SEARCH("TB",R28)))</formula>
    </cfRule>
    <cfRule type="containsText" dxfId="369" priority="372" operator="containsText" text="T">
      <formula>NOT(ISERROR(SEARCH("T",R28)))</formula>
    </cfRule>
  </conditionalFormatting>
  <conditionalFormatting sqref="R28">
    <cfRule type="containsText" dxfId="368" priority="369" operator="containsText" text="TB">
      <formula>NOT(ISERROR(SEARCH("TB",R28)))</formula>
    </cfRule>
  </conditionalFormatting>
  <conditionalFormatting sqref="R141">
    <cfRule type="containsText" dxfId="367" priority="366" operator="containsText" text="B">
      <formula>NOT(ISERROR(SEARCH("B",R141)))</formula>
    </cfRule>
    <cfRule type="containsText" dxfId="366" priority="367" operator="containsText" text="TB">
      <formula>NOT(ISERROR(SEARCH("TB",R141)))</formula>
    </cfRule>
    <cfRule type="containsText" dxfId="365" priority="368" operator="containsText" text="T">
      <formula>NOT(ISERROR(SEARCH("T",R141)))</formula>
    </cfRule>
  </conditionalFormatting>
  <conditionalFormatting sqref="R141">
    <cfRule type="containsText" dxfId="364" priority="365" operator="containsText" text="TB">
      <formula>NOT(ISERROR(SEARCH("TB",R141)))</formula>
    </cfRule>
  </conditionalFormatting>
  <conditionalFormatting sqref="R33">
    <cfRule type="containsText" dxfId="363" priority="362" operator="containsText" text="B">
      <formula>NOT(ISERROR(SEARCH("B",R33)))</formula>
    </cfRule>
    <cfRule type="containsText" dxfId="362" priority="363" operator="containsText" text="TB">
      <formula>NOT(ISERROR(SEARCH("TB",R33)))</formula>
    </cfRule>
    <cfRule type="containsText" dxfId="361" priority="364" operator="containsText" text="T">
      <formula>NOT(ISERROR(SEARCH("T",R33)))</formula>
    </cfRule>
  </conditionalFormatting>
  <conditionalFormatting sqref="R33">
    <cfRule type="containsText" dxfId="360" priority="361" operator="containsText" text="TB">
      <formula>NOT(ISERROR(SEARCH("TB",R33)))</formula>
    </cfRule>
  </conditionalFormatting>
  <conditionalFormatting sqref="R162">
    <cfRule type="containsText" dxfId="359" priority="358" operator="containsText" text="B">
      <formula>NOT(ISERROR(SEARCH("B",R162)))</formula>
    </cfRule>
    <cfRule type="containsText" dxfId="358" priority="359" operator="containsText" text="TB">
      <formula>NOT(ISERROR(SEARCH("TB",R162)))</formula>
    </cfRule>
    <cfRule type="containsText" dxfId="357" priority="360" operator="containsText" text="T">
      <formula>NOT(ISERROR(SEARCH("T",R162)))</formula>
    </cfRule>
  </conditionalFormatting>
  <conditionalFormatting sqref="R162">
    <cfRule type="containsText" dxfId="356" priority="357" operator="containsText" text="TB">
      <formula>NOT(ISERROR(SEARCH("TB",R162)))</formula>
    </cfRule>
  </conditionalFormatting>
  <conditionalFormatting sqref="R158">
    <cfRule type="containsText" dxfId="355" priority="354" operator="containsText" text="B">
      <formula>NOT(ISERROR(SEARCH("B",R158)))</formula>
    </cfRule>
    <cfRule type="containsText" dxfId="354" priority="355" operator="containsText" text="TB">
      <formula>NOT(ISERROR(SEARCH("TB",R158)))</formula>
    </cfRule>
    <cfRule type="containsText" dxfId="353" priority="356" operator="containsText" text="T">
      <formula>NOT(ISERROR(SEARCH("T",R158)))</formula>
    </cfRule>
  </conditionalFormatting>
  <conditionalFormatting sqref="R158">
    <cfRule type="containsText" dxfId="352" priority="353" operator="containsText" text="TB">
      <formula>NOT(ISERROR(SEARCH("TB",R158)))</formula>
    </cfRule>
  </conditionalFormatting>
  <conditionalFormatting sqref="T18">
    <cfRule type="containsText" dxfId="351" priority="350" operator="containsText" text="B">
      <formula>NOT(ISERROR(SEARCH("B",T18)))</formula>
    </cfRule>
    <cfRule type="containsText" dxfId="350" priority="351" operator="containsText" text="TB">
      <formula>NOT(ISERROR(SEARCH("TB",T18)))</formula>
    </cfRule>
    <cfRule type="containsText" dxfId="349" priority="352" operator="containsText" text="T">
      <formula>NOT(ISERROR(SEARCH("T",T18)))</formula>
    </cfRule>
  </conditionalFormatting>
  <conditionalFormatting sqref="T18">
    <cfRule type="containsText" dxfId="348" priority="349" operator="containsText" text="TB">
      <formula>NOT(ISERROR(SEARCH("TB",T18)))</formula>
    </cfRule>
  </conditionalFormatting>
  <conditionalFormatting sqref="S157">
    <cfRule type="containsText" dxfId="347" priority="346" operator="containsText" text="B">
      <formula>NOT(ISERROR(SEARCH("B",S157)))</formula>
    </cfRule>
    <cfRule type="containsText" dxfId="346" priority="347" operator="containsText" text="TB">
      <formula>NOT(ISERROR(SEARCH("TB",S157)))</formula>
    </cfRule>
    <cfRule type="containsText" dxfId="345" priority="348" operator="containsText" text="T">
      <formula>NOT(ISERROR(SEARCH("T",S157)))</formula>
    </cfRule>
  </conditionalFormatting>
  <conditionalFormatting sqref="S157">
    <cfRule type="containsText" dxfId="344" priority="345" operator="containsText" text="TB">
      <formula>NOT(ISERROR(SEARCH("TB",S157)))</formula>
    </cfRule>
  </conditionalFormatting>
  <conditionalFormatting sqref="T139">
    <cfRule type="containsText" dxfId="343" priority="342" operator="containsText" text="B">
      <formula>NOT(ISERROR(SEARCH("B",T139)))</formula>
    </cfRule>
    <cfRule type="containsText" dxfId="342" priority="343" operator="containsText" text="TB">
      <formula>NOT(ISERROR(SEARCH("TB",T139)))</formula>
    </cfRule>
    <cfRule type="containsText" dxfId="341" priority="344" operator="containsText" text="T">
      <formula>NOT(ISERROR(SEARCH("T",T139)))</formula>
    </cfRule>
  </conditionalFormatting>
  <conditionalFormatting sqref="T139">
    <cfRule type="containsText" dxfId="340" priority="341" operator="containsText" text="TB">
      <formula>NOT(ISERROR(SEARCH("TB",T139)))</formula>
    </cfRule>
  </conditionalFormatting>
  <conditionalFormatting sqref="T15">
    <cfRule type="containsText" dxfId="339" priority="338" operator="containsText" text="B">
      <formula>NOT(ISERROR(SEARCH("B",T15)))</formula>
    </cfRule>
    <cfRule type="containsText" dxfId="338" priority="339" operator="containsText" text="TB">
      <formula>NOT(ISERROR(SEARCH("TB",T15)))</formula>
    </cfRule>
    <cfRule type="containsText" dxfId="337" priority="340" operator="containsText" text="T">
      <formula>NOT(ISERROR(SEARCH("T",T15)))</formula>
    </cfRule>
  </conditionalFormatting>
  <conditionalFormatting sqref="T15">
    <cfRule type="containsText" dxfId="336" priority="337" operator="containsText" text="TB">
      <formula>NOT(ISERROR(SEARCH("TB",T15)))</formula>
    </cfRule>
  </conditionalFormatting>
  <conditionalFormatting sqref="T11">
    <cfRule type="containsText" dxfId="335" priority="334" operator="containsText" text="B">
      <formula>NOT(ISERROR(SEARCH("B",T11)))</formula>
    </cfRule>
    <cfRule type="containsText" dxfId="334" priority="335" operator="containsText" text="TB">
      <formula>NOT(ISERROR(SEARCH("TB",T11)))</formula>
    </cfRule>
    <cfRule type="containsText" dxfId="333" priority="336" operator="containsText" text="T">
      <formula>NOT(ISERROR(SEARCH("T",T11)))</formula>
    </cfRule>
  </conditionalFormatting>
  <conditionalFormatting sqref="T11">
    <cfRule type="containsText" dxfId="332" priority="333" operator="containsText" text="TB">
      <formula>NOT(ISERROR(SEARCH("TB",T11)))</formula>
    </cfRule>
  </conditionalFormatting>
  <conditionalFormatting sqref="T24">
    <cfRule type="containsText" dxfId="331" priority="330" operator="containsText" text="B">
      <formula>NOT(ISERROR(SEARCH("B",T24)))</formula>
    </cfRule>
    <cfRule type="containsText" dxfId="330" priority="331" operator="containsText" text="TB">
      <formula>NOT(ISERROR(SEARCH("TB",T24)))</formula>
    </cfRule>
    <cfRule type="containsText" dxfId="329" priority="332" operator="containsText" text="T">
      <formula>NOT(ISERROR(SEARCH("T",T24)))</formula>
    </cfRule>
  </conditionalFormatting>
  <conditionalFormatting sqref="T24">
    <cfRule type="containsText" dxfId="328" priority="329" operator="containsText" text="TB">
      <formula>NOT(ISERROR(SEARCH("TB",T24)))</formula>
    </cfRule>
  </conditionalFormatting>
  <conditionalFormatting sqref="T119">
    <cfRule type="containsText" dxfId="327" priority="326" operator="containsText" text="B">
      <formula>NOT(ISERROR(SEARCH("B",T119)))</formula>
    </cfRule>
    <cfRule type="containsText" dxfId="326" priority="327" operator="containsText" text="TB">
      <formula>NOT(ISERROR(SEARCH("TB",T119)))</formula>
    </cfRule>
    <cfRule type="containsText" dxfId="325" priority="328" operator="containsText" text="T">
      <formula>NOT(ISERROR(SEARCH("T",T119)))</formula>
    </cfRule>
  </conditionalFormatting>
  <conditionalFormatting sqref="T119">
    <cfRule type="containsText" dxfId="324" priority="325" operator="containsText" text="TB">
      <formula>NOT(ISERROR(SEARCH("TB",T119)))</formula>
    </cfRule>
  </conditionalFormatting>
  <conditionalFormatting sqref="T34">
    <cfRule type="containsText" dxfId="323" priority="322" operator="containsText" text="B">
      <formula>NOT(ISERROR(SEARCH("B",T34)))</formula>
    </cfRule>
    <cfRule type="containsText" dxfId="322" priority="323" operator="containsText" text="TB">
      <formula>NOT(ISERROR(SEARCH("TB",T34)))</formula>
    </cfRule>
    <cfRule type="containsText" dxfId="321" priority="324" operator="containsText" text="T">
      <formula>NOT(ISERROR(SEARCH("T",T34)))</formula>
    </cfRule>
  </conditionalFormatting>
  <conditionalFormatting sqref="T34">
    <cfRule type="containsText" dxfId="320" priority="321" operator="containsText" text="TB">
      <formula>NOT(ISERROR(SEARCH("TB",T34)))</formula>
    </cfRule>
  </conditionalFormatting>
  <conditionalFormatting sqref="T12">
    <cfRule type="containsText" dxfId="319" priority="318" operator="containsText" text="B">
      <formula>NOT(ISERROR(SEARCH("B",T12)))</formula>
    </cfRule>
    <cfRule type="containsText" dxfId="318" priority="319" operator="containsText" text="TB">
      <formula>NOT(ISERROR(SEARCH("TB",T12)))</formula>
    </cfRule>
    <cfRule type="containsText" dxfId="317" priority="320" operator="containsText" text="T">
      <formula>NOT(ISERROR(SEARCH("T",T12)))</formula>
    </cfRule>
  </conditionalFormatting>
  <conditionalFormatting sqref="T12">
    <cfRule type="containsText" dxfId="316" priority="317" operator="containsText" text="TB">
      <formula>NOT(ISERROR(SEARCH("TB",T12)))</formula>
    </cfRule>
  </conditionalFormatting>
  <conditionalFormatting sqref="T30">
    <cfRule type="containsText" dxfId="315" priority="314" operator="containsText" text="B">
      <formula>NOT(ISERROR(SEARCH("B",T30)))</formula>
    </cfRule>
    <cfRule type="containsText" dxfId="314" priority="315" operator="containsText" text="TB">
      <formula>NOT(ISERROR(SEARCH("TB",T30)))</formula>
    </cfRule>
    <cfRule type="containsText" dxfId="313" priority="316" operator="containsText" text="T">
      <formula>NOT(ISERROR(SEARCH("T",T30)))</formula>
    </cfRule>
  </conditionalFormatting>
  <conditionalFormatting sqref="T30">
    <cfRule type="containsText" dxfId="312" priority="313" operator="containsText" text="TB">
      <formula>NOT(ISERROR(SEARCH("TB",T30)))</formula>
    </cfRule>
  </conditionalFormatting>
  <conditionalFormatting sqref="T163">
    <cfRule type="containsText" dxfId="311" priority="310" operator="containsText" text="B">
      <formula>NOT(ISERROR(SEARCH("B",T163)))</formula>
    </cfRule>
    <cfRule type="containsText" dxfId="310" priority="311" operator="containsText" text="TB">
      <formula>NOT(ISERROR(SEARCH("TB",T163)))</formula>
    </cfRule>
    <cfRule type="containsText" dxfId="309" priority="312" operator="containsText" text="T">
      <formula>NOT(ISERROR(SEARCH("T",T163)))</formula>
    </cfRule>
  </conditionalFormatting>
  <conditionalFormatting sqref="T163">
    <cfRule type="containsText" dxfId="308" priority="309" operator="containsText" text="TB">
      <formula>NOT(ISERROR(SEARCH("TB",T163)))</formula>
    </cfRule>
  </conditionalFormatting>
  <conditionalFormatting sqref="U41">
    <cfRule type="containsText" dxfId="307" priority="306" operator="containsText" text="B">
      <formula>NOT(ISERROR(SEARCH("B",U41)))</formula>
    </cfRule>
    <cfRule type="containsText" dxfId="306" priority="307" operator="containsText" text="TB">
      <formula>NOT(ISERROR(SEARCH("TB",U41)))</formula>
    </cfRule>
    <cfRule type="containsText" dxfId="305" priority="308" operator="containsText" text="T">
      <formula>NOT(ISERROR(SEARCH("T",U41)))</formula>
    </cfRule>
  </conditionalFormatting>
  <conditionalFormatting sqref="U41">
    <cfRule type="containsText" dxfId="304" priority="305" operator="containsText" text="TB">
      <formula>NOT(ISERROR(SEARCH("TB",U41)))</formula>
    </cfRule>
  </conditionalFormatting>
  <conditionalFormatting sqref="U28">
    <cfRule type="containsText" dxfId="303" priority="302" operator="containsText" text="B">
      <formula>NOT(ISERROR(SEARCH("B",U28)))</formula>
    </cfRule>
    <cfRule type="containsText" dxfId="302" priority="303" operator="containsText" text="TB">
      <formula>NOT(ISERROR(SEARCH("TB",U28)))</formula>
    </cfRule>
    <cfRule type="containsText" dxfId="301" priority="304" operator="containsText" text="T">
      <formula>NOT(ISERROR(SEARCH("T",U28)))</formula>
    </cfRule>
  </conditionalFormatting>
  <conditionalFormatting sqref="U28">
    <cfRule type="containsText" dxfId="300" priority="301" operator="containsText" text="TB">
      <formula>NOT(ISERROR(SEARCH("TB",U28)))</formula>
    </cfRule>
  </conditionalFormatting>
  <conditionalFormatting sqref="U38">
    <cfRule type="containsText" dxfId="299" priority="298" operator="containsText" text="B">
      <formula>NOT(ISERROR(SEARCH("B",U38)))</formula>
    </cfRule>
    <cfRule type="containsText" dxfId="298" priority="299" operator="containsText" text="TB">
      <formula>NOT(ISERROR(SEARCH("TB",U38)))</formula>
    </cfRule>
    <cfRule type="containsText" dxfId="297" priority="300" operator="containsText" text="T">
      <formula>NOT(ISERROR(SEARCH("T",U38)))</formula>
    </cfRule>
  </conditionalFormatting>
  <conditionalFormatting sqref="U38">
    <cfRule type="containsText" dxfId="296" priority="297" operator="containsText" text="TB">
      <formula>NOT(ISERROR(SEARCH("TB",U38)))</formula>
    </cfRule>
  </conditionalFormatting>
  <conditionalFormatting sqref="U164">
    <cfRule type="containsText" dxfId="295" priority="294" operator="containsText" text="B">
      <formula>NOT(ISERROR(SEARCH("B",U164)))</formula>
    </cfRule>
    <cfRule type="containsText" dxfId="294" priority="295" operator="containsText" text="TB">
      <formula>NOT(ISERROR(SEARCH("TB",U164)))</formula>
    </cfRule>
    <cfRule type="containsText" dxfId="293" priority="296" operator="containsText" text="T">
      <formula>NOT(ISERROR(SEARCH("T",U164)))</formula>
    </cfRule>
  </conditionalFormatting>
  <conditionalFormatting sqref="U164">
    <cfRule type="containsText" dxfId="292" priority="293" operator="containsText" text="TB">
      <formula>NOT(ISERROR(SEARCH("TB",U164)))</formula>
    </cfRule>
  </conditionalFormatting>
  <conditionalFormatting sqref="U153">
    <cfRule type="containsText" dxfId="291" priority="290" operator="containsText" text="B">
      <formula>NOT(ISERROR(SEARCH("B",U153)))</formula>
    </cfRule>
    <cfRule type="containsText" dxfId="290" priority="291" operator="containsText" text="TB">
      <formula>NOT(ISERROR(SEARCH("TB",U153)))</formula>
    </cfRule>
    <cfRule type="containsText" dxfId="289" priority="292" operator="containsText" text="T">
      <formula>NOT(ISERROR(SEARCH("T",U153)))</formula>
    </cfRule>
  </conditionalFormatting>
  <conditionalFormatting sqref="U153">
    <cfRule type="containsText" dxfId="288" priority="289" operator="containsText" text="TB">
      <formula>NOT(ISERROR(SEARCH("TB",U153)))</formula>
    </cfRule>
  </conditionalFormatting>
  <conditionalFormatting sqref="U13">
    <cfRule type="containsText" dxfId="287" priority="286" operator="containsText" text="B">
      <formula>NOT(ISERROR(SEARCH("B",U13)))</formula>
    </cfRule>
    <cfRule type="containsText" dxfId="286" priority="287" operator="containsText" text="TB">
      <formula>NOT(ISERROR(SEARCH("TB",U13)))</formula>
    </cfRule>
    <cfRule type="containsText" dxfId="285" priority="288" operator="containsText" text="T">
      <formula>NOT(ISERROR(SEARCH("T",U13)))</formula>
    </cfRule>
  </conditionalFormatting>
  <conditionalFormatting sqref="U13">
    <cfRule type="containsText" dxfId="284" priority="285" operator="containsText" text="TB">
      <formula>NOT(ISERROR(SEARCH("TB",U13)))</formula>
    </cfRule>
  </conditionalFormatting>
  <conditionalFormatting sqref="U139">
    <cfRule type="containsText" dxfId="283" priority="282" operator="containsText" text="B">
      <formula>NOT(ISERROR(SEARCH("B",U139)))</formula>
    </cfRule>
    <cfRule type="containsText" dxfId="282" priority="283" operator="containsText" text="TB">
      <formula>NOT(ISERROR(SEARCH("TB",U139)))</formula>
    </cfRule>
    <cfRule type="containsText" dxfId="281" priority="284" operator="containsText" text="T">
      <formula>NOT(ISERROR(SEARCH("T",U139)))</formula>
    </cfRule>
  </conditionalFormatting>
  <conditionalFormatting sqref="U139">
    <cfRule type="containsText" dxfId="280" priority="281" operator="containsText" text="TB">
      <formula>NOT(ISERROR(SEARCH("TB",U139)))</formula>
    </cfRule>
  </conditionalFormatting>
  <conditionalFormatting sqref="U154">
    <cfRule type="containsText" dxfId="279" priority="278" operator="containsText" text="B">
      <formula>NOT(ISERROR(SEARCH("B",U154)))</formula>
    </cfRule>
    <cfRule type="containsText" dxfId="278" priority="279" operator="containsText" text="TB">
      <formula>NOT(ISERROR(SEARCH("TB",U154)))</formula>
    </cfRule>
    <cfRule type="containsText" dxfId="277" priority="280" operator="containsText" text="T">
      <formula>NOT(ISERROR(SEARCH("T",U154)))</formula>
    </cfRule>
  </conditionalFormatting>
  <conditionalFormatting sqref="U154">
    <cfRule type="containsText" dxfId="276" priority="277" operator="containsText" text="TB">
      <formula>NOT(ISERROR(SEARCH("TB",U154)))</formula>
    </cfRule>
  </conditionalFormatting>
  <conditionalFormatting sqref="V20">
    <cfRule type="containsText" dxfId="275" priority="274" operator="containsText" text="B">
      <formula>NOT(ISERROR(SEARCH("B",V20)))</formula>
    </cfRule>
    <cfRule type="containsText" dxfId="274" priority="275" operator="containsText" text="TB">
      <formula>NOT(ISERROR(SEARCH("TB",V20)))</formula>
    </cfRule>
    <cfRule type="containsText" dxfId="273" priority="276" operator="containsText" text="T">
      <formula>NOT(ISERROR(SEARCH("T",V20)))</formula>
    </cfRule>
  </conditionalFormatting>
  <conditionalFormatting sqref="V20">
    <cfRule type="containsText" dxfId="272" priority="273" operator="containsText" text="TB">
      <formula>NOT(ISERROR(SEARCH("TB",V20)))</formula>
    </cfRule>
  </conditionalFormatting>
  <conditionalFormatting sqref="V12">
    <cfRule type="containsText" dxfId="271" priority="270" operator="containsText" text="B">
      <formula>NOT(ISERROR(SEARCH("B",V12)))</formula>
    </cfRule>
    <cfRule type="containsText" dxfId="270" priority="271" operator="containsText" text="TB">
      <formula>NOT(ISERROR(SEARCH("TB",V12)))</formula>
    </cfRule>
    <cfRule type="containsText" dxfId="269" priority="272" operator="containsText" text="T">
      <formula>NOT(ISERROR(SEARCH("T",V12)))</formula>
    </cfRule>
  </conditionalFormatting>
  <conditionalFormatting sqref="V12">
    <cfRule type="containsText" dxfId="268" priority="269" operator="containsText" text="TB">
      <formula>NOT(ISERROR(SEARCH("TB",V12)))</formula>
    </cfRule>
  </conditionalFormatting>
  <conditionalFormatting sqref="T38">
    <cfRule type="containsText" dxfId="267" priority="266" operator="containsText" text="B">
      <formula>NOT(ISERROR(SEARCH("B",T38)))</formula>
    </cfRule>
    <cfRule type="containsText" dxfId="266" priority="267" operator="containsText" text="TB">
      <formula>NOT(ISERROR(SEARCH("TB",T38)))</formula>
    </cfRule>
    <cfRule type="containsText" dxfId="265" priority="268" operator="containsText" text="T">
      <formula>NOT(ISERROR(SEARCH("T",T38)))</formula>
    </cfRule>
  </conditionalFormatting>
  <conditionalFormatting sqref="T38">
    <cfRule type="containsText" dxfId="264" priority="265" operator="containsText" text="TB">
      <formula>NOT(ISERROR(SEARCH("TB",T38)))</formula>
    </cfRule>
  </conditionalFormatting>
  <conditionalFormatting sqref="V38">
    <cfRule type="containsText" dxfId="263" priority="262" operator="containsText" text="B">
      <formula>NOT(ISERROR(SEARCH("B",V38)))</formula>
    </cfRule>
    <cfRule type="containsText" dxfId="262" priority="263" operator="containsText" text="TB">
      <formula>NOT(ISERROR(SEARCH("TB",V38)))</formula>
    </cfRule>
    <cfRule type="containsText" dxfId="261" priority="264" operator="containsText" text="T">
      <formula>NOT(ISERROR(SEARCH("T",V38)))</formula>
    </cfRule>
  </conditionalFormatting>
  <conditionalFormatting sqref="V38">
    <cfRule type="containsText" dxfId="260" priority="261" operator="containsText" text="TB">
      <formula>NOT(ISERROR(SEARCH("TB",V38)))</formula>
    </cfRule>
  </conditionalFormatting>
  <conditionalFormatting sqref="V19">
    <cfRule type="containsText" dxfId="259" priority="258" operator="containsText" text="B">
      <formula>NOT(ISERROR(SEARCH("B",V19)))</formula>
    </cfRule>
    <cfRule type="containsText" dxfId="258" priority="259" operator="containsText" text="TB">
      <formula>NOT(ISERROR(SEARCH("TB",V19)))</formula>
    </cfRule>
    <cfRule type="containsText" dxfId="257" priority="260" operator="containsText" text="T">
      <formula>NOT(ISERROR(SEARCH("T",V19)))</formula>
    </cfRule>
  </conditionalFormatting>
  <conditionalFormatting sqref="V19">
    <cfRule type="containsText" dxfId="256" priority="257" operator="containsText" text="TB">
      <formula>NOT(ISERROR(SEARCH("TB",V19)))</formula>
    </cfRule>
  </conditionalFormatting>
  <conditionalFormatting sqref="V14">
    <cfRule type="containsText" dxfId="255" priority="254" operator="containsText" text="B">
      <formula>NOT(ISERROR(SEARCH("B",V14)))</formula>
    </cfRule>
    <cfRule type="containsText" dxfId="254" priority="255" operator="containsText" text="TB">
      <formula>NOT(ISERROR(SEARCH("TB",V14)))</formula>
    </cfRule>
    <cfRule type="containsText" dxfId="253" priority="256" operator="containsText" text="T">
      <formula>NOT(ISERROR(SEARCH("T",V14)))</formula>
    </cfRule>
  </conditionalFormatting>
  <conditionalFormatting sqref="V14">
    <cfRule type="containsText" dxfId="252" priority="253" operator="containsText" text="TB">
      <formula>NOT(ISERROR(SEARCH("TB",V14)))</formula>
    </cfRule>
  </conditionalFormatting>
  <conditionalFormatting sqref="V24">
    <cfRule type="containsText" dxfId="251" priority="250" operator="containsText" text="B">
      <formula>NOT(ISERROR(SEARCH("B",V24)))</formula>
    </cfRule>
    <cfRule type="containsText" dxfId="250" priority="251" operator="containsText" text="TB">
      <formula>NOT(ISERROR(SEARCH("TB",V24)))</formula>
    </cfRule>
    <cfRule type="containsText" dxfId="249" priority="252" operator="containsText" text="T">
      <formula>NOT(ISERROR(SEARCH("T",V24)))</formula>
    </cfRule>
  </conditionalFormatting>
  <conditionalFormatting sqref="V24">
    <cfRule type="containsText" dxfId="248" priority="249" operator="containsText" text="TB">
      <formula>NOT(ISERROR(SEARCH("TB",V24)))</formula>
    </cfRule>
  </conditionalFormatting>
  <conditionalFormatting sqref="V33">
    <cfRule type="containsText" dxfId="247" priority="246" operator="containsText" text="B">
      <formula>NOT(ISERROR(SEARCH("B",V33)))</formula>
    </cfRule>
    <cfRule type="containsText" dxfId="246" priority="247" operator="containsText" text="TB">
      <formula>NOT(ISERROR(SEARCH("TB",V33)))</formula>
    </cfRule>
    <cfRule type="containsText" dxfId="245" priority="248" operator="containsText" text="T">
      <formula>NOT(ISERROR(SEARCH("T",V33)))</formula>
    </cfRule>
  </conditionalFormatting>
  <conditionalFormatting sqref="V33">
    <cfRule type="containsText" dxfId="244" priority="245" operator="containsText" text="TB">
      <formula>NOT(ISERROR(SEARCH("TB",V33)))</formula>
    </cfRule>
  </conditionalFormatting>
  <conditionalFormatting sqref="V37">
    <cfRule type="containsText" dxfId="243" priority="242" operator="containsText" text="B">
      <formula>NOT(ISERROR(SEARCH("B",V37)))</formula>
    </cfRule>
    <cfRule type="containsText" dxfId="242" priority="243" operator="containsText" text="TB">
      <formula>NOT(ISERROR(SEARCH("TB",V37)))</formula>
    </cfRule>
    <cfRule type="containsText" dxfId="241" priority="244" operator="containsText" text="T">
      <formula>NOT(ISERROR(SEARCH("T",V37)))</formula>
    </cfRule>
  </conditionalFormatting>
  <conditionalFormatting sqref="V37">
    <cfRule type="containsText" dxfId="240" priority="241" operator="containsText" text="TB">
      <formula>NOT(ISERROR(SEARCH("TB",V37)))</formula>
    </cfRule>
  </conditionalFormatting>
  <conditionalFormatting sqref="V28">
    <cfRule type="containsText" dxfId="239" priority="238" operator="containsText" text="B">
      <formula>NOT(ISERROR(SEARCH("B",V28)))</formula>
    </cfRule>
    <cfRule type="containsText" dxfId="238" priority="239" operator="containsText" text="TB">
      <formula>NOT(ISERROR(SEARCH("TB",V28)))</formula>
    </cfRule>
    <cfRule type="containsText" dxfId="237" priority="240" operator="containsText" text="T">
      <formula>NOT(ISERROR(SEARCH("T",V28)))</formula>
    </cfRule>
  </conditionalFormatting>
  <conditionalFormatting sqref="V28">
    <cfRule type="containsText" dxfId="236" priority="237" operator="containsText" text="TB">
      <formula>NOT(ISERROR(SEARCH("TB",V28)))</formula>
    </cfRule>
  </conditionalFormatting>
  <conditionalFormatting sqref="W28">
    <cfRule type="containsText" dxfId="235" priority="234" operator="containsText" text="B">
      <formula>NOT(ISERROR(SEARCH("B",W28)))</formula>
    </cfRule>
    <cfRule type="containsText" dxfId="234" priority="235" operator="containsText" text="TB">
      <formula>NOT(ISERROR(SEARCH("TB",W28)))</formula>
    </cfRule>
    <cfRule type="containsText" dxfId="233" priority="236" operator="containsText" text="T">
      <formula>NOT(ISERROR(SEARCH("T",W28)))</formula>
    </cfRule>
  </conditionalFormatting>
  <conditionalFormatting sqref="W28">
    <cfRule type="containsText" dxfId="232" priority="233" operator="containsText" text="TB">
      <formula>NOT(ISERROR(SEARCH("TB",W28)))</formula>
    </cfRule>
  </conditionalFormatting>
  <conditionalFormatting sqref="W19">
    <cfRule type="containsText" dxfId="231" priority="230" operator="containsText" text="B">
      <formula>NOT(ISERROR(SEARCH("B",W19)))</formula>
    </cfRule>
    <cfRule type="containsText" dxfId="230" priority="231" operator="containsText" text="TB">
      <formula>NOT(ISERROR(SEARCH("TB",W19)))</formula>
    </cfRule>
    <cfRule type="containsText" dxfId="229" priority="232" operator="containsText" text="T">
      <formula>NOT(ISERROR(SEARCH("T",W19)))</formula>
    </cfRule>
  </conditionalFormatting>
  <conditionalFormatting sqref="W19">
    <cfRule type="containsText" dxfId="228" priority="229" operator="containsText" text="TB">
      <formula>NOT(ISERROR(SEARCH("TB",W19)))</formula>
    </cfRule>
  </conditionalFormatting>
  <conditionalFormatting sqref="W12">
    <cfRule type="containsText" dxfId="227" priority="226" operator="containsText" text="B">
      <formula>NOT(ISERROR(SEARCH("B",W12)))</formula>
    </cfRule>
    <cfRule type="containsText" dxfId="226" priority="227" operator="containsText" text="TB">
      <formula>NOT(ISERROR(SEARCH("TB",W12)))</formula>
    </cfRule>
    <cfRule type="containsText" dxfId="225" priority="228" operator="containsText" text="T">
      <formula>NOT(ISERROR(SEARCH("T",W12)))</formula>
    </cfRule>
  </conditionalFormatting>
  <conditionalFormatting sqref="W12">
    <cfRule type="containsText" dxfId="224" priority="225" operator="containsText" text="TB">
      <formula>NOT(ISERROR(SEARCH("TB",W12)))</formula>
    </cfRule>
  </conditionalFormatting>
  <conditionalFormatting sqref="W16">
    <cfRule type="containsText" dxfId="223" priority="222" operator="containsText" text="B">
      <formula>NOT(ISERROR(SEARCH("B",W16)))</formula>
    </cfRule>
    <cfRule type="containsText" dxfId="222" priority="223" operator="containsText" text="TB">
      <formula>NOT(ISERROR(SEARCH("TB",W16)))</formula>
    </cfRule>
    <cfRule type="containsText" dxfId="221" priority="224" operator="containsText" text="T">
      <formula>NOT(ISERROR(SEARCH("T",W16)))</formula>
    </cfRule>
  </conditionalFormatting>
  <conditionalFormatting sqref="W16">
    <cfRule type="containsText" dxfId="220" priority="221" operator="containsText" text="TB">
      <formula>NOT(ISERROR(SEARCH("TB",W16)))</formula>
    </cfRule>
  </conditionalFormatting>
  <conditionalFormatting sqref="W22">
    <cfRule type="containsText" dxfId="219" priority="218" operator="containsText" text="B">
      <formula>NOT(ISERROR(SEARCH("B",W22)))</formula>
    </cfRule>
    <cfRule type="containsText" dxfId="218" priority="219" operator="containsText" text="TB">
      <formula>NOT(ISERROR(SEARCH("TB",W22)))</formula>
    </cfRule>
    <cfRule type="containsText" dxfId="217" priority="220" operator="containsText" text="T">
      <formula>NOT(ISERROR(SEARCH("T",W22)))</formula>
    </cfRule>
  </conditionalFormatting>
  <conditionalFormatting sqref="W22">
    <cfRule type="containsText" dxfId="216" priority="217" operator="containsText" text="TB">
      <formula>NOT(ISERROR(SEARCH("TB",W22)))</formula>
    </cfRule>
  </conditionalFormatting>
  <conditionalFormatting sqref="W139">
    <cfRule type="containsText" dxfId="215" priority="214" operator="containsText" text="B">
      <formula>NOT(ISERROR(SEARCH("B",W139)))</formula>
    </cfRule>
    <cfRule type="containsText" dxfId="214" priority="215" operator="containsText" text="TB">
      <formula>NOT(ISERROR(SEARCH("TB",W139)))</formula>
    </cfRule>
    <cfRule type="containsText" dxfId="213" priority="216" operator="containsText" text="T">
      <formula>NOT(ISERROR(SEARCH("T",W139)))</formula>
    </cfRule>
  </conditionalFormatting>
  <conditionalFormatting sqref="W139">
    <cfRule type="containsText" dxfId="212" priority="213" operator="containsText" text="TB">
      <formula>NOT(ISERROR(SEARCH("TB",W139)))</formula>
    </cfRule>
  </conditionalFormatting>
  <conditionalFormatting sqref="W40">
    <cfRule type="containsText" dxfId="211" priority="210" operator="containsText" text="B">
      <formula>NOT(ISERROR(SEARCH("B",W40)))</formula>
    </cfRule>
    <cfRule type="containsText" dxfId="210" priority="211" operator="containsText" text="TB">
      <formula>NOT(ISERROR(SEARCH("TB",W40)))</formula>
    </cfRule>
    <cfRule type="containsText" dxfId="209" priority="212" operator="containsText" text="T">
      <formula>NOT(ISERROR(SEARCH("T",W40)))</formula>
    </cfRule>
  </conditionalFormatting>
  <conditionalFormatting sqref="W40">
    <cfRule type="containsText" dxfId="208" priority="209" operator="containsText" text="TB">
      <formula>NOT(ISERROR(SEARCH("TB",W40)))</formula>
    </cfRule>
  </conditionalFormatting>
  <conditionalFormatting sqref="Y161">
    <cfRule type="containsText" dxfId="207" priority="206" operator="containsText" text="B">
      <formula>NOT(ISERROR(SEARCH("B",Y161)))</formula>
    </cfRule>
    <cfRule type="containsText" dxfId="206" priority="207" operator="containsText" text="TB">
      <formula>NOT(ISERROR(SEARCH("TB",Y161)))</formula>
    </cfRule>
    <cfRule type="containsText" dxfId="205" priority="208" operator="containsText" text="T">
      <formula>NOT(ISERROR(SEARCH("T",Y161)))</formula>
    </cfRule>
  </conditionalFormatting>
  <conditionalFormatting sqref="Y161">
    <cfRule type="containsText" dxfId="204" priority="205" operator="containsText" text="TB">
      <formula>NOT(ISERROR(SEARCH("TB",Y161)))</formula>
    </cfRule>
  </conditionalFormatting>
  <conditionalFormatting sqref="Y144">
    <cfRule type="containsText" dxfId="203" priority="202" operator="containsText" text="B">
      <formula>NOT(ISERROR(SEARCH("B",Y144)))</formula>
    </cfRule>
    <cfRule type="containsText" dxfId="202" priority="203" operator="containsText" text="TB">
      <formula>NOT(ISERROR(SEARCH("TB",Y144)))</formula>
    </cfRule>
    <cfRule type="containsText" dxfId="201" priority="204" operator="containsText" text="T">
      <formula>NOT(ISERROR(SEARCH("T",Y144)))</formula>
    </cfRule>
  </conditionalFormatting>
  <conditionalFormatting sqref="Y144">
    <cfRule type="containsText" dxfId="200" priority="201" operator="containsText" text="TB">
      <formula>NOT(ISERROR(SEARCH("TB",Y144)))</formula>
    </cfRule>
  </conditionalFormatting>
  <conditionalFormatting sqref="Y29">
    <cfRule type="containsText" dxfId="199" priority="198" operator="containsText" text="B">
      <formula>NOT(ISERROR(SEARCH("B",Y29)))</formula>
    </cfRule>
    <cfRule type="containsText" dxfId="198" priority="199" operator="containsText" text="TB">
      <formula>NOT(ISERROR(SEARCH("TB",Y29)))</formula>
    </cfRule>
    <cfRule type="containsText" dxfId="197" priority="200" operator="containsText" text="T">
      <formula>NOT(ISERROR(SEARCH("T",Y29)))</formula>
    </cfRule>
  </conditionalFormatting>
  <conditionalFormatting sqref="Y29">
    <cfRule type="containsText" dxfId="196" priority="197" operator="containsText" text="TB">
      <formula>NOT(ISERROR(SEARCH("TB",Y29)))</formula>
    </cfRule>
  </conditionalFormatting>
  <conditionalFormatting sqref="Y145">
    <cfRule type="containsText" dxfId="195" priority="194" operator="containsText" text="B">
      <formula>NOT(ISERROR(SEARCH("B",Y145)))</formula>
    </cfRule>
    <cfRule type="containsText" dxfId="194" priority="195" operator="containsText" text="TB">
      <formula>NOT(ISERROR(SEARCH("TB",Y145)))</formula>
    </cfRule>
    <cfRule type="containsText" dxfId="193" priority="196" operator="containsText" text="T">
      <formula>NOT(ISERROR(SEARCH("T",Y145)))</formula>
    </cfRule>
  </conditionalFormatting>
  <conditionalFormatting sqref="Y145">
    <cfRule type="containsText" dxfId="192" priority="193" operator="containsText" text="TB">
      <formula>NOT(ISERROR(SEARCH("TB",Y145)))</formula>
    </cfRule>
  </conditionalFormatting>
  <conditionalFormatting sqref="Y136">
    <cfRule type="containsText" dxfId="191" priority="190" operator="containsText" text="B">
      <formula>NOT(ISERROR(SEARCH("B",Y136)))</formula>
    </cfRule>
    <cfRule type="containsText" dxfId="190" priority="191" operator="containsText" text="TB">
      <formula>NOT(ISERROR(SEARCH("TB",Y136)))</formula>
    </cfRule>
    <cfRule type="containsText" dxfId="189" priority="192" operator="containsText" text="T">
      <formula>NOT(ISERROR(SEARCH("T",Y136)))</formula>
    </cfRule>
  </conditionalFormatting>
  <conditionalFormatting sqref="Y136">
    <cfRule type="containsText" dxfId="188" priority="189" operator="containsText" text="TB">
      <formula>NOT(ISERROR(SEARCH("TB",Y136)))</formula>
    </cfRule>
  </conditionalFormatting>
  <conditionalFormatting sqref="Y12">
    <cfRule type="containsText" dxfId="187" priority="186" operator="containsText" text="B">
      <formula>NOT(ISERROR(SEARCH("B",Y12)))</formula>
    </cfRule>
    <cfRule type="containsText" dxfId="186" priority="187" operator="containsText" text="TB">
      <formula>NOT(ISERROR(SEARCH("TB",Y12)))</formula>
    </cfRule>
    <cfRule type="containsText" dxfId="185" priority="188" operator="containsText" text="T">
      <formula>NOT(ISERROR(SEARCH("T",Y12)))</formula>
    </cfRule>
  </conditionalFormatting>
  <conditionalFormatting sqref="Y12">
    <cfRule type="containsText" dxfId="184" priority="185" operator="containsText" text="TB">
      <formula>NOT(ISERROR(SEARCH("TB",Y12)))</formula>
    </cfRule>
  </conditionalFormatting>
  <conditionalFormatting sqref="Y16">
    <cfRule type="containsText" dxfId="183" priority="182" operator="containsText" text="B">
      <formula>NOT(ISERROR(SEARCH("B",Y16)))</formula>
    </cfRule>
    <cfRule type="containsText" dxfId="182" priority="183" operator="containsText" text="TB">
      <formula>NOT(ISERROR(SEARCH("TB",Y16)))</formula>
    </cfRule>
    <cfRule type="containsText" dxfId="181" priority="184" operator="containsText" text="T">
      <formula>NOT(ISERROR(SEARCH("T",Y16)))</formula>
    </cfRule>
  </conditionalFormatting>
  <conditionalFormatting sqref="Y16">
    <cfRule type="containsText" dxfId="180" priority="181" operator="containsText" text="TB">
      <formula>NOT(ISERROR(SEARCH("TB",Y16)))</formula>
    </cfRule>
  </conditionalFormatting>
  <conditionalFormatting sqref="Y142">
    <cfRule type="containsText" dxfId="179" priority="178" operator="containsText" text="B">
      <formula>NOT(ISERROR(SEARCH("B",Y142)))</formula>
    </cfRule>
    <cfRule type="containsText" dxfId="178" priority="179" operator="containsText" text="TB">
      <formula>NOT(ISERROR(SEARCH("TB",Y142)))</formula>
    </cfRule>
    <cfRule type="containsText" dxfId="177" priority="180" operator="containsText" text="T">
      <formula>NOT(ISERROR(SEARCH("T",Y142)))</formula>
    </cfRule>
  </conditionalFormatting>
  <conditionalFormatting sqref="Y142">
    <cfRule type="containsText" dxfId="176" priority="177" operator="containsText" text="TB">
      <formula>NOT(ISERROR(SEARCH("TB",Y142)))</formula>
    </cfRule>
  </conditionalFormatting>
  <conditionalFormatting sqref="Y30">
    <cfRule type="containsText" dxfId="175" priority="174" operator="containsText" text="B">
      <formula>NOT(ISERROR(SEARCH("B",Y30)))</formula>
    </cfRule>
    <cfRule type="containsText" dxfId="174" priority="175" operator="containsText" text="TB">
      <formula>NOT(ISERROR(SEARCH("TB",Y30)))</formula>
    </cfRule>
    <cfRule type="containsText" dxfId="173" priority="176" operator="containsText" text="T">
      <formula>NOT(ISERROR(SEARCH("T",Y30)))</formula>
    </cfRule>
  </conditionalFormatting>
  <conditionalFormatting sqref="Y30">
    <cfRule type="containsText" dxfId="172" priority="173" operator="containsText" text="TB">
      <formula>NOT(ISERROR(SEARCH("TB",Y30)))</formula>
    </cfRule>
  </conditionalFormatting>
  <conditionalFormatting sqref="Y33">
    <cfRule type="containsText" dxfId="171" priority="170" operator="containsText" text="B">
      <formula>NOT(ISERROR(SEARCH("B",Y33)))</formula>
    </cfRule>
    <cfRule type="containsText" dxfId="170" priority="171" operator="containsText" text="TB">
      <formula>NOT(ISERROR(SEARCH("TB",Y33)))</formula>
    </cfRule>
    <cfRule type="containsText" dxfId="169" priority="172" operator="containsText" text="T">
      <formula>NOT(ISERROR(SEARCH("T",Y33)))</formula>
    </cfRule>
  </conditionalFormatting>
  <conditionalFormatting sqref="Y33">
    <cfRule type="containsText" dxfId="168" priority="169" operator="containsText" text="TB">
      <formula>NOT(ISERROR(SEARCH("TB",Y33)))</formula>
    </cfRule>
  </conditionalFormatting>
  <conditionalFormatting sqref="Y40">
    <cfRule type="containsText" dxfId="167" priority="166" operator="containsText" text="B">
      <formula>NOT(ISERROR(SEARCH("B",Y40)))</formula>
    </cfRule>
    <cfRule type="containsText" dxfId="166" priority="167" operator="containsText" text="TB">
      <formula>NOT(ISERROR(SEARCH("TB",Y40)))</formula>
    </cfRule>
    <cfRule type="containsText" dxfId="165" priority="168" operator="containsText" text="T">
      <formula>NOT(ISERROR(SEARCH("T",Y40)))</formula>
    </cfRule>
  </conditionalFormatting>
  <conditionalFormatting sqref="Y40">
    <cfRule type="containsText" dxfId="164" priority="165" operator="containsText" text="TB">
      <formula>NOT(ISERROR(SEARCH("TB",Y40)))</formula>
    </cfRule>
  </conditionalFormatting>
  <conditionalFormatting sqref="Y22">
    <cfRule type="containsText" dxfId="163" priority="162" operator="containsText" text="B">
      <formula>NOT(ISERROR(SEARCH("B",Y22)))</formula>
    </cfRule>
    <cfRule type="containsText" dxfId="162" priority="163" operator="containsText" text="TB">
      <formula>NOT(ISERROR(SEARCH("TB",Y22)))</formula>
    </cfRule>
    <cfRule type="containsText" dxfId="161" priority="164" operator="containsText" text="T">
      <formula>NOT(ISERROR(SEARCH("T",Y22)))</formula>
    </cfRule>
  </conditionalFormatting>
  <conditionalFormatting sqref="Y22">
    <cfRule type="containsText" dxfId="160" priority="161" operator="containsText" text="TB">
      <formula>NOT(ISERROR(SEARCH("TB",Y22)))</formula>
    </cfRule>
  </conditionalFormatting>
  <conditionalFormatting sqref="Z133">
    <cfRule type="containsText" dxfId="159" priority="158" operator="containsText" text="B">
      <formula>NOT(ISERROR(SEARCH("B",Z133)))</formula>
    </cfRule>
    <cfRule type="containsText" dxfId="158" priority="159" operator="containsText" text="TB">
      <formula>NOT(ISERROR(SEARCH("TB",Z133)))</formula>
    </cfRule>
    <cfRule type="containsText" dxfId="157" priority="160" operator="containsText" text="T">
      <formula>NOT(ISERROR(SEARCH("T",Z133)))</formula>
    </cfRule>
  </conditionalFormatting>
  <conditionalFormatting sqref="Z133">
    <cfRule type="containsText" dxfId="156" priority="157" operator="containsText" text="TB">
      <formula>NOT(ISERROR(SEARCH("TB",Z133)))</formula>
    </cfRule>
  </conditionalFormatting>
  <conditionalFormatting sqref="Z40">
    <cfRule type="containsText" dxfId="155" priority="154" operator="containsText" text="B">
      <formula>NOT(ISERROR(SEARCH("B",Z40)))</formula>
    </cfRule>
    <cfRule type="containsText" dxfId="154" priority="155" operator="containsText" text="TB">
      <formula>NOT(ISERROR(SEARCH("TB",Z40)))</formula>
    </cfRule>
    <cfRule type="containsText" dxfId="153" priority="156" operator="containsText" text="T">
      <formula>NOT(ISERROR(SEARCH("T",Z40)))</formula>
    </cfRule>
  </conditionalFormatting>
  <conditionalFormatting sqref="Z40">
    <cfRule type="containsText" dxfId="152" priority="153" operator="containsText" text="TB">
      <formula>NOT(ISERROR(SEARCH("TB",Z40)))</formula>
    </cfRule>
  </conditionalFormatting>
  <conditionalFormatting sqref="Z137">
    <cfRule type="containsText" dxfId="151" priority="150" operator="containsText" text="B">
      <formula>NOT(ISERROR(SEARCH("B",Z137)))</formula>
    </cfRule>
    <cfRule type="containsText" dxfId="150" priority="151" operator="containsText" text="TB">
      <formula>NOT(ISERROR(SEARCH("TB",Z137)))</formula>
    </cfRule>
    <cfRule type="containsText" dxfId="149" priority="152" operator="containsText" text="T">
      <formula>NOT(ISERROR(SEARCH("T",Z137)))</formula>
    </cfRule>
  </conditionalFormatting>
  <conditionalFormatting sqref="Z137">
    <cfRule type="containsText" dxfId="148" priority="149" operator="containsText" text="TB">
      <formula>NOT(ISERROR(SEARCH("TB",Z137)))</formula>
    </cfRule>
  </conditionalFormatting>
  <conditionalFormatting sqref="Z120">
    <cfRule type="containsText" dxfId="147" priority="146" operator="containsText" text="B">
      <formula>NOT(ISERROR(SEARCH("B",Z120)))</formula>
    </cfRule>
    <cfRule type="containsText" dxfId="146" priority="147" operator="containsText" text="TB">
      <formula>NOT(ISERROR(SEARCH("TB",Z120)))</formula>
    </cfRule>
    <cfRule type="containsText" dxfId="145" priority="148" operator="containsText" text="T">
      <formula>NOT(ISERROR(SEARCH("T",Z120)))</formula>
    </cfRule>
  </conditionalFormatting>
  <conditionalFormatting sqref="Z120">
    <cfRule type="containsText" dxfId="144" priority="145" operator="containsText" text="TB">
      <formula>NOT(ISERROR(SEARCH("TB",Z120)))</formula>
    </cfRule>
  </conditionalFormatting>
  <conditionalFormatting sqref="Z14">
    <cfRule type="containsText" dxfId="143" priority="142" operator="containsText" text="B">
      <formula>NOT(ISERROR(SEARCH("B",Z14)))</formula>
    </cfRule>
    <cfRule type="containsText" dxfId="142" priority="143" operator="containsText" text="TB">
      <formula>NOT(ISERROR(SEARCH("TB",Z14)))</formula>
    </cfRule>
    <cfRule type="containsText" dxfId="141" priority="144" operator="containsText" text="T">
      <formula>NOT(ISERROR(SEARCH("T",Z14)))</formula>
    </cfRule>
  </conditionalFormatting>
  <conditionalFormatting sqref="Z14">
    <cfRule type="containsText" dxfId="140" priority="141" operator="containsText" text="TB">
      <formula>NOT(ISERROR(SEARCH("TB",Z14)))</formula>
    </cfRule>
  </conditionalFormatting>
  <conditionalFormatting sqref="Z156">
    <cfRule type="containsText" dxfId="139" priority="138" operator="containsText" text="B">
      <formula>NOT(ISERROR(SEARCH("B",Z156)))</formula>
    </cfRule>
    <cfRule type="containsText" dxfId="138" priority="139" operator="containsText" text="TB">
      <formula>NOT(ISERROR(SEARCH("TB",Z156)))</formula>
    </cfRule>
    <cfRule type="containsText" dxfId="137" priority="140" operator="containsText" text="T">
      <formula>NOT(ISERROR(SEARCH("T",Z156)))</formula>
    </cfRule>
  </conditionalFormatting>
  <conditionalFormatting sqref="Z156">
    <cfRule type="containsText" dxfId="136" priority="137" operator="containsText" text="TB">
      <formula>NOT(ISERROR(SEARCH("TB",Z156)))</formula>
    </cfRule>
  </conditionalFormatting>
  <conditionalFormatting sqref="Z11">
    <cfRule type="containsText" dxfId="135" priority="134" operator="containsText" text="B">
      <formula>NOT(ISERROR(SEARCH("B",Z11)))</formula>
    </cfRule>
    <cfRule type="containsText" dxfId="134" priority="135" operator="containsText" text="TB">
      <formula>NOT(ISERROR(SEARCH("TB",Z11)))</formula>
    </cfRule>
    <cfRule type="containsText" dxfId="133" priority="136" operator="containsText" text="T">
      <formula>NOT(ISERROR(SEARCH("T",Z11)))</formula>
    </cfRule>
  </conditionalFormatting>
  <conditionalFormatting sqref="Z11">
    <cfRule type="containsText" dxfId="132" priority="133" operator="containsText" text="TB">
      <formula>NOT(ISERROR(SEARCH("TB",Z11)))</formula>
    </cfRule>
  </conditionalFormatting>
  <conditionalFormatting sqref="Z39">
    <cfRule type="containsText" dxfId="131" priority="130" operator="containsText" text="B">
      <formula>NOT(ISERROR(SEARCH("B",Z39)))</formula>
    </cfRule>
    <cfRule type="containsText" dxfId="130" priority="131" operator="containsText" text="TB">
      <formula>NOT(ISERROR(SEARCH("TB",Z39)))</formula>
    </cfRule>
    <cfRule type="containsText" dxfId="129" priority="132" operator="containsText" text="T">
      <formula>NOT(ISERROR(SEARCH("T",Z39)))</formula>
    </cfRule>
  </conditionalFormatting>
  <conditionalFormatting sqref="Z39">
    <cfRule type="containsText" dxfId="128" priority="129" operator="containsText" text="TB">
      <formula>NOT(ISERROR(SEARCH("TB",Z39)))</formula>
    </cfRule>
  </conditionalFormatting>
  <conditionalFormatting sqref="Z139">
    <cfRule type="containsText" dxfId="127" priority="126" operator="containsText" text="B">
      <formula>NOT(ISERROR(SEARCH("B",Z139)))</formula>
    </cfRule>
    <cfRule type="containsText" dxfId="126" priority="127" operator="containsText" text="TB">
      <formula>NOT(ISERROR(SEARCH("TB",Z139)))</formula>
    </cfRule>
    <cfRule type="containsText" dxfId="125" priority="128" operator="containsText" text="T">
      <formula>NOT(ISERROR(SEARCH("T",Z139)))</formula>
    </cfRule>
  </conditionalFormatting>
  <conditionalFormatting sqref="Z139">
    <cfRule type="containsText" dxfId="124" priority="125" operator="containsText" text="TB">
      <formula>NOT(ISERROR(SEARCH("TB",Z139)))</formula>
    </cfRule>
  </conditionalFormatting>
  <conditionalFormatting sqref="Z151:Z152">
    <cfRule type="containsText" dxfId="123" priority="122" operator="containsText" text="B">
      <formula>NOT(ISERROR(SEARCH("B",Z151)))</formula>
    </cfRule>
    <cfRule type="containsText" dxfId="122" priority="123" operator="containsText" text="TB">
      <formula>NOT(ISERROR(SEARCH("TB",Z151)))</formula>
    </cfRule>
    <cfRule type="containsText" dxfId="121" priority="124" operator="containsText" text="T">
      <formula>NOT(ISERROR(SEARCH("T",Z151)))</formula>
    </cfRule>
  </conditionalFormatting>
  <conditionalFormatting sqref="Z151:Z152">
    <cfRule type="containsText" dxfId="120" priority="121" operator="containsText" text="TB">
      <formula>NOT(ISERROR(SEARCH("TB",Z151)))</formula>
    </cfRule>
  </conditionalFormatting>
  <conditionalFormatting sqref="AA28">
    <cfRule type="containsText" dxfId="119" priority="118" operator="containsText" text="B">
      <formula>NOT(ISERROR(SEARCH("B",AA28)))</formula>
    </cfRule>
    <cfRule type="containsText" dxfId="118" priority="119" operator="containsText" text="TB">
      <formula>NOT(ISERROR(SEARCH("TB",AA28)))</formula>
    </cfRule>
    <cfRule type="containsText" dxfId="117" priority="120" operator="containsText" text="T">
      <formula>NOT(ISERROR(SEARCH("T",AA28)))</formula>
    </cfRule>
  </conditionalFormatting>
  <conditionalFormatting sqref="AA28">
    <cfRule type="containsText" dxfId="116" priority="117" operator="containsText" text="TB">
      <formula>NOT(ISERROR(SEARCH("TB",AA28)))</formula>
    </cfRule>
  </conditionalFormatting>
  <conditionalFormatting sqref="AA138">
    <cfRule type="containsText" dxfId="115" priority="114" operator="containsText" text="B">
      <formula>NOT(ISERROR(SEARCH("B",AA138)))</formula>
    </cfRule>
    <cfRule type="containsText" dxfId="114" priority="115" operator="containsText" text="TB">
      <formula>NOT(ISERROR(SEARCH("TB",AA138)))</formula>
    </cfRule>
    <cfRule type="containsText" dxfId="113" priority="116" operator="containsText" text="T">
      <formula>NOT(ISERROR(SEARCH("T",AA138)))</formula>
    </cfRule>
  </conditionalFormatting>
  <conditionalFormatting sqref="AA138">
    <cfRule type="containsText" dxfId="112" priority="113" operator="containsText" text="TB">
      <formula>NOT(ISERROR(SEARCH("TB",AA138)))</formula>
    </cfRule>
  </conditionalFormatting>
  <conditionalFormatting sqref="AA39">
    <cfRule type="containsText" dxfId="111" priority="110" operator="containsText" text="B">
      <formula>NOT(ISERROR(SEARCH("B",AA39)))</formula>
    </cfRule>
    <cfRule type="containsText" dxfId="110" priority="111" operator="containsText" text="TB">
      <formula>NOT(ISERROR(SEARCH("TB",AA39)))</formula>
    </cfRule>
    <cfRule type="containsText" dxfId="109" priority="112" operator="containsText" text="T">
      <formula>NOT(ISERROR(SEARCH("T",AA39)))</formula>
    </cfRule>
  </conditionalFormatting>
  <conditionalFormatting sqref="AA39">
    <cfRule type="containsText" dxfId="108" priority="109" operator="containsText" text="TB">
      <formula>NOT(ISERROR(SEARCH("TB",AA39)))</formula>
    </cfRule>
  </conditionalFormatting>
  <conditionalFormatting sqref="AA37">
    <cfRule type="containsText" dxfId="107" priority="106" operator="containsText" text="B">
      <formula>NOT(ISERROR(SEARCH("B",AA37)))</formula>
    </cfRule>
    <cfRule type="containsText" dxfId="106" priority="107" operator="containsText" text="TB">
      <formula>NOT(ISERROR(SEARCH("TB",AA37)))</formula>
    </cfRule>
    <cfRule type="containsText" dxfId="105" priority="108" operator="containsText" text="T">
      <formula>NOT(ISERROR(SEARCH("T",AA37)))</formula>
    </cfRule>
  </conditionalFormatting>
  <conditionalFormatting sqref="AA37">
    <cfRule type="containsText" dxfId="104" priority="105" operator="containsText" text="TB">
      <formula>NOT(ISERROR(SEARCH("TB",AA37)))</formula>
    </cfRule>
  </conditionalFormatting>
  <conditionalFormatting sqref="AA33">
    <cfRule type="containsText" dxfId="103" priority="102" operator="containsText" text="B">
      <formula>NOT(ISERROR(SEARCH("B",AA33)))</formula>
    </cfRule>
    <cfRule type="containsText" dxfId="102" priority="103" operator="containsText" text="TB">
      <formula>NOT(ISERROR(SEARCH("TB",AA33)))</formula>
    </cfRule>
    <cfRule type="containsText" dxfId="101" priority="104" operator="containsText" text="T">
      <formula>NOT(ISERROR(SEARCH("T",AA33)))</formula>
    </cfRule>
  </conditionalFormatting>
  <conditionalFormatting sqref="AA33">
    <cfRule type="containsText" dxfId="100" priority="101" operator="containsText" text="TB">
      <formula>NOT(ISERROR(SEARCH("TB",AA33)))</formula>
    </cfRule>
  </conditionalFormatting>
  <conditionalFormatting sqref="AA20">
    <cfRule type="containsText" dxfId="99" priority="98" operator="containsText" text="B">
      <formula>NOT(ISERROR(SEARCH("B",AA20)))</formula>
    </cfRule>
    <cfRule type="containsText" dxfId="98" priority="99" operator="containsText" text="TB">
      <formula>NOT(ISERROR(SEARCH("TB",AA20)))</formula>
    </cfRule>
    <cfRule type="containsText" dxfId="97" priority="100" operator="containsText" text="T">
      <formula>NOT(ISERROR(SEARCH("T",AA20)))</formula>
    </cfRule>
  </conditionalFormatting>
  <conditionalFormatting sqref="AA20">
    <cfRule type="containsText" dxfId="96" priority="97" operator="containsText" text="TB">
      <formula>NOT(ISERROR(SEARCH("TB",AA20)))</formula>
    </cfRule>
  </conditionalFormatting>
  <conditionalFormatting sqref="AA29">
    <cfRule type="containsText" dxfId="95" priority="94" operator="containsText" text="B">
      <formula>NOT(ISERROR(SEARCH("B",AA29)))</formula>
    </cfRule>
    <cfRule type="containsText" dxfId="94" priority="95" operator="containsText" text="TB">
      <formula>NOT(ISERROR(SEARCH("TB",AA29)))</formula>
    </cfRule>
    <cfRule type="containsText" dxfId="93" priority="96" operator="containsText" text="T">
      <formula>NOT(ISERROR(SEARCH("T",AA29)))</formula>
    </cfRule>
  </conditionalFormatting>
  <conditionalFormatting sqref="AA29">
    <cfRule type="containsText" dxfId="92" priority="93" operator="containsText" text="TB">
      <formula>NOT(ISERROR(SEARCH("TB",AA29)))</formula>
    </cfRule>
  </conditionalFormatting>
  <conditionalFormatting sqref="AA148">
    <cfRule type="containsText" dxfId="91" priority="90" operator="containsText" text="B">
      <formula>NOT(ISERROR(SEARCH("B",AA148)))</formula>
    </cfRule>
    <cfRule type="containsText" dxfId="90" priority="91" operator="containsText" text="TB">
      <formula>NOT(ISERROR(SEARCH("TB",AA148)))</formula>
    </cfRule>
    <cfRule type="containsText" dxfId="89" priority="92" operator="containsText" text="T">
      <formula>NOT(ISERROR(SEARCH("T",AA148)))</formula>
    </cfRule>
  </conditionalFormatting>
  <conditionalFormatting sqref="AA148">
    <cfRule type="containsText" dxfId="88" priority="89" operator="containsText" text="TB">
      <formula>NOT(ISERROR(SEARCH("TB",AA148)))</formula>
    </cfRule>
  </conditionalFormatting>
  <conditionalFormatting sqref="P149">
    <cfRule type="containsText" dxfId="87" priority="86" operator="containsText" text="B">
      <formula>NOT(ISERROR(SEARCH("B",P149)))</formula>
    </cfRule>
    <cfRule type="containsText" dxfId="86" priority="87" operator="containsText" text="TB">
      <formula>NOT(ISERROR(SEARCH("TB",P149)))</formula>
    </cfRule>
    <cfRule type="containsText" dxfId="85" priority="88" operator="containsText" text="T">
      <formula>NOT(ISERROR(SEARCH("T",P149)))</formula>
    </cfRule>
  </conditionalFormatting>
  <conditionalFormatting sqref="P149">
    <cfRule type="containsText" dxfId="84" priority="85" operator="containsText" text="TB">
      <formula>NOT(ISERROR(SEARCH("TB",P149)))</formula>
    </cfRule>
  </conditionalFormatting>
  <conditionalFormatting sqref="AB22">
    <cfRule type="containsText" dxfId="83" priority="82" operator="containsText" text="B">
      <formula>NOT(ISERROR(SEARCH("B",AB22)))</formula>
    </cfRule>
    <cfRule type="containsText" dxfId="82" priority="83" operator="containsText" text="TB">
      <formula>NOT(ISERROR(SEARCH("TB",AB22)))</formula>
    </cfRule>
    <cfRule type="containsText" dxfId="81" priority="84" operator="containsText" text="T">
      <formula>NOT(ISERROR(SEARCH("T",AB22)))</formula>
    </cfRule>
  </conditionalFormatting>
  <conditionalFormatting sqref="AB22">
    <cfRule type="containsText" dxfId="80" priority="81" operator="containsText" text="TB">
      <formula>NOT(ISERROR(SEARCH("TB",AB22)))</formula>
    </cfRule>
  </conditionalFormatting>
  <conditionalFormatting sqref="AB15">
    <cfRule type="containsText" dxfId="79" priority="78" operator="containsText" text="B">
      <formula>NOT(ISERROR(SEARCH("B",AB15)))</formula>
    </cfRule>
    <cfRule type="containsText" dxfId="78" priority="79" operator="containsText" text="TB">
      <formula>NOT(ISERROR(SEARCH("TB",AB15)))</formula>
    </cfRule>
    <cfRule type="containsText" dxfId="77" priority="80" operator="containsText" text="T">
      <formula>NOT(ISERROR(SEARCH("T",AB15)))</formula>
    </cfRule>
  </conditionalFormatting>
  <conditionalFormatting sqref="AB15">
    <cfRule type="containsText" dxfId="76" priority="77" operator="containsText" text="TB">
      <formula>NOT(ISERROR(SEARCH("TB",AB15)))</formula>
    </cfRule>
  </conditionalFormatting>
  <conditionalFormatting sqref="AB24">
    <cfRule type="containsText" dxfId="75" priority="74" operator="containsText" text="B">
      <formula>NOT(ISERROR(SEARCH("B",AB24)))</formula>
    </cfRule>
    <cfRule type="containsText" dxfId="74" priority="75" operator="containsText" text="TB">
      <formula>NOT(ISERROR(SEARCH("TB",AB24)))</formula>
    </cfRule>
    <cfRule type="containsText" dxfId="73" priority="76" operator="containsText" text="T">
      <formula>NOT(ISERROR(SEARCH("T",AB24)))</formula>
    </cfRule>
  </conditionalFormatting>
  <conditionalFormatting sqref="AB24">
    <cfRule type="containsText" dxfId="72" priority="73" operator="containsText" text="TB">
      <formula>NOT(ISERROR(SEARCH("TB",AB24)))</formula>
    </cfRule>
  </conditionalFormatting>
  <conditionalFormatting sqref="AB16">
    <cfRule type="containsText" dxfId="71" priority="70" operator="containsText" text="B">
      <formula>NOT(ISERROR(SEARCH("B",AB16)))</formula>
    </cfRule>
    <cfRule type="containsText" dxfId="70" priority="71" operator="containsText" text="TB">
      <formula>NOT(ISERROR(SEARCH("TB",AB16)))</formula>
    </cfRule>
    <cfRule type="containsText" dxfId="69" priority="72" operator="containsText" text="T">
      <formula>NOT(ISERROR(SEARCH("T",AB16)))</formula>
    </cfRule>
  </conditionalFormatting>
  <conditionalFormatting sqref="AB16">
    <cfRule type="containsText" dxfId="68" priority="69" operator="containsText" text="TB">
      <formula>NOT(ISERROR(SEARCH("TB",AB16)))</formula>
    </cfRule>
  </conditionalFormatting>
  <conditionalFormatting sqref="AB40">
    <cfRule type="containsText" dxfId="67" priority="66" operator="containsText" text="B">
      <formula>NOT(ISERROR(SEARCH("B",AB40)))</formula>
    </cfRule>
    <cfRule type="containsText" dxfId="66" priority="67" operator="containsText" text="TB">
      <formula>NOT(ISERROR(SEARCH("TB",AB40)))</formula>
    </cfRule>
    <cfRule type="containsText" dxfId="65" priority="68" operator="containsText" text="T">
      <formula>NOT(ISERROR(SEARCH("T",AB40)))</formula>
    </cfRule>
  </conditionalFormatting>
  <conditionalFormatting sqref="AB40">
    <cfRule type="containsText" dxfId="64" priority="65" operator="containsText" text="TB">
      <formula>NOT(ISERROR(SEARCH("TB",AB40)))</formula>
    </cfRule>
  </conditionalFormatting>
  <conditionalFormatting sqref="AB147">
    <cfRule type="containsText" dxfId="63" priority="62" operator="containsText" text="B">
      <formula>NOT(ISERROR(SEARCH("B",AB147)))</formula>
    </cfRule>
    <cfRule type="containsText" dxfId="62" priority="63" operator="containsText" text="TB">
      <formula>NOT(ISERROR(SEARCH("TB",AB147)))</formula>
    </cfRule>
    <cfRule type="containsText" dxfId="61" priority="64" operator="containsText" text="T">
      <formula>NOT(ISERROR(SEARCH("T",AB147)))</formula>
    </cfRule>
  </conditionalFormatting>
  <conditionalFormatting sqref="AB147">
    <cfRule type="containsText" dxfId="60" priority="61" operator="containsText" text="TB">
      <formula>NOT(ISERROR(SEARCH("TB",AB147)))</formula>
    </cfRule>
  </conditionalFormatting>
  <conditionalFormatting sqref="AB139">
    <cfRule type="containsText" dxfId="59" priority="58" operator="containsText" text="B">
      <formula>NOT(ISERROR(SEARCH("B",AB139)))</formula>
    </cfRule>
    <cfRule type="containsText" dxfId="58" priority="59" operator="containsText" text="TB">
      <formula>NOT(ISERROR(SEARCH("TB",AB139)))</formula>
    </cfRule>
    <cfRule type="containsText" dxfId="57" priority="60" operator="containsText" text="T">
      <formula>NOT(ISERROR(SEARCH("T",AB139)))</formula>
    </cfRule>
  </conditionalFormatting>
  <conditionalFormatting sqref="AB139">
    <cfRule type="containsText" dxfId="56" priority="57" operator="containsText" text="TB">
      <formula>NOT(ISERROR(SEARCH("TB",AB139)))</formula>
    </cfRule>
  </conditionalFormatting>
  <conditionalFormatting sqref="AC136">
    <cfRule type="containsText" dxfId="55" priority="54" operator="containsText" text="B">
      <formula>NOT(ISERROR(SEARCH("B",AC136)))</formula>
    </cfRule>
    <cfRule type="containsText" dxfId="54" priority="55" operator="containsText" text="TB">
      <formula>NOT(ISERROR(SEARCH("TB",AC136)))</formula>
    </cfRule>
    <cfRule type="containsText" dxfId="53" priority="56" operator="containsText" text="T">
      <formula>NOT(ISERROR(SEARCH("T",AC136)))</formula>
    </cfRule>
  </conditionalFormatting>
  <conditionalFormatting sqref="AC136">
    <cfRule type="containsText" dxfId="52" priority="53" operator="containsText" text="TB">
      <formula>NOT(ISERROR(SEARCH("TB",AC136)))</formula>
    </cfRule>
  </conditionalFormatting>
  <conditionalFormatting sqref="AB32">
    <cfRule type="containsText" dxfId="51" priority="50" operator="containsText" text="B">
      <formula>NOT(ISERROR(SEARCH("B",AB32)))</formula>
    </cfRule>
    <cfRule type="containsText" dxfId="50" priority="51" operator="containsText" text="TB">
      <formula>NOT(ISERROR(SEARCH("TB",AB32)))</formula>
    </cfRule>
    <cfRule type="containsText" dxfId="49" priority="52" operator="containsText" text="T">
      <formula>NOT(ISERROR(SEARCH("T",AB32)))</formula>
    </cfRule>
  </conditionalFormatting>
  <conditionalFormatting sqref="AB32">
    <cfRule type="containsText" dxfId="48" priority="49" operator="containsText" text="TB">
      <formula>NOT(ISERROR(SEARCH("TB",AB32)))</formula>
    </cfRule>
  </conditionalFormatting>
  <conditionalFormatting sqref="AC32">
    <cfRule type="containsText" dxfId="47" priority="46" operator="containsText" text="B">
      <formula>NOT(ISERROR(SEARCH("B",AC32)))</formula>
    </cfRule>
    <cfRule type="containsText" dxfId="46" priority="47" operator="containsText" text="TB">
      <formula>NOT(ISERROR(SEARCH("TB",AC32)))</formula>
    </cfRule>
    <cfRule type="containsText" dxfId="45" priority="48" operator="containsText" text="T">
      <formula>NOT(ISERROR(SEARCH("T",AC32)))</formula>
    </cfRule>
  </conditionalFormatting>
  <conditionalFormatting sqref="AC32">
    <cfRule type="containsText" dxfId="44" priority="45" operator="containsText" text="TB">
      <formula>NOT(ISERROR(SEARCH("TB",AC32)))</formula>
    </cfRule>
  </conditionalFormatting>
  <conditionalFormatting sqref="AB12">
    <cfRule type="containsText" dxfId="43" priority="42" operator="containsText" text="B">
      <formula>NOT(ISERROR(SEARCH("B",AB12)))</formula>
    </cfRule>
    <cfRule type="containsText" dxfId="42" priority="43" operator="containsText" text="TB">
      <formula>NOT(ISERROR(SEARCH("TB",AB12)))</formula>
    </cfRule>
    <cfRule type="containsText" dxfId="41" priority="44" operator="containsText" text="T">
      <formula>NOT(ISERROR(SEARCH("T",AB12)))</formula>
    </cfRule>
  </conditionalFormatting>
  <conditionalFormatting sqref="AB12">
    <cfRule type="containsText" dxfId="40" priority="41" operator="containsText" text="TB">
      <formula>NOT(ISERROR(SEARCH("TB",AB12)))</formula>
    </cfRule>
  </conditionalFormatting>
  <conditionalFormatting sqref="AC134">
    <cfRule type="containsText" dxfId="39" priority="38" operator="containsText" text="B">
      <formula>NOT(ISERROR(SEARCH("B",AC134)))</formula>
    </cfRule>
    <cfRule type="containsText" dxfId="38" priority="39" operator="containsText" text="TB">
      <formula>NOT(ISERROR(SEARCH("TB",AC134)))</formula>
    </cfRule>
    <cfRule type="containsText" dxfId="37" priority="40" operator="containsText" text="T">
      <formula>NOT(ISERROR(SEARCH("T",AC134)))</formula>
    </cfRule>
  </conditionalFormatting>
  <conditionalFormatting sqref="AC134">
    <cfRule type="containsText" dxfId="36" priority="37" operator="containsText" text="TB">
      <formula>NOT(ISERROR(SEARCH("TB",AC134)))</formula>
    </cfRule>
  </conditionalFormatting>
  <conditionalFormatting sqref="AC12">
    <cfRule type="containsText" dxfId="35" priority="34" operator="containsText" text="B">
      <formula>NOT(ISERROR(SEARCH("B",AC12)))</formula>
    </cfRule>
    <cfRule type="containsText" dxfId="34" priority="35" operator="containsText" text="TB">
      <formula>NOT(ISERROR(SEARCH("TB",AC12)))</formula>
    </cfRule>
    <cfRule type="containsText" dxfId="33" priority="36" operator="containsText" text="T">
      <formula>NOT(ISERROR(SEARCH("T",AC12)))</formula>
    </cfRule>
  </conditionalFormatting>
  <conditionalFormatting sqref="AC12">
    <cfRule type="containsText" dxfId="32" priority="33" operator="containsText" text="TB">
      <formula>NOT(ISERROR(SEARCH("TB",AC12)))</formula>
    </cfRule>
  </conditionalFormatting>
  <conditionalFormatting sqref="AC22">
    <cfRule type="containsText" dxfId="31" priority="30" operator="containsText" text="B">
      <formula>NOT(ISERROR(SEARCH("B",AC22)))</formula>
    </cfRule>
    <cfRule type="containsText" dxfId="30" priority="31" operator="containsText" text="TB">
      <formula>NOT(ISERROR(SEARCH("TB",AC22)))</formula>
    </cfRule>
    <cfRule type="containsText" dxfId="29" priority="32" operator="containsText" text="T">
      <formula>NOT(ISERROR(SEARCH("T",AC22)))</formula>
    </cfRule>
  </conditionalFormatting>
  <conditionalFormatting sqref="AC22">
    <cfRule type="containsText" dxfId="28" priority="29" operator="containsText" text="TB">
      <formula>NOT(ISERROR(SEARCH("TB",AC22)))</formula>
    </cfRule>
  </conditionalFormatting>
  <conditionalFormatting sqref="AC139">
    <cfRule type="containsText" dxfId="27" priority="26" operator="containsText" text="B">
      <formula>NOT(ISERROR(SEARCH("B",AC139)))</formula>
    </cfRule>
    <cfRule type="containsText" dxfId="26" priority="27" operator="containsText" text="TB">
      <formula>NOT(ISERROR(SEARCH("TB",AC139)))</formula>
    </cfRule>
    <cfRule type="containsText" dxfId="25" priority="28" operator="containsText" text="T">
      <formula>NOT(ISERROR(SEARCH("T",AC139)))</formula>
    </cfRule>
  </conditionalFormatting>
  <conditionalFormatting sqref="AC139">
    <cfRule type="containsText" dxfId="24" priority="25" operator="containsText" text="TB">
      <formula>NOT(ISERROR(SEARCH("TB",AC139)))</formula>
    </cfRule>
  </conditionalFormatting>
  <conditionalFormatting sqref="AD40">
    <cfRule type="containsText" dxfId="23" priority="22" operator="containsText" text="B">
      <formula>NOT(ISERROR(SEARCH("B",AD40)))</formula>
    </cfRule>
    <cfRule type="containsText" dxfId="22" priority="23" operator="containsText" text="TB">
      <formula>NOT(ISERROR(SEARCH("TB",AD40)))</formula>
    </cfRule>
    <cfRule type="containsText" dxfId="21" priority="24" operator="containsText" text="T">
      <formula>NOT(ISERROR(SEARCH("T",AD40)))</formula>
    </cfRule>
  </conditionalFormatting>
  <conditionalFormatting sqref="AD40">
    <cfRule type="containsText" dxfId="20" priority="21" operator="containsText" text="TB">
      <formula>NOT(ISERROR(SEARCH("TB",AD40)))</formula>
    </cfRule>
  </conditionalFormatting>
  <conditionalFormatting sqref="AD41">
    <cfRule type="containsText" dxfId="19" priority="18" operator="containsText" text="B">
      <formula>NOT(ISERROR(SEARCH("B",AD41)))</formula>
    </cfRule>
    <cfRule type="containsText" dxfId="18" priority="19" operator="containsText" text="TB">
      <formula>NOT(ISERROR(SEARCH("TB",AD41)))</formula>
    </cfRule>
    <cfRule type="containsText" dxfId="17" priority="20" operator="containsText" text="T">
      <formula>NOT(ISERROR(SEARCH("T",AD41)))</formula>
    </cfRule>
  </conditionalFormatting>
  <conditionalFormatting sqref="AD41">
    <cfRule type="containsText" dxfId="16" priority="17" operator="containsText" text="TB">
      <formula>NOT(ISERROR(SEARCH("TB",AD41)))</formula>
    </cfRule>
  </conditionalFormatting>
  <conditionalFormatting sqref="AD12">
    <cfRule type="containsText" dxfId="15" priority="14" operator="containsText" text="B">
      <formula>NOT(ISERROR(SEARCH("B",AD12)))</formula>
    </cfRule>
    <cfRule type="containsText" dxfId="14" priority="15" operator="containsText" text="TB">
      <formula>NOT(ISERROR(SEARCH("TB",AD12)))</formula>
    </cfRule>
    <cfRule type="containsText" dxfId="13" priority="16" operator="containsText" text="T">
      <formula>NOT(ISERROR(SEARCH("T",AD12)))</formula>
    </cfRule>
  </conditionalFormatting>
  <conditionalFormatting sqref="AD12">
    <cfRule type="containsText" dxfId="12" priority="13" operator="containsText" text="TB">
      <formula>NOT(ISERROR(SEARCH("TB",AD12)))</formula>
    </cfRule>
  </conditionalFormatting>
  <conditionalFormatting sqref="AD19">
    <cfRule type="containsText" dxfId="11" priority="10" operator="containsText" text="B">
      <formula>NOT(ISERROR(SEARCH("B",AD19)))</formula>
    </cfRule>
    <cfRule type="containsText" dxfId="10" priority="11" operator="containsText" text="TB">
      <formula>NOT(ISERROR(SEARCH("TB",AD19)))</formula>
    </cfRule>
    <cfRule type="containsText" dxfId="9" priority="12" operator="containsText" text="T">
      <formula>NOT(ISERROR(SEARCH("T",AD19)))</formula>
    </cfRule>
  </conditionalFormatting>
  <conditionalFormatting sqref="AD19">
    <cfRule type="containsText" dxfId="8" priority="9" operator="containsText" text="TB">
      <formula>NOT(ISERROR(SEARCH("TB",AD19)))</formula>
    </cfRule>
  </conditionalFormatting>
  <conditionalFormatting sqref="AD144">
    <cfRule type="containsText" dxfId="7" priority="6" operator="containsText" text="B">
      <formula>NOT(ISERROR(SEARCH("B",AD144)))</formula>
    </cfRule>
    <cfRule type="containsText" dxfId="6" priority="7" operator="containsText" text="TB">
      <formula>NOT(ISERROR(SEARCH("TB",AD144)))</formula>
    </cfRule>
    <cfRule type="containsText" dxfId="5" priority="8" operator="containsText" text="T">
      <formula>NOT(ISERROR(SEARCH("T",AD144)))</formula>
    </cfRule>
  </conditionalFormatting>
  <conditionalFormatting sqref="AD144">
    <cfRule type="containsText" dxfId="4" priority="5" operator="containsText" text="TB">
      <formula>NOT(ISERROR(SEARCH("TB",AD144)))</formula>
    </cfRule>
  </conditionalFormatting>
  <conditionalFormatting sqref="AD139">
    <cfRule type="containsText" dxfId="3" priority="2" operator="containsText" text="B">
      <formula>NOT(ISERROR(SEARCH("B",AD139)))</formula>
    </cfRule>
    <cfRule type="containsText" dxfId="2" priority="3" operator="containsText" text="TB">
      <formula>NOT(ISERROR(SEARCH("TB",AD139)))</formula>
    </cfRule>
    <cfRule type="containsText" dxfId="1" priority="4" operator="containsText" text="T">
      <formula>NOT(ISERROR(SEARCH("T",AD139)))</formula>
    </cfRule>
  </conditionalFormatting>
  <conditionalFormatting sqref="AD139">
    <cfRule type="containsText" dxfId="0" priority="1" operator="containsText" text="TB">
      <formula>NOT(ISERROR(SEARCH("TB",AD139)))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Lampiran 1</vt:lpstr>
      <vt:lpstr>Februari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Ariyani A.</dc:creator>
  <cp:lastModifiedBy>Ariyani A.</cp:lastModifiedBy>
  <dcterms:created xsi:type="dcterms:W3CDTF">2026-03-04T06:54:09Z</dcterms:created>
  <dcterms:modified xsi:type="dcterms:W3CDTF">2026-03-04T07:06:58Z</dcterms:modified>
</cp:coreProperties>
</file>