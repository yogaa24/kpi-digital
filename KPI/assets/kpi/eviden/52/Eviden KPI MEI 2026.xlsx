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1"/>
  </bookViews>
  <sheets>
    <sheet name="Mei" sheetId="1" r:id="rId1"/>
    <sheet name="Sheet2" sheetId="2" r:id="rId2"/>
  </sheets>
  <definedNames>
    <definedName name="_xlnm._FilterDatabase" localSheetId="0" hidden="1">Mei!$A$1:$AG$157</definedName>
  </definedNames>
  <calcPr calcId="145621"/>
</workbook>
</file>

<file path=xl/calcChain.xml><?xml version="1.0" encoding="utf-8"?>
<calcChain xmlns="http://schemas.openxmlformats.org/spreadsheetml/2006/main">
  <c r="I48" i="2" l="1"/>
  <c r="H48" i="2"/>
  <c r="G48" i="2"/>
  <c r="F48" i="2"/>
  <c r="E48" i="2"/>
  <c r="D48" i="2"/>
  <c r="I44" i="2"/>
  <c r="H44" i="2"/>
  <c r="G44" i="2"/>
  <c r="F44" i="2"/>
  <c r="E44" i="2"/>
  <c r="D44" i="2"/>
  <c r="I43" i="2"/>
  <c r="H43" i="2"/>
  <c r="G43" i="2"/>
  <c r="F43" i="2"/>
  <c r="E43" i="2"/>
  <c r="D43" i="2"/>
  <c r="H40" i="2"/>
  <c r="F40" i="2"/>
  <c r="E40" i="2"/>
  <c r="D40" i="2"/>
  <c r="H39" i="2"/>
  <c r="G39" i="2"/>
  <c r="F39" i="2"/>
  <c r="E39" i="2"/>
  <c r="D39" i="2"/>
  <c r="I38" i="2"/>
  <c r="I39" i="2" s="1"/>
  <c r="G38" i="2"/>
  <c r="G40" i="2" s="1"/>
  <c r="I36" i="2"/>
  <c r="H36" i="2"/>
  <c r="G36" i="2"/>
  <c r="F36" i="2"/>
  <c r="E36" i="2"/>
  <c r="D36" i="2"/>
  <c r="I35" i="2"/>
  <c r="G35" i="2"/>
  <c r="F35" i="2"/>
  <c r="E35" i="2"/>
  <c r="D35" i="2"/>
  <c r="I32" i="2"/>
  <c r="H32" i="2"/>
  <c r="G32" i="2"/>
  <c r="F32" i="2"/>
  <c r="E32" i="2"/>
  <c r="D32" i="2"/>
  <c r="H31" i="2"/>
  <c r="G31" i="2"/>
  <c r="F31" i="2"/>
  <c r="E31" i="2"/>
  <c r="G22" i="2"/>
  <c r="G21" i="2"/>
  <c r="G20" i="2"/>
  <c r="G19" i="2"/>
  <c r="G18" i="2"/>
  <c r="F18" i="2"/>
  <c r="F19" i="2" s="1"/>
  <c r="F20" i="2" s="1"/>
  <c r="F21" i="2" s="1"/>
  <c r="F22" i="2" s="1"/>
  <c r="E18" i="2"/>
  <c r="E19" i="2" s="1"/>
  <c r="I40" i="2" l="1"/>
  <c r="E20" i="2"/>
  <c r="D19" i="2"/>
  <c r="D18" i="2"/>
  <c r="E21" i="2" l="1"/>
  <c r="D20" i="2"/>
  <c r="E22" i="2" l="1"/>
  <c r="D22" i="2" s="1"/>
  <c r="D21" i="2"/>
  <c r="J9" i="2" l="1"/>
  <c r="C9" i="2"/>
  <c r="L9" i="2" s="1"/>
  <c r="G8" i="2"/>
  <c r="E8" i="2" s="1"/>
  <c r="C8" i="2"/>
  <c r="L8" i="2" s="1"/>
  <c r="C7" i="2"/>
  <c r="L7" i="2" s="1"/>
  <c r="C6" i="2"/>
  <c r="J6" i="2" s="1"/>
  <c r="J5" i="2"/>
  <c r="G5" i="2"/>
  <c r="E5" i="2"/>
  <c r="C5" i="2"/>
  <c r="L5" i="2" s="1"/>
  <c r="AG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AJ22" i="1"/>
  <c r="AI22" i="1"/>
  <c r="AH22" i="1"/>
  <c r="AJ8" i="1"/>
  <c r="AI8" i="1"/>
  <c r="AI11" i="1" s="1"/>
  <c r="AH13" i="1" s="1"/>
  <c r="AH8" i="1"/>
  <c r="AH11" i="1" s="1"/>
  <c r="AL11" i="1" s="1"/>
  <c r="J7" i="2" l="1"/>
  <c r="G7" i="2"/>
  <c r="E6" i="2"/>
  <c r="L6" i="2"/>
  <c r="E9" i="2"/>
  <c r="J8" i="2"/>
  <c r="G9" i="2"/>
  <c r="G6" i="2"/>
  <c r="E7" i="2" s="1"/>
</calcChain>
</file>

<file path=xl/sharedStrings.xml><?xml version="1.0" encoding="utf-8"?>
<sst xmlns="http://schemas.openxmlformats.org/spreadsheetml/2006/main" count="811" uniqueCount="227">
  <si>
    <t>KALENDER PENAGIHAN TEAM COLLECTION</t>
  </si>
  <si>
    <t>BULAN MEI 2026</t>
  </si>
  <si>
    <t xml:space="preserve"> </t>
  </si>
  <si>
    <t>Nama TC</t>
  </si>
  <si>
    <t>:</t>
  </si>
  <si>
    <t>Hendra</t>
  </si>
  <si>
    <t>Wilayah</t>
  </si>
  <si>
    <t>Luar Pulau, Jabar Jateng</t>
  </si>
  <si>
    <t>Posisi Over Due</t>
  </si>
  <si>
    <t>30 &gt;</t>
  </si>
  <si>
    <t>No</t>
  </si>
  <si>
    <t>Nama Kios</t>
  </si>
  <si>
    <t>Agri Bina Cipta, CV/Vicky</t>
  </si>
  <si>
    <t>TB</t>
  </si>
  <si>
    <t>T</t>
  </si>
  <si>
    <t>B</t>
  </si>
  <si>
    <t>Agro Jaya Makmur Abadi/Delia</t>
  </si>
  <si>
    <t>Agro Kalimantan Sejahtera/P Ulin</t>
  </si>
  <si>
    <t>Aisah Turabiah Sape</t>
  </si>
  <si>
    <t>Alaska Prima Perkasa, CV</t>
  </si>
  <si>
    <t>Amanah, Toko/Sabariah</t>
  </si>
  <si>
    <t>Anda/Darwin</t>
  </si>
  <si>
    <t>Aneka Tani/Efendi</t>
  </si>
  <si>
    <t>Baba, UD/Suherman</t>
  </si>
  <si>
    <t>Berkah Abadi Tani/Widodo</t>
  </si>
  <si>
    <t>Berkah Abadi Tani/Widodo (Benih+Pupuk)</t>
  </si>
  <si>
    <t>Bintang Sejahtera/Aprianto</t>
  </si>
  <si>
    <t>Budi Berkah/H. Syahran</t>
  </si>
  <si>
    <t>Cipta Jaya Multifarm</t>
  </si>
  <si>
    <t>CV. Surya Agro Pradhana</t>
  </si>
  <si>
    <t>Feryan Tantoni</t>
  </si>
  <si>
    <t>Gilang Perkasa Utama, PT</t>
  </si>
  <si>
    <t>Hadi Putra, UD</t>
  </si>
  <si>
    <t>Hermada Utama, Toko</t>
  </si>
  <si>
    <t>Hidayat Tani, UD</t>
  </si>
  <si>
    <t>Ikhlas Tani, UD</t>
  </si>
  <si>
    <t>Ilham, UD/Ridha</t>
  </si>
  <si>
    <t>Iwan Jaya, UD/Iwan</t>
  </si>
  <si>
    <t>Karisma Bumi Indah/Fedo</t>
  </si>
  <si>
    <t>Karisma Eka Putra, PT</t>
  </si>
  <si>
    <t>Karya Tani/Hariman</t>
  </si>
  <si>
    <t>KIU Cabang</t>
  </si>
  <si>
    <t>Laju Tani, Toko</t>
  </si>
  <si>
    <t>Lintang Jaya Tani</t>
  </si>
  <si>
    <t>Mekar PS/Abdul Halik</t>
  </si>
  <si>
    <t>Mitra Tani/Elsa</t>
  </si>
  <si>
    <t>Nuansa Tani</t>
  </si>
  <si>
    <t>Pelita Tani, CV/Budi</t>
  </si>
  <si>
    <t>Pesona Tani</t>
  </si>
  <si>
    <t>Pusaka Tani/Budhi Yintoro</t>
  </si>
  <si>
    <t>Rekan Tani Indonesia, CV</t>
  </si>
  <si>
    <t>Rizal Tjowasi</t>
  </si>
  <si>
    <t>Rizal Tjowasi/Tobelo</t>
  </si>
  <si>
    <t>Rizki Tani/Ratna</t>
  </si>
  <si>
    <t>Rose, UD</t>
  </si>
  <si>
    <t>Sahabat Tani/Regina</t>
  </si>
  <si>
    <t>Sahabat Tani/Suherman</t>
  </si>
  <si>
    <t>Satura Tani/Febrisnaini</t>
  </si>
  <si>
    <t>Sentra Agronusa Bhakti, PT</t>
  </si>
  <si>
    <t>Sinar Dumoga Jaya</t>
  </si>
  <si>
    <t>Sumber Makmur/Henry</t>
  </si>
  <si>
    <t>Sumber Makmur/Rudijanto</t>
  </si>
  <si>
    <t>Sumber Tani, CV/Surjanto</t>
  </si>
  <si>
    <t>Tani Sejati/Ivan</t>
  </si>
  <si>
    <t>Tani Sejati/Johny</t>
  </si>
  <si>
    <t>Tani Sumber Makmur/Maskur</t>
  </si>
  <si>
    <t>Toko Jaya Raya/Lila</t>
  </si>
  <si>
    <t>Yakob/Karisma</t>
  </si>
  <si>
    <t>Abdi Tani/Zuhri</t>
  </si>
  <si>
    <t>Abi Tani/Soleudin</t>
  </si>
  <si>
    <t>Aboe Tani</t>
  </si>
  <si>
    <t>Agro Sukses Surabaya, PT</t>
  </si>
  <si>
    <t>Agro Tani Mandiri</t>
  </si>
  <si>
    <t>Barokah Tani, UD/Sri</t>
  </si>
  <si>
    <t>Barokah Tani, UD/Sutrisno</t>
  </si>
  <si>
    <t>Bumi Asih, UD/Hasan</t>
  </si>
  <si>
    <t>Damai Tani/Samsuri, H</t>
  </si>
  <si>
    <t>Delima, Toko/Nurhasan</t>
  </si>
  <si>
    <t>Febri Catur Nugroho</t>
  </si>
  <si>
    <t>Gudang Barokah/Ishak</t>
  </si>
  <si>
    <t>Hasil Tani/Supriyadi</t>
  </si>
  <si>
    <t>Ibu Tani</t>
  </si>
  <si>
    <t>Java Tani/Anis</t>
  </si>
  <si>
    <t>Jaya Utama II</t>
  </si>
  <si>
    <t>Jaya Utama, CV</t>
  </si>
  <si>
    <t>Karya Guna/Agus</t>
  </si>
  <si>
    <t>Kawan Tani/Bahrul, H</t>
  </si>
  <si>
    <t>Mantab Jaya/Andiya</t>
  </si>
  <si>
    <t>Podo Tani/Supri</t>
  </si>
  <si>
    <t>Putra Tani/Bayu</t>
  </si>
  <si>
    <t>Rudi Tani/Rudi</t>
  </si>
  <si>
    <t>Sari Agung/Wasudi, H</t>
  </si>
  <si>
    <t>Sedulur Tani/Eko Galih</t>
  </si>
  <si>
    <t>Semes Tani/Tomi</t>
  </si>
  <si>
    <t>Shijaya Tani/Hendrik</t>
  </si>
  <si>
    <t>Soponyono/Hasan</t>
  </si>
  <si>
    <t>Subur/Yusuf</t>
  </si>
  <si>
    <t>Sukses Sejahtera</t>
  </si>
  <si>
    <t>Sumber Agung/Ferdi</t>
  </si>
  <si>
    <t>Sumber Barokah, UD</t>
  </si>
  <si>
    <t>Sumber Makmur/Mahrus</t>
  </si>
  <si>
    <t>Sumber Pangan/Jainuri</t>
  </si>
  <si>
    <t>Sumber Rejeki/Ali</t>
  </si>
  <si>
    <t>Sumber Rejeki/Moh Soleh</t>
  </si>
  <si>
    <t>Surya Tani/Harwoko</t>
  </si>
  <si>
    <t>Tani Barokah/Rofiudin</t>
  </si>
  <si>
    <t>Tani Barokah/Salim</t>
  </si>
  <si>
    <t>Tani Jaya, UD/Choiri</t>
  </si>
  <si>
    <t>Tani Lumayan/Ali, H</t>
  </si>
  <si>
    <t>Tani Maju/Aris</t>
  </si>
  <si>
    <t>Tani Makmur/Kusnan</t>
  </si>
  <si>
    <t>Tani Moderen/Septiani</t>
  </si>
  <si>
    <t>Tani Sejahtera/Mat Syawal</t>
  </si>
  <si>
    <t>Sumber Makmur UD</t>
  </si>
  <si>
    <t>Tunggal Sumber Rejeki</t>
  </si>
  <si>
    <t>TOTAL</t>
  </si>
  <si>
    <t>Tagih Langsung Bayar</t>
  </si>
  <si>
    <t>Tagih</t>
  </si>
  <si>
    <t>Bayar</t>
  </si>
  <si>
    <t>&lt; 30</t>
  </si>
  <si>
    <t>Ahmad Muhlisin</t>
  </si>
  <si>
    <t>Alam Tani</t>
  </si>
  <si>
    <t>Aneka Tani/ Sriyani</t>
  </si>
  <si>
    <t>Baru Bersinar, UD</t>
  </si>
  <si>
    <t>Buyung Mas Tani/Rudi Hendrawan</t>
  </si>
  <si>
    <t>Cahaya Tani, CV/Nurrohman</t>
  </si>
  <si>
    <t>Diana, UD</t>
  </si>
  <si>
    <t>Goautama Sinarbatuah, PT</t>
  </si>
  <si>
    <t>Nusra Persada</t>
  </si>
  <si>
    <t>Guna Adi Tani</t>
  </si>
  <si>
    <t>Harapan Agro Tani, PT</t>
  </si>
  <si>
    <t>Hermada Tangguh Agro Lestari, PT</t>
  </si>
  <si>
    <t>Herry Djuwarsa</t>
  </si>
  <si>
    <t>Sumber Tani/agi</t>
  </si>
  <si>
    <t>Ingin Maju, UD</t>
  </si>
  <si>
    <t>Indra Toko</t>
  </si>
  <si>
    <t>James William Utomo</t>
  </si>
  <si>
    <t>Jaya Makmur, UD/Suguanto Winarko</t>
  </si>
  <si>
    <t>Jaya Makmur, UD/Suguanto Winarko (Jagung)</t>
  </si>
  <si>
    <t>Jaya Ponti/Johanes</t>
  </si>
  <si>
    <t>Jaya Tani Makmur, CV/Matius</t>
  </si>
  <si>
    <t>Lionar Jaya</t>
  </si>
  <si>
    <t>Marinus Lende Bora/Ibu Pani</t>
  </si>
  <si>
    <t>Maryono</t>
  </si>
  <si>
    <t>Mekar Tani/Muhlis</t>
  </si>
  <si>
    <t>NAF, UD</t>
  </si>
  <si>
    <t>Nusa Agro Makmur, CV</t>
  </si>
  <si>
    <t>Oat Mitoku Agrio, PT</t>
  </si>
  <si>
    <t>Paten, UD/Herisen</t>
  </si>
  <si>
    <t>Purbaya</t>
  </si>
  <si>
    <t>Purnama, Toko/Haris</t>
  </si>
  <si>
    <t>Sederhana Tani</t>
  </si>
  <si>
    <t>Subkhi Tani/Irwan</t>
  </si>
  <si>
    <t>Subulussalam, Toko</t>
  </si>
  <si>
    <t>Subur Makmur, UD</t>
  </si>
  <si>
    <t>Adam Jaya/Indah</t>
  </si>
  <si>
    <t>Azril Tani/Suher</t>
  </si>
  <si>
    <t>Berkah Tani/Abdul Mujib</t>
  </si>
  <si>
    <t>Cobra AG/Mohammad Gusti</t>
  </si>
  <si>
    <t>Dianta Tani</t>
  </si>
  <si>
    <t>Er Tani</t>
  </si>
  <si>
    <t>Fajar Tani/Alek</t>
  </si>
  <si>
    <t>Jaya Makmur/Suyono</t>
  </si>
  <si>
    <t>Joyo Tani Makmur, UD</t>
  </si>
  <si>
    <t>Mahhur</t>
  </si>
  <si>
    <t>Pertanian Bu Linda, Toko</t>
  </si>
  <si>
    <t>Putra Podomoro, CV</t>
  </si>
  <si>
    <t>Putri Rejeki/Saman</t>
  </si>
  <si>
    <t>Rawa Indah</t>
  </si>
  <si>
    <t>Rita 29, Toko</t>
  </si>
  <si>
    <t>Sinar Tani/Nuruddin</t>
  </si>
  <si>
    <t>Surya Tani/Ari</t>
  </si>
  <si>
    <t>Tani Agung/Erta</t>
  </si>
  <si>
    <t>Tani Sejati/Meggie</t>
  </si>
  <si>
    <t>Tani Subur/Suwandi</t>
  </si>
  <si>
    <t>Wukir Sari</t>
  </si>
  <si>
    <t>Total Tagihan</t>
  </si>
  <si>
    <t>TC : HENDRA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</si>
  <si>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</si>
  <si>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</si>
  <si>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</si>
  <si>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</si>
  <si>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</si>
  <si>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</si>
  <si>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</si>
  <si>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</si>
  <si>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</si>
  <si>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</si>
  <si>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</si>
  <si>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</si>
  <si>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</si>
  <si>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</si>
  <si>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</si>
  <si>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</si>
  <si>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</si>
  <si>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</si>
  <si>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</si>
  <si>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</si>
  <si>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</si>
  <si>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</si>
  <si>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</si>
  <si>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</si>
  <si>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MAR</t>
  </si>
  <si>
    <t>APR</t>
  </si>
  <si>
    <t>MEI</t>
  </si>
  <si>
    <t>TC : Hendra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</si>
  <si>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</si>
  <si>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</si>
  <si>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</si>
  <si>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</si>
  <si>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</si>
  <si>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</si>
  <si>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</si>
  <si>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</si>
  <si>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</si>
  <si>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</si>
  <si>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</si>
  <si>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50 M</t>
  </si>
  <si>
    <t>Bulan</t>
  </si>
  <si>
    <t>Klasifikasi</t>
  </si>
  <si>
    <t>Farida</t>
  </si>
  <si>
    <t>Natasya</t>
  </si>
  <si>
    <t>Novista</t>
  </si>
  <si>
    <t>Safira</t>
  </si>
  <si>
    <t>Tiya</t>
  </si>
  <si>
    <t>Total Kios</t>
  </si>
  <si>
    <t>Kios 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</si>
</sst>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_);_(@_)"/>
    <numFmt numFmtId="166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b/>
      <sz val="11"/>
      <color theme="1"/>
      <name val="Lao UI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0">
      <alignment horizontal="left" vertical="top"/>
    </xf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13" fillId="8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NumberFormat="1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 wrapText="1"/>
    </xf>
    <xf numFmtId="0" fontId="18" fillId="19" borderId="2" xfId="0" applyFont="1" applyFill="1" applyBorder="1" applyAlignment="1">
      <alignment horizontal="center" vertical="center" wrapText="1"/>
    </xf>
    <xf numFmtId="0" fontId="14" fillId="20" borderId="2" xfId="0" applyNumberFormat="1" applyFont="1" applyFill="1" applyBorder="1" applyAlignment="1">
      <alignment horizontal="center" vertical="center" wrapText="1"/>
    </xf>
    <xf numFmtId="0" fontId="16" fillId="21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 indent="1"/>
    </xf>
    <xf numFmtId="164" fontId="19" fillId="0" borderId="2" xfId="5" applyFont="1" applyFill="1" applyBorder="1" applyAlignment="1">
      <alignment vertical="center"/>
    </xf>
    <xf numFmtId="10" fontId="19" fillId="0" borderId="2" xfId="5" applyNumberFormat="1" applyFont="1" applyFill="1" applyBorder="1" applyAlignment="1">
      <alignment horizontal="center" vertical="center"/>
    </xf>
    <xf numFmtId="10" fontId="19" fillId="22" borderId="2" xfId="5" applyNumberFormat="1" applyFont="1" applyFill="1" applyBorder="1" applyAlignment="1">
      <alignment horizontal="center" vertical="center"/>
    </xf>
    <xf numFmtId="10" fontId="19" fillId="0" borderId="2" xfId="2" applyNumberFormat="1" applyFont="1" applyFill="1" applyBorder="1" applyAlignment="1">
      <alignment horizontal="center" vertical="center"/>
    </xf>
    <xf numFmtId="10" fontId="20" fillId="3" borderId="2" xfId="2" applyNumberFormat="1" applyFont="1" applyFill="1" applyBorder="1" applyAlignment="1">
      <alignment horizontal="center" vertical="center"/>
    </xf>
    <xf numFmtId="10" fontId="19" fillId="22" borderId="2" xfId="2" applyNumberFormat="1" applyFont="1" applyFill="1" applyBorder="1" applyAlignment="1">
      <alignment horizontal="center" vertical="center"/>
    </xf>
    <xf numFmtId="0" fontId="19" fillId="16" borderId="2" xfId="2" applyNumberFormat="1" applyFont="1" applyFill="1" applyBorder="1" applyAlignment="1">
      <alignment horizontal="center" vertical="center"/>
    </xf>
    <xf numFmtId="0" fontId="19" fillId="0" borderId="2" xfId="2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22" fillId="23" borderId="2" xfId="0" applyFont="1" applyFill="1" applyBorder="1" applyAlignment="1">
      <alignment horizontal="center" vertical="center"/>
    </xf>
    <xf numFmtId="165" fontId="23" fillId="22" borderId="5" xfId="0" applyNumberFormat="1" applyFont="1" applyFill="1" applyBorder="1" applyAlignment="1">
      <alignment horizontal="center" vertical="center"/>
    </xf>
    <xf numFmtId="165" fontId="23" fillId="22" borderId="6" xfId="0" applyNumberFormat="1" applyFont="1" applyFill="1" applyBorder="1" applyAlignment="1">
      <alignment horizontal="center" vertical="center"/>
    </xf>
    <xf numFmtId="165" fontId="23" fillId="22" borderId="7" xfId="0" applyNumberFormat="1" applyFont="1" applyFill="1" applyBorder="1" applyAlignment="1">
      <alignment horizontal="center" vertical="center"/>
    </xf>
    <xf numFmtId="0" fontId="22" fillId="22" borderId="5" xfId="0" applyFont="1" applyFill="1" applyBorder="1" applyAlignment="1">
      <alignment horizontal="center" vertical="center"/>
    </xf>
    <xf numFmtId="0" fontId="22" fillId="22" borderId="7" xfId="0" applyFont="1" applyFill="1" applyBorder="1" applyAlignment="1">
      <alignment horizontal="center" vertical="center"/>
    </xf>
    <xf numFmtId="165" fontId="22" fillId="22" borderId="2" xfId="0" applyNumberFormat="1" applyFont="1" applyFill="1" applyBorder="1" applyAlignment="1">
      <alignment horizontal="center" vertical="center"/>
    </xf>
    <xf numFmtId="165" fontId="23" fillId="24" borderId="5" xfId="0" applyNumberFormat="1" applyFont="1" applyFill="1" applyBorder="1" applyAlignment="1">
      <alignment horizontal="center" vertical="center"/>
    </xf>
    <xf numFmtId="165" fontId="23" fillId="24" borderId="6" xfId="0" applyNumberFormat="1" applyFont="1" applyFill="1" applyBorder="1" applyAlignment="1">
      <alignment horizontal="center" vertical="center"/>
    </xf>
    <xf numFmtId="165" fontId="23" fillId="24" borderId="7" xfId="0" applyNumberFormat="1" applyFont="1" applyFill="1" applyBorder="1" applyAlignment="1">
      <alignment horizontal="center" vertical="center"/>
    </xf>
    <xf numFmtId="165" fontId="23" fillId="10" borderId="5" xfId="0" applyNumberFormat="1" applyFont="1" applyFill="1" applyBorder="1" applyAlignment="1">
      <alignment horizontal="center" vertical="center"/>
    </xf>
    <xf numFmtId="165" fontId="23" fillId="10" borderId="6" xfId="0" applyNumberFormat="1" applyFont="1" applyFill="1" applyBorder="1" applyAlignment="1">
      <alignment horizontal="center" vertical="center"/>
    </xf>
    <xf numFmtId="165" fontId="23" fillId="10" borderId="7" xfId="0" applyNumberFormat="1" applyFont="1" applyFill="1" applyBorder="1" applyAlignment="1">
      <alignment horizontal="center" vertical="center"/>
    </xf>
    <xf numFmtId="165" fontId="23" fillId="4" borderId="5" xfId="0" applyNumberFormat="1" applyFont="1" applyFill="1" applyBorder="1" applyAlignment="1">
      <alignment horizontal="center" vertical="center"/>
    </xf>
    <xf numFmtId="165" fontId="23" fillId="4" borderId="7" xfId="0" applyNumberFormat="1" applyFont="1" applyFill="1" applyBorder="1" applyAlignment="1">
      <alignment horizontal="center" vertical="center"/>
    </xf>
    <xf numFmtId="165" fontId="23" fillId="25" borderId="2" xfId="0" applyNumberFormat="1" applyFont="1" applyFill="1" applyBorder="1" applyAlignment="1">
      <alignment horizontal="center" vertical="center"/>
    </xf>
    <xf numFmtId="0" fontId="23" fillId="26" borderId="2" xfId="0" applyFont="1" applyFill="1" applyBorder="1" applyAlignment="1">
      <alignment horizontal="center" vertical="center"/>
    </xf>
    <xf numFmtId="165" fontId="23" fillId="15" borderId="2" xfId="0" applyNumberFormat="1" applyFont="1" applyFill="1" applyBorder="1" applyAlignment="1">
      <alignment horizontal="center" vertical="center"/>
    </xf>
    <xf numFmtId="165" fontId="23" fillId="5" borderId="2" xfId="0" applyNumberFormat="1" applyFont="1" applyFill="1" applyBorder="1" applyAlignment="1">
      <alignment horizontal="center" vertical="center"/>
    </xf>
    <xf numFmtId="165" fontId="23" fillId="27" borderId="2" xfId="0" applyNumberFormat="1" applyFont="1" applyFill="1" applyBorder="1" applyAlignment="1">
      <alignment horizontal="center" vertical="center" wrapText="1"/>
    </xf>
    <xf numFmtId="165" fontId="23" fillId="27" borderId="2" xfId="0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left" vertical="center" indent="1"/>
    </xf>
    <xf numFmtId="10" fontId="23" fillId="0" borderId="2" xfId="2" applyNumberFormat="1" applyFont="1" applyFill="1" applyBorder="1" applyAlignment="1">
      <alignment horizontal="center" vertical="center"/>
    </xf>
    <xf numFmtId="164" fontId="23" fillId="0" borderId="2" xfId="5" applyFont="1" applyFill="1" applyBorder="1" applyAlignment="1">
      <alignment vertical="center"/>
    </xf>
    <xf numFmtId="10" fontId="23" fillId="0" borderId="8" xfId="6" applyNumberFormat="1" applyFont="1" applyFill="1" applyBorder="1" applyAlignment="1">
      <alignment horizontal="center" vertical="center"/>
    </xf>
    <xf numFmtId="164" fontId="23" fillId="0" borderId="8" xfId="5" applyFont="1" applyFill="1" applyBorder="1" applyAlignment="1">
      <alignment horizontal="center" vertical="center"/>
    </xf>
    <xf numFmtId="164" fontId="23" fillId="0" borderId="8" xfId="5" applyFont="1" applyFill="1" applyBorder="1" applyAlignment="1">
      <alignment vertical="center"/>
    </xf>
    <xf numFmtId="166" fontId="23" fillId="0" borderId="2" xfId="5" applyNumberFormat="1" applyFont="1" applyFill="1" applyBorder="1" applyAlignment="1">
      <alignment vertical="center"/>
    </xf>
    <xf numFmtId="0" fontId="23" fillId="0" borderId="8" xfId="5" applyNumberFormat="1" applyFont="1" applyFill="1" applyBorder="1" applyAlignment="1">
      <alignment horizontal="center" vertical="center"/>
    </xf>
    <xf numFmtId="41" fontId="23" fillId="0" borderId="8" xfId="1" applyFont="1" applyFill="1" applyBorder="1" applyAlignment="1">
      <alignment horizontal="center" vertical="center"/>
    </xf>
    <xf numFmtId="9" fontId="23" fillId="0" borderId="8" xfId="5" applyNumberFormat="1" applyFont="1" applyFill="1" applyBorder="1" applyAlignment="1">
      <alignment horizontal="center" vertical="center"/>
    </xf>
    <xf numFmtId="10" fontId="23" fillId="22" borderId="2" xfId="2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10" fontId="3" fillId="6" borderId="1" xfId="6" applyNumberFormat="1" applyFont="1" applyFill="1" applyBorder="1" applyAlignment="1">
      <alignment horizontal="center"/>
    </xf>
    <xf numFmtId="0" fontId="24" fillId="29" borderId="1" xfId="0" applyFont="1" applyFill="1" applyBorder="1" applyAlignment="1">
      <alignment horizontal="center"/>
    </xf>
    <xf numFmtId="10" fontId="24" fillId="14" borderId="1" xfId="6" applyNumberFormat="1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7">
    <cellStyle name="Comma [0]" xfId="1" builtinId="6"/>
    <cellStyle name="Comma 10 2" xfId="5"/>
    <cellStyle name="Normal" xfId="0" builtinId="0"/>
    <cellStyle name="Normal 2 2 2" xfId="3"/>
    <cellStyle name="Percent" xfId="2" builtinId="5"/>
    <cellStyle name="Percent 4" xfId="6"/>
    <cellStyle name="S0" xfId="4"/>
  </cellStyles>
  <dxfs count="3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23287</xdr:colOff>
      <xdr:row>2</xdr:row>
      <xdr:rowOff>23284</xdr:rowOff>
    </xdr:from>
    <xdr:to>
      <xdr:col>1</xdr:col>
      <xdr:colOff>351371</xdr:colOff>
      <xdr:row>2</xdr:row>
      <xdr:rowOff>309034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>
        <a:xfrm>
          <a:off x="80437" y="12043834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  <xdr:twoCellAnchor>
    <xdr:from>
      <xdr:col>1</xdr:col>
      <xdr:colOff>9525</xdr:colOff>
      <xdr:row>13</xdr:row>
      <xdr:rowOff>28575</xdr:rowOff>
    </xdr:from>
    <xdr:to>
      <xdr:col>1</xdr:col>
      <xdr:colOff>337609</xdr:colOff>
      <xdr:row>14</xdr:row>
      <xdr:rowOff>123825</xdr:rowOff>
    </xdr:to>
    <xdr:sp macro="" textlink="">
      <xdr:nvSpPr>
        <xdr:cNvPr id="4" name="Oval 3"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>
        <a:xfrm>
          <a:off x="180975" y="90392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10"/>
  <sheetViews>
    <sheetView zoomScale="90" zoomScaleNormal="90" workbookViewId="0">
      <pane xSplit="2" ySplit="6" topLeftCell="F7" activePane="bottomRight" state="frozen"/>
      <selection pane="topRight" activeCell="C1" sqref="C1"/>
      <selection pane="bottomLeft" activeCell="A3" sqref="A3"/>
      <selection pane="bottomRight" activeCell="R44" sqref="R44"/>
    </sheetView>
  </sheetViews>
  <sheetFormatPr defaultRowHeight="15"/>
  <cols>
    <col min="1" max="1" width="4.5703125" customWidth="1"/>
    <col min="2" max="2" width="33.140625" bestFit="1" customWidth="1"/>
    <col min="3" max="20" width="5.7109375" customWidth="1"/>
    <col min="21" max="21" width="4.5703125" customWidth="1"/>
    <col min="22" max="22" width="5" customWidth="1"/>
    <col min="23" max="23" width="5.140625" customWidth="1"/>
    <col min="24" max="33" width="5.7109375" customWidth="1"/>
    <col min="34" max="34" width="7.42578125" customWidth="1"/>
    <col min="35" max="39" width="5.7109375" customWidth="1"/>
  </cols>
  <sheetData>
    <row r="1" spans="1:55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 t="s">
        <v>2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>
      <c r="A3" s="4"/>
      <c r="B3" s="5" t="s">
        <v>3</v>
      </c>
      <c r="C3" s="2" t="s">
        <v>4</v>
      </c>
      <c r="D3" s="6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2</v>
      </c>
      <c r="AD3" s="2"/>
      <c r="AE3" s="2"/>
      <c r="AF3" s="2"/>
      <c r="AG3" s="2"/>
      <c r="AH3" s="2" t="s">
        <v>2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>
      <c r="A4" s="5"/>
      <c r="B4" s="5" t="s">
        <v>6</v>
      </c>
      <c r="C4" s="2" t="s">
        <v>4</v>
      </c>
      <c r="D4" s="6" t="s">
        <v>7</v>
      </c>
      <c r="E4" s="2"/>
      <c r="F4" s="2"/>
      <c r="G4" s="2"/>
      <c r="H4" s="2"/>
      <c r="I4" s="2"/>
      <c r="J4" s="2"/>
      <c r="K4" s="2"/>
      <c r="L4" s="2"/>
      <c r="M4" s="2" t="s">
        <v>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2</v>
      </c>
      <c r="Z4" s="2"/>
      <c r="AA4" s="2"/>
      <c r="AB4" s="2"/>
      <c r="AC4" s="2"/>
      <c r="AD4" s="2"/>
      <c r="AE4" s="2"/>
      <c r="AF4" s="2"/>
      <c r="AG4" s="2" t="s">
        <v>2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>
      <c r="A5" s="5"/>
      <c r="B5" s="5" t="s">
        <v>8</v>
      </c>
      <c r="C5" s="2" t="s">
        <v>4</v>
      </c>
      <c r="D5" s="6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s="9" customFormat="1" ht="12.95" customHeight="1">
      <c r="A6" s="7" t="s">
        <v>10</v>
      </c>
      <c r="B6" s="7" t="s">
        <v>11</v>
      </c>
      <c r="C6" s="8">
        <v>1</v>
      </c>
      <c r="D6" s="7">
        <v>2</v>
      </c>
      <c r="E6" s="8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8">
        <v>10</v>
      </c>
      <c r="M6" s="7">
        <v>11</v>
      </c>
      <c r="N6" s="7">
        <v>12</v>
      </c>
      <c r="O6" s="7">
        <v>13</v>
      </c>
      <c r="P6" s="8">
        <v>14</v>
      </c>
      <c r="Q6" s="7">
        <v>15</v>
      </c>
      <c r="R6" s="7">
        <v>16</v>
      </c>
      <c r="S6" s="8">
        <v>17</v>
      </c>
      <c r="T6" s="7">
        <v>18</v>
      </c>
      <c r="U6" s="7">
        <v>19</v>
      </c>
      <c r="V6" s="7">
        <v>20</v>
      </c>
      <c r="W6" s="7">
        <v>21</v>
      </c>
      <c r="X6" s="7">
        <v>22</v>
      </c>
      <c r="Y6" s="7">
        <v>23</v>
      </c>
      <c r="Z6" s="8">
        <v>24</v>
      </c>
      <c r="AA6" s="7">
        <v>25</v>
      </c>
      <c r="AB6" s="7">
        <v>26</v>
      </c>
      <c r="AC6" s="8">
        <v>27</v>
      </c>
      <c r="AD6" s="7">
        <v>28</v>
      </c>
      <c r="AE6" s="7">
        <v>29</v>
      </c>
      <c r="AF6" s="7">
        <v>30</v>
      </c>
      <c r="AG6" s="8">
        <v>31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</row>
    <row r="7" spans="1:55" s="9" customFormat="1" ht="12.95" customHeight="1">
      <c r="A7" s="10">
        <v>1</v>
      </c>
      <c r="B7" s="11" t="s">
        <v>12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 t="s">
        <v>13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3" t="s">
        <v>14</v>
      </c>
      <c r="AI7" s="14" t="s">
        <v>13</v>
      </c>
      <c r="AJ7" s="15" t="s">
        <v>15</v>
      </c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4"/>
      <c r="AW7" s="4"/>
      <c r="AX7" s="4"/>
      <c r="AY7" s="4"/>
      <c r="AZ7" s="4"/>
      <c r="BA7" s="4"/>
      <c r="BB7" s="4"/>
      <c r="BC7" s="4"/>
    </row>
    <row r="8" spans="1:55" s="9" customFormat="1" ht="12.95" customHeight="1">
      <c r="A8" s="10">
        <v>2</v>
      </c>
      <c r="B8" s="11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6">
        <f>COUNTIF(C7:AG156,"T")</f>
        <v>79</v>
      </c>
      <c r="AI8" s="16">
        <f>COUNTIF(C7:AG156,"TB")</f>
        <v>282</v>
      </c>
      <c r="AJ8" s="16">
        <f>COUNTIF(C7:AG156,"B")</f>
        <v>1</v>
      </c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4"/>
      <c r="AW8" s="4"/>
      <c r="AX8" s="4"/>
      <c r="AY8" s="4"/>
      <c r="AZ8" s="4"/>
      <c r="BA8" s="4"/>
      <c r="BB8" s="4"/>
      <c r="BC8" s="4"/>
    </row>
    <row r="9" spans="1:55" s="9" customFormat="1" ht="12.95" customHeight="1">
      <c r="A9" s="10">
        <v>3</v>
      </c>
      <c r="B9" s="11" t="s">
        <v>17</v>
      </c>
      <c r="C9" s="12"/>
      <c r="D9" s="12"/>
      <c r="E9" s="12"/>
      <c r="F9" s="12" t="s">
        <v>14</v>
      </c>
      <c r="G9" s="12"/>
      <c r="H9" s="12"/>
      <c r="I9" s="12"/>
      <c r="J9" s="12" t="s">
        <v>13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4"/>
      <c r="AW9" s="4"/>
      <c r="AX9" s="4"/>
      <c r="AY9" s="4"/>
      <c r="AZ9" s="4"/>
      <c r="BA9" s="4"/>
      <c r="BB9" s="4"/>
      <c r="BC9" s="4"/>
    </row>
    <row r="10" spans="1:55" s="9" customFormat="1" ht="12.95" customHeight="1">
      <c r="A10" s="10">
        <v>4</v>
      </c>
      <c r="B10" s="11" t="s">
        <v>18</v>
      </c>
      <c r="C10" s="12"/>
      <c r="D10" s="12" t="s">
        <v>14</v>
      </c>
      <c r="E10" s="12"/>
      <c r="F10" s="12"/>
      <c r="G10" s="12"/>
      <c r="H10" s="12"/>
      <c r="I10" s="12"/>
      <c r="J10" s="12" t="s">
        <v>13</v>
      </c>
      <c r="K10" s="12"/>
      <c r="L10" s="12"/>
      <c r="M10" s="12"/>
      <c r="N10" s="12"/>
      <c r="O10" s="12"/>
      <c r="P10" s="12"/>
      <c r="Q10" s="12"/>
      <c r="R10" s="12"/>
      <c r="S10" s="12"/>
      <c r="T10" s="12" t="s">
        <v>13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6" t="s">
        <v>14</v>
      </c>
      <c r="AI10" s="16" t="s">
        <v>15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4"/>
      <c r="AW10" s="4"/>
      <c r="AX10" s="4"/>
      <c r="AY10" s="4"/>
      <c r="AZ10" s="4"/>
      <c r="BA10" s="4"/>
      <c r="BB10" s="4"/>
      <c r="BC10" s="4"/>
    </row>
    <row r="11" spans="1:55" s="9" customFormat="1" ht="12.95" customHeight="1">
      <c r="A11" s="10">
        <v>5</v>
      </c>
      <c r="B11" s="11" t="s">
        <v>19</v>
      </c>
      <c r="C11" s="12"/>
      <c r="D11" s="12"/>
      <c r="E11" s="12"/>
      <c r="F11" s="12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6">
        <f>AH8+AI8+AH22+AI22</f>
        <v>391</v>
      </c>
      <c r="AI11" s="16">
        <f>AI8+AJ8+AI22+AJ22</f>
        <v>319</v>
      </c>
      <c r="AJ11" s="16"/>
      <c r="AK11" s="16">
        <v>25</v>
      </c>
      <c r="AL11" s="16">
        <f>+AH11/AK11</f>
        <v>15.64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4"/>
      <c r="AW11" s="4"/>
      <c r="AX11" s="4"/>
      <c r="AY11" s="4"/>
      <c r="AZ11" s="4"/>
      <c r="BA11" s="4"/>
      <c r="BB11" s="4"/>
      <c r="BC11" s="4"/>
    </row>
    <row r="12" spans="1:55" s="9" customFormat="1" ht="12.95" customHeight="1">
      <c r="A12" s="10">
        <v>6</v>
      </c>
      <c r="B12" s="11" t="s">
        <v>20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6"/>
      <c r="AI12" s="16"/>
      <c r="AJ12" s="16"/>
      <c r="AK12" s="16"/>
      <c r="AL12" s="17"/>
      <c r="AM12" s="16"/>
      <c r="AN12" s="16"/>
      <c r="AO12" s="16"/>
      <c r="AP12" s="16"/>
      <c r="AQ12" s="16"/>
      <c r="AR12" s="16"/>
      <c r="AS12" s="16"/>
      <c r="AT12" s="16"/>
      <c r="AU12" s="16"/>
      <c r="AV12" s="4"/>
      <c r="AW12" s="4"/>
      <c r="AX12" s="4"/>
      <c r="AY12" s="4"/>
      <c r="AZ12" s="4"/>
      <c r="BA12" s="4"/>
      <c r="BB12" s="4"/>
      <c r="BC12" s="4"/>
    </row>
    <row r="13" spans="1:55" s="9" customFormat="1" ht="12.95" customHeight="1">
      <c r="A13" s="10">
        <v>7</v>
      </c>
      <c r="B13" s="11" t="s">
        <v>21</v>
      </c>
      <c r="C13" s="12"/>
      <c r="D13" s="12" t="s">
        <v>14</v>
      </c>
      <c r="E13" s="12"/>
      <c r="F13" s="12"/>
      <c r="G13" s="12"/>
      <c r="H13" s="12"/>
      <c r="I13" s="12" t="s">
        <v>13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 t="s">
        <v>13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8">
        <f>AI11/AH11</f>
        <v>0.81585677749360619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4"/>
      <c r="AW13" s="4"/>
      <c r="AX13" s="4"/>
      <c r="AY13" s="4"/>
      <c r="AZ13" s="4"/>
      <c r="BA13" s="4"/>
      <c r="BB13" s="4"/>
      <c r="BC13" s="4"/>
    </row>
    <row r="14" spans="1:55" s="9" customFormat="1" ht="12.95" customHeight="1">
      <c r="A14" s="10">
        <v>8</v>
      </c>
      <c r="B14" s="11" t="s">
        <v>22</v>
      </c>
      <c r="C14" s="12"/>
      <c r="D14" s="12"/>
      <c r="E14" s="12"/>
      <c r="F14" s="12"/>
      <c r="G14" s="12" t="s">
        <v>13</v>
      </c>
      <c r="H14" s="12"/>
      <c r="I14" s="12"/>
      <c r="J14" s="12"/>
      <c r="K14" s="12"/>
      <c r="L14" s="12"/>
      <c r="M14" s="12" t="s">
        <v>14</v>
      </c>
      <c r="N14" s="12"/>
      <c r="O14" s="12" t="s">
        <v>13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4"/>
      <c r="AW14" s="4"/>
      <c r="AX14" s="4"/>
      <c r="AY14" s="4"/>
      <c r="AZ14" s="4"/>
      <c r="BA14" s="4"/>
      <c r="BB14" s="4"/>
      <c r="BC14" s="4"/>
    </row>
    <row r="15" spans="1:55" s="9" customFormat="1" ht="12.95" customHeight="1">
      <c r="A15" s="10">
        <v>9</v>
      </c>
      <c r="B15" s="11" t="s">
        <v>23</v>
      </c>
      <c r="C15" s="12"/>
      <c r="D15" s="12"/>
      <c r="E15" s="12"/>
      <c r="F15" s="12"/>
      <c r="G15" s="12"/>
      <c r="H15" s="12"/>
      <c r="I15" s="12" t="s">
        <v>13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 t="s">
        <v>13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4"/>
      <c r="AW15" s="4"/>
      <c r="AX15" s="4"/>
      <c r="AY15" s="4"/>
      <c r="AZ15" s="4"/>
      <c r="BA15" s="4"/>
      <c r="BB15" s="4"/>
      <c r="BC15" s="4"/>
    </row>
    <row r="16" spans="1:55" s="9" customFormat="1" ht="12.95" customHeight="1">
      <c r="A16" s="10">
        <v>10</v>
      </c>
      <c r="B16" s="11" t="s">
        <v>24</v>
      </c>
      <c r="C16" s="12"/>
      <c r="D16" s="12" t="s">
        <v>14</v>
      </c>
      <c r="E16" s="12"/>
      <c r="F16" s="12"/>
      <c r="G16" s="12"/>
      <c r="H16" s="12" t="s">
        <v>13</v>
      </c>
      <c r="I16" s="12"/>
      <c r="J16" s="12" t="s">
        <v>13</v>
      </c>
      <c r="K16" s="12"/>
      <c r="L16" s="12"/>
      <c r="M16" s="12" t="s">
        <v>13</v>
      </c>
      <c r="N16" s="12"/>
      <c r="O16" s="12"/>
      <c r="P16" s="12"/>
      <c r="Q16" s="12" t="s">
        <v>14</v>
      </c>
      <c r="R16" s="12"/>
      <c r="S16" s="12"/>
      <c r="T16" s="12" t="s">
        <v>13</v>
      </c>
      <c r="U16" s="12" t="s">
        <v>13</v>
      </c>
      <c r="V16" s="12"/>
      <c r="W16" s="12" t="s">
        <v>13</v>
      </c>
      <c r="X16" s="12" t="s">
        <v>13</v>
      </c>
      <c r="Y16" s="12"/>
      <c r="Z16" s="12"/>
      <c r="AA16" s="12" t="s">
        <v>13</v>
      </c>
      <c r="AB16" s="12"/>
      <c r="AC16" s="12"/>
      <c r="AD16" s="12"/>
      <c r="AE16" s="12"/>
      <c r="AF16" s="12"/>
      <c r="AG16" s="12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4"/>
      <c r="AW16" s="4"/>
      <c r="AX16" s="4"/>
      <c r="AY16" s="4"/>
      <c r="AZ16" s="4"/>
      <c r="BA16" s="4"/>
      <c r="BB16" s="4"/>
      <c r="BC16" s="4"/>
    </row>
    <row r="17" spans="1:55" s="9" customFormat="1" ht="12.95" customHeight="1">
      <c r="A17" s="10">
        <v>11</v>
      </c>
      <c r="B17" s="11" t="s">
        <v>25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13</v>
      </c>
      <c r="O17" s="12" t="s">
        <v>13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 t="s">
        <v>13</v>
      </c>
      <c r="AG17" s="12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4"/>
      <c r="AW17" s="4"/>
      <c r="AX17" s="4"/>
      <c r="AY17" s="4"/>
      <c r="AZ17" s="4"/>
      <c r="BA17" s="4"/>
      <c r="BB17" s="4"/>
      <c r="BC17" s="4"/>
    </row>
    <row r="18" spans="1:55" s="9" customFormat="1" ht="12.95" customHeight="1">
      <c r="A18" s="10">
        <v>12</v>
      </c>
      <c r="B18" s="11" t="s">
        <v>26</v>
      </c>
      <c r="C18" s="12"/>
      <c r="D18" s="12"/>
      <c r="E18" s="12"/>
      <c r="F18" s="12"/>
      <c r="G18" s="12"/>
      <c r="H18" s="12"/>
      <c r="I18" s="12" t="s">
        <v>14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4"/>
      <c r="AW18" s="4"/>
      <c r="AX18" s="4"/>
      <c r="AY18" s="4"/>
      <c r="AZ18" s="4"/>
      <c r="BA18" s="4"/>
      <c r="BB18" s="4"/>
      <c r="BC18" s="4"/>
    </row>
    <row r="19" spans="1:55" s="9" customFormat="1" ht="12.95" customHeight="1">
      <c r="A19" s="10">
        <v>13</v>
      </c>
      <c r="B19" s="11" t="s">
        <v>27</v>
      </c>
      <c r="C19" s="12"/>
      <c r="D19" s="12"/>
      <c r="E19" s="12"/>
      <c r="F19" s="12" t="s">
        <v>14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 t="s">
        <v>14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 t="s">
        <v>13</v>
      </c>
      <c r="AC19" s="12"/>
      <c r="AD19" s="12"/>
      <c r="AE19" s="12"/>
      <c r="AF19" s="12"/>
      <c r="AG19" s="12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4"/>
      <c r="AW19" s="4"/>
      <c r="AX19" s="4"/>
      <c r="AY19" s="4"/>
      <c r="AZ19" s="4"/>
      <c r="BA19" s="4"/>
      <c r="BB19" s="4"/>
      <c r="BC19" s="4"/>
    </row>
    <row r="20" spans="1:55" s="9" customFormat="1" ht="12.95" customHeight="1">
      <c r="A20" s="10">
        <v>14</v>
      </c>
      <c r="B20" s="11" t="s">
        <v>28</v>
      </c>
      <c r="C20" s="12"/>
      <c r="D20" s="12" t="s">
        <v>14</v>
      </c>
      <c r="E20" s="12"/>
      <c r="F20" s="12"/>
      <c r="G20" s="12" t="s">
        <v>14</v>
      </c>
      <c r="H20" s="12"/>
      <c r="I20" s="12" t="s">
        <v>13</v>
      </c>
      <c r="J20" s="12"/>
      <c r="K20" s="12"/>
      <c r="L20" s="12"/>
      <c r="M20" s="12"/>
      <c r="N20" s="12"/>
      <c r="O20" s="12" t="s">
        <v>13</v>
      </c>
      <c r="P20" s="12"/>
      <c r="Q20" s="12" t="s">
        <v>13</v>
      </c>
      <c r="R20" s="12" t="s">
        <v>14</v>
      </c>
      <c r="S20" s="12"/>
      <c r="T20" s="12"/>
      <c r="U20" s="12"/>
      <c r="V20" s="12" t="s">
        <v>13</v>
      </c>
      <c r="W20" s="12"/>
      <c r="X20" s="12" t="s">
        <v>13</v>
      </c>
      <c r="Y20" s="12"/>
      <c r="Z20" s="12"/>
      <c r="AA20" s="12" t="s">
        <v>13</v>
      </c>
      <c r="AB20" s="12"/>
      <c r="AC20" s="12"/>
      <c r="AD20" s="12"/>
      <c r="AE20" s="12"/>
      <c r="AF20" s="12" t="s">
        <v>13</v>
      </c>
      <c r="AG20" s="12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4"/>
      <c r="AW20" s="4"/>
      <c r="AX20" s="4"/>
      <c r="AY20" s="4"/>
      <c r="AZ20" s="4"/>
      <c r="BA20" s="4"/>
      <c r="BB20" s="4"/>
      <c r="BC20" s="4"/>
    </row>
    <row r="21" spans="1:55" s="9" customFormat="1" ht="12.95" customHeight="1">
      <c r="A21" s="10">
        <v>15</v>
      </c>
      <c r="B21" s="11" t="s">
        <v>29</v>
      </c>
      <c r="C21" s="12"/>
      <c r="D21" s="12"/>
      <c r="E21" s="12"/>
      <c r="F21" s="12" t="s">
        <v>13</v>
      </c>
      <c r="G21" s="12"/>
      <c r="H21" s="12"/>
      <c r="I21" s="12"/>
      <c r="J21" s="12" t="s">
        <v>13</v>
      </c>
      <c r="K21" s="12" t="s">
        <v>13</v>
      </c>
      <c r="L21" s="12"/>
      <c r="M21" s="12" t="s">
        <v>13</v>
      </c>
      <c r="N21" s="12"/>
      <c r="O21" s="12" t="s">
        <v>13</v>
      </c>
      <c r="P21" s="12"/>
      <c r="Q21" s="12"/>
      <c r="R21" s="12"/>
      <c r="S21" s="12"/>
      <c r="T21" s="12" t="s">
        <v>13</v>
      </c>
      <c r="U21" s="12"/>
      <c r="V21" s="12"/>
      <c r="W21" s="12" t="s">
        <v>13</v>
      </c>
      <c r="X21" s="12" t="s">
        <v>13</v>
      </c>
      <c r="Y21" s="12"/>
      <c r="Z21" s="12"/>
      <c r="AA21" s="12" t="s">
        <v>13</v>
      </c>
      <c r="AB21" s="12" t="s">
        <v>13</v>
      </c>
      <c r="AC21" s="12"/>
      <c r="AD21" s="12"/>
      <c r="AE21" s="12" t="s">
        <v>13</v>
      </c>
      <c r="AF21" s="12"/>
      <c r="AG21" s="12"/>
      <c r="AH21" s="13" t="s">
        <v>14</v>
      </c>
      <c r="AI21" s="14" t="s">
        <v>13</v>
      </c>
      <c r="AJ21" s="15" t="s">
        <v>15</v>
      </c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4"/>
      <c r="AW21" s="4"/>
      <c r="AX21" s="4"/>
      <c r="AY21" s="4"/>
      <c r="AZ21" s="4"/>
      <c r="BA21" s="4"/>
      <c r="BB21" s="4"/>
      <c r="BC21" s="4"/>
    </row>
    <row r="22" spans="1:55" s="9" customFormat="1" ht="12.95" customHeight="1">
      <c r="A22" s="10">
        <v>16</v>
      </c>
      <c r="B22" s="11" t="s">
        <v>30</v>
      </c>
      <c r="C22" s="12"/>
      <c r="D22" s="12"/>
      <c r="E22" s="12"/>
      <c r="F22" s="12"/>
      <c r="G22" s="12"/>
      <c r="H22" s="12"/>
      <c r="I22" s="12"/>
      <c r="J22" s="12" t="s">
        <v>13</v>
      </c>
      <c r="K22" s="12"/>
      <c r="L22" s="12"/>
      <c r="M22" s="12"/>
      <c r="N22" s="12"/>
      <c r="O22" s="12" t="s">
        <v>14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6">
        <f>COUNTIF(C169:AG197,"T")</f>
        <v>0</v>
      </c>
      <c r="AI22" s="16">
        <f>COUNTIF(C169:AG303,"TB")</f>
        <v>30</v>
      </c>
      <c r="AJ22" s="16">
        <f>COUNTIF(C169:AG309,"B")</f>
        <v>6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4"/>
      <c r="AW22" s="4"/>
      <c r="AX22" s="4"/>
      <c r="AY22" s="4"/>
      <c r="AZ22" s="4"/>
      <c r="BA22" s="4"/>
      <c r="BB22" s="4"/>
      <c r="BC22" s="4"/>
    </row>
    <row r="23" spans="1:55" s="9" customFormat="1" ht="12.95" customHeight="1">
      <c r="A23" s="10">
        <v>17</v>
      </c>
      <c r="B23" s="11" t="s">
        <v>31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 t="s">
        <v>14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4"/>
      <c r="AW23" s="4"/>
      <c r="AX23" s="4"/>
      <c r="AY23" s="4"/>
      <c r="AZ23" s="4"/>
      <c r="BA23" s="4"/>
      <c r="BB23" s="4"/>
      <c r="BC23" s="4"/>
    </row>
    <row r="24" spans="1:55" s="9" customFormat="1" ht="12.95" customHeight="1">
      <c r="A24" s="10">
        <v>18</v>
      </c>
      <c r="B24" s="11" t="s">
        <v>32</v>
      </c>
      <c r="C24" s="12"/>
      <c r="D24" s="12"/>
      <c r="E24" s="12"/>
      <c r="F24" s="12"/>
      <c r="G24" s="12"/>
      <c r="H24" s="12"/>
      <c r="I24" s="12"/>
      <c r="J24" s="12" t="s">
        <v>13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 t="s">
        <v>14</v>
      </c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4"/>
      <c r="AW24" s="4"/>
      <c r="AX24" s="4"/>
      <c r="AY24" s="4"/>
      <c r="AZ24" s="4"/>
      <c r="BA24" s="4"/>
      <c r="BB24" s="4"/>
      <c r="BC24" s="4"/>
    </row>
    <row r="25" spans="1:55" s="9" customFormat="1" ht="12.95" customHeight="1">
      <c r="A25" s="10">
        <v>19</v>
      </c>
      <c r="B25" s="11" t="s">
        <v>33</v>
      </c>
      <c r="C25" s="12"/>
      <c r="D25" s="12" t="s">
        <v>13</v>
      </c>
      <c r="E25" s="12"/>
      <c r="F25" s="12"/>
      <c r="G25" s="12" t="s">
        <v>13</v>
      </c>
      <c r="H25" s="12" t="s">
        <v>13</v>
      </c>
      <c r="I25" s="12" t="s">
        <v>13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13</v>
      </c>
      <c r="V25" s="12"/>
      <c r="W25" s="12"/>
      <c r="X25" s="12"/>
      <c r="Y25" s="12"/>
      <c r="Z25" s="12"/>
      <c r="AA25" s="12" t="s">
        <v>13</v>
      </c>
      <c r="AB25" s="12"/>
      <c r="AC25" s="12"/>
      <c r="AD25" s="12"/>
      <c r="AE25" s="12"/>
      <c r="AF25" s="12"/>
      <c r="AG25" s="12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4"/>
      <c r="AW25" s="4"/>
      <c r="AX25" s="4"/>
      <c r="AY25" s="4"/>
      <c r="AZ25" s="4"/>
      <c r="BA25" s="4"/>
      <c r="BB25" s="4"/>
      <c r="BC25" s="4"/>
    </row>
    <row r="26" spans="1:55" s="9" customFormat="1" ht="12.95" customHeight="1">
      <c r="A26" s="10">
        <v>20</v>
      </c>
      <c r="B26" s="11" t="s">
        <v>34</v>
      </c>
      <c r="C26" s="12"/>
      <c r="D26" s="12"/>
      <c r="E26" s="12"/>
      <c r="F26" s="12"/>
      <c r="G26" s="12" t="s">
        <v>14</v>
      </c>
      <c r="H26" s="12" t="s">
        <v>13</v>
      </c>
      <c r="I26" s="12"/>
      <c r="J26" s="12"/>
      <c r="K26" s="12"/>
      <c r="L26" s="12"/>
      <c r="M26" s="12" t="s">
        <v>13</v>
      </c>
      <c r="N26" s="12"/>
      <c r="O26" s="12"/>
      <c r="P26" s="12"/>
      <c r="Q26" s="12"/>
      <c r="R26" s="12" t="s">
        <v>13</v>
      </c>
      <c r="S26" s="12"/>
      <c r="T26" s="12" t="s">
        <v>13</v>
      </c>
      <c r="U26" s="12"/>
      <c r="V26" s="12"/>
      <c r="W26" s="12" t="s">
        <v>13</v>
      </c>
      <c r="X26" s="12"/>
      <c r="Y26" s="12"/>
      <c r="Z26" s="12"/>
      <c r="AA26" s="12"/>
      <c r="AB26" s="12" t="s">
        <v>13</v>
      </c>
      <c r="AC26" s="12"/>
      <c r="AD26" s="12"/>
      <c r="AE26" s="12"/>
      <c r="AF26" s="12" t="s">
        <v>13</v>
      </c>
      <c r="AG26" s="12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4"/>
      <c r="AW26" s="4"/>
      <c r="AX26" s="4"/>
      <c r="AY26" s="4"/>
      <c r="AZ26" s="4"/>
      <c r="BA26" s="4"/>
      <c r="BB26" s="4"/>
      <c r="BC26" s="4"/>
    </row>
    <row r="27" spans="1:55" s="9" customFormat="1" ht="12.95" customHeight="1">
      <c r="A27" s="10">
        <v>21</v>
      </c>
      <c r="B27" s="11" t="s">
        <v>35</v>
      </c>
      <c r="C27" s="12"/>
      <c r="D27" s="12" t="s">
        <v>14</v>
      </c>
      <c r="E27" s="12"/>
      <c r="F27" s="12" t="s">
        <v>13</v>
      </c>
      <c r="G27" s="12"/>
      <c r="H27" s="12"/>
      <c r="I27" s="12"/>
      <c r="J27" s="12"/>
      <c r="K27" s="12"/>
      <c r="L27" s="12"/>
      <c r="M27" s="12"/>
      <c r="N27" s="12"/>
      <c r="O27" s="12" t="s">
        <v>13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 t="s">
        <v>13</v>
      </c>
      <c r="AG27" s="12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4"/>
      <c r="AW27" s="4"/>
      <c r="AX27" s="4"/>
      <c r="AY27" s="4"/>
      <c r="AZ27" s="4"/>
      <c r="BA27" s="4"/>
      <c r="BB27" s="4"/>
      <c r="BC27" s="4"/>
    </row>
    <row r="28" spans="1:55" s="9" customFormat="1" ht="12.95" customHeight="1">
      <c r="A28" s="10">
        <v>22</v>
      </c>
      <c r="B28" s="11" t="s">
        <v>36</v>
      </c>
      <c r="C28" s="12"/>
      <c r="D28" s="12"/>
      <c r="E28" s="12"/>
      <c r="F28" s="12"/>
      <c r="G28" s="12"/>
      <c r="H28" s="12"/>
      <c r="I28" s="12"/>
      <c r="J28" s="12"/>
      <c r="K28" s="12" t="s">
        <v>13</v>
      </c>
      <c r="L28" s="12"/>
      <c r="M28" s="12"/>
      <c r="N28" s="12"/>
      <c r="O28" s="12"/>
      <c r="P28" s="12"/>
      <c r="Q28" s="12"/>
      <c r="R28" s="12" t="s">
        <v>14</v>
      </c>
      <c r="S28" s="12"/>
      <c r="T28" s="12"/>
      <c r="U28" s="12"/>
      <c r="V28" s="12"/>
      <c r="W28" s="12"/>
      <c r="X28" s="12"/>
      <c r="Y28" s="12"/>
      <c r="Z28" s="12"/>
      <c r="AA28" s="12" t="s">
        <v>13</v>
      </c>
      <c r="AB28" s="12"/>
      <c r="AC28" s="12"/>
      <c r="AD28" s="12"/>
      <c r="AE28" s="12"/>
      <c r="AF28" s="12"/>
      <c r="AG28" s="12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4"/>
      <c r="AW28" s="4"/>
      <c r="AX28" s="4"/>
      <c r="AY28" s="4"/>
      <c r="AZ28" s="4"/>
      <c r="BA28" s="4"/>
      <c r="BB28" s="4"/>
      <c r="BC28" s="4"/>
    </row>
    <row r="29" spans="1:55" s="9" customFormat="1" ht="12.95" customHeight="1">
      <c r="A29" s="10">
        <v>23</v>
      </c>
      <c r="B29" s="11" t="s">
        <v>37</v>
      </c>
      <c r="C29" s="12"/>
      <c r="D29" s="12" t="s">
        <v>14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 t="s">
        <v>13</v>
      </c>
      <c r="U29" s="12"/>
      <c r="V29" s="12"/>
      <c r="W29" s="12"/>
      <c r="X29" s="12"/>
      <c r="Y29" s="12"/>
      <c r="Z29" s="12"/>
      <c r="AA29" s="12" t="s">
        <v>13</v>
      </c>
      <c r="AB29" s="12"/>
      <c r="AC29" s="12"/>
      <c r="AD29" s="12"/>
      <c r="AE29" s="12"/>
      <c r="AF29" s="12"/>
      <c r="AG29" s="12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4"/>
      <c r="AW29" s="4"/>
      <c r="AX29" s="4"/>
      <c r="AY29" s="4"/>
      <c r="AZ29" s="4"/>
      <c r="BA29" s="4"/>
      <c r="BB29" s="4"/>
      <c r="BC29" s="4"/>
    </row>
    <row r="30" spans="1:55" s="9" customFormat="1" ht="12.95" customHeight="1">
      <c r="A30" s="10">
        <v>24</v>
      </c>
      <c r="B30" s="11" t="s">
        <v>38</v>
      </c>
      <c r="C30" s="12"/>
      <c r="D30" s="12"/>
      <c r="E30" s="12"/>
      <c r="F30" s="12"/>
      <c r="G30" s="12" t="s">
        <v>13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4"/>
      <c r="AW30" s="4"/>
      <c r="AX30" s="4"/>
      <c r="AY30" s="4"/>
      <c r="AZ30" s="4"/>
      <c r="BA30" s="4"/>
      <c r="BB30" s="4"/>
      <c r="BC30" s="4"/>
    </row>
    <row r="31" spans="1:55" s="9" customFormat="1" ht="12.95" customHeight="1">
      <c r="A31" s="10">
        <v>25</v>
      </c>
      <c r="B31" s="11" t="s">
        <v>39</v>
      </c>
      <c r="C31" s="12"/>
      <c r="D31" s="12"/>
      <c r="E31" s="12"/>
      <c r="F31" s="12"/>
      <c r="G31" s="12" t="s">
        <v>14</v>
      </c>
      <c r="H31" s="12" t="s">
        <v>13</v>
      </c>
      <c r="I31" s="12"/>
      <c r="J31" s="12"/>
      <c r="K31" s="12"/>
      <c r="L31" s="12"/>
      <c r="M31" s="12" t="s">
        <v>14</v>
      </c>
      <c r="N31" s="12" t="s">
        <v>13</v>
      </c>
      <c r="O31" s="12" t="s">
        <v>13</v>
      </c>
      <c r="P31" s="12"/>
      <c r="Q31" s="12"/>
      <c r="R31" s="12"/>
      <c r="S31" s="12"/>
      <c r="T31" s="12"/>
      <c r="U31" s="12"/>
      <c r="V31" s="12"/>
      <c r="W31" s="12" t="s">
        <v>14</v>
      </c>
      <c r="X31" s="12"/>
      <c r="Y31" s="12" t="s">
        <v>13</v>
      </c>
      <c r="Z31" s="12"/>
      <c r="AA31" s="12"/>
      <c r="AB31" s="12"/>
      <c r="AC31" s="12"/>
      <c r="AD31" s="12"/>
      <c r="AE31" s="12"/>
      <c r="AF31" s="12" t="s">
        <v>13</v>
      </c>
      <c r="AG31" s="12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4"/>
      <c r="AW31" s="4"/>
      <c r="AX31" s="4"/>
      <c r="AY31" s="4"/>
      <c r="AZ31" s="4"/>
      <c r="BA31" s="4"/>
      <c r="BB31" s="4"/>
      <c r="BC31" s="4"/>
    </row>
    <row r="32" spans="1:55" s="9" customFormat="1" ht="12.95" customHeight="1">
      <c r="A32" s="10">
        <v>26</v>
      </c>
      <c r="B32" s="11" t="s">
        <v>40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 t="s">
        <v>13</v>
      </c>
      <c r="N32" s="12"/>
      <c r="O32" s="12"/>
      <c r="P32" s="12"/>
      <c r="Q32" s="12"/>
      <c r="R32" s="12" t="s">
        <v>14</v>
      </c>
      <c r="S32" s="12"/>
      <c r="T32" s="12"/>
      <c r="U32" s="12" t="s">
        <v>13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4"/>
      <c r="AW32" s="4"/>
      <c r="AX32" s="4"/>
      <c r="AY32" s="4"/>
      <c r="AZ32" s="4"/>
      <c r="BA32" s="4"/>
      <c r="BB32" s="4"/>
      <c r="BC32" s="4"/>
    </row>
    <row r="33" spans="1:55" s="9" customFormat="1" ht="12.95" customHeight="1">
      <c r="A33" s="10">
        <v>27</v>
      </c>
      <c r="B33" s="11" t="s">
        <v>41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4"/>
      <c r="AW33" s="4"/>
      <c r="AX33" s="4"/>
      <c r="AY33" s="4"/>
      <c r="AZ33" s="4"/>
      <c r="BA33" s="4"/>
      <c r="BB33" s="4"/>
      <c r="BC33" s="4"/>
    </row>
    <row r="34" spans="1:55" s="9" customFormat="1" ht="12.95" customHeight="1">
      <c r="A34" s="10">
        <v>28</v>
      </c>
      <c r="B34" s="11" t="s">
        <v>42</v>
      </c>
      <c r="C34" s="12"/>
      <c r="D34" s="12"/>
      <c r="E34" s="12"/>
      <c r="F34" s="12" t="s">
        <v>13</v>
      </c>
      <c r="G34" s="12" t="s">
        <v>13</v>
      </c>
      <c r="H34" s="12" t="s">
        <v>13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 t="s">
        <v>13</v>
      </c>
      <c r="W34" s="12"/>
      <c r="X34" s="12"/>
      <c r="Y34" s="12" t="s">
        <v>13</v>
      </c>
      <c r="Z34" s="12"/>
      <c r="AA34" s="12"/>
      <c r="AB34" s="12"/>
      <c r="AC34" s="12"/>
      <c r="AD34" s="12" t="s">
        <v>13</v>
      </c>
      <c r="AE34" s="12" t="s">
        <v>13</v>
      </c>
      <c r="AF34" s="12"/>
      <c r="AG34" s="12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4"/>
      <c r="AW34" s="4"/>
      <c r="AX34" s="4"/>
      <c r="AY34" s="4"/>
      <c r="AZ34" s="4"/>
      <c r="BA34" s="4"/>
      <c r="BB34" s="4"/>
      <c r="BC34" s="4"/>
    </row>
    <row r="35" spans="1:55" s="9" customFormat="1" ht="12.95" customHeight="1">
      <c r="A35" s="10">
        <v>29</v>
      </c>
      <c r="B35" s="11" t="s">
        <v>43</v>
      </c>
      <c r="C35" s="12"/>
      <c r="D35" s="12"/>
      <c r="E35" s="12"/>
      <c r="F35" s="12" t="s">
        <v>13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 t="s">
        <v>14</v>
      </c>
      <c r="R35" s="12"/>
      <c r="S35" s="12"/>
      <c r="T35" s="12" t="s">
        <v>13</v>
      </c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4"/>
      <c r="AW35" s="4"/>
      <c r="AX35" s="4"/>
      <c r="AY35" s="4"/>
      <c r="AZ35" s="4"/>
      <c r="BA35" s="4"/>
      <c r="BB35" s="4"/>
      <c r="BC35" s="4"/>
    </row>
    <row r="36" spans="1:55" s="9" customFormat="1" ht="12.95" customHeight="1">
      <c r="A36" s="10">
        <v>30</v>
      </c>
      <c r="B36" s="11" t="s">
        <v>44</v>
      </c>
      <c r="C36" s="12"/>
      <c r="D36" s="12"/>
      <c r="E36" s="12"/>
      <c r="F36" s="12"/>
      <c r="G36" s="12" t="s">
        <v>14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13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4"/>
      <c r="AW36" s="4"/>
      <c r="AX36" s="4"/>
      <c r="AY36" s="4"/>
      <c r="AZ36" s="4"/>
      <c r="BA36" s="4"/>
      <c r="BB36" s="4"/>
      <c r="BC36" s="4"/>
    </row>
    <row r="37" spans="1:55" s="9" customFormat="1" ht="12.95" customHeight="1">
      <c r="A37" s="10">
        <v>31</v>
      </c>
      <c r="B37" s="11" t="s">
        <v>45</v>
      </c>
      <c r="C37" s="12"/>
      <c r="D37" s="12" t="s">
        <v>14</v>
      </c>
      <c r="E37" s="12"/>
      <c r="F37" s="12" t="s">
        <v>13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4"/>
      <c r="AW37" s="4"/>
      <c r="AX37" s="4"/>
      <c r="AY37" s="4"/>
      <c r="AZ37" s="4"/>
      <c r="BA37" s="4"/>
      <c r="BB37" s="4"/>
      <c r="BC37" s="4"/>
    </row>
    <row r="38" spans="1:55" s="9" customFormat="1" ht="12.95" customHeight="1">
      <c r="A38" s="10">
        <v>32</v>
      </c>
      <c r="B38" s="11" t="s">
        <v>46</v>
      </c>
      <c r="C38" s="12"/>
      <c r="D38" s="12"/>
      <c r="E38" s="12"/>
      <c r="F38" s="12"/>
      <c r="G38" s="12"/>
      <c r="H38" s="12"/>
      <c r="I38" s="12" t="s">
        <v>13</v>
      </c>
      <c r="J38" s="12"/>
      <c r="K38" s="12"/>
      <c r="L38" s="12"/>
      <c r="M38" s="12"/>
      <c r="N38" s="12"/>
      <c r="O38" s="12"/>
      <c r="P38" s="12"/>
      <c r="Q38" s="12" t="s">
        <v>13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4"/>
      <c r="AW38" s="4"/>
      <c r="AX38" s="4"/>
      <c r="AY38" s="4"/>
      <c r="AZ38" s="4"/>
      <c r="BA38" s="4"/>
      <c r="BB38" s="4"/>
      <c r="BC38" s="4"/>
    </row>
    <row r="39" spans="1:55" s="9" customFormat="1" ht="12.95" customHeight="1">
      <c r="A39" s="10">
        <v>33</v>
      </c>
      <c r="B39" s="11" t="s">
        <v>47</v>
      </c>
      <c r="C39" s="12"/>
      <c r="D39" s="12"/>
      <c r="E39" s="12"/>
      <c r="F39" s="12"/>
      <c r="G39" s="12"/>
      <c r="H39" s="12"/>
      <c r="I39" s="12"/>
      <c r="J39" s="12" t="s">
        <v>14</v>
      </c>
      <c r="K39" s="12"/>
      <c r="L39" s="12"/>
      <c r="M39" s="12"/>
      <c r="N39" s="12" t="s">
        <v>13</v>
      </c>
      <c r="O39" s="12"/>
      <c r="P39" s="12"/>
      <c r="Q39" s="12"/>
      <c r="R39" s="12" t="s">
        <v>13</v>
      </c>
      <c r="S39" s="12"/>
      <c r="T39" s="12"/>
      <c r="U39" s="12" t="s">
        <v>13</v>
      </c>
      <c r="V39" s="12"/>
      <c r="W39" s="12" t="s">
        <v>13</v>
      </c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4"/>
      <c r="AW39" s="4"/>
      <c r="AX39" s="4"/>
      <c r="AY39" s="4"/>
      <c r="AZ39" s="4"/>
      <c r="BA39" s="4"/>
      <c r="BB39" s="4"/>
      <c r="BC39" s="4"/>
    </row>
    <row r="40" spans="1:55" s="9" customFormat="1" ht="12.95" customHeight="1">
      <c r="A40" s="10">
        <v>34</v>
      </c>
      <c r="B40" s="11" t="s">
        <v>48</v>
      </c>
      <c r="C40" s="12"/>
      <c r="D40" s="12" t="s">
        <v>14</v>
      </c>
      <c r="E40" s="12"/>
      <c r="F40" s="12"/>
      <c r="G40" s="12" t="s">
        <v>14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4"/>
      <c r="AW40" s="4"/>
      <c r="AX40" s="4"/>
      <c r="AY40" s="4"/>
      <c r="AZ40" s="4"/>
      <c r="BA40" s="4"/>
      <c r="BB40" s="4"/>
      <c r="BC40" s="4"/>
    </row>
    <row r="41" spans="1:55" s="9" customFormat="1" ht="12.95" customHeight="1">
      <c r="A41" s="10">
        <v>35</v>
      </c>
      <c r="B41" s="11" t="s">
        <v>49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 t="s">
        <v>13</v>
      </c>
      <c r="P41" s="12"/>
      <c r="Q41" s="12"/>
      <c r="R41" s="12"/>
      <c r="S41" s="12"/>
      <c r="T41" s="12"/>
      <c r="U41" s="12"/>
      <c r="V41" s="12" t="s">
        <v>13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4"/>
      <c r="AW41" s="4"/>
      <c r="AX41" s="4"/>
      <c r="AY41" s="4"/>
      <c r="AZ41" s="4"/>
      <c r="BA41" s="4"/>
      <c r="BB41" s="4"/>
      <c r="BC41" s="4"/>
    </row>
    <row r="42" spans="1:55" s="9" customFormat="1" ht="12.95" customHeight="1">
      <c r="A42" s="10">
        <v>36</v>
      </c>
      <c r="B42" s="11" t="s">
        <v>50</v>
      </c>
      <c r="C42" s="12"/>
      <c r="D42" s="12"/>
      <c r="E42" s="12"/>
      <c r="F42" s="12" t="s">
        <v>13</v>
      </c>
      <c r="G42" s="12"/>
      <c r="H42" s="12"/>
      <c r="I42" s="12" t="s">
        <v>13</v>
      </c>
      <c r="J42" s="12"/>
      <c r="K42" s="12"/>
      <c r="L42" s="12"/>
      <c r="M42" s="12" t="s">
        <v>13</v>
      </c>
      <c r="N42" s="12" t="s">
        <v>13</v>
      </c>
      <c r="O42" s="12"/>
      <c r="P42" s="12"/>
      <c r="Q42" s="12"/>
      <c r="R42" s="12"/>
      <c r="S42" s="12"/>
      <c r="T42" s="12" t="s">
        <v>13</v>
      </c>
      <c r="U42" s="12"/>
      <c r="V42" s="12" t="s">
        <v>13</v>
      </c>
      <c r="W42" s="12"/>
      <c r="X42" s="12"/>
      <c r="Y42" s="12"/>
      <c r="Z42" s="12"/>
      <c r="AA42" s="12"/>
      <c r="AB42" s="12" t="s">
        <v>13</v>
      </c>
      <c r="AC42" s="12"/>
      <c r="AD42" s="12"/>
      <c r="AE42" s="12"/>
      <c r="AF42" s="12"/>
      <c r="AG42" s="12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4"/>
      <c r="AW42" s="4"/>
      <c r="AX42" s="4"/>
      <c r="AY42" s="4"/>
      <c r="AZ42" s="4"/>
      <c r="BA42" s="4"/>
      <c r="BB42" s="4"/>
      <c r="BC42" s="4"/>
    </row>
    <row r="43" spans="1:55" s="9" customFormat="1" ht="12.95" customHeight="1">
      <c r="A43" s="10">
        <v>37</v>
      </c>
      <c r="B43" s="11" t="s">
        <v>51</v>
      </c>
      <c r="C43" s="12"/>
      <c r="D43" s="12"/>
      <c r="E43" s="12"/>
      <c r="F43" s="12" t="s">
        <v>13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4"/>
      <c r="AW43" s="4"/>
      <c r="AX43" s="4"/>
      <c r="AY43" s="4"/>
      <c r="AZ43" s="4"/>
      <c r="BA43" s="4"/>
      <c r="BB43" s="4"/>
      <c r="BC43" s="4"/>
    </row>
    <row r="44" spans="1:55" s="9" customFormat="1" ht="12.95" customHeight="1">
      <c r="A44" s="10">
        <v>38</v>
      </c>
      <c r="B44" s="11" t="s">
        <v>52</v>
      </c>
      <c r="C44" s="12"/>
      <c r="D44" s="12" t="s">
        <v>14</v>
      </c>
      <c r="E44" s="12"/>
      <c r="F44" s="12" t="s">
        <v>13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4"/>
      <c r="AW44" s="4"/>
      <c r="AX44" s="4"/>
      <c r="AY44" s="4"/>
      <c r="AZ44" s="4"/>
      <c r="BA44" s="4"/>
      <c r="BB44" s="4"/>
      <c r="BC44" s="4"/>
    </row>
    <row r="45" spans="1:55" s="9" customFormat="1" ht="12.95" customHeight="1">
      <c r="A45" s="10">
        <v>39</v>
      </c>
      <c r="B45" s="11" t="s">
        <v>53</v>
      </c>
      <c r="C45" s="12"/>
      <c r="D45" s="12"/>
      <c r="E45" s="12"/>
      <c r="F45" s="12" t="s">
        <v>13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 t="s">
        <v>13</v>
      </c>
      <c r="Y45" s="12" t="s">
        <v>13</v>
      </c>
      <c r="Z45" s="12"/>
      <c r="AA45" s="12"/>
      <c r="AB45" s="12"/>
      <c r="AC45" s="12"/>
      <c r="AD45" s="12"/>
      <c r="AE45" s="12"/>
      <c r="AF45" s="12"/>
      <c r="AG45" s="12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4"/>
      <c r="AW45" s="4"/>
      <c r="AX45" s="4"/>
      <c r="AY45" s="4"/>
      <c r="AZ45" s="4"/>
      <c r="BA45" s="4"/>
      <c r="BB45" s="4"/>
      <c r="BC45" s="4"/>
    </row>
    <row r="46" spans="1:55" s="9" customFormat="1" ht="12.95" customHeight="1">
      <c r="A46" s="10">
        <v>40</v>
      </c>
      <c r="B46" s="11" t="s">
        <v>54</v>
      </c>
      <c r="C46" s="12"/>
      <c r="D46" s="12"/>
      <c r="E46" s="12"/>
      <c r="F46" s="12" t="s">
        <v>14</v>
      </c>
      <c r="G46" s="12"/>
      <c r="H46" s="12"/>
      <c r="I46" s="12"/>
      <c r="J46" s="12" t="s">
        <v>13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4"/>
      <c r="AW46" s="4"/>
      <c r="AX46" s="4"/>
      <c r="AY46" s="4"/>
      <c r="AZ46" s="4"/>
      <c r="BA46" s="4"/>
      <c r="BB46" s="4"/>
      <c r="BC46" s="4"/>
    </row>
    <row r="47" spans="1:55" s="9" customFormat="1" ht="12.95" customHeight="1">
      <c r="A47" s="10">
        <v>41</v>
      </c>
      <c r="B47" s="11" t="s">
        <v>55</v>
      </c>
      <c r="C47" s="12"/>
      <c r="D47" s="12"/>
      <c r="E47" s="12"/>
      <c r="F47" s="12"/>
      <c r="G47" s="12" t="s">
        <v>13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4"/>
      <c r="AW47" s="4"/>
      <c r="AX47" s="4"/>
      <c r="AY47" s="4"/>
      <c r="AZ47" s="4"/>
      <c r="BA47" s="4"/>
      <c r="BB47" s="4"/>
      <c r="BC47" s="4"/>
    </row>
    <row r="48" spans="1:55" s="9" customFormat="1" ht="12.95" customHeight="1">
      <c r="A48" s="10">
        <v>42</v>
      </c>
      <c r="B48" s="11" t="s">
        <v>56</v>
      </c>
      <c r="C48" s="12"/>
      <c r="D48" s="12" t="s">
        <v>14</v>
      </c>
      <c r="E48" s="12"/>
      <c r="F48" s="12"/>
      <c r="G48" s="12" t="s">
        <v>14</v>
      </c>
      <c r="H48" s="12"/>
      <c r="I48" s="12"/>
      <c r="J48" s="12"/>
      <c r="K48" s="12" t="s">
        <v>14</v>
      </c>
      <c r="L48" s="12"/>
      <c r="M48" s="12"/>
      <c r="N48" s="12" t="s">
        <v>13</v>
      </c>
      <c r="O48" s="12"/>
      <c r="P48" s="12"/>
      <c r="Q48" s="12"/>
      <c r="R48" s="12"/>
      <c r="S48" s="12"/>
      <c r="T48" s="12"/>
      <c r="U48" s="12" t="s">
        <v>13</v>
      </c>
      <c r="V48" s="12"/>
      <c r="W48" s="12"/>
      <c r="X48" s="12"/>
      <c r="Y48" s="12"/>
      <c r="Z48" s="12"/>
      <c r="AA48" s="12"/>
      <c r="AB48" s="12" t="s">
        <v>13</v>
      </c>
      <c r="AC48" s="12"/>
      <c r="AD48" s="12"/>
      <c r="AE48" s="12"/>
      <c r="AF48" s="12"/>
      <c r="AG48" s="12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4"/>
      <c r="AW48" s="4"/>
      <c r="AX48" s="4"/>
      <c r="AY48" s="4"/>
      <c r="AZ48" s="4"/>
      <c r="BA48" s="4"/>
      <c r="BB48" s="4"/>
      <c r="BC48" s="4"/>
    </row>
    <row r="49" spans="1:55" s="9" customFormat="1" ht="12.95" customHeight="1">
      <c r="A49" s="10">
        <v>43</v>
      </c>
      <c r="B49" s="11" t="s">
        <v>57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 t="s">
        <v>13</v>
      </c>
      <c r="AC49" s="12"/>
      <c r="AD49" s="12"/>
      <c r="AE49" s="12"/>
      <c r="AF49" s="12"/>
      <c r="AG49" s="12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4"/>
      <c r="AW49" s="4"/>
      <c r="AX49" s="4"/>
      <c r="AY49" s="4"/>
      <c r="AZ49" s="4"/>
      <c r="BA49" s="4"/>
      <c r="BB49" s="4"/>
      <c r="BC49" s="4"/>
    </row>
    <row r="50" spans="1:55" s="9" customFormat="1" ht="12.95" customHeight="1">
      <c r="A50" s="10">
        <v>44</v>
      </c>
      <c r="B50" s="11" t="s">
        <v>58</v>
      </c>
      <c r="C50" s="12"/>
      <c r="D50" s="12"/>
      <c r="E50" s="12"/>
      <c r="F50" s="12"/>
      <c r="G50" s="12"/>
      <c r="H50" s="12"/>
      <c r="I50" s="12" t="s">
        <v>13</v>
      </c>
      <c r="J50" s="12"/>
      <c r="K50" s="12"/>
      <c r="L50" s="12"/>
      <c r="M50" s="12"/>
      <c r="N50" s="12"/>
      <c r="O50" s="12"/>
      <c r="P50" s="12"/>
      <c r="Q50" s="12" t="s">
        <v>13</v>
      </c>
      <c r="R50" s="12"/>
      <c r="S50" s="12"/>
      <c r="T50" s="12"/>
      <c r="U50" s="12"/>
      <c r="V50" s="12"/>
      <c r="W50" s="12"/>
      <c r="X50" s="12"/>
      <c r="Y50" s="12"/>
      <c r="Z50" s="12"/>
      <c r="AA50" s="12" t="s">
        <v>13</v>
      </c>
      <c r="AB50" s="12"/>
      <c r="AC50" s="12"/>
      <c r="AD50" s="12"/>
      <c r="AE50" s="12" t="s">
        <v>13</v>
      </c>
      <c r="AF50" s="12"/>
      <c r="AG50" s="12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4"/>
      <c r="AW50" s="4"/>
      <c r="AX50" s="4"/>
      <c r="AY50" s="4"/>
      <c r="AZ50" s="4"/>
      <c r="BA50" s="4"/>
      <c r="BB50" s="4"/>
      <c r="BC50" s="4"/>
    </row>
    <row r="51" spans="1:55" s="9" customFormat="1" ht="12.95" customHeight="1">
      <c r="A51" s="10">
        <v>46</v>
      </c>
      <c r="B51" s="11" t="s">
        <v>59</v>
      </c>
      <c r="C51" s="12"/>
      <c r="D51" s="12" t="s">
        <v>14</v>
      </c>
      <c r="E51" s="12"/>
      <c r="F51" s="12"/>
      <c r="G51" s="12"/>
      <c r="H51" s="12"/>
      <c r="I51" s="12"/>
      <c r="J51" s="12"/>
      <c r="K51" s="12"/>
      <c r="L51" s="12"/>
      <c r="M51" s="12" t="s">
        <v>14</v>
      </c>
      <c r="N51" s="12"/>
      <c r="O51" s="12"/>
      <c r="P51" s="12"/>
      <c r="Q51" s="12"/>
      <c r="R51" s="12"/>
      <c r="S51" s="12"/>
      <c r="T51" s="12"/>
      <c r="U51" s="12" t="s">
        <v>13</v>
      </c>
      <c r="V51" s="12"/>
      <c r="W51" s="12"/>
      <c r="X51" s="12"/>
      <c r="Y51" s="12"/>
      <c r="Z51" s="12"/>
      <c r="AA51" s="12"/>
      <c r="AB51" s="12"/>
      <c r="AC51" s="12"/>
      <c r="AD51" s="12"/>
      <c r="AE51" s="12" t="s">
        <v>13</v>
      </c>
      <c r="AF51" s="12"/>
      <c r="AG51" s="12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4"/>
      <c r="AW51" s="4"/>
      <c r="AX51" s="4"/>
      <c r="AY51" s="4"/>
      <c r="AZ51" s="4"/>
      <c r="BA51" s="4"/>
      <c r="BB51" s="4"/>
      <c r="BC51" s="4"/>
    </row>
    <row r="52" spans="1:55" s="9" customFormat="1" ht="12.95" customHeight="1">
      <c r="A52" s="10">
        <v>47</v>
      </c>
      <c r="B52" s="11" t="s">
        <v>60</v>
      </c>
      <c r="C52" s="12"/>
      <c r="D52" s="12"/>
      <c r="E52" s="12"/>
      <c r="F52" s="12"/>
      <c r="G52" s="12"/>
      <c r="H52" s="12" t="s">
        <v>13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4"/>
      <c r="AW52" s="4"/>
      <c r="AX52" s="4"/>
      <c r="AY52" s="4"/>
      <c r="AZ52" s="4"/>
      <c r="BA52" s="4"/>
      <c r="BB52" s="4"/>
      <c r="BC52" s="4"/>
    </row>
    <row r="53" spans="1:55" s="9" customFormat="1" ht="12.95" customHeight="1">
      <c r="A53" s="10">
        <v>48</v>
      </c>
      <c r="B53" s="11" t="s">
        <v>61</v>
      </c>
      <c r="C53" s="12"/>
      <c r="D53" s="12"/>
      <c r="E53" s="12"/>
      <c r="F53" s="12"/>
      <c r="G53" s="12"/>
      <c r="H53" s="12"/>
      <c r="I53" s="12" t="s">
        <v>13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4"/>
      <c r="AW53" s="4"/>
      <c r="AX53" s="4"/>
      <c r="AY53" s="4"/>
      <c r="AZ53" s="4"/>
      <c r="BA53" s="4"/>
      <c r="BB53" s="4"/>
      <c r="BC53" s="4"/>
    </row>
    <row r="54" spans="1:55" s="9" customFormat="1" ht="12.95" customHeight="1">
      <c r="A54" s="10">
        <v>49</v>
      </c>
      <c r="B54" s="11" t="s">
        <v>62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4"/>
      <c r="AW54" s="4"/>
      <c r="AX54" s="4"/>
      <c r="AY54" s="4"/>
      <c r="AZ54" s="4"/>
      <c r="BA54" s="4"/>
      <c r="BB54" s="4"/>
      <c r="BC54" s="4"/>
    </row>
    <row r="55" spans="1:55" s="9" customFormat="1" ht="12.95" customHeight="1">
      <c r="A55" s="10">
        <v>50</v>
      </c>
      <c r="B55" s="11" t="s">
        <v>63</v>
      </c>
      <c r="C55" s="12"/>
      <c r="D55" s="12"/>
      <c r="E55" s="12"/>
      <c r="F55" s="12"/>
      <c r="G55" s="12" t="s">
        <v>13</v>
      </c>
      <c r="H55" s="12"/>
      <c r="I55" s="12"/>
      <c r="J55" s="12"/>
      <c r="K55" s="12" t="s">
        <v>15</v>
      </c>
      <c r="L55" s="12"/>
      <c r="M55" s="12" t="s">
        <v>13</v>
      </c>
      <c r="N55" s="12"/>
      <c r="O55" s="12"/>
      <c r="P55" s="12"/>
      <c r="Q55" s="12" t="s">
        <v>13</v>
      </c>
      <c r="R55" s="12"/>
      <c r="S55" s="12"/>
      <c r="T55" s="12"/>
      <c r="U55" s="12" t="s">
        <v>13</v>
      </c>
      <c r="V55" s="12" t="s">
        <v>13</v>
      </c>
      <c r="W55" s="12"/>
      <c r="X55" s="12" t="s">
        <v>13</v>
      </c>
      <c r="Y55" s="12"/>
      <c r="Z55" s="12"/>
      <c r="AA55" s="12" t="s">
        <v>13</v>
      </c>
      <c r="AB55" s="12"/>
      <c r="AC55" s="12"/>
      <c r="AD55" s="12" t="s">
        <v>13</v>
      </c>
      <c r="AE55" s="12" t="s">
        <v>13</v>
      </c>
      <c r="AF55" s="12"/>
      <c r="AG55" s="12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4"/>
      <c r="AW55" s="4"/>
      <c r="AX55" s="4"/>
      <c r="AY55" s="4"/>
      <c r="AZ55" s="4"/>
      <c r="BA55" s="4"/>
      <c r="BB55" s="4"/>
      <c r="BC55" s="4"/>
    </row>
    <row r="56" spans="1:55" s="9" customFormat="1" ht="12.95" customHeight="1">
      <c r="A56" s="10">
        <v>51</v>
      </c>
      <c r="B56" s="11" t="s">
        <v>64</v>
      </c>
      <c r="C56" s="12"/>
      <c r="D56" s="12" t="s">
        <v>13</v>
      </c>
      <c r="E56" s="12"/>
      <c r="F56" s="12"/>
      <c r="G56" s="12" t="s">
        <v>13</v>
      </c>
      <c r="H56" s="12"/>
      <c r="I56" s="12"/>
      <c r="J56" s="12"/>
      <c r="K56" s="12" t="s">
        <v>13</v>
      </c>
      <c r="L56" s="12"/>
      <c r="M56" s="12" t="s">
        <v>13</v>
      </c>
      <c r="N56" s="12" t="s">
        <v>13</v>
      </c>
      <c r="O56" s="12"/>
      <c r="P56" s="12"/>
      <c r="Q56" s="12"/>
      <c r="R56" s="12"/>
      <c r="S56" s="12"/>
      <c r="T56" s="12" t="s">
        <v>13</v>
      </c>
      <c r="U56" s="12" t="s">
        <v>13</v>
      </c>
      <c r="V56" s="12"/>
      <c r="W56" s="12"/>
      <c r="X56" s="12" t="s">
        <v>13</v>
      </c>
      <c r="Y56" s="12"/>
      <c r="Z56" s="12"/>
      <c r="AA56" s="12" t="s">
        <v>13</v>
      </c>
      <c r="AB56" s="12" t="s">
        <v>13</v>
      </c>
      <c r="AC56" s="12"/>
      <c r="AD56" s="12"/>
      <c r="AE56" s="12"/>
      <c r="AF56" s="12"/>
      <c r="AG56" s="12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4"/>
      <c r="AW56" s="4"/>
      <c r="AX56" s="4"/>
      <c r="AY56" s="4"/>
      <c r="AZ56" s="4"/>
      <c r="BA56" s="4"/>
      <c r="BB56" s="4"/>
      <c r="BC56" s="4"/>
    </row>
    <row r="57" spans="1:55" s="9" customFormat="1" ht="12.95" customHeight="1">
      <c r="A57" s="10">
        <v>52</v>
      </c>
      <c r="B57" s="11" t="s">
        <v>65</v>
      </c>
      <c r="C57" s="12"/>
      <c r="D57" s="12"/>
      <c r="E57" s="12"/>
      <c r="F57" s="12" t="s">
        <v>14</v>
      </c>
      <c r="G57" s="12"/>
      <c r="H57" s="12" t="s">
        <v>13</v>
      </c>
      <c r="I57" s="12"/>
      <c r="J57" s="12"/>
      <c r="K57" s="12"/>
      <c r="L57" s="12"/>
      <c r="M57" s="12" t="s">
        <v>14</v>
      </c>
      <c r="N57" s="12"/>
      <c r="O57" s="12"/>
      <c r="P57" s="12"/>
      <c r="Q57" s="12" t="s">
        <v>13</v>
      </c>
      <c r="R57" s="12"/>
      <c r="S57" s="12"/>
      <c r="T57" s="12"/>
      <c r="U57" s="12" t="s">
        <v>13</v>
      </c>
      <c r="V57" s="12"/>
      <c r="W57" s="12"/>
      <c r="X57" s="12"/>
      <c r="Y57" s="12"/>
      <c r="Z57" s="12"/>
      <c r="AA57" s="12" t="s">
        <v>13</v>
      </c>
      <c r="AB57" s="12" t="s">
        <v>13</v>
      </c>
      <c r="AC57" s="12"/>
      <c r="AD57" s="12"/>
      <c r="AE57" s="12"/>
      <c r="AF57" s="12"/>
      <c r="AG57" s="12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4"/>
      <c r="AW57" s="4"/>
      <c r="AX57" s="4"/>
      <c r="AY57" s="4"/>
      <c r="AZ57" s="4"/>
      <c r="BA57" s="4"/>
      <c r="BB57" s="4"/>
      <c r="BC57" s="4"/>
    </row>
    <row r="58" spans="1:55" s="9" customFormat="1" ht="12.95" customHeight="1">
      <c r="A58" s="10">
        <v>53</v>
      </c>
      <c r="B58" s="11" t="s">
        <v>66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4"/>
      <c r="AW58" s="4"/>
      <c r="AX58" s="4"/>
      <c r="AY58" s="4"/>
      <c r="AZ58" s="4"/>
      <c r="BA58" s="4"/>
      <c r="BB58" s="4"/>
      <c r="BC58" s="4"/>
    </row>
    <row r="59" spans="1:55" s="9" customFormat="1" ht="12.95" customHeight="1">
      <c r="A59" s="10">
        <v>54</v>
      </c>
      <c r="B59" s="11" t="s">
        <v>67</v>
      </c>
      <c r="C59" s="12"/>
      <c r="D59" s="12"/>
      <c r="E59" s="12"/>
      <c r="F59" s="12"/>
      <c r="G59" s="12"/>
      <c r="H59" s="12"/>
      <c r="I59" s="12"/>
      <c r="J59" s="12" t="s">
        <v>14</v>
      </c>
      <c r="K59" s="12"/>
      <c r="L59" s="12"/>
      <c r="M59" s="12" t="s">
        <v>13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 t="s">
        <v>13</v>
      </c>
      <c r="AG59" s="12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4"/>
      <c r="AW59" s="4"/>
      <c r="AX59" s="4"/>
      <c r="AY59" s="4"/>
      <c r="AZ59" s="4"/>
      <c r="BA59" s="4"/>
      <c r="BB59" s="4"/>
      <c r="BC59" s="4"/>
    </row>
    <row r="60" spans="1:55" s="21" customFormat="1" ht="12.95" customHeight="1">
      <c r="A60" s="10">
        <v>55</v>
      </c>
      <c r="B60" s="11" t="s">
        <v>68</v>
      </c>
      <c r="C60" s="19"/>
      <c r="D60" s="19"/>
      <c r="E60" s="19"/>
      <c r="F60" s="19"/>
      <c r="G60" s="19"/>
      <c r="H60" s="19"/>
      <c r="I60" s="19"/>
      <c r="J60" s="19"/>
      <c r="K60" s="19" t="s">
        <v>13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 t="s">
        <v>13</v>
      </c>
      <c r="AC60" s="19"/>
      <c r="AD60" s="19"/>
      <c r="AE60" s="19"/>
      <c r="AF60" s="19"/>
      <c r="AG60" s="19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</row>
    <row r="61" spans="1:55" s="9" customFormat="1" ht="12.95" customHeight="1">
      <c r="A61" s="10">
        <v>56</v>
      </c>
      <c r="B61" s="11" t="s">
        <v>69</v>
      </c>
      <c r="C61" s="12"/>
      <c r="D61" s="12"/>
      <c r="E61" s="12"/>
      <c r="F61" s="12"/>
      <c r="G61" s="12"/>
      <c r="H61" s="12" t="s">
        <v>14</v>
      </c>
      <c r="I61" s="12"/>
      <c r="J61" s="12"/>
      <c r="K61" s="12"/>
      <c r="L61" s="12"/>
      <c r="M61" s="12" t="s">
        <v>13</v>
      </c>
      <c r="N61" s="12"/>
      <c r="O61" s="12" t="s">
        <v>13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 t="s">
        <v>13</v>
      </c>
      <c r="AB61" s="12"/>
      <c r="AC61" s="12"/>
      <c r="AD61" s="12"/>
      <c r="AE61" s="12" t="s">
        <v>13</v>
      </c>
      <c r="AF61" s="12"/>
      <c r="AG61" s="12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4"/>
      <c r="AW61" s="4"/>
      <c r="AX61" s="4"/>
      <c r="AY61" s="4"/>
      <c r="AZ61" s="4"/>
      <c r="BA61" s="4"/>
      <c r="BB61" s="4"/>
      <c r="BC61" s="4"/>
    </row>
    <row r="62" spans="1:55" s="9" customFormat="1" ht="12.95" customHeight="1">
      <c r="A62" s="10">
        <v>57</v>
      </c>
      <c r="B62" s="11" t="s">
        <v>70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 t="s">
        <v>13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4"/>
      <c r="AW62" s="4"/>
      <c r="AX62" s="4"/>
      <c r="AY62" s="4"/>
      <c r="AZ62" s="4"/>
      <c r="BA62" s="4"/>
      <c r="BB62" s="4"/>
      <c r="BC62" s="4"/>
    </row>
    <row r="63" spans="1:55" s="9" customFormat="1" ht="12.95" customHeight="1">
      <c r="A63" s="10">
        <v>58</v>
      </c>
      <c r="B63" s="11" t="s">
        <v>71</v>
      </c>
      <c r="C63" s="12"/>
      <c r="D63" s="12"/>
      <c r="E63" s="12"/>
      <c r="F63" s="12" t="s">
        <v>14</v>
      </c>
      <c r="G63" s="12"/>
      <c r="H63" s="12"/>
      <c r="I63" s="12"/>
      <c r="J63" s="12" t="s">
        <v>13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4"/>
      <c r="AW63" s="4"/>
      <c r="AX63" s="4"/>
      <c r="AY63" s="4"/>
      <c r="AZ63" s="4"/>
      <c r="BA63" s="4"/>
      <c r="BB63" s="4"/>
      <c r="BC63" s="4"/>
    </row>
    <row r="64" spans="1:55" s="9" customFormat="1" ht="12.95" customHeight="1">
      <c r="A64" s="10">
        <v>59</v>
      </c>
      <c r="B64" s="11" t="s">
        <v>72</v>
      </c>
      <c r="C64" s="12"/>
      <c r="D64" s="12"/>
      <c r="E64" s="12"/>
      <c r="F64" s="12" t="s">
        <v>13</v>
      </c>
      <c r="G64" s="12"/>
      <c r="H64" s="12"/>
      <c r="I64" s="12"/>
      <c r="J64" s="12"/>
      <c r="K64" s="12" t="s">
        <v>13</v>
      </c>
      <c r="L64" s="12"/>
      <c r="M64" s="12" t="s">
        <v>13</v>
      </c>
      <c r="N64" s="12" t="s">
        <v>13</v>
      </c>
      <c r="O64" s="12"/>
      <c r="P64" s="12"/>
      <c r="Q64" s="12"/>
      <c r="R64" s="12"/>
      <c r="S64" s="12"/>
      <c r="T64" s="12" t="s">
        <v>13</v>
      </c>
      <c r="U64" s="12"/>
      <c r="V64" s="12"/>
      <c r="W64" s="12"/>
      <c r="X64" s="12"/>
      <c r="Y64" s="12"/>
      <c r="Z64" s="12"/>
      <c r="AA64" s="12"/>
      <c r="AB64" s="12" t="s">
        <v>13</v>
      </c>
      <c r="AC64" s="12"/>
      <c r="AD64" s="12"/>
      <c r="AE64" s="12"/>
      <c r="AF64" s="12" t="s">
        <v>13</v>
      </c>
      <c r="AG64" s="12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4"/>
      <c r="AW64" s="4"/>
      <c r="AX64" s="4"/>
      <c r="AY64" s="4"/>
      <c r="AZ64" s="4"/>
      <c r="BA64" s="4"/>
      <c r="BB64" s="4"/>
      <c r="BC64" s="4"/>
    </row>
    <row r="65" spans="1:55" s="9" customFormat="1" ht="12.95" customHeight="1">
      <c r="A65" s="10">
        <v>60</v>
      </c>
      <c r="B65" s="11" t="s">
        <v>73</v>
      </c>
      <c r="C65" s="12"/>
      <c r="D65" s="12"/>
      <c r="E65" s="12"/>
      <c r="F65" s="12" t="s">
        <v>13</v>
      </c>
      <c r="G65" s="12"/>
      <c r="H65" s="12"/>
      <c r="I65" s="12"/>
      <c r="J65" s="12"/>
      <c r="K65" s="12"/>
      <c r="L65" s="12"/>
      <c r="M65" s="12" t="s">
        <v>13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4"/>
      <c r="AW65" s="4"/>
      <c r="AX65" s="4"/>
      <c r="AY65" s="4"/>
      <c r="AZ65" s="4"/>
      <c r="BA65" s="4"/>
      <c r="BB65" s="4"/>
      <c r="BC65" s="4"/>
    </row>
    <row r="66" spans="1:55" s="9" customFormat="1" ht="12.95" customHeight="1">
      <c r="A66" s="10">
        <v>61</v>
      </c>
      <c r="B66" s="11" t="s">
        <v>74</v>
      </c>
      <c r="C66" s="12"/>
      <c r="D66" s="12"/>
      <c r="E66" s="12"/>
      <c r="F66" s="12"/>
      <c r="G66" s="12"/>
      <c r="H66" s="12" t="s">
        <v>13</v>
      </c>
      <c r="I66" s="12"/>
      <c r="J66" s="12"/>
      <c r="K66" s="12"/>
      <c r="L66" s="12"/>
      <c r="M66" s="12" t="s">
        <v>14</v>
      </c>
      <c r="N66" s="12" t="s">
        <v>13</v>
      </c>
      <c r="O66" s="12"/>
      <c r="P66" s="12"/>
      <c r="Q66" s="12"/>
      <c r="R66" s="12"/>
      <c r="S66" s="12"/>
      <c r="T66" s="12" t="s">
        <v>13</v>
      </c>
      <c r="U66" s="12"/>
      <c r="V66" s="12" t="s">
        <v>13</v>
      </c>
      <c r="W66" s="12"/>
      <c r="X66" s="12"/>
      <c r="Y66" s="12" t="s">
        <v>13</v>
      </c>
      <c r="Z66" s="12"/>
      <c r="AA66" s="12" t="s">
        <v>13</v>
      </c>
      <c r="AB66" s="12"/>
      <c r="AC66" s="12"/>
      <c r="AD66" s="12"/>
      <c r="AE66" s="12"/>
      <c r="AF66" s="12"/>
      <c r="AG66" s="12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4"/>
      <c r="AW66" s="4"/>
      <c r="AX66" s="4"/>
      <c r="AY66" s="4"/>
      <c r="AZ66" s="4"/>
      <c r="BA66" s="4"/>
      <c r="BB66" s="4"/>
      <c r="BC66" s="4"/>
    </row>
    <row r="67" spans="1:55" s="9" customFormat="1" ht="12.95" customHeight="1">
      <c r="A67" s="10">
        <v>62</v>
      </c>
      <c r="B67" s="11" t="s">
        <v>75</v>
      </c>
      <c r="C67" s="12"/>
      <c r="D67" s="12"/>
      <c r="E67" s="12"/>
      <c r="F67" s="12" t="s">
        <v>13</v>
      </c>
      <c r="G67" s="12" t="s">
        <v>13</v>
      </c>
      <c r="H67" s="12" t="s">
        <v>13</v>
      </c>
      <c r="I67" s="12"/>
      <c r="J67" s="12"/>
      <c r="K67" s="12"/>
      <c r="L67" s="12"/>
      <c r="M67" s="12" t="s">
        <v>13</v>
      </c>
      <c r="N67" s="12" t="s">
        <v>13</v>
      </c>
      <c r="O67" s="12" t="s">
        <v>13</v>
      </c>
      <c r="P67" s="12"/>
      <c r="Q67" s="12"/>
      <c r="R67" s="12"/>
      <c r="S67" s="12"/>
      <c r="T67" s="12" t="s">
        <v>13</v>
      </c>
      <c r="U67" s="12" t="s">
        <v>13</v>
      </c>
      <c r="V67" s="12" t="s">
        <v>13</v>
      </c>
      <c r="W67" s="12"/>
      <c r="X67" s="12" t="s">
        <v>13</v>
      </c>
      <c r="Y67" s="12"/>
      <c r="Z67" s="12"/>
      <c r="AA67" s="12"/>
      <c r="AB67" s="12"/>
      <c r="AC67" s="12"/>
      <c r="AD67" s="12"/>
      <c r="AE67" s="12"/>
      <c r="AF67" s="12" t="s">
        <v>13</v>
      </c>
      <c r="AG67" s="12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4"/>
      <c r="AW67" s="4"/>
      <c r="AX67" s="4"/>
      <c r="AY67" s="4"/>
      <c r="AZ67" s="4"/>
      <c r="BA67" s="4"/>
      <c r="BB67" s="4"/>
      <c r="BC67" s="4"/>
    </row>
    <row r="68" spans="1:55" s="9" customFormat="1" ht="12.95" customHeight="1">
      <c r="A68" s="10">
        <v>63</v>
      </c>
      <c r="B68" s="11" t="s">
        <v>76</v>
      </c>
      <c r="C68" s="12"/>
      <c r="D68" s="12"/>
      <c r="E68" s="12"/>
      <c r="F68" s="12"/>
      <c r="G68" s="12"/>
      <c r="H68" s="12" t="s">
        <v>14</v>
      </c>
      <c r="I68" s="12"/>
      <c r="J68" s="12"/>
      <c r="K68" s="12"/>
      <c r="L68" s="12"/>
      <c r="M68" s="12"/>
      <c r="N68" s="12"/>
      <c r="O68" s="12"/>
      <c r="P68" s="12"/>
      <c r="Q68" s="12" t="s">
        <v>14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 t="s">
        <v>13</v>
      </c>
      <c r="AE68" s="12"/>
      <c r="AF68" s="12"/>
      <c r="AG68" s="12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4"/>
      <c r="AW68" s="4"/>
      <c r="AX68" s="4"/>
      <c r="AY68" s="4"/>
      <c r="AZ68" s="4"/>
      <c r="BA68" s="4"/>
      <c r="BB68" s="4"/>
      <c r="BC68" s="4"/>
    </row>
    <row r="69" spans="1:55" s="9" customFormat="1" ht="12.95" customHeight="1">
      <c r="A69" s="10">
        <v>64</v>
      </c>
      <c r="B69" s="11" t="s">
        <v>77</v>
      </c>
      <c r="C69" s="12"/>
      <c r="D69" s="12"/>
      <c r="E69" s="12"/>
      <c r="F69" s="12" t="s">
        <v>13</v>
      </c>
      <c r="G69" s="12"/>
      <c r="H69" s="12" t="s">
        <v>13</v>
      </c>
      <c r="I69" s="12"/>
      <c r="J69" s="12" t="s">
        <v>13</v>
      </c>
      <c r="K69" s="12"/>
      <c r="L69" s="12"/>
      <c r="M69" s="12" t="s">
        <v>14</v>
      </c>
      <c r="N69" s="12" t="s">
        <v>13</v>
      </c>
      <c r="O69" s="12"/>
      <c r="P69" s="12"/>
      <c r="Q69" s="12"/>
      <c r="R69" s="12" t="s">
        <v>13</v>
      </c>
      <c r="S69" s="12"/>
      <c r="T69" s="12"/>
      <c r="U69" s="12"/>
      <c r="V69" s="12" t="s">
        <v>13</v>
      </c>
      <c r="W69" s="12"/>
      <c r="X69" s="12"/>
      <c r="Y69" s="12"/>
      <c r="Z69" s="12"/>
      <c r="AA69" s="12" t="s">
        <v>13</v>
      </c>
      <c r="AB69" s="12"/>
      <c r="AC69" s="12"/>
      <c r="AD69" s="12" t="s">
        <v>13</v>
      </c>
      <c r="AE69" s="12"/>
      <c r="AF69" s="12"/>
      <c r="AG69" s="12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4"/>
      <c r="AW69" s="4"/>
      <c r="AX69" s="4"/>
      <c r="AY69" s="4"/>
      <c r="AZ69" s="4"/>
      <c r="BA69" s="4"/>
      <c r="BB69" s="4"/>
      <c r="BC69" s="4"/>
    </row>
    <row r="70" spans="1:55" s="9" customFormat="1" ht="12.95" customHeight="1">
      <c r="A70" s="10">
        <v>65</v>
      </c>
      <c r="B70" s="11" t="s">
        <v>78</v>
      </c>
      <c r="C70" s="12"/>
      <c r="D70" s="12"/>
      <c r="E70" s="12"/>
      <c r="F70" s="12"/>
      <c r="G70" s="12"/>
      <c r="H70" s="12" t="s">
        <v>14</v>
      </c>
      <c r="I70" s="12"/>
      <c r="J70" s="12" t="s">
        <v>13</v>
      </c>
      <c r="K70" s="12"/>
      <c r="L70" s="12"/>
      <c r="M70" s="12"/>
      <c r="N70" s="12"/>
      <c r="O70" s="12"/>
      <c r="P70" s="12"/>
      <c r="Q70" s="12"/>
      <c r="R70" s="12" t="s">
        <v>13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 t="s">
        <v>14</v>
      </c>
      <c r="AG70" s="12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4"/>
      <c r="AW70" s="4"/>
      <c r="AX70" s="4"/>
      <c r="AY70" s="4"/>
      <c r="AZ70" s="4"/>
      <c r="BA70" s="4"/>
      <c r="BB70" s="4"/>
      <c r="BC70" s="4"/>
    </row>
    <row r="71" spans="1:55" s="9" customFormat="1" ht="12.95" customHeight="1">
      <c r="A71" s="10">
        <v>66</v>
      </c>
      <c r="B71" s="11" t="s">
        <v>79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4"/>
      <c r="AW71" s="4"/>
      <c r="AX71" s="4"/>
      <c r="AY71" s="4"/>
      <c r="AZ71" s="4"/>
      <c r="BA71" s="4"/>
      <c r="BB71" s="4"/>
      <c r="BC71" s="4"/>
    </row>
    <row r="72" spans="1:55" s="9" customFormat="1" ht="12.95" customHeight="1">
      <c r="A72" s="10">
        <v>67</v>
      </c>
      <c r="B72" s="11" t="s">
        <v>80</v>
      </c>
      <c r="C72" s="12"/>
      <c r="D72" s="12"/>
      <c r="E72" s="12"/>
      <c r="F72" s="12"/>
      <c r="G72" s="12"/>
      <c r="H72" s="12"/>
      <c r="I72" s="12"/>
      <c r="J72" s="12"/>
      <c r="K72" s="12" t="s">
        <v>13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 t="s">
        <v>13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4"/>
      <c r="AW72" s="4"/>
      <c r="AX72" s="4"/>
      <c r="AY72" s="4"/>
      <c r="AZ72" s="4"/>
      <c r="BA72" s="4"/>
      <c r="BB72" s="4"/>
      <c r="BC72" s="4"/>
    </row>
    <row r="73" spans="1:55" s="9" customFormat="1" ht="12.95" customHeight="1">
      <c r="A73" s="10">
        <v>68</v>
      </c>
      <c r="B73" s="11" t="s">
        <v>81</v>
      </c>
      <c r="C73" s="12"/>
      <c r="D73" s="12" t="s">
        <v>14</v>
      </c>
      <c r="E73" s="12"/>
      <c r="F73" s="12"/>
      <c r="G73" s="12" t="s">
        <v>13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 t="s">
        <v>13</v>
      </c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 t="s">
        <v>13</v>
      </c>
      <c r="AG73" s="12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4"/>
      <c r="AW73" s="4"/>
      <c r="AX73" s="4"/>
      <c r="AY73" s="4"/>
      <c r="AZ73" s="4"/>
      <c r="BA73" s="4"/>
      <c r="BB73" s="4"/>
      <c r="BC73" s="4"/>
    </row>
    <row r="74" spans="1:55" s="9" customFormat="1" ht="12.95" customHeight="1">
      <c r="A74" s="10">
        <v>69</v>
      </c>
      <c r="B74" s="11" t="s">
        <v>82</v>
      </c>
      <c r="C74" s="12"/>
      <c r="D74" s="12"/>
      <c r="E74" s="12"/>
      <c r="F74" s="12"/>
      <c r="G74" s="12"/>
      <c r="H74" s="12"/>
      <c r="I74" s="12" t="s">
        <v>13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4"/>
      <c r="AW74" s="4"/>
      <c r="AX74" s="4"/>
      <c r="AY74" s="4"/>
      <c r="AZ74" s="4"/>
      <c r="BA74" s="4"/>
      <c r="BB74" s="4"/>
      <c r="BC74" s="4"/>
    </row>
    <row r="75" spans="1:55" s="9" customFormat="1" ht="12.95" customHeight="1">
      <c r="A75" s="10">
        <v>70</v>
      </c>
      <c r="B75" s="11" t="s">
        <v>83</v>
      </c>
      <c r="C75" s="12"/>
      <c r="D75" s="12"/>
      <c r="E75" s="12"/>
      <c r="F75" s="12"/>
      <c r="G75" s="12"/>
      <c r="H75" s="12" t="s">
        <v>14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 t="s">
        <v>13</v>
      </c>
      <c r="W75" s="12" t="s">
        <v>13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4"/>
      <c r="AW75" s="4"/>
      <c r="AX75" s="4"/>
      <c r="AY75" s="4"/>
      <c r="AZ75" s="4"/>
      <c r="BA75" s="4"/>
      <c r="BB75" s="4"/>
      <c r="BC75" s="4"/>
    </row>
    <row r="76" spans="1:55" s="9" customFormat="1" ht="12.95" customHeight="1">
      <c r="A76" s="10">
        <v>71</v>
      </c>
      <c r="B76" s="11" t="s">
        <v>84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 t="s">
        <v>13</v>
      </c>
      <c r="N76" s="12"/>
      <c r="O76" s="12" t="s">
        <v>13</v>
      </c>
      <c r="P76" s="12"/>
      <c r="Q76" s="12"/>
      <c r="R76" s="12"/>
      <c r="S76" s="12"/>
      <c r="T76" s="12"/>
      <c r="U76" s="12"/>
      <c r="V76" s="12"/>
      <c r="W76" s="12" t="s">
        <v>13</v>
      </c>
      <c r="X76" s="12"/>
      <c r="Y76" s="12"/>
      <c r="Z76" s="12"/>
      <c r="AA76" s="12" t="s">
        <v>13</v>
      </c>
      <c r="AB76" s="12"/>
      <c r="AC76" s="12"/>
      <c r="AD76" s="12"/>
      <c r="AE76" s="12"/>
      <c r="AF76" s="12"/>
      <c r="AG76" s="12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4"/>
      <c r="AW76" s="4"/>
      <c r="AX76" s="4"/>
      <c r="AY76" s="4"/>
      <c r="AZ76" s="4"/>
      <c r="BA76" s="4"/>
      <c r="BB76" s="4"/>
      <c r="BC76" s="4"/>
    </row>
    <row r="77" spans="1:55" s="9" customFormat="1" ht="12.95" customHeight="1">
      <c r="A77" s="10">
        <v>72</v>
      </c>
      <c r="B77" s="11" t="s">
        <v>85</v>
      </c>
      <c r="C77" s="12"/>
      <c r="D77" s="12"/>
      <c r="E77" s="12"/>
      <c r="F77" s="12" t="s">
        <v>13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 t="s">
        <v>13</v>
      </c>
      <c r="AB77" s="12"/>
      <c r="AC77" s="12"/>
      <c r="AD77" s="12"/>
      <c r="AE77" s="12"/>
      <c r="AF77" s="12"/>
      <c r="AG77" s="12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4"/>
      <c r="AW77" s="4"/>
      <c r="AX77" s="4"/>
      <c r="AY77" s="4"/>
      <c r="AZ77" s="4"/>
      <c r="BA77" s="4"/>
      <c r="BB77" s="4"/>
      <c r="BC77" s="4"/>
    </row>
    <row r="78" spans="1:55" s="9" customFormat="1" ht="12.95" customHeight="1">
      <c r="A78" s="10">
        <v>73</v>
      </c>
      <c r="B78" s="11" t="s">
        <v>86</v>
      </c>
      <c r="C78" s="12"/>
      <c r="D78" s="12"/>
      <c r="E78" s="12"/>
      <c r="F78" s="12"/>
      <c r="G78" s="12"/>
      <c r="H78" s="12"/>
      <c r="I78" s="12"/>
      <c r="J78" s="12"/>
      <c r="K78" s="12" t="s">
        <v>14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 t="s">
        <v>13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4"/>
      <c r="AW78" s="4"/>
      <c r="AX78" s="4"/>
      <c r="AY78" s="4"/>
      <c r="AZ78" s="4"/>
      <c r="BA78" s="4"/>
      <c r="BB78" s="4"/>
      <c r="BC78" s="4"/>
    </row>
    <row r="79" spans="1:55" s="9" customFormat="1" ht="12.95" customHeight="1">
      <c r="A79" s="10">
        <v>74</v>
      </c>
      <c r="B79" s="11" t="s">
        <v>87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14</v>
      </c>
      <c r="O79" s="12" t="s">
        <v>13</v>
      </c>
      <c r="P79" s="12"/>
      <c r="Q79" s="12"/>
      <c r="R79" s="12"/>
      <c r="S79" s="12"/>
      <c r="T79" s="12"/>
      <c r="U79" s="12"/>
      <c r="V79" s="12"/>
      <c r="W79" s="12"/>
      <c r="X79" s="12" t="s">
        <v>13</v>
      </c>
      <c r="Y79" s="12"/>
      <c r="Z79" s="12"/>
      <c r="AA79" s="12"/>
      <c r="AB79" s="12"/>
      <c r="AC79" s="12"/>
      <c r="AD79" s="12" t="s">
        <v>14</v>
      </c>
      <c r="AE79" s="12"/>
      <c r="AF79" s="12"/>
      <c r="AG79" s="12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4"/>
      <c r="AW79" s="4"/>
      <c r="AX79" s="4"/>
      <c r="AY79" s="4"/>
      <c r="AZ79" s="4"/>
      <c r="BA79" s="4"/>
      <c r="BB79" s="4"/>
      <c r="BC79" s="4"/>
    </row>
    <row r="80" spans="1:55" s="9" customFormat="1" ht="12.95" customHeight="1">
      <c r="A80" s="10">
        <v>75</v>
      </c>
      <c r="B80" s="11" t="s">
        <v>88</v>
      </c>
      <c r="C80" s="12"/>
      <c r="D80" s="12"/>
      <c r="E80" s="12"/>
      <c r="F80" s="12"/>
      <c r="G80" s="12"/>
      <c r="H80" s="12"/>
      <c r="I80" s="12"/>
      <c r="J80" s="12"/>
      <c r="K80" s="12" t="s">
        <v>13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 t="s">
        <v>13</v>
      </c>
      <c r="Y80" s="12"/>
      <c r="Z80" s="12"/>
      <c r="AA80" s="12"/>
      <c r="AB80" s="12"/>
      <c r="AC80" s="12"/>
      <c r="AD80" s="12"/>
      <c r="AE80" s="12"/>
      <c r="AF80" s="12"/>
      <c r="AG80" s="12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4"/>
      <c r="AW80" s="4"/>
      <c r="AX80" s="4"/>
      <c r="AY80" s="4"/>
      <c r="AZ80" s="4"/>
      <c r="BA80" s="4"/>
      <c r="BB80" s="4"/>
      <c r="BC80" s="4"/>
    </row>
    <row r="81" spans="1:55" s="9" customFormat="1" ht="12.95" customHeight="1">
      <c r="A81" s="10">
        <v>76</v>
      </c>
      <c r="B81" s="11" t="s">
        <v>89</v>
      </c>
      <c r="C81" s="12"/>
      <c r="D81" s="12"/>
      <c r="E81" s="12"/>
      <c r="F81" s="12"/>
      <c r="G81" s="12"/>
      <c r="H81" s="12"/>
      <c r="I81" s="12" t="s">
        <v>14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 t="s">
        <v>13</v>
      </c>
      <c r="U81" s="12"/>
      <c r="V81" s="12"/>
      <c r="W81" s="12"/>
      <c r="X81" s="12"/>
      <c r="Y81" s="12" t="s">
        <v>14</v>
      </c>
      <c r="Z81" s="12"/>
      <c r="AA81" s="12" t="s">
        <v>13</v>
      </c>
      <c r="AB81" s="12"/>
      <c r="AC81" s="12"/>
      <c r="AD81" s="12"/>
      <c r="AE81" s="12"/>
      <c r="AF81" s="12"/>
      <c r="AG81" s="12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4"/>
      <c r="AW81" s="4"/>
      <c r="AX81" s="4"/>
      <c r="AY81" s="4"/>
      <c r="AZ81" s="4"/>
      <c r="BA81" s="4"/>
      <c r="BB81" s="4"/>
      <c r="BC81" s="4"/>
    </row>
    <row r="82" spans="1:55" s="9" customFormat="1" ht="12.95" customHeight="1">
      <c r="A82" s="10">
        <v>77</v>
      </c>
      <c r="B82" s="11" t="s">
        <v>90</v>
      </c>
      <c r="C82" s="12"/>
      <c r="D82" s="12"/>
      <c r="E82" s="12"/>
      <c r="F82" s="12"/>
      <c r="G82" s="12"/>
      <c r="H82" s="12"/>
      <c r="I82" s="12"/>
      <c r="J82" s="12"/>
      <c r="K82" s="12" t="s">
        <v>13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4"/>
      <c r="AW82" s="4"/>
      <c r="AX82" s="4"/>
      <c r="AY82" s="4"/>
      <c r="AZ82" s="4"/>
      <c r="BA82" s="4"/>
      <c r="BB82" s="4"/>
      <c r="BC82" s="4"/>
    </row>
    <row r="83" spans="1:55" s="9" customFormat="1" ht="12.95" customHeight="1">
      <c r="A83" s="10">
        <v>78</v>
      </c>
      <c r="B83" s="11" t="s">
        <v>91</v>
      </c>
      <c r="C83" s="12"/>
      <c r="D83" s="12"/>
      <c r="E83" s="12"/>
      <c r="F83" s="12"/>
      <c r="G83" s="12"/>
      <c r="H83" s="12"/>
      <c r="I83" s="12"/>
      <c r="J83" s="12" t="s">
        <v>13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4"/>
      <c r="AW83" s="4"/>
      <c r="AX83" s="4"/>
      <c r="AY83" s="4"/>
      <c r="AZ83" s="4"/>
      <c r="BA83" s="4"/>
      <c r="BB83" s="4"/>
      <c r="BC83" s="4"/>
    </row>
    <row r="84" spans="1:55" s="9" customFormat="1" ht="12.95" customHeight="1">
      <c r="A84" s="10">
        <v>79</v>
      </c>
      <c r="B84" s="11" t="s">
        <v>92</v>
      </c>
      <c r="C84" s="12"/>
      <c r="D84" s="12"/>
      <c r="E84" s="12"/>
      <c r="F84" s="12" t="s">
        <v>13</v>
      </c>
      <c r="G84" s="12"/>
      <c r="H84" s="12"/>
      <c r="I84" s="12"/>
      <c r="J84" s="12"/>
      <c r="K84" s="12"/>
      <c r="L84" s="12"/>
      <c r="M84" s="12"/>
      <c r="N84" s="12" t="s">
        <v>13</v>
      </c>
      <c r="O84" s="12"/>
      <c r="P84" s="12"/>
      <c r="Q84" s="12"/>
      <c r="R84" s="12"/>
      <c r="S84" s="12"/>
      <c r="T84" s="12" t="s">
        <v>13</v>
      </c>
      <c r="U84" s="12"/>
      <c r="V84" s="12"/>
      <c r="W84" s="12"/>
      <c r="X84" s="12"/>
      <c r="Y84" s="12" t="s">
        <v>14</v>
      </c>
      <c r="Z84" s="12"/>
      <c r="AA84" s="12" t="s">
        <v>13</v>
      </c>
      <c r="AB84" s="12"/>
      <c r="AC84" s="12"/>
      <c r="AD84" s="12" t="s">
        <v>13</v>
      </c>
      <c r="AE84" s="12"/>
      <c r="AF84" s="12" t="s">
        <v>13</v>
      </c>
      <c r="AG84" s="12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4"/>
      <c r="AW84" s="4"/>
      <c r="AX84" s="4"/>
      <c r="AY84" s="4"/>
      <c r="AZ84" s="4"/>
      <c r="BA84" s="4"/>
      <c r="BB84" s="4"/>
      <c r="BC84" s="4"/>
    </row>
    <row r="85" spans="1:55" s="9" customFormat="1" ht="12.95" customHeight="1">
      <c r="A85" s="10">
        <v>80</v>
      </c>
      <c r="B85" s="11" t="s">
        <v>93</v>
      </c>
      <c r="C85" s="12"/>
      <c r="D85" s="12"/>
      <c r="E85" s="12"/>
      <c r="F85" s="12"/>
      <c r="G85" s="12" t="s">
        <v>13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 t="s">
        <v>13</v>
      </c>
      <c r="U85" s="12"/>
      <c r="V85" s="12"/>
      <c r="W85" s="12"/>
      <c r="X85" s="12" t="s">
        <v>13</v>
      </c>
      <c r="Y85" s="12"/>
      <c r="Z85" s="12"/>
      <c r="AA85" s="12"/>
      <c r="AB85" s="12"/>
      <c r="AC85" s="12"/>
      <c r="AD85" s="12"/>
      <c r="AE85" s="12"/>
      <c r="AF85" s="12"/>
      <c r="AG85" s="12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4"/>
      <c r="AW85" s="4"/>
      <c r="AX85" s="4"/>
      <c r="AY85" s="4"/>
      <c r="AZ85" s="4"/>
      <c r="BA85" s="4"/>
      <c r="BB85" s="4"/>
      <c r="BC85" s="4"/>
    </row>
    <row r="86" spans="1:55" s="9" customFormat="1" ht="12.95" customHeight="1">
      <c r="A86" s="10">
        <v>81</v>
      </c>
      <c r="B86" s="11" t="s">
        <v>94</v>
      </c>
      <c r="C86" s="12"/>
      <c r="D86" s="12"/>
      <c r="E86" s="12"/>
      <c r="F86" s="12"/>
      <c r="G86" s="12"/>
      <c r="H86" s="12"/>
      <c r="I86" s="12"/>
      <c r="J86" s="12" t="s">
        <v>14</v>
      </c>
      <c r="K86" s="12"/>
      <c r="L86" s="12"/>
      <c r="M86" s="12"/>
      <c r="N86" s="12"/>
      <c r="O86" s="12" t="s">
        <v>13</v>
      </c>
      <c r="P86" s="12"/>
      <c r="Q86" s="12"/>
      <c r="R86" s="12" t="s">
        <v>13</v>
      </c>
      <c r="S86" s="12"/>
      <c r="T86" s="12"/>
      <c r="U86" s="12" t="s">
        <v>14</v>
      </c>
      <c r="V86" s="12"/>
      <c r="W86" s="12"/>
      <c r="X86" s="12" t="s">
        <v>13</v>
      </c>
      <c r="Y86" s="12"/>
      <c r="Z86" s="12"/>
      <c r="AA86" s="12" t="s">
        <v>13</v>
      </c>
      <c r="AB86" s="12" t="s">
        <v>13</v>
      </c>
      <c r="AC86" s="12"/>
      <c r="AD86" s="12"/>
      <c r="AE86" s="12"/>
      <c r="AF86" s="12"/>
      <c r="AG86" s="12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4"/>
      <c r="AW86" s="4"/>
      <c r="AX86" s="4"/>
      <c r="AY86" s="4"/>
      <c r="AZ86" s="4"/>
      <c r="BA86" s="4"/>
      <c r="BB86" s="4"/>
      <c r="BC86" s="4"/>
    </row>
    <row r="87" spans="1:55" s="9" customFormat="1" ht="12.95" customHeight="1">
      <c r="A87" s="10">
        <v>82</v>
      </c>
      <c r="B87" s="11" t="s">
        <v>95</v>
      </c>
      <c r="C87" s="12"/>
      <c r="D87" s="12"/>
      <c r="E87" s="12"/>
      <c r="F87" s="12"/>
      <c r="G87" s="12"/>
      <c r="H87" s="12"/>
      <c r="I87" s="12"/>
      <c r="J87" s="12"/>
      <c r="K87" s="12" t="s">
        <v>14</v>
      </c>
      <c r="L87" s="12"/>
      <c r="M87" s="12"/>
      <c r="N87" s="12"/>
      <c r="O87" s="12"/>
      <c r="P87" s="12"/>
      <c r="Q87" s="12" t="s">
        <v>13</v>
      </c>
      <c r="R87" s="12"/>
      <c r="S87" s="12"/>
      <c r="T87" s="12"/>
      <c r="U87" s="12"/>
      <c r="V87" s="12"/>
      <c r="W87" s="12"/>
      <c r="X87" s="12"/>
      <c r="Y87" s="12" t="s">
        <v>14</v>
      </c>
      <c r="Z87" s="12"/>
      <c r="AA87" s="12" t="s">
        <v>13</v>
      </c>
      <c r="AB87" s="12"/>
      <c r="AC87" s="12"/>
      <c r="AD87" s="12"/>
      <c r="AE87" s="12"/>
      <c r="AF87" s="12"/>
      <c r="AG87" s="12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4"/>
      <c r="AW87" s="4"/>
      <c r="AX87" s="4"/>
      <c r="AY87" s="4"/>
      <c r="AZ87" s="4"/>
      <c r="BA87" s="4"/>
      <c r="BB87" s="4"/>
      <c r="BC87" s="4"/>
    </row>
    <row r="88" spans="1:55" s="9" customFormat="1" ht="12.95" customHeight="1">
      <c r="A88" s="10">
        <v>83</v>
      </c>
      <c r="B88" s="11" t="s">
        <v>96</v>
      </c>
      <c r="C88" s="12"/>
      <c r="D88" s="12"/>
      <c r="E88" s="12"/>
      <c r="F88" s="12"/>
      <c r="G88" s="12" t="s">
        <v>13</v>
      </c>
      <c r="H88" s="12"/>
      <c r="I88" s="12" t="s">
        <v>14</v>
      </c>
      <c r="J88" s="12"/>
      <c r="K88" s="12" t="s">
        <v>13</v>
      </c>
      <c r="L88" s="12"/>
      <c r="M88" s="12" t="s">
        <v>13</v>
      </c>
      <c r="N88" s="12"/>
      <c r="O88" s="12"/>
      <c r="P88" s="12"/>
      <c r="Q88" s="12" t="s">
        <v>13</v>
      </c>
      <c r="R88" s="12"/>
      <c r="S88" s="12"/>
      <c r="T88" s="12" t="s">
        <v>13</v>
      </c>
      <c r="U88" s="12"/>
      <c r="V88" s="12" t="s">
        <v>13</v>
      </c>
      <c r="W88" s="12"/>
      <c r="X88" s="12" t="s">
        <v>13</v>
      </c>
      <c r="Y88" s="12"/>
      <c r="Z88" s="12"/>
      <c r="AA88" s="12" t="s">
        <v>13</v>
      </c>
      <c r="AB88" s="12"/>
      <c r="AC88" s="12"/>
      <c r="AD88" s="12"/>
      <c r="AE88" s="12"/>
      <c r="AF88" s="12"/>
      <c r="AG88" s="12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4"/>
      <c r="AW88" s="4"/>
      <c r="AX88" s="4"/>
      <c r="AY88" s="4"/>
      <c r="AZ88" s="4"/>
      <c r="BA88" s="4"/>
      <c r="BB88" s="4"/>
      <c r="BC88" s="4"/>
    </row>
    <row r="89" spans="1:55" s="9" customFormat="1" ht="12.95" customHeight="1">
      <c r="A89" s="10">
        <v>84</v>
      </c>
      <c r="B89" s="11" t="s">
        <v>97</v>
      </c>
      <c r="C89" s="12"/>
      <c r="D89" s="12"/>
      <c r="E89" s="12"/>
      <c r="F89" s="12" t="s">
        <v>13</v>
      </c>
      <c r="G89" s="12"/>
      <c r="H89" s="12" t="s">
        <v>13</v>
      </c>
      <c r="I89" s="12"/>
      <c r="J89" s="12" t="s">
        <v>13</v>
      </c>
      <c r="K89" s="12"/>
      <c r="L89" s="12"/>
      <c r="M89" s="12" t="s">
        <v>13</v>
      </c>
      <c r="N89" s="12"/>
      <c r="O89" s="12"/>
      <c r="P89" s="12"/>
      <c r="Q89" s="12" t="s">
        <v>13</v>
      </c>
      <c r="R89" s="12"/>
      <c r="S89" s="12"/>
      <c r="T89" s="12"/>
      <c r="U89" s="12" t="s">
        <v>13</v>
      </c>
      <c r="V89" s="12"/>
      <c r="W89" s="12" t="s">
        <v>13</v>
      </c>
      <c r="X89" s="12"/>
      <c r="Y89" s="12"/>
      <c r="Z89" s="12"/>
      <c r="AA89" s="12" t="s">
        <v>13</v>
      </c>
      <c r="AB89" s="12"/>
      <c r="AC89" s="12"/>
      <c r="AD89" s="12"/>
      <c r="AE89" s="12"/>
      <c r="AF89" s="12" t="s">
        <v>13</v>
      </c>
      <c r="AG89" s="12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4"/>
      <c r="AW89" s="4"/>
      <c r="AX89" s="4"/>
      <c r="AY89" s="4"/>
      <c r="AZ89" s="4"/>
      <c r="BA89" s="4"/>
      <c r="BB89" s="4"/>
      <c r="BC89" s="4"/>
    </row>
    <row r="90" spans="1:55" s="9" customFormat="1" ht="12.95" customHeight="1">
      <c r="A90" s="10">
        <v>85</v>
      </c>
      <c r="B90" s="11" t="s">
        <v>98</v>
      </c>
      <c r="C90" s="12"/>
      <c r="D90" s="12"/>
      <c r="E90" s="12"/>
      <c r="F90" s="12"/>
      <c r="G90" s="12"/>
      <c r="H90" s="12"/>
      <c r="I90" s="12"/>
      <c r="J90" s="12"/>
      <c r="K90" s="12" t="s">
        <v>13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 t="s">
        <v>14</v>
      </c>
      <c r="Z90" s="12"/>
      <c r="AA90" s="12"/>
      <c r="AB90" s="12"/>
      <c r="AC90" s="12"/>
      <c r="AD90" s="12"/>
      <c r="AE90" s="12"/>
      <c r="AF90" s="12"/>
      <c r="AG90" s="12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4"/>
      <c r="AW90" s="4"/>
      <c r="AX90" s="4"/>
      <c r="AY90" s="4"/>
      <c r="AZ90" s="4"/>
      <c r="BA90" s="4"/>
      <c r="BB90" s="4"/>
      <c r="BC90" s="4"/>
    </row>
    <row r="91" spans="1:55" s="9" customFormat="1" ht="12.95" customHeight="1">
      <c r="A91" s="10">
        <v>86</v>
      </c>
      <c r="B91" s="11" t="s">
        <v>99</v>
      </c>
      <c r="C91" s="12"/>
      <c r="D91" s="12"/>
      <c r="E91" s="12"/>
      <c r="F91" s="12"/>
      <c r="G91" s="12"/>
      <c r="H91" s="12" t="s">
        <v>13</v>
      </c>
      <c r="I91" s="12"/>
      <c r="J91" s="12"/>
      <c r="K91" s="12" t="s">
        <v>14</v>
      </c>
      <c r="L91" s="12"/>
      <c r="M91" s="12" t="s">
        <v>13</v>
      </c>
      <c r="N91" s="12"/>
      <c r="O91" s="12" t="s">
        <v>13</v>
      </c>
      <c r="P91" s="12"/>
      <c r="Q91" s="12"/>
      <c r="R91" s="12"/>
      <c r="S91" s="12"/>
      <c r="T91" s="12" t="s">
        <v>13</v>
      </c>
      <c r="U91" s="12" t="s">
        <v>13</v>
      </c>
      <c r="V91" s="12"/>
      <c r="W91" s="12"/>
      <c r="X91" s="12" t="s">
        <v>13</v>
      </c>
      <c r="Y91" s="12"/>
      <c r="Z91" s="12"/>
      <c r="AA91" s="12"/>
      <c r="AB91" s="12"/>
      <c r="AC91" s="12"/>
      <c r="AD91" s="12" t="s">
        <v>13</v>
      </c>
      <c r="AE91" s="12"/>
      <c r="AF91" s="12"/>
      <c r="AG91" s="12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4"/>
      <c r="AW91" s="4"/>
      <c r="AX91" s="4"/>
      <c r="AY91" s="4"/>
      <c r="AZ91" s="4"/>
      <c r="BA91" s="4"/>
      <c r="BB91" s="4"/>
      <c r="BC91" s="4"/>
    </row>
    <row r="92" spans="1:55" s="9" customFormat="1" ht="12.95" customHeight="1">
      <c r="A92" s="10">
        <v>87</v>
      </c>
      <c r="B92" s="11" t="s">
        <v>100</v>
      </c>
      <c r="C92" s="12"/>
      <c r="D92" s="12"/>
      <c r="E92" s="12"/>
      <c r="F92" s="12"/>
      <c r="G92" s="12" t="s">
        <v>13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 t="s">
        <v>13</v>
      </c>
      <c r="Y92" s="12"/>
      <c r="Z92" s="12"/>
      <c r="AA92" s="12" t="s">
        <v>13</v>
      </c>
      <c r="AB92" s="12"/>
      <c r="AC92" s="12"/>
      <c r="AD92" s="12"/>
      <c r="AE92" s="12"/>
      <c r="AF92" s="12"/>
      <c r="AG92" s="12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4"/>
      <c r="AW92" s="4"/>
      <c r="AX92" s="4"/>
      <c r="AY92" s="4"/>
      <c r="AZ92" s="4"/>
      <c r="BA92" s="4"/>
      <c r="BB92" s="4"/>
      <c r="BC92" s="4"/>
    </row>
    <row r="93" spans="1:55" s="9" customFormat="1" ht="12.95" customHeight="1">
      <c r="A93" s="10">
        <v>88</v>
      </c>
      <c r="B93" s="11" t="s">
        <v>101</v>
      </c>
      <c r="C93" s="12"/>
      <c r="D93" s="12"/>
      <c r="E93" s="12"/>
      <c r="F93" s="12" t="s">
        <v>14</v>
      </c>
      <c r="G93" s="12"/>
      <c r="H93" s="12"/>
      <c r="I93" s="12"/>
      <c r="J93" s="12"/>
      <c r="K93" s="12"/>
      <c r="L93" s="12"/>
      <c r="M93" s="12"/>
      <c r="N93" s="12" t="s">
        <v>13</v>
      </c>
      <c r="O93" s="12"/>
      <c r="P93" s="12"/>
      <c r="Q93" s="12"/>
      <c r="R93" s="12"/>
      <c r="S93" s="12"/>
      <c r="T93" s="12" t="s">
        <v>13</v>
      </c>
      <c r="U93" s="12"/>
      <c r="V93" s="12" t="s">
        <v>13</v>
      </c>
      <c r="W93" s="12" t="s">
        <v>13</v>
      </c>
      <c r="X93" s="12"/>
      <c r="Y93" s="12"/>
      <c r="Z93" s="12"/>
      <c r="AA93" s="12" t="s">
        <v>13</v>
      </c>
      <c r="AB93" s="12"/>
      <c r="AC93" s="12"/>
      <c r="AD93" s="12" t="s">
        <v>14</v>
      </c>
      <c r="AE93" s="12"/>
      <c r="AF93" s="12"/>
      <c r="AG93" s="12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4"/>
      <c r="AW93" s="4"/>
      <c r="AX93" s="4"/>
      <c r="AY93" s="4"/>
      <c r="AZ93" s="4"/>
      <c r="BA93" s="4"/>
      <c r="BB93" s="4"/>
      <c r="BC93" s="4"/>
    </row>
    <row r="94" spans="1:55" s="9" customFormat="1" ht="12.95" customHeight="1">
      <c r="A94" s="10">
        <v>89</v>
      </c>
      <c r="B94" s="11" t="s">
        <v>102</v>
      </c>
      <c r="C94" s="12"/>
      <c r="D94" s="12" t="s">
        <v>14</v>
      </c>
      <c r="E94" s="12"/>
      <c r="F94" s="12"/>
      <c r="G94" s="12"/>
      <c r="H94" s="12"/>
      <c r="I94" s="12"/>
      <c r="J94" s="12"/>
      <c r="K94" s="12" t="s">
        <v>13</v>
      </c>
      <c r="L94" s="12"/>
      <c r="M94" s="12"/>
      <c r="N94" s="12"/>
      <c r="O94" s="12" t="s">
        <v>13</v>
      </c>
      <c r="P94" s="12"/>
      <c r="Q94" s="12"/>
      <c r="R94" s="12"/>
      <c r="S94" s="12"/>
      <c r="T94" s="12"/>
      <c r="U94" s="12"/>
      <c r="V94" s="12" t="s">
        <v>13</v>
      </c>
      <c r="W94" s="12"/>
      <c r="X94" s="12"/>
      <c r="Y94" s="12" t="s">
        <v>14</v>
      </c>
      <c r="Z94" s="12"/>
      <c r="AA94" s="12" t="s">
        <v>13</v>
      </c>
      <c r="AB94" s="12"/>
      <c r="AC94" s="12"/>
      <c r="AD94" s="12"/>
      <c r="AE94" s="12"/>
      <c r="AF94" s="12"/>
      <c r="AG94" s="12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4"/>
      <c r="AW94" s="4"/>
      <c r="AX94" s="4"/>
      <c r="AY94" s="4"/>
      <c r="AZ94" s="4"/>
      <c r="BA94" s="4"/>
      <c r="BB94" s="4"/>
      <c r="BC94" s="4"/>
    </row>
    <row r="95" spans="1:55" s="9" customFormat="1" ht="12.95" customHeight="1">
      <c r="A95" s="10">
        <v>90</v>
      </c>
      <c r="B95" s="11" t="s">
        <v>103</v>
      </c>
      <c r="C95" s="12"/>
      <c r="D95" s="12"/>
      <c r="E95" s="12"/>
      <c r="F95" s="12" t="s">
        <v>14</v>
      </c>
      <c r="G95" s="12"/>
      <c r="H95" s="12"/>
      <c r="I95" s="12"/>
      <c r="J95" s="12"/>
      <c r="K95" s="12"/>
      <c r="L95" s="12"/>
      <c r="M95" s="12"/>
      <c r="N95" s="12"/>
      <c r="O95" s="12" t="s">
        <v>13</v>
      </c>
      <c r="P95" s="12"/>
      <c r="Q95" s="12"/>
      <c r="R95" s="12"/>
      <c r="S95" s="12"/>
      <c r="T95" s="12"/>
      <c r="U95" s="12"/>
      <c r="V95" s="12" t="s">
        <v>14</v>
      </c>
      <c r="W95" s="12"/>
      <c r="X95" s="12"/>
      <c r="Y95" s="12"/>
      <c r="Z95" s="12"/>
      <c r="AA95" s="12"/>
      <c r="AB95" s="12"/>
      <c r="AC95" s="12"/>
      <c r="AD95" s="12" t="s">
        <v>14</v>
      </c>
      <c r="AE95" s="12"/>
      <c r="AF95" s="12" t="s">
        <v>13</v>
      </c>
      <c r="AG95" s="12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4"/>
      <c r="AW95" s="4"/>
      <c r="AX95" s="4"/>
      <c r="AY95" s="4"/>
      <c r="AZ95" s="4"/>
      <c r="BA95" s="4"/>
      <c r="BB95" s="4"/>
      <c r="BC95" s="4"/>
    </row>
    <row r="96" spans="1:55" s="9" customFormat="1" ht="12.95" customHeight="1">
      <c r="A96" s="10">
        <v>91</v>
      </c>
      <c r="B96" s="11" t="s">
        <v>104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4"/>
      <c r="AW96" s="4"/>
      <c r="AX96" s="4"/>
      <c r="AY96" s="4"/>
      <c r="AZ96" s="4"/>
      <c r="BA96" s="4"/>
      <c r="BB96" s="4"/>
      <c r="BC96" s="4"/>
    </row>
    <row r="97" spans="1:55" s="9" customFormat="1" ht="12.95" customHeight="1">
      <c r="A97" s="10">
        <v>92</v>
      </c>
      <c r="B97" s="11" t="s">
        <v>105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 t="s">
        <v>13</v>
      </c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4"/>
      <c r="AW97" s="4"/>
      <c r="AX97" s="4"/>
      <c r="AY97" s="4"/>
      <c r="AZ97" s="4"/>
      <c r="BA97" s="4"/>
      <c r="BB97" s="4"/>
      <c r="BC97" s="4"/>
    </row>
    <row r="98" spans="1:55" s="9" customFormat="1" ht="12.95" customHeight="1">
      <c r="A98" s="10">
        <v>93</v>
      </c>
      <c r="B98" s="11" t="s">
        <v>106</v>
      </c>
      <c r="C98" s="12"/>
      <c r="D98" s="12"/>
      <c r="E98" s="12"/>
      <c r="F98" s="12"/>
      <c r="G98" s="12"/>
      <c r="H98" s="12"/>
      <c r="I98" s="12"/>
      <c r="J98" s="12"/>
      <c r="K98" s="12" t="s">
        <v>14</v>
      </c>
      <c r="L98" s="12"/>
      <c r="M98" s="12" t="s">
        <v>13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 t="s">
        <v>14</v>
      </c>
      <c r="Z98" s="12"/>
      <c r="AA98" s="12"/>
      <c r="AB98" s="12"/>
      <c r="AC98" s="12"/>
      <c r="AD98" s="12"/>
      <c r="AE98" s="12"/>
      <c r="AF98" s="12"/>
      <c r="AG98" s="12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4"/>
      <c r="AW98" s="4"/>
      <c r="AX98" s="4"/>
      <c r="AY98" s="4"/>
      <c r="AZ98" s="4"/>
      <c r="BA98" s="4"/>
      <c r="BB98" s="4"/>
      <c r="BC98" s="4"/>
    </row>
    <row r="99" spans="1:55" s="9" customFormat="1" ht="12.95" customHeight="1">
      <c r="A99" s="10">
        <v>94</v>
      </c>
      <c r="B99" s="11" t="s">
        <v>107</v>
      </c>
      <c r="C99" s="12"/>
      <c r="D99" s="12" t="s">
        <v>14</v>
      </c>
      <c r="E99" s="12"/>
      <c r="F99" s="12"/>
      <c r="G99" s="12"/>
      <c r="H99" s="12"/>
      <c r="I99" s="12" t="s">
        <v>13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 t="s">
        <v>13</v>
      </c>
      <c r="Z99" s="12"/>
      <c r="AA99" s="12"/>
      <c r="AB99" s="12"/>
      <c r="AC99" s="12"/>
      <c r="AD99" s="12" t="s">
        <v>13</v>
      </c>
      <c r="AE99" s="12"/>
      <c r="AF99" s="12"/>
      <c r="AG99" s="12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4"/>
      <c r="AW99" s="4"/>
      <c r="AX99" s="4"/>
      <c r="AY99" s="4"/>
      <c r="AZ99" s="4"/>
      <c r="BA99" s="4"/>
      <c r="BB99" s="4"/>
      <c r="BC99" s="4"/>
    </row>
    <row r="100" spans="1:55" s="9" customFormat="1" ht="12.95" customHeight="1">
      <c r="A100" s="10">
        <v>95</v>
      </c>
      <c r="B100" s="11" t="s">
        <v>108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 t="s">
        <v>13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4"/>
      <c r="AW100" s="4"/>
      <c r="AX100" s="4"/>
      <c r="AY100" s="4"/>
      <c r="AZ100" s="4"/>
      <c r="BA100" s="4"/>
      <c r="BB100" s="4"/>
      <c r="BC100" s="4"/>
    </row>
    <row r="101" spans="1:55" s="9" customFormat="1" ht="12.95" customHeight="1">
      <c r="A101" s="10">
        <v>96</v>
      </c>
      <c r="B101" s="11" t="s">
        <v>109</v>
      </c>
      <c r="C101" s="12"/>
      <c r="D101" s="12"/>
      <c r="E101" s="12"/>
      <c r="F101" s="12"/>
      <c r="G101" s="12"/>
      <c r="H101" s="12" t="s">
        <v>14</v>
      </c>
      <c r="I101" s="12"/>
      <c r="J101" s="12"/>
      <c r="K101" s="12"/>
      <c r="L101" s="12"/>
      <c r="M101" s="12"/>
      <c r="N101" s="12" t="s">
        <v>13</v>
      </c>
      <c r="O101" s="12"/>
      <c r="P101" s="12"/>
      <c r="Q101" s="12"/>
      <c r="R101" s="12"/>
      <c r="S101" s="12"/>
      <c r="T101" s="12"/>
      <c r="U101" s="12" t="s">
        <v>14</v>
      </c>
      <c r="V101" s="12"/>
      <c r="W101" s="12" t="s">
        <v>13</v>
      </c>
      <c r="X101" s="12"/>
      <c r="Y101" s="12"/>
      <c r="Z101" s="12"/>
      <c r="AA101" s="12"/>
      <c r="AB101" s="12"/>
      <c r="AC101" s="12"/>
      <c r="AD101" s="12" t="s">
        <v>14</v>
      </c>
      <c r="AE101" s="12" t="s">
        <v>13</v>
      </c>
      <c r="AF101" s="12"/>
      <c r="AG101" s="12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4"/>
      <c r="AW101" s="4"/>
      <c r="AX101" s="4"/>
      <c r="AY101" s="4"/>
      <c r="AZ101" s="4"/>
      <c r="BA101" s="4"/>
      <c r="BB101" s="4"/>
      <c r="BC101" s="4"/>
    </row>
    <row r="102" spans="1:55" s="9" customFormat="1" ht="12.95" customHeight="1">
      <c r="A102" s="10">
        <v>97</v>
      </c>
      <c r="B102" s="11" t="s">
        <v>110</v>
      </c>
      <c r="C102" s="12"/>
      <c r="D102" s="12"/>
      <c r="E102" s="12"/>
      <c r="F102" s="12" t="s">
        <v>14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 t="s">
        <v>13</v>
      </c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4"/>
      <c r="AW102" s="4"/>
      <c r="AX102" s="4"/>
      <c r="AY102" s="4"/>
      <c r="AZ102" s="4"/>
      <c r="BA102" s="4"/>
      <c r="BB102" s="4"/>
      <c r="BC102" s="4"/>
    </row>
    <row r="103" spans="1:55" s="9" customFormat="1" ht="12.95" customHeight="1">
      <c r="A103" s="10">
        <v>98</v>
      </c>
      <c r="B103" s="11" t="s">
        <v>111</v>
      </c>
      <c r="C103" s="12"/>
      <c r="D103" s="12"/>
      <c r="E103" s="12"/>
      <c r="F103" s="12"/>
      <c r="G103" s="12" t="s">
        <v>13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4"/>
      <c r="AW103" s="4"/>
      <c r="AX103" s="4"/>
      <c r="AY103" s="4"/>
      <c r="AZ103" s="4"/>
      <c r="BA103" s="4"/>
      <c r="BB103" s="4"/>
      <c r="BC103" s="4"/>
    </row>
    <row r="104" spans="1:55" s="9" customFormat="1" ht="12.95" customHeight="1">
      <c r="A104" s="10">
        <v>99</v>
      </c>
      <c r="B104" s="11" t="s">
        <v>112</v>
      </c>
      <c r="C104" s="12"/>
      <c r="D104" s="12"/>
      <c r="E104" s="12"/>
      <c r="F104" s="12"/>
      <c r="G104" s="12"/>
      <c r="H104" s="12"/>
      <c r="I104" s="12"/>
      <c r="J104" s="12" t="s">
        <v>14</v>
      </c>
      <c r="K104" s="12"/>
      <c r="L104" s="12"/>
      <c r="M104" s="12" t="s">
        <v>13</v>
      </c>
      <c r="N104" s="12"/>
      <c r="O104" s="12"/>
      <c r="P104" s="12"/>
      <c r="Q104" s="12"/>
      <c r="R104" s="12"/>
      <c r="S104" s="12"/>
      <c r="T104" s="12"/>
      <c r="U104" s="12" t="s">
        <v>13</v>
      </c>
      <c r="V104" s="12"/>
      <c r="W104" s="12"/>
      <c r="X104" s="12"/>
      <c r="Y104" s="12" t="s">
        <v>14</v>
      </c>
      <c r="Z104" s="12"/>
      <c r="AA104" s="12"/>
      <c r="AB104" s="12"/>
      <c r="AC104" s="12"/>
      <c r="AD104" s="12"/>
      <c r="AE104" s="12" t="s">
        <v>13</v>
      </c>
      <c r="AF104" s="12"/>
      <c r="AG104" s="12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4"/>
      <c r="AW104" s="4"/>
      <c r="AX104" s="4"/>
      <c r="AY104" s="4"/>
      <c r="AZ104" s="4"/>
      <c r="BA104" s="4"/>
      <c r="BB104" s="4"/>
      <c r="BC104" s="4"/>
    </row>
    <row r="105" spans="1:55" s="9" customFormat="1" ht="12.95" customHeight="1">
      <c r="A105" s="10">
        <v>100</v>
      </c>
      <c r="B105" s="11" t="s">
        <v>113</v>
      </c>
      <c r="C105" s="12"/>
      <c r="D105" s="12"/>
      <c r="E105" s="12"/>
      <c r="F105" s="12" t="s">
        <v>13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4"/>
      <c r="AW105" s="4"/>
      <c r="AX105" s="4"/>
      <c r="AY105" s="4"/>
      <c r="AZ105" s="4"/>
      <c r="BA105" s="4"/>
      <c r="BB105" s="4"/>
      <c r="BC105" s="4"/>
    </row>
    <row r="106" spans="1:55" s="9" customFormat="1" ht="12.95" customHeight="1">
      <c r="A106" s="10">
        <v>101</v>
      </c>
      <c r="B106" s="11" t="s">
        <v>114</v>
      </c>
      <c r="C106" s="12"/>
      <c r="D106" s="12" t="s">
        <v>13</v>
      </c>
      <c r="E106" s="12"/>
      <c r="F106" s="12"/>
      <c r="G106" s="12"/>
      <c r="H106" s="12"/>
      <c r="I106" s="12"/>
      <c r="J106" s="12"/>
      <c r="K106" s="12" t="s">
        <v>14</v>
      </c>
      <c r="L106" s="12"/>
      <c r="M106" s="12"/>
      <c r="N106" s="12"/>
      <c r="O106" s="12"/>
      <c r="P106" s="12"/>
      <c r="Q106" s="12" t="s">
        <v>13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4"/>
      <c r="AW106" s="4"/>
      <c r="AX106" s="4"/>
      <c r="AY106" s="4"/>
      <c r="AZ106" s="4"/>
      <c r="BA106" s="4"/>
      <c r="BB106" s="4"/>
      <c r="BC106" s="4"/>
    </row>
    <row r="107" spans="1:55" s="9" customFormat="1" ht="12.95" hidden="1" customHeight="1">
      <c r="A107" s="10">
        <v>102</v>
      </c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4"/>
      <c r="AW107" s="4"/>
      <c r="AX107" s="4"/>
      <c r="AY107" s="4"/>
      <c r="AZ107" s="4"/>
      <c r="BA107" s="4"/>
      <c r="BB107" s="4"/>
      <c r="BC107" s="4"/>
    </row>
    <row r="108" spans="1:55" s="9" customFormat="1" ht="12.95" hidden="1" customHeight="1">
      <c r="A108" s="10">
        <v>103</v>
      </c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6" t="s">
        <v>2</v>
      </c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4"/>
      <c r="AW108" s="4"/>
      <c r="AX108" s="4"/>
      <c r="AY108" s="4"/>
      <c r="AZ108" s="4"/>
      <c r="BA108" s="4"/>
      <c r="BB108" s="4"/>
      <c r="BC108" s="4"/>
    </row>
    <row r="109" spans="1:55" s="9" customFormat="1" ht="12.95" hidden="1" customHeight="1">
      <c r="A109" s="10">
        <v>104</v>
      </c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4"/>
      <c r="AW109" s="4"/>
      <c r="AX109" s="4"/>
      <c r="AY109" s="4"/>
      <c r="AZ109" s="4"/>
      <c r="BA109" s="4"/>
      <c r="BB109" s="4"/>
      <c r="BC109" s="4"/>
    </row>
    <row r="110" spans="1:55" s="9" customFormat="1" ht="12.95" hidden="1" customHeight="1">
      <c r="A110" s="10">
        <v>105</v>
      </c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4"/>
      <c r="AW110" s="4"/>
      <c r="AX110" s="4"/>
      <c r="AY110" s="4"/>
      <c r="AZ110" s="4"/>
      <c r="BA110" s="4"/>
      <c r="BB110" s="4"/>
      <c r="BC110" s="4"/>
    </row>
    <row r="111" spans="1:55" s="9" customFormat="1" ht="12.95" hidden="1" customHeight="1">
      <c r="A111" s="10">
        <v>106</v>
      </c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4"/>
      <c r="AW111" s="4"/>
      <c r="AX111" s="4"/>
      <c r="AY111" s="4"/>
      <c r="AZ111" s="4"/>
      <c r="BA111" s="4"/>
      <c r="BB111" s="4"/>
      <c r="BC111" s="4"/>
    </row>
    <row r="112" spans="1:55" s="9" customFormat="1" ht="12.95" hidden="1" customHeight="1">
      <c r="A112" s="10">
        <v>107</v>
      </c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4"/>
      <c r="AW112" s="4"/>
      <c r="AX112" s="4"/>
      <c r="AY112" s="4"/>
      <c r="AZ112" s="4"/>
      <c r="BA112" s="4"/>
      <c r="BB112" s="4"/>
      <c r="BC112" s="4"/>
    </row>
    <row r="113" spans="1:55" s="9" customFormat="1" ht="12.95" hidden="1" customHeight="1">
      <c r="A113" s="10">
        <v>108</v>
      </c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4"/>
      <c r="AW113" s="4"/>
      <c r="AX113" s="4"/>
      <c r="AY113" s="4"/>
      <c r="AZ113" s="4"/>
      <c r="BA113" s="4"/>
      <c r="BB113" s="4"/>
      <c r="BC113" s="4"/>
    </row>
    <row r="114" spans="1:55" s="9" customFormat="1" ht="12.95" hidden="1" customHeight="1">
      <c r="A114" s="10">
        <v>109</v>
      </c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4"/>
      <c r="AW114" s="4"/>
      <c r="AX114" s="4"/>
      <c r="AY114" s="4"/>
      <c r="AZ114" s="4"/>
      <c r="BA114" s="4"/>
      <c r="BB114" s="4"/>
      <c r="BC114" s="4"/>
    </row>
    <row r="115" spans="1:55" s="9" customFormat="1" ht="12.95" hidden="1" customHeight="1">
      <c r="A115" s="10">
        <v>110</v>
      </c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4"/>
      <c r="AW115" s="4"/>
      <c r="AX115" s="4"/>
      <c r="AY115" s="4"/>
      <c r="AZ115" s="4"/>
      <c r="BA115" s="4"/>
      <c r="BB115" s="4"/>
      <c r="BC115" s="4"/>
    </row>
    <row r="116" spans="1:55" s="9" customFormat="1" ht="12.95" hidden="1" customHeight="1">
      <c r="A116" s="10">
        <v>111</v>
      </c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4"/>
      <c r="AW116" s="4"/>
      <c r="AX116" s="4"/>
      <c r="AY116" s="4"/>
      <c r="AZ116" s="4"/>
      <c r="BA116" s="4"/>
      <c r="BB116" s="4"/>
      <c r="BC116" s="4"/>
    </row>
    <row r="117" spans="1:55" s="9" customFormat="1" ht="12.95" hidden="1" customHeight="1">
      <c r="A117" s="10">
        <v>112</v>
      </c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4"/>
      <c r="AW117" s="4"/>
      <c r="AX117" s="4"/>
      <c r="AY117" s="4"/>
      <c r="AZ117" s="4"/>
      <c r="BA117" s="4"/>
      <c r="BB117" s="4"/>
      <c r="BC117" s="4"/>
    </row>
    <row r="118" spans="1:55" s="9" customFormat="1" ht="12.95" hidden="1" customHeight="1">
      <c r="A118" s="10">
        <v>113</v>
      </c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4"/>
      <c r="AW118" s="4"/>
      <c r="AX118" s="4"/>
      <c r="AY118" s="4"/>
      <c r="AZ118" s="4"/>
      <c r="BA118" s="4"/>
      <c r="BB118" s="4"/>
      <c r="BC118" s="4"/>
    </row>
    <row r="119" spans="1:55" s="9" customFormat="1" ht="12.95" hidden="1" customHeight="1">
      <c r="A119" s="10">
        <v>114</v>
      </c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4"/>
      <c r="AW119" s="4"/>
      <c r="AX119" s="4"/>
      <c r="AY119" s="4"/>
      <c r="AZ119" s="4"/>
      <c r="BA119" s="4"/>
      <c r="BB119" s="4"/>
      <c r="BC119" s="4"/>
    </row>
    <row r="120" spans="1:55" s="9" customFormat="1" ht="12.95" hidden="1" customHeight="1">
      <c r="A120" s="10">
        <v>115</v>
      </c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4"/>
      <c r="AW120" s="4"/>
      <c r="AX120" s="4"/>
      <c r="AY120" s="4"/>
      <c r="AZ120" s="4"/>
      <c r="BA120" s="4"/>
      <c r="BB120" s="4"/>
      <c r="BC120" s="4"/>
    </row>
    <row r="121" spans="1:55" s="9" customFormat="1" ht="12.95" hidden="1" customHeight="1">
      <c r="A121" s="10">
        <v>116</v>
      </c>
      <c r="B121" s="1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4"/>
      <c r="AW121" s="4"/>
      <c r="AX121" s="4"/>
      <c r="AY121" s="4"/>
      <c r="AZ121" s="4"/>
      <c r="BA121" s="4"/>
      <c r="BB121" s="4"/>
      <c r="BC121" s="4"/>
    </row>
    <row r="122" spans="1:55" s="9" customFormat="1" ht="12.95" hidden="1" customHeight="1">
      <c r="A122" s="10">
        <v>117</v>
      </c>
      <c r="B122" s="1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4"/>
      <c r="AW122" s="4"/>
      <c r="AX122" s="4"/>
      <c r="AY122" s="4"/>
      <c r="AZ122" s="4"/>
      <c r="BA122" s="4"/>
      <c r="BB122" s="4"/>
      <c r="BC122" s="4"/>
    </row>
    <row r="123" spans="1:55" s="9" customFormat="1" ht="12.95" hidden="1" customHeight="1">
      <c r="A123" s="10">
        <v>118</v>
      </c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4"/>
      <c r="AW123" s="4"/>
      <c r="AX123" s="4"/>
      <c r="AY123" s="4"/>
      <c r="AZ123" s="4"/>
      <c r="BA123" s="4"/>
      <c r="BB123" s="4"/>
      <c r="BC123" s="4"/>
    </row>
    <row r="124" spans="1:55" s="9" customFormat="1" ht="12.95" hidden="1" customHeight="1">
      <c r="A124" s="10">
        <v>119</v>
      </c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4"/>
      <c r="AW124" s="4"/>
      <c r="AX124" s="4"/>
      <c r="AY124" s="4"/>
      <c r="AZ124" s="4"/>
      <c r="BA124" s="4"/>
      <c r="BB124" s="4"/>
      <c r="BC124" s="4"/>
    </row>
    <row r="125" spans="1:55" s="9" customFormat="1" ht="12.95" hidden="1" customHeight="1">
      <c r="A125" s="10">
        <v>120</v>
      </c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4"/>
      <c r="AW125" s="4"/>
      <c r="AX125" s="4"/>
      <c r="AY125" s="4"/>
      <c r="AZ125" s="4"/>
      <c r="BA125" s="4"/>
      <c r="BB125" s="4"/>
      <c r="BC125" s="4"/>
    </row>
    <row r="126" spans="1:55" s="9" customFormat="1" ht="12.95" hidden="1" customHeight="1">
      <c r="A126" s="10">
        <v>121</v>
      </c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4"/>
      <c r="AW126" s="4"/>
      <c r="AX126" s="4"/>
      <c r="AY126" s="4"/>
      <c r="AZ126" s="4"/>
      <c r="BA126" s="4"/>
      <c r="BB126" s="4"/>
      <c r="BC126" s="4"/>
    </row>
    <row r="127" spans="1:55" s="9" customFormat="1" ht="12.95" hidden="1" customHeight="1">
      <c r="A127" s="10">
        <v>122</v>
      </c>
      <c r="B127" s="1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4"/>
      <c r="AW127" s="4"/>
      <c r="AX127" s="4"/>
      <c r="AY127" s="4"/>
      <c r="AZ127" s="4"/>
      <c r="BA127" s="4"/>
      <c r="BB127" s="4"/>
      <c r="BC127" s="4"/>
    </row>
    <row r="128" spans="1:55" s="9" customFormat="1" ht="12.95" hidden="1" customHeight="1">
      <c r="A128" s="10">
        <v>123</v>
      </c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4"/>
      <c r="AW128" s="4"/>
      <c r="AX128" s="4"/>
      <c r="AY128" s="4"/>
      <c r="AZ128" s="4"/>
      <c r="BA128" s="4"/>
      <c r="BB128" s="4"/>
      <c r="BC128" s="4"/>
    </row>
    <row r="129" spans="1:55" s="9" customFormat="1" ht="12.95" hidden="1" customHeight="1">
      <c r="A129" s="10">
        <v>124</v>
      </c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4"/>
      <c r="AW129" s="4"/>
      <c r="AX129" s="4"/>
      <c r="AY129" s="4"/>
      <c r="AZ129" s="4"/>
      <c r="BA129" s="4"/>
      <c r="BB129" s="4"/>
      <c r="BC129" s="4"/>
    </row>
    <row r="130" spans="1:55" s="9" customFormat="1" ht="12.95" hidden="1" customHeight="1">
      <c r="A130" s="10">
        <v>125</v>
      </c>
      <c r="B130" s="1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4"/>
      <c r="AW130" s="4"/>
      <c r="AX130" s="4"/>
      <c r="AY130" s="4"/>
      <c r="AZ130" s="4"/>
      <c r="BA130" s="4"/>
      <c r="BB130" s="4"/>
      <c r="BC130" s="4"/>
    </row>
    <row r="131" spans="1:55" s="9" customFormat="1" ht="12.95" hidden="1" customHeight="1">
      <c r="A131" s="10">
        <v>126</v>
      </c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4"/>
      <c r="AW131" s="4"/>
      <c r="AX131" s="4"/>
      <c r="AY131" s="4"/>
      <c r="AZ131" s="4"/>
      <c r="BA131" s="4"/>
      <c r="BB131" s="4"/>
      <c r="BC131" s="4"/>
    </row>
    <row r="132" spans="1:55" s="9" customFormat="1" ht="12.95" hidden="1" customHeight="1">
      <c r="A132" s="10">
        <v>127</v>
      </c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4"/>
      <c r="AW132" s="4"/>
      <c r="AX132" s="4"/>
      <c r="AY132" s="4"/>
      <c r="AZ132" s="4"/>
      <c r="BA132" s="4"/>
      <c r="BB132" s="4"/>
      <c r="BC132" s="4"/>
    </row>
    <row r="133" spans="1:55" s="9" customFormat="1" ht="12.95" hidden="1" customHeight="1">
      <c r="A133" s="10">
        <v>128</v>
      </c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4"/>
      <c r="AW133" s="4"/>
      <c r="AX133" s="4"/>
      <c r="AY133" s="4"/>
      <c r="AZ133" s="4"/>
      <c r="BA133" s="4"/>
      <c r="BB133" s="4"/>
      <c r="BC133" s="4"/>
    </row>
    <row r="134" spans="1:55" s="9" customFormat="1" ht="12.95" hidden="1" customHeight="1">
      <c r="A134" s="10">
        <v>129</v>
      </c>
      <c r="B134" s="1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4"/>
      <c r="AW134" s="4"/>
      <c r="AX134" s="4"/>
      <c r="AY134" s="4"/>
      <c r="AZ134" s="4"/>
      <c r="BA134" s="4"/>
      <c r="BB134" s="4"/>
      <c r="BC134" s="4"/>
    </row>
    <row r="135" spans="1:55" s="9" customFormat="1" ht="12.95" hidden="1" customHeight="1">
      <c r="A135" s="10">
        <v>130</v>
      </c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4"/>
      <c r="AW135" s="4"/>
      <c r="AX135" s="4"/>
      <c r="AY135" s="4"/>
      <c r="AZ135" s="4"/>
      <c r="BA135" s="4"/>
      <c r="BB135" s="4"/>
      <c r="BC135" s="4"/>
    </row>
    <row r="136" spans="1:55" s="9" customFormat="1" ht="12.95" hidden="1" customHeight="1">
      <c r="A136" s="10">
        <v>131</v>
      </c>
      <c r="B136" s="1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4"/>
      <c r="AW136" s="4"/>
      <c r="AX136" s="4"/>
      <c r="AY136" s="4"/>
      <c r="AZ136" s="4"/>
      <c r="BA136" s="4"/>
      <c r="BB136" s="4"/>
      <c r="BC136" s="4"/>
    </row>
    <row r="137" spans="1:55" s="9" customFormat="1" ht="12.95" hidden="1" customHeight="1">
      <c r="A137" s="10">
        <v>132</v>
      </c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4"/>
      <c r="AW137" s="4"/>
      <c r="AX137" s="4"/>
      <c r="AY137" s="4"/>
      <c r="AZ137" s="4"/>
      <c r="BA137" s="4"/>
      <c r="BB137" s="4"/>
      <c r="BC137" s="4"/>
    </row>
    <row r="138" spans="1:55" s="9" customFormat="1" ht="12.95" hidden="1" customHeight="1">
      <c r="A138" s="10">
        <v>133</v>
      </c>
      <c r="B138" s="1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4"/>
      <c r="AW138" s="4"/>
      <c r="AX138" s="4"/>
      <c r="AY138" s="4"/>
      <c r="AZ138" s="4"/>
      <c r="BA138" s="4"/>
      <c r="BB138" s="4"/>
      <c r="BC138" s="4"/>
    </row>
    <row r="139" spans="1:55" s="9" customFormat="1" ht="12.95" hidden="1" customHeight="1">
      <c r="A139" s="10">
        <v>134</v>
      </c>
      <c r="B139" s="1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4"/>
      <c r="AW139" s="4"/>
      <c r="AX139" s="4"/>
      <c r="AY139" s="4"/>
      <c r="AZ139" s="4"/>
      <c r="BA139" s="4"/>
      <c r="BB139" s="4"/>
      <c r="BC139" s="4"/>
    </row>
    <row r="140" spans="1:55" s="9" customFormat="1" ht="12.95" hidden="1" customHeight="1">
      <c r="A140" s="10">
        <v>135</v>
      </c>
      <c r="B140" s="1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4"/>
      <c r="AW140" s="4"/>
      <c r="AX140" s="4"/>
      <c r="AY140" s="4"/>
      <c r="AZ140" s="4"/>
      <c r="BA140" s="4"/>
      <c r="BB140" s="4"/>
      <c r="BC140" s="4"/>
    </row>
    <row r="141" spans="1:55" s="9" customFormat="1" ht="12.95" hidden="1" customHeight="1">
      <c r="A141" s="10">
        <v>136</v>
      </c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4"/>
      <c r="AW141" s="4"/>
      <c r="AX141" s="4"/>
      <c r="AY141" s="4"/>
      <c r="AZ141" s="4"/>
      <c r="BA141" s="4"/>
      <c r="BB141" s="4"/>
      <c r="BC141" s="4"/>
    </row>
    <row r="142" spans="1:55" s="9" customFormat="1" ht="12.95" hidden="1" customHeight="1">
      <c r="A142" s="10">
        <v>137</v>
      </c>
      <c r="B142" s="1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4"/>
      <c r="AW142" s="4"/>
      <c r="AX142" s="4"/>
      <c r="AY142" s="4"/>
      <c r="AZ142" s="4"/>
      <c r="BA142" s="4"/>
      <c r="BB142" s="4"/>
      <c r="BC142" s="4"/>
    </row>
    <row r="143" spans="1:55" s="9" customFormat="1" ht="12.95" hidden="1" customHeight="1">
      <c r="A143" s="10">
        <v>138</v>
      </c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4"/>
      <c r="AW143" s="4"/>
      <c r="AX143" s="4"/>
      <c r="AY143" s="4"/>
      <c r="AZ143" s="4"/>
      <c r="BA143" s="4"/>
      <c r="BB143" s="4"/>
      <c r="BC143" s="4"/>
    </row>
    <row r="144" spans="1:55" s="9" customFormat="1" ht="12.95" hidden="1" customHeight="1">
      <c r="A144" s="10">
        <v>139</v>
      </c>
      <c r="B144" s="1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4"/>
      <c r="AW144" s="4"/>
      <c r="AX144" s="4"/>
      <c r="AY144" s="4"/>
      <c r="AZ144" s="4"/>
      <c r="BA144" s="4"/>
      <c r="BB144" s="4"/>
      <c r="BC144" s="4"/>
    </row>
    <row r="145" spans="1:55" s="9" customFormat="1" ht="12.95" hidden="1" customHeight="1">
      <c r="A145" s="10">
        <v>140</v>
      </c>
      <c r="B145" s="1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4"/>
      <c r="AW145" s="4"/>
      <c r="AX145" s="4"/>
      <c r="AY145" s="4"/>
      <c r="AZ145" s="4"/>
      <c r="BA145" s="4"/>
      <c r="BB145" s="4"/>
      <c r="BC145" s="4"/>
    </row>
    <row r="146" spans="1:55" s="9" customFormat="1" ht="12.95" hidden="1" customHeight="1">
      <c r="A146" s="10">
        <v>141</v>
      </c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4"/>
      <c r="AW146" s="4"/>
      <c r="AX146" s="4"/>
      <c r="AY146" s="4"/>
      <c r="AZ146" s="4"/>
      <c r="BA146" s="4"/>
      <c r="BB146" s="4"/>
      <c r="BC146" s="4"/>
    </row>
    <row r="147" spans="1:55" s="9" customFormat="1" ht="12.95" hidden="1" customHeight="1">
      <c r="A147" s="10">
        <v>142</v>
      </c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4"/>
      <c r="AW147" s="4"/>
      <c r="AX147" s="4"/>
      <c r="AY147" s="4"/>
      <c r="AZ147" s="4"/>
      <c r="BA147" s="4"/>
      <c r="BB147" s="4"/>
      <c r="BC147" s="4"/>
    </row>
    <row r="148" spans="1:55" s="9" customFormat="1" ht="12.95" hidden="1" customHeight="1">
      <c r="A148" s="10">
        <v>143</v>
      </c>
      <c r="B148" s="1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4"/>
      <c r="AW148" s="4"/>
      <c r="AX148" s="4"/>
      <c r="AY148" s="4"/>
      <c r="AZ148" s="4"/>
      <c r="BA148" s="4"/>
      <c r="BB148" s="4"/>
      <c r="BC148" s="4"/>
    </row>
    <row r="149" spans="1:55" s="9" customFormat="1" ht="12.95" hidden="1" customHeight="1">
      <c r="A149" s="10">
        <v>144</v>
      </c>
      <c r="B149" s="1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4"/>
      <c r="AW149" s="4"/>
      <c r="AX149" s="4"/>
      <c r="AY149" s="4"/>
      <c r="AZ149" s="4"/>
      <c r="BA149" s="4"/>
      <c r="BB149" s="4"/>
      <c r="BC149" s="4"/>
    </row>
    <row r="150" spans="1:55" s="9" customFormat="1" ht="12.95" hidden="1" customHeight="1">
      <c r="A150" s="10">
        <v>145</v>
      </c>
      <c r="B150" s="1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4"/>
      <c r="AW150" s="4"/>
      <c r="AX150" s="4"/>
      <c r="AY150" s="4"/>
      <c r="AZ150" s="4"/>
      <c r="BA150" s="4"/>
      <c r="BB150" s="4"/>
      <c r="BC150" s="4"/>
    </row>
    <row r="151" spans="1:55" s="9" customFormat="1" ht="12.95" hidden="1" customHeight="1">
      <c r="A151" s="10">
        <v>146</v>
      </c>
      <c r="B151" s="1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4"/>
      <c r="AW151" s="4"/>
      <c r="AX151" s="4"/>
      <c r="AY151" s="4"/>
      <c r="AZ151" s="4"/>
      <c r="BA151" s="4"/>
      <c r="BB151" s="4"/>
      <c r="BC151" s="4"/>
    </row>
    <row r="152" spans="1:55" s="9" customFormat="1" ht="12.95" hidden="1" customHeight="1">
      <c r="A152" s="10">
        <v>147</v>
      </c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4"/>
      <c r="AW152" s="4"/>
      <c r="AX152" s="4"/>
      <c r="AY152" s="4"/>
      <c r="AZ152" s="4"/>
      <c r="BA152" s="4"/>
      <c r="BB152" s="4"/>
      <c r="BC152" s="4"/>
    </row>
    <row r="153" spans="1:55" s="9" customFormat="1" ht="12.95" hidden="1" customHeight="1">
      <c r="A153" s="10">
        <v>148</v>
      </c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4"/>
      <c r="AW153" s="4"/>
      <c r="AX153" s="4"/>
      <c r="AY153" s="4"/>
      <c r="AZ153" s="4"/>
      <c r="BA153" s="4"/>
      <c r="BB153" s="4"/>
      <c r="BC153" s="4"/>
    </row>
    <row r="154" spans="1:55" s="9" customFormat="1" ht="12.95" hidden="1" customHeight="1">
      <c r="A154" s="10">
        <v>149</v>
      </c>
      <c r="B154" s="1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4"/>
      <c r="AW154" s="4"/>
      <c r="AX154" s="4"/>
      <c r="AY154" s="4"/>
      <c r="AZ154" s="4"/>
      <c r="BA154" s="4"/>
      <c r="BB154" s="4"/>
      <c r="BC154" s="4"/>
    </row>
    <row r="155" spans="1:55" s="9" customFormat="1" ht="12.95" hidden="1" customHeight="1">
      <c r="A155" s="10">
        <v>150</v>
      </c>
      <c r="B155" s="1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4"/>
      <c r="AW155" s="4"/>
      <c r="AX155" s="4"/>
      <c r="AY155" s="4"/>
      <c r="AZ155" s="4"/>
      <c r="BA155" s="4"/>
      <c r="BB155" s="4"/>
      <c r="BC155" s="4"/>
    </row>
    <row r="156" spans="1:55" s="9" customFormat="1" ht="12.95" hidden="1" customHeight="1">
      <c r="A156" s="10">
        <v>151</v>
      </c>
      <c r="B156" s="1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4"/>
      <c r="AW156" s="4"/>
      <c r="AX156" s="4"/>
      <c r="AY156" s="4"/>
      <c r="AZ156" s="4"/>
      <c r="BA156" s="4"/>
      <c r="BB156" s="4"/>
      <c r="BC156" s="4"/>
    </row>
    <row r="157" spans="1:55" s="9" customFormat="1" ht="15" customHeight="1">
      <c r="A157" s="22"/>
      <c r="B157" s="23" t="s">
        <v>115</v>
      </c>
      <c r="C157" s="12">
        <f>COUNTA(C7:C156)</f>
        <v>0</v>
      </c>
      <c r="D157" s="12">
        <f>COUNTA(D7:D156)</f>
        <v>17</v>
      </c>
      <c r="E157" s="12">
        <f t="shared" ref="E157:AG157" si="0">COUNTA(E7:E156)</f>
        <v>0</v>
      </c>
      <c r="F157" s="12">
        <f t="shared" si="0"/>
        <v>26</v>
      </c>
      <c r="G157" s="12">
        <f t="shared" si="0"/>
        <v>19</v>
      </c>
      <c r="H157" s="12">
        <f t="shared" si="0"/>
        <v>17</v>
      </c>
      <c r="I157" s="12">
        <f t="shared" si="0"/>
        <v>13</v>
      </c>
      <c r="J157" s="12">
        <f t="shared" si="0"/>
        <v>16</v>
      </c>
      <c r="K157" s="12">
        <f t="shared" si="0"/>
        <v>18</v>
      </c>
      <c r="L157" s="12">
        <f t="shared" si="0"/>
        <v>0</v>
      </c>
      <c r="M157" s="12">
        <f t="shared" si="0"/>
        <v>24</v>
      </c>
      <c r="N157" s="12">
        <f t="shared" si="0"/>
        <v>14</v>
      </c>
      <c r="O157" s="12">
        <f t="shared" si="0"/>
        <v>17</v>
      </c>
      <c r="P157" s="12">
        <f t="shared" si="0"/>
        <v>0</v>
      </c>
      <c r="Q157" s="12">
        <f t="shared" si="0"/>
        <v>13</v>
      </c>
      <c r="R157" s="12">
        <f t="shared" si="0"/>
        <v>8</v>
      </c>
      <c r="S157" s="12">
        <f t="shared" si="0"/>
        <v>0</v>
      </c>
      <c r="T157" s="12">
        <f t="shared" si="0"/>
        <v>23</v>
      </c>
      <c r="U157" s="12">
        <f t="shared" si="0"/>
        <v>16</v>
      </c>
      <c r="V157" s="12">
        <f t="shared" si="0"/>
        <v>14</v>
      </c>
      <c r="W157" s="12">
        <f t="shared" si="0"/>
        <v>14</v>
      </c>
      <c r="X157" s="12">
        <f t="shared" si="0"/>
        <v>14</v>
      </c>
      <c r="Y157" s="12">
        <f t="shared" si="0"/>
        <v>12</v>
      </c>
      <c r="Z157" s="12">
        <f t="shared" si="0"/>
        <v>0</v>
      </c>
      <c r="AA157" s="12">
        <f t="shared" si="0"/>
        <v>24</v>
      </c>
      <c r="AB157" s="12">
        <f t="shared" si="0"/>
        <v>11</v>
      </c>
      <c r="AC157" s="12">
        <f t="shared" si="0"/>
        <v>0</v>
      </c>
      <c r="AD157" s="12">
        <f t="shared" si="0"/>
        <v>11</v>
      </c>
      <c r="AE157" s="12">
        <f t="shared" si="0"/>
        <v>8</v>
      </c>
      <c r="AF157" s="12">
        <f t="shared" si="0"/>
        <v>13</v>
      </c>
      <c r="AG157" s="12">
        <f t="shared" si="0"/>
        <v>0</v>
      </c>
      <c r="AH157" s="16"/>
      <c r="AI157" s="16"/>
      <c r="AJ157" s="16"/>
      <c r="AK157" s="16"/>
      <c r="AL157" s="16"/>
      <c r="AM157" s="16"/>
      <c r="AN157" s="16" t="s">
        <v>2</v>
      </c>
      <c r="AO157" s="16"/>
      <c r="AP157" s="16"/>
      <c r="AQ157" s="16"/>
      <c r="AR157" s="16"/>
      <c r="AS157" s="16"/>
      <c r="AT157" s="16"/>
      <c r="AU157" s="16"/>
      <c r="AV157" s="4"/>
      <c r="AW157" s="4"/>
      <c r="AX157" s="4"/>
      <c r="AY157" s="4"/>
      <c r="AZ157" s="4"/>
      <c r="BA157" s="4"/>
      <c r="BB157" s="4"/>
      <c r="BC157" s="4"/>
    </row>
    <row r="158" spans="1:5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spans="1:55">
      <c r="A159" s="24" t="s">
        <v>13</v>
      </c>
      <c r="B159" s="25" t="s">
        <v>116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 t="s">
        <v>2</v>
      </c>
      <c r="X159" s="2"/>
      <c r="Y159" s="2"/>
      <c r="Z159" s="2" t="s">
        <v>2</v>
      </c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spans="1:55">
      <c r="A160" s="24" t="s">
        <v>14</v>
      </c>
      <c r="B160" s="25" t="s">
        <v>117</v>
      </c>
      <c r="C160" s="2"/>
      <c r="D160" s="2"/>
      <c r="E160" s="2"/>
      <c r="F160" s="2"/>
      <c r="G160" s="2"/>
      <c r="H160" s="2"/>
      <c r="I160" s="2"/>
      <c r="J160" s="2"/>
      <c r="K160" s="2"/>
      <c r="L160" s="2" t="s">
        <v>2</v>
      </c>
      <c r="M160" s="2"/>
      <c r="N160" s="2"/>
      <c r="O160" s="2" t="s">
        <v>2</v>
      </c>
      <c r="P160" s="2"/>
      <c r="Q160" s="2" t="s">
        <v>2</v>
      </c>
      <c r="R160" s="2"/>
      <c r="S160" s="2"/>
      <c r="T160" s="2"/>
      <c r="U160" s="2"/>
      <c r="V160" s="2"/>
      <c r="W160" s="2"/>
      <c r="X160" s="2" t="s">
        <v>2</v>
      </c>
      <c r="Y160" s="2"/>
      <c r="Z160" s="2"/>
      <c r="AA160" s="2" t="s">
        <v>2</v>
      </c>
      <c r="AB160" s="2"/>
      <c r="AC160" s="2"/>
      <c r="AD160" s="2"/>
      <c r="AE160" s="2"/>
      <c r="AF160" s="2"/>
      <c r="AG160" s="2"/>
      <c r="AH160" s="2"/>
      <c r="AI160" s="2" t="s">
        <v>2</v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spans="1:55">
      <c r="A161" s="24" t="s">
        <v>15</v>
      </c>
      <c r="B161" s="25" t="s">
        <v>118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 t="s">
        <v>2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spans="1:5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 t="s">
        <v>2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 t="s">
        <v>2</v>
      </c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spans="1:55" ht="15.75">
      <c r="A163" s="1" t="s">
        <v>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spans="1:55">
      <c r="A164" s="3" t="s">
        <v>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spans="1:55">
      <c r="A165" s="4"/>
      <c r="B165" s="5" t="s">
        <v>3</v>
      </c>
      <c r="C165" s="2" t="s">
        <v>4</v>
      </c>
      <c r="D165" s="6" t="s">
        <v>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spans="1:55">
      <c r="A166" s="5"/>
      <c r="B166" s="5" t="s">
        <v>6</v>
      </c>
      <c r="C166" s="2" t="s">
        <v>4</v>
      </c>
      <c r="D166" s="6" t="s">
        <v>7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 t="s">
        <v>2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spans="1:55">
      <c r="A167" s="5"/>
      <c r="B167" s="5" t="s">
        <v>8</v>
      </c>
      <c r="C167" s="2" t="s">
        <v>4</v>
      </c>
      <c r="D167" s="6" t="s">
        <v>119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spans="1:55">
      <c r="A168" s="7" t="s">
        <v>10</v>
      </c>
      <c r="B168" s="7" t="s">
        <v>11</v>
      </c>
      <c r="C168" s="7">
        <v>1</v>
      </c>
      <c r="D168" s="7">
        <v>2</v>
      </c>
      <c r="E168" s="7">
        <v>3</v>
      </c>
      <c r="F168" s="7">
        <v>4</v>
      </c>
      <c r="G168" s="7">
        <v>5</v>
      </c>
      <c r="H168" s="7">
        <v>6</v>
      </c>
      <c r="I168" s="7">
        <v>7</v>
      </c>
      <c r="J168" s="7">
        <v>8</v>
      </c>
      <c r="K168" s="7">
        <v>9</v>
      </c>
      <c r="L168" s="7">
        <v>10</v>
      </c>
      <c r="M168" s="7">
        <v>11</v>
      </c>
      <c r="N168" s="7">
        <v>12</v>
      </c>
      <c r="O168" s="7">
        <v>13</v>
      </c>
      <c r="P168" s="7">
        <v>14</v>
      </c>
      <c r="Q168" s="7">
        <v>15</v>
      </c>
      <c r="R168" s="7">
        <v>16</v>
      </c>
      <c r="S168" s="7">
        <v>17</v>
      </c>
      <c r="T168" s="7">
        <v>18</v>
      </c>
      <c r="U168" s="7">
        <v>19</v>
      </c>
      <c r="V168" s="7">
        <v>20</v>
      </c>
      <c r="W168" s="7">
        <v>21</v>
      </c>
      <c r="X168" s="7">
        <v>22</v>
      </c>
      <c r="Y168" s="7">
        <v>23</v>
      </c>
      <c r="Z168" s="7">
        <v>24</v>
      </c>
      <c r="AA168" s="7">
        <v>25</v>
      </c>
      <c r="AB168" s="7">
        <v>26</v>
      </c>
      <c r="AC168" s="7">
        <v>27</v>
      </c>
      <c r="AD168" s="7">
        <v>28</v>
      </c>
      <c r="AE168" s="7">
        <v>29</v>
      </c>
      <c r="AF168" s="7"/>
      <c r="AG168" s="7">
        <v>30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spans="1:55">
      <c r="A169" s="10">
        <v>1</v>
      </c>
      <c r="B169" s="11" t="s">
        <v>12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spans="1:55">
      <c r="A170" s="10">
        <v>2</v>
      </c>
      <c r="B170" s="11" t="s">
        <v>16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spans="1:55">
      <c r="A171" s="10">
        <v>3</v>
      </c>
      <c r="B171" s="11" t="s">
        <v>120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2"/>
      <c r="AI171" s="2" t="s">
        <v>2</v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spans="1:55">
      <c r="A172" s="10">
        <v>4</v>
      </c>
      <c r="B172" s="11" t="s">
        <v>18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spans="1:55">
      <c r="A173" s="10">
        <v>5</v>
      </c>
      <c r="B173" s="11" t="s">
        <v>121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spans="1:55">
      <c r="A174" s="10">
        <v>6</v>
      </c>
      <c r="B174" s="11" t="s">
        <v>19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spans="1:55">
      <c r="A175" s="10">
        <v>7</v>
      </c>
      <c r="B175" s="11" t="s">
        <v>21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spans="1:55">
      <c r="A176" s="10">
        <v>8</v>
      </c>
      <c r="B176" s="11" t="s">
        <v>122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spans="1:55">
      <c r="A177" s="10">
        <v>9</v>
      </c>
      <c r="B177" s="11" t="s">
        <v>22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spans="1:55">
      <c r="A178" s="10">
        <v>10</v>
      </c>
      <c r="B178" s="11" t="s">
        <v>23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2"/>
      <c r="AI178" s="2"/>
      <c r="AJ178" s="2"/>
      <c r="AK178" s="2"/>
      <c r="AL178" s="2"/>
      <c r="AM178" s="2"/>
      <c r="AN178" s="2" t="s">
        <v>2</v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spans="1:55">
      <c r="A179" s="10">
        <v>11</v>
      </c>
      <c r="B179" s="11" t="s">
        <v>123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spans="1:55">
      <c r="A180" s="10">
        <v>12</v>
      </c>
      <c r="B180" s="11" t="s">
        <v>24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spans="1:55">
      <c r="A181" s="10">
        <v>13</v>
      </c>
      <c r="B181" s="11" t="s">
        <v>25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spans="1:55">
      <c r="A182" s="10">
        <v>14</v>
      </c>
      <c r="B182" s="11" t="s">
        <v>26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spans="1:55">
      <c r="A183" s="10">
        <v>15</v>
      </c>
      <c r="B183" s="11" t="s">
        <v>27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spans="1:55">
      <c r="A184" s="10">
        <v>16</v>
      </c>
      <c r="B184" s="11" t="s">
        <v>124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 t="s">
        <v>13</v>
      </c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spans="1:55">
      <c r="A185" s="10">
        <v>17</v>
      </c>
      <c r="B185" s="11" t="s">
        <v>125</v>
      </c>
      <c r="C185" s="12"/>
      <c r="D185" s="12"/>
      <c r="E185" s="12"/>
      <c r="F185" s="12"/>
      <c r="G185" s="12" t="s">
        <v>13</v>
      </c>
      <c r="H185" s="12"/>
      <c r="I185" s="12"/>
      <c r="J185" s="12"/>
      <c r="K185" s="12"/>
      <c r="L185" s="12"/>
      <c r="M185" s="12"/>
      <c r="N185" s="12" t="s">
        <v>13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spans="1:55">
      <c r="A186" s="10">
        <v>18</v>
      </c>
      <c r="B186" s="11" t="s">
        <v>28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spans="1:55">
      <c r="A187" s="10">
        <v>19</v>
      </c>
      <c r="B187" s="11" t="s">
        <v>29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spans="1:55">
      <c r="A188" s="10">
        <v>20</v>
      </c>
      <c r="B188" s="11" t="s">
        <v>126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spans="1:55">
      <c r="A189" s="10">
        <v>21</v>
      </c>
      <c r="B189" s="11" t="s">
        <v>30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spans="1:55">
      <c r="A190" s="10">
        <v>22</v>
      </c>
      <c r="B190" s="11" t="s">
        <v>127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 t="s">
        <v>13</v>
      </c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spans="1:55">
      <c r="A191" s="10">
        <v>23</v>
      </c>
      <c r="B191" s="11" t="s">
        <v>128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 t="s">
        <v>13</v>
      </c>
      <c r="AG191" s="1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spans="1:55">
      <c r="A192" s="10">
        <v>24</v>
      </c>
      <c r="B192" s="11" t="s">
        <v>129</v>
      </c>
      <c r="C192" s="12"/>
      <c r="D192" s="12"/>
      <c r="E192" s="12"/>
      <c r="F192" s="12"/>
      <c r="G192" s="12"/>
      <c r="H192" s="12" t="s">
        <v>13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spans="1:55">
      <c r="A193" s="10">
        <v>25</v>
      </c>
      <c r="B193" s="11" t="s">
        <v>32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spans="1:55">
      <c r="A194" s="10">
        <v>26</v>
      </c>
      <c r="B194" s="11" t="s">
        <v>130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spans="1:55">
      <c r="A195" s="10">
        <v>27</v>
      </c>
      <c r="B195" s="11" t="s">
        <v>131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spans="1:55">
      <c r="A196" s="10">
        <v>28</v>
      </c>
      <c r="B196" s="11" t="s">
        <v>33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spans="1:55">
      <c r="A197" s="10">
        <v>29</v>
      </c>
      <c r="B197" s="11" t="s">
        <v>132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 t="s">
        <v>2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spans="1:55">
      <c r="A198" s="10">
        <v>30</v>
      </c>
      <c r="B198" s="11" t="s">
        <v>34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spans="1:55">
      <c r="A199" s="10">
        <v>31</v>
      </c>
      <c r="B199" s="11" t="s">
        <v>133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 t="s">
        <v>13</v>
      </c>
      <c r="AB199" s="12" t="s">
        <v>13</v>
      </c>
      <c r="AC199" s="12"/>
      <c r="AD199" s="12"/>
      <c r="AE199" s="12"/>
      <c r="AF199" s="12"/>
      <c r="AG199" s="1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spans="1:55">
      <c r="A200" s="10">
        <v>32</v>
      </c>
      <c r="B200" s="11" t="s">
        <v>36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spans="1:55">
      <c r="A201" s="10">
        <v>33</v>
      </c>
      <c r="B201" s="11" t="s">
        <v>134</v>
      </c>
      <c r="C201" s="12"/>
      <c r="D201" s="12"/>
      <c r="E201" s="12"/>
      <c r="F201" s="12" t="s">
        <v>13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spans="1:55">
      <c r="A202" s="10">
        <v>34</v>
      </c>
      <c r="B202" s="11" t="s">
        <v>37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spans="1:55">
      <c r="A203" s="10">
        <v>35</v>
      </c>
      <c r="B203" s="11" t="s">
        <v>135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 t="s">
        <v>15</v>
      </c>
      <c r="AF203" s="12"/>
      <c r="AG203" s="1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spans="1:55">
      <c r="A204" s="10">
        <v>36</v>
      </c>
      <c r="B204" s="11" t="s">
        <v>136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spans="1:55">
      <c r="A205" s="10">
        <v>37</v>
      </c>
      <c r="B205" s="11" t="s">
        <v>137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 t="s">
        <v>13</v>
      </c>
      <c r="Y205" s="12"/>
      <c r="Z205" s="12"/>
      <c r="AA205" s="12"/>
      <c r="AB205" s="12"/>
      <c r="AC205" s="12"/>
      <c r="AD205" s="12"/>
      <c r="AE205" s="12"/>
      <c r="AF205" s="12"/>
      <c r="AG205" s="1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spans="1:55">
      <c r="A206" s="10">
        <v>38</v>
      </c>
      <c r="B206" s="11" t="s">
        <v>138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 t="s">
        <v>13</v>
      </c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spans="1:55">
      <c r="A207" s="10">
        <v>39</v>
      </c>
      <c r="B207" s="11" t="s">
        <v>139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spans="1:55">
      <c r="A208" s="10">
        <v>40</v>
      </c>
      <c r="B208" s="11" t="s">
        <v>140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spans="1:55">
      <c r="A209" s="10">
        <v>41</v>
      </c>
      <c r="B209" s="11" t="s">
        <v>38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spans="1:55">
      <c r="A210" s="10">
        <v>42</v>
      </c>
      <c r="B210" s="11" t="s">
        <v>39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spans="1:55">
      <c r="A211" s="10">
        <v>43</v>
      </c>
      <c r="B211" s="11" t="s">
        <v>40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spans="1:55">
      <c r="A212" s="10">
        <v>44</v>
      </c>
      <c r="B212" s="11" t="s">
        <v>41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spans="1:55">
      <c r="A213" s="10">
        <v>45</v>
      </c>
      <c r="B213" s="11" t="s">
        <v>42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spans="1:55">
      <c r="A214" s="10">
        <v>46</v>
      </c>
      <c r="B214" s="11" t="s">
        <v>43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spans="1:55">
      <c r="A215" s="10">
        <v>47</v>
      </c>
      <c r="B215" s="11" t="s">
        <v>141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spans="1:55">
      <c r="A216" s="10">
        <v>48</v>
      </c>
      <c r="B216" s="11" t="s">
        <v>142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spans="1:55">
      <c r="A217" s="10">
        <v>49</v>
      </c>
      <c r="B217" s="11" t="s">
        <v>143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spans="1:55">
      <c r="A218" s="10">
        <v>50</v>
      </c>
      <c r="B218" s="11" t="s">
        <v>44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spans="1:55">
      <c r="A219" s="10">
        <v>51</v>
      </c>
      <c r="B219" s="11" t="s">
        <v>144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spans="1:55">
      <c r="A220" s="10">
        <v>52</v>
      </c>
      <c r="B220" s="11" t="s">
        <v>45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spans="1:55">
      <c r="A221" s="10">
        <v>53</v>
      </c>
      <c r="B221" s="11" t="s">
        <v>145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 t="s">
        <v>15</v>
      </c>
      <c r="AG221" s="1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spans="1:55">
      <c r="A222" s="10">
        <v>54</v>
      </c>
      <c r="B222" s="11" t="s">
        <v>46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spans="1:55">
      <c r="A223" s="10">
        <v>55</v>
      </c>
      <c r="B223" s="11" t="s">
        <v>146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spans="1:55">
      <c r="A224" s="10">
        <v>56</v>
      </c>
      <c r="B224" s="11" t="s">
        <v>147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spans="1:55">
      <c r="A225" s="10">
        <v>57</v>
      </c>
      <c r="B225" s="11" t="s">
        <v>148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spans="1:55">
      <c r="A226" s="10">
        <v>58</v>
      </c>
      <c r="B226" s="11" t="s">
        <v>47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spans="1:55">
      <c r="A227" s="10">
        <v>59</v>
      </c>
      <c r="B227" s="11" t="s">
        <v>149</v>
      </c>
      <c r="C227" s="12"/>
      <c r="D227" s="12"/>
      <c r="E227" s="12"/>
      <c r="F227" s="12" t="s">
        <v>13</v>
      </c>
      <c r="G227" s="12"/>
      <c r="H227" s="12"/>
      <c r="I227" s="12"/>
      <c r="J227" s="12"/>
      <c r="K227" s="12"/>
      <c r="L227" s="12"/>
      <c r="M227" s="12"/>
      <c r="N227" s="12"/>
      <c r="O227" s="12" t="s">
        <v>13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spans="1:55">
      <c r="A228" s="10">
        <v>60</v>
      </c>
      <c r="B228" s="11" t="s">
        <v>150</v>
      </c>
      <c r="C228" s="12"/>
      <c r="D228" s="12"/>
      <c r="E228" s="12"/>
      <c r="F228" s="12"/>
      <c r="G228" s="12"/>
      <c r="H228" s="12" t="s">
        <v>13</v>
      </c>
      <c r="I228" s="12"/>
      <c r="J228" s="12"/>
      <c r="K228" s="12"/>
      <c r="L228" s="12"/>
      <c r="M228" s="12"/>
      <c r="N228" s="12"/>
      <c r="O228" s="12"/>
      <c r="P228" s="12"/>
      <c r="Q228" s="12" t="s">
        <v>13</v>
      </c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spans="1:55">
      <c r="A229" s="10">
        <v>61</v>
      </c>
      <c r="B229" s="11" t="s">
        <v>50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spans="1:55">
      <c r="A230" s="10">
        <v>62</v>
      </c>
      <c r="B230" s="11" t="s">
        <v>52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spans="1:55">
      <c r="A231" s="10">
        <v>63</v>
      </c>
      <c r="B231" s="11" t="s">
        <v>53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spans="1:55">
      <c r="A232" s="10">
        <v>64</v>
      </c>
      <c r="B232" s="11" t="s">
        <v>151</v>
      </c>
      <c r="C232" s="12"/>
      <c r="D232" s="12" t="s">
        <v>13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 t="s">
        <v>13</v>
      </c>
      <c r="W232" s="12"/>
      <c r="X232" s="12"/>
      <c r="Y232" s="12"/>
      <c r="Z232" s="12"/>
      <c r="AA232" s="12"/>
      <c r="AB232" s="12"/>
      <c r="AC232" s="12"/>
      <c r="AD232" s="12"/>
      <c r="AE232" s="12" t="s">
        <v>13</v>
      </c>
      <c r="AF232" s="12"/>
      <c r="AG232" s="1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spans="1:55">
      <c r="A233" s="10">
        <v>65</v>
      </c>
      <c r="B233" s="11" t="s">
        <v>58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spans="1:55">
      <c r="A234" s="10">
        <v>66</v>
      </c>
      <c r="B234" s="11" t="s">
        <v>59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spans="1:55">
      <c r="A235" s="10">
        <v>67</v>
      </c>
      <c r="B235" s="11" t="s">
        <v>152</v>
      </c>
      <c r="C235" s="12"/>
      <c r="D235" s="12"/>
      <c r="E235" s="12"/>
      <c r="F235" s="12" t="s">
        <v>13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 t="s">
        <v>15</v>
      </c>
      <c r="AF235" s="12"/>
      <c r="AG235" s="1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spans="1:55">
      <c r="A236" s="10">
        <v>68</v>
      </c>
      <c r="B236" s="11" t="s">
        <v>153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 t="s">
        <v>13</v>
      </c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spans="1:55">
      <c r="A237" s="10">
        <v>69</v>
      </c>
      <c r="B237" s="11" t="s">
        <v>154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 t="s">
        <v>13</v>
      </c>
      <c r="P237" s="12"/>
      <c r="Q237" s="12"/>
      <c r="R237" s="12"/>
      <c r="S237" s="12"/>
      <c r="T237" s="12"/>
      <c r="U237" s="12"/>
      <c r="V237" s="12" t="s">
        <v>13</v>
      </c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spans="1:55">
      <c r="A238" s="10">
        <v>70</v>
      </c>
      <c r="B238" s="11" t="s">
        <v>60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spans="1:55">
      <c r="A239" s="10">
        <v>71</v>
      </c>
      <c r="B239" s="11" t="s">
        <v>61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spans="1:55">
      <c r="A240" s="10">
        <v>72</v>
      </c>
      <c r="B240" s="11" t="s">
        <v>63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spans="1:55">
      <c r="A241" s="10">
        <v>73</v>
      </c>
      <c r="B241" s="11" t="s">
        <v>64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spans="1:55">
      <c r="A242" s="10">
        <v>74</v>
      </c>
      <c r="B242" s="11" t="s">
        <v>65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spans="1:55">
      <c r="A243" s="10">
        <v>75</v>
      </c>
      <c r="B243" s="11" t="s">
        <v>68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spans="1:55">
      <c r="A244" s="10">
        <v>76</v>
      </c>
      <c r="B244" s="11" t="s">
        <v>69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spans="1:55">
      <c r="A245" s="10">
        <v>77</v>
      </c>
      <c r="B245" s="11" t="s">
        <v>70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spans="1:55">
      <c r="A246" s="10">
        <v>78</v>
      </c>
      <c r="B246" s="11" t="s">
        <v>155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spans="1:55">
      <c r="A247" s="10">
        <v>79</v>
      </c>
      <c r="B247" s="11" t="s">
        <v>72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spans="1:55">
      <c r="A248" s="10">
        <v>80</v>
      </c>
      <c r="B248" s="11" t="s">
        <v>156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spans="1:55">
      <c r="A249" s="10">
        <v>81</v>
      </c>
      <c r="B249" s="11" t="s">
        <v>73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spans="1:55">
      <c r="A250" s="10">
        <v>82</v>
      </c>
      <c r="B250" s="11" t="s">
        <v>74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spans="1:55">
      <c r="A251" s="10">
        <v>83</v>
      </c>
      <c r="B251" s="11" t="s">
        <v>157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spans="1:55">
      <c r="A252" s="10">
        <v>84</v>
      </c>
      <c r="B252" s="11" t="s">
        <v>75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spans="1:55">
      <c r="A253" s="10">
        <v>85</v>
      </c>
      <c r="B253" s="11" t="s">
        <v>158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spans="1:55">
      <c r="A254" s="10">
        <v>86</v>
      </c>
      <c r="B254" s="11" t="s">
        <v>76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spans="1:55">
      <c r="A255" s="10">
        <v>87</v>
      </c>
      <c r="B255" s="11" t="s">
        <v>77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spans="1:55">
      <c r="A256" s="10">
        <v>88</v>
      </c>
      <c r="B256" s="11" t="s">
        <v>159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spans="1:55">
      <c r="A257" s="10">
        <v>89</v>
      </c>
      <c r="B257" s="11" t="s">
        <v>160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spans="1:55">
      <c r="A258" s="10">
        <v>90</v>
      </c>
      <c r="B258" s="11" t="s">
        <v>161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spans="1:55">
      <c r="A259" s="10">
        <v>91</v>
      </c>
      <c r="B259" s="11" t="s">
        <v>78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spans="1:55">
      <c r="A260" s="10">
        <v>92</v>
      </c>
      <c r="B260" s="11" t="s">
        <v>79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spans="1:55">
      <c r="A261" s="10">
        <v>93</v>
      </c>
      <c r="B261" s="11" t="s">
        <v>80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spans="1:55">
      <c r="A262" s="10">
        <v>94</v>
      </c>
      <c r="B262" s="11" t="s">
        <v>81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spans="1:55">
      <c r="A263" s="10">
        <v>95</v>
      </c>
      <c r="B263" s="11" t="s">
        <v>162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spans="1:55">
      <c r="A264" s="10">
        <v>96</v>
      </c>
      <c r="B264" s="11" t="s">
        <v>84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spans="1:55">
      <c r="A265" s="10">
        <v>97</v>
      </c>
      <c r="B265" s="11" t="s">
        <v>163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spans="1:55">
      <c r="A266" s="10">
        <v>98</v>
      </c>
      <c r="B266" s="11" t="s">
        <v>85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spans="1:55">
      <c r="A267" s="10">
        <v>99</v>
      </c>
      <c r="B267" s="11" t="s">
        <v>86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spans="1:55">
      <c r="A268" s="10">
        <v>100</v>
      </c>
      <c r="B268" s="11" t="s">
        <v>164</v>
      </c>
      <c r="C268" s="12"/>
      <c r="D268" s="12"/>
      <c r="E268" s="12"/>
      <c r="F268" s="12"/>
      <c r="G268" s="12"/>
      <c r="H268" s="12"/>
      <c r="I268" s="12"/>
      <c r="J268" s="12"/>
      <c r="K268" s="12" t="s">
        <v>13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spans="1:55">
      <c r="A269" s="10">
        <v>101</v>
      </c>
      <c r="B269" s="11" t="s">
        <v>87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spans="1:55">
      <c r="A270" s="10">
        <v>102</v>
      </c>
      <c r="B270" s="11" t="s">
        <v>165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spans="1:55">
      <c r="A271" s="10">
        <v>103</v>
      </c>
      <c r="B271" s="11" t="s">
        <v>88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spans="1:55">
      <c r="A272" s="10">
        <v>104</v>
      </c>
      <c r="B272" s="11" t="s">
        <v>166</v>
      </c>
      <c r="C272" s="12"/>
      <c r="D272" s="12"/>
      <c r="E272" s="12"/>
      <c r="F272" s="12"/>
      <c r="G272" s="12" t="s">
        <v>13</v>
      </c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spans="1:55">
      <c r="A273" s="10">
        <v>105</v>
      </c>
      <c r="B273" s="11" t="s">
        <v>89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spans="1:55">
      <c r="A274" s="10">
        <v>106</v>
      </c>
      <c r="B274" s="11" t="s">
        <v>167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 t="s">
        <v>13</v>
      </c>
      <c r="AE274" s="12"/>
      <c r="AF274" s="12"/>
      <c r="AG274" s="1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spans="1:55">
      <c r="A275" s="10">
        <v>107</v>
      </c>
      <c r="B275" s="11" t="s">
        <v>168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 t="s">
        <v>13</v>
      </c>
      <c r="AF275" s="12"/>
      <c r="AG275" s="1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spans="1:55">
      <c r="A276" s="10">
        <v>108</v>
      </c>
      <c r="B276" s="11" t="s">
        <v>169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 t="s">
        <v>15</v>
      </c>
      <c r="P276" s="12"/>
      <c r="Q276" s="12" t="s">
        <v>15</v>
      </c>
      <c r="R276" s="12"/>
      <c r="S276" s="12"/>
      <c r="T276" s="12"/>
      <c r="U276" s="12"/>
      <c r="V276" s="12"/>
      <c r="W276" s="12"/>
      <c r="X276" s="12" t="s">
        <v>15</v>
      </c>
      <c r="Y276" s="12"/>
      <c r="Z276" s="12"/>
      <c r="AA276" s="12"/>
      <c r="AB276" s="12"/>
      <c r="AC276" s="12"/>
      <c r="AD276" s="12"/>
      <c r="AE276" s="12"/>
      <c r="AF276" s="12" t="s">
        <v>13</v>
      </c>
      <c r="AG276" s="1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spans="1:55">
      <c r="A277" s="10">
        <v>109</v>
      </c>
      <c r="B277" s="11" t="s">
        <v>90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spans="1:55">
      <c r="A278" s="10">
        <v>110</v>
      </c>
      <c r="B278" s="11" t="s">
        <v>91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spans="1:55">
      <c r="A279" s="10">
        <v>111</v>
      </c>
      <c r="B279" s="11" t="s">
        <v>92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spans="1:55">
      <c r="A280" s="10">
        <v>112</v>
      </c>
      <c r="B280" s="11" t="s">
        <v>94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spans="1:55">
      <c r="A281" s="10">
        <v>113</v>
      </c>
      <c r="B281" s="11" t="s">
        <v>170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spans="1:55">
      <c r="A282" s="10">
        <v>114</v>
      </c>
      <c r="B282" s="11" t="s">
        <v>95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spans="1:55">
      <c r="A283" s="10">
        <v>115</v>
      </c>
      <c r="B283" s="11" t="s">
        <v>96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spans="1:55">
      <c r="A284" s="10">
        <v>116</v>
      </c>
      <c r="B284" s="11" t="s">
        <v>97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spans="1:55">
      <c r="A285" s="10">
        <v>117</v>
      </c>
      <c r="B285" s="11" t="s">
        <v>98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spans="1:55">
      <c r="A286" s="10">
        <v>118</v>
      </c>
      <c r="B286" s="11" t="s">
        <v>99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spans="1:55">
      <c r="A287" s="10">
        <v>119</v>
      </c>
      <c r="B287" s="11" t="s">
        <v>100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spans="1:55">
      <c r="A288" s="10">
        <v>120</v>
      </c>
      <c r="B288" s="11" t="s">
        <v>101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spans="1:55">
      <c r="A289" s="10">
        <v>121</v>
      </c>
      <c r="B289" s="11" t="s">
        <v>102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spans="1:55">
      <c r="A290" s="10">
        <v>122</v>
      </c>
      <c r="B290" s="11" t="s">
        <v>171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spans="1:55">
      <c r="A291" s="10">
        <v>123</v>
      </c>
      <c r="B291" s="11" t="s">
        <v>172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spans="1:55">
      <c r="A292" s="10">
        <v>124</v>
      </c>
      <c r="B292" s="11" t="s">
        <v>105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spans="1:55">
      <c r="A293" s="10">
        <v>125</v>
      </c>
      <c r="B293" s="11" t="s">
        <v>106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spans="1:55">
      <c r="A294" s="10">
        <v>126</v>
      </c>
      <c r="B294" s="11" t="s">
        <v>107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spans="1:55">
      <c r="A295" s="10">
        <v>127</v>
      </c>
      <c r="B295" s="11" t="s">
        <v>108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spans="1:55">
      <c r="A296" s="10">
        <v>128</v>
      </c>
      <c r="B296" s="11" t="s">
        <v>109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spans="1:55">
      <c r="A297" s="10">
        <v>129</v>
      </c>
      <c r="B297" s="11" t="s">
        <v>110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spans="1:55">
      <c r="A298" s="10">
        <v>130</v>
      </c>
      <c r="B298" s="11" t="s">
        <v>111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spans="1:55">
      <c r="A299" s="10">
        <v>131</v>
      </c>
      <c r="B299" s="11" t="s">
        <v>112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spans="1:55">
      <c r="A300" s="10">
        <v>132</v>
      </c>
      <c r="B300" s="11" t="s">
        <v>173</v>
      </c>
      <c r="C300" s="12"/>
      <c r="D300" s="12"/>
      <c r="E300" s="12"/>
      <c r="F300" s="12"/>
      <c r="G300" s="12"/>
      <c r="H300" s="12" t="s">
        <v>13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 t="s">
        <v>13</v>
      </c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spans="1:55">
      <c r="A301" s="10">
        <v>133</v>
      </c>
      <c r="B301" s="11" t="s">
        <v>174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spans="1:55">
      <c r="A302" s="10">
        <v>134</v>
      </c>
      <c r="B302" s="11" t="s">
        <v>114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spans="1:55">
      <c r="A303" s="10">
        <v>135</v>
      </c>
      <c r="B303" s="11" t="s">
        <v>175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 t="s">
        <v>13</v>
      </c>
      <c r="AF303" s="12"/>
      <c r="AG303" s="1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spans="1:55">
      <c r="A304" s="10">
        <v>136</v>
      </c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spans="1:55">
      <c r="A305" s="10">
        <v>137</v>
      </c>
      <c r="B305" s="1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spans="1:55">
      <c r="A306" s="10">
        <v>138</v>
      </c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spans="1:55">
      <c r="A307" s="10">
        <v>139</v>
      </c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spans="1:55">
      <c r="A308" s="10">
        <v>140</v>
      </c>
      <c r="B308" s="1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spans="1:55">
      <c r="A309" s="10">
        <v>141</v>
      </c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spans="1:55">
      <c r="A310" s="10"/>
      <c r="B310" s="26" t="s">
        <v>176</v>
      </c>
      <c r="C310" s="12">
        <f>COUNTA(C169:C309)</f>
        <v>0</v>
      </c>
      <c r="D310" s="12">
        <f>COUNTA(D169:D309)</f>
        <v>1</v>
      </c>
      <c r="E310" s="12">
        <f>COUNTA(E169:E309)</f>
        <v>0</v>
      </c>
      <c r="F310" s="12">
        <f t="shared" ref="F310:AG310" si="1">COUNTA(F169:F309)</f>
        <v>3</v>
      </c>
      <c r="G310" s="12">
        <f t="shared" si="1"/>
        <v>2</v>
      </c>
      <c r="H310" s="12">
        <f t="shared" si="1"/>
        <v>3</v>
      </c>
      <c r="I310" s="12">
        <f t="shared" si="1"/>
        <v>0</v>
      </c>
      <c r="J310" s="12">
        <f t="shared" si="1"/>
        <v>0</v>
      </c>
      <c r="K310" s="12">
        <f t="shared" si="1"/>
        <v>1</v>
      </c>
      <c r="L310" s="12">
        <f t="shared" si="1"/>
        <v>0</v>
      </c>
      <c r="M310" s="12">
        <f t="shared" si="1"/>
        <v>0</v>
      </c>
      <c r="N310" s="12">
        <f t="shared" si="1"/>
        <v>1</v>
      </c>
      <c r="O310" s="12">
        <f t="shared" si="1"/>
        <v>3</v>
      </c>
      <c r="P310" s="12">
        <f t="shared" si="1"/>
        <v>0</v>
      </c>
      <c r="Q310" s="12">
        <f t="shared" si="1"/>
        <v>5</v>
      </c>
      <c r="R310" s="12">
        <f t="shared" si="1"/>
        <v>0</v>
      </c>
      <c r="S310" s="12">
        <f t="shared" si="1"/>
        <v>0</v>
      </c>
      <c r="T310" s="12">
        <f t="shared" si="1"/>
        <v>0</v>
      </c>
      <c r="U310" s="12">
        <f t="shared" si="1"/>
        <v>0</v>
      </c>
      <c r="V310" s="12">
        <f t="shared" si="1"/>
        <v>4</v>
      </c>
      <c r="W310" s="12">
        <f t="shared" si="1"/>
        <v>1</v>
      </c>
      <c r="X310" s="12">
        <f t="shared" si="1"/>
        <v>2</v>
      </c>
      <c r="Y310" s="12">
        <f t="shared" si="1"/>
        <v>0</v>
      </c>
      <c r="Z310" s="12">
        <f t="shared" si="1"/>
        <v>0</v>
      </c>
      <c r="AA310" s="12">
        <f t="shared" si="1"/>
        <v>1</v>
      </c>
      <c r="AB310" s="12">
        <f t="shared" si="1"/>
        <v>1</v>
      </c>
      <c r="AC310" s="12">
        <f t="shared" si="1"/>
        <v>0</v>
      </c>
      <c r="AD310" s="12">
        <f t="shared" si="1"/>
        <v>1</v>
      </c>
      <c r="AE310" s="12">
        <f t="shared" si="1"/>
        <v>5</v>
      </c>
      <c r="AF310" s="12"/>
      <c r="AG310" s="12">
        <f t="shared" si="1"/>
        <v>0</v>
      </c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spans="1:5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spans="1:55">
      <c r="A312" s="24" t="s">
        <v>13</v>
      </c>
      <c r="B312" s="25" t="s">
        <v>116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 t="s">
        <v>2</v>
      </c>
      <c r="N312" s="2"/>
      <c r="O312" s="2"/>
      <c r="P312" s="2"/>
      <c r="Q312" s="2"/>
      <c r="R312" s="2"/>
      <c r="S312" s="2"/>
      <c r="T312" s="2"/>
      <c r="U312" s="2"/>
      <c r="V312" s="2" t="s">
        <v>2</v>
      </c>
      <c r="W312" s="2"/>
      <c r="X312" s="2"/>
      <c r="Y312" s="2" t="s">
        <v>2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spans="1:55">
      <c r="A313" s="24" t="s">
        <v>14</v>
      </c>
      <c r="B313" s="25" t="s">
        <v>117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 t="s">
        <v>2</v>
      </c>
      <c r="Q313" s="2"/>
      <c r="R313" s="2"/>
      <c r="S313" s="2"/>
      <c r="T313" s="2"/>
      <c r="U313" s="2"/>
      <c r="V313" s="2"/>
      <c r="W313" s="2"/>
      <c r="X313" s="2" t="s">
        <v>2</v>
      </c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spans="1:55">
      <c r="A314" s="24" t="s">
        <v>15</v>
      </c>
      <c r="B314" s="25" t="s">
        <v>118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 t="s">
        <v>2</v>
      </c>
      <c r="P314" s="2"/>
      <c r="Q314" s="2"/>
      <c r="R314" s="2" t="s">
        <v>2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spans="1:5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 t="s">
        <v>2</v>
      </c>
      <c r="O315" s="2"/>
      <c r="P315" s="2" t="s">
        <v>2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spans="1:5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2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spans="1:5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 t="s">
        <v>2</v>
      </c>
      <c r="T317" s="2"/>
      <c r="U317" s="2"/>
      <c r="V317" s="2"/>
      <c r="W317" s="2" t="s">
        <v>2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spans="1:5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spans="1:5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 t="s">
        <v>2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spans="1:5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spans="1:5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 t="s">
        <v>2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spans="1:5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 t="s">
        <v>2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spans="1:5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spans="1:5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spans="1:5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spans="1:5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 t="s">
        <v>2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spans="1:5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spans="1:5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spans="1:5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spans="1:5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spans="1:5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spans="1:5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spans="1:5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spans="1:5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spans="1:5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spans="1:5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spans="1:5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spans="1:5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spans="1:5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spans="1:5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spans="1:5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spans="1:5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spans="1:5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spans="1:5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spans="1:5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spans="1:5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spans="1:5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spans="1:5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spans="1:5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spans="1:5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spans="1:5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spans="1:5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spans="1:5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spans="1:5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spans="1: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spans="1:5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spans="1:5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spans="1:5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spans="1:5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spans="1:5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spans="1:5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spans="1:5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spans="1:5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spans="1:5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spans="1:5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spans="1:5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spans="1:5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spans="1:5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spans="1:5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spans="1:5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spans="1:5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spans="1:5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spans="1:5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spans="1:5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spans="1:5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spans="1:5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spans="1:5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spans="1:5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spans="1:5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spans="1:5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spans="1:5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spans="1:5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spans="1:5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spans="1:5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spans="1:5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spans="1:5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spans="1:5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spans="1:5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spans="1:5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spans="1:5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spans="1:5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spans="1:5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spans="1:5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spans="1:5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spans="1:5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spans="1:5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spans="1:5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spans="1:5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spans="1:5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spans="1:5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spans="1:5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spans="1:5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spans="1:5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spans="1:5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spans="1:5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spans="1:5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spans="1:5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spans="1:5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spans="1:5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spans="1:5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</sheetData>
  <mergeCells count="4">
    <mergeCell ref="A1:AG1"/>
    <mergeCell ref="A2:AG2"/>
    <mergeCell ref="A163:AG163"/>
    <mergeCell ref="A164:AG164"/>
  </mergeCells>
  <conditionalFormatting sqref="L7:AG7 C27 N28:AG28 C29:C31 C35:C37 N32:AG34 N38:AG39 C40:C42 C46:C47 N43:AG45 C59 N48:AG58 C62 N60:AG61 C64:C65 N63:AG63 C68 N66:AG67 K76:AG76 N75:AG75 K79:AG79 O77:AG77 C81:C82 N80:AG80 C88 N83:AG87 C93 N89:AG90 N94:AG95 C96:C98 O96:AG97 C101:C102 N99:AG100 C104:C107 N103:AG103 K71:AG72 N78:AG78 K91:AG92 C73:C74 C156:AG156 C109:C155 E109:AG155 E73:AG74 E104:AG107 E101:AG102 E98:AG98 E93:AG93 E88:AG88 E81:AG82 E68:AG68 E64:AG65 E62:AG62 E59:AG59 E46:AG47 E40:AG42 E35:AG37 E29:AG31 E27:AG27 N69:AG70">
    <cfRule type="containsText" dxfId="324" priority="323" operator="containsText" text="B">
      <formula>NOT(ISERROR(SEARCH("B",C7)))</formula>
    </cfRule>
    <cfRule type="containsText" dxfId="323" priority="324" operator="containsText" text="TB">
      <formula>NOT(ISERROR(SEARCH("TB",C7)))</formula>
    </cfRule>
    <cfRule type="containsText" dxfId="322" priority="325" operator="containsText" text="T">
      <formula>NOT(ISERROR(SEARCH("T",C7)))</formula>
    </cfRule>
  </conditionalFormatting>
  <conditionalFormatting sqref="L7:AG7 C27 N28:AG28 C29:C31 C35:C37 N32:AG34 N38:AG39 C40:C42 C46:C47 N43:AG45 C59 N48:AG58 C62 N60:AG61 C64:C65 N63:AG63 C68 N66:AG67 K76:AG76 N75:AG75 K79:AG79 O77:AG77 C81:C82 N80:AG80 C88 N83:AG87 C93 N89:AG90 N94:AG95 C96:C98 O96:AG97 C101:C102 N99:AG100 C104:C107 N103:AG103 K71:AG72 N78:AG78 K91:AG92 C73:C74 C109:C155 E109:AG155 E73:AG74 E104:AG107 E101:AG102 E98:AG98 E93:AG93 E88:AG88 E81:AG82 E68:AG68 E64:AG65 E62:AG62 E59:AG59 E46:AG47 E40:AG42 E35:AG37 E29:AG31 E27:AG27 C156:AG156 N69:AG70">
    <cfRule type="containsText" dxfId="321" priority="322" operator="containsText" text="TB">
      <formula>NOT(ISERROR(SEARCH("TB",C7)))</formula>
    </cfRule>
  </conditionalFormatting>
  <conditionalFormatting sqref="A159:A161">
    <cfRule type="containsText" dxfId="320" priority="319" operator="containsText" text="B">
      <formula>NOT(ISERROR(SEARCH("B",A159)))</formula>
    </cfRule>
    <cfRule type="containsText" dxfId="319" priority="320" operator="containsText" text="TB">
      <formula>NOT(ISERROR(SEARCH("TB",A159)))</formula>
    </cfRule>
    <cfRule type="containsText" dxfId="318" priority="321" operator="containsText" text="T">
      <formula>NOT(ISERROR(SEARCH("T",A159)))</formula>
    </cfRule>
  </conditionalFormatting>
  <conditionalFormatting sqref="A159:A161">
    <cfRule type="containsText" dxfId="317" priority="318" operator="containsText" text="TB">
      <formula>NOT(ISERROR(SEARCH("TB",A159)))</formula>
    </cfRule>
  </conditionalFormatting>
  <conditionalFormatting sqref="C169:AG185 N186:AG200 C201:AG309">
    <cfRule type="containsText" dxfId="316" priority="315" operator="containsText" text="B">
      <formula>NOT(ISERROR(SEARCH("B",C169)))</formula>
    </cfRule>
    <cfRule type="containsText" dxfId="315" priority="316" operator="containsText" text="TB">
      <formula>NOT(ISERROR(SEARCH("TB",C169)))</formula>
    </cfRule>
    <cfRule type="containsText" dxfId="314" priority="317" operator="containsText" text="T">
      <formula>NOT(ISERROR(SEARCH("T",C169)))</formula>
    </cfRule>
  </conditionalFormatting>
  <conditionalFormatting sqref="C169:AG185 N186:AG200 C201:AG310">
    <cfRule type="containsText" dxfId="313" priority="314" operator="containsText" text="TB">
      <formula>NOT(ISERROR(SEARCH("TB",C169)))</formula>
    </cfRule>
  </conditionalFormatting>
  <conditionalFormatting sqref="A312:A314">
    <cfRule type="containsText" dxfId="312" priority="311" operator="containsText" text="B">
      <formula>NOT(ISERROR(SEARCH("B",A312)))</formula>
    </cfRule>
    <cfRule type="containsText" dxfId="311" priority="312" operator="containsText" text="TB">
      <formula>NOT(ISERROR(SEARCH("TB",A312)))</formula>
    </cfRule>
    <cfRule type="containsText" dxfId="310" priority="313" operator="containsText" text="T">
      <formula>NOT(ISERROR(SEARCH("T",A312)))</formula>
    </cfRule>
  </conditionalFormatting>
  <conditionalFormatting sqref="A312:A314">
    <cfRule type="containsText" dxfId="309" priority="310" operator="containsText" text="TB">
      <formula>NOT(ISERROR(SEARCH("TB",A312)))</formula>
    </cfRule>
  </conditionalFormatting>
  <conditionalFormatting sqref="C8:C12 C15:C19 L13:AG14 C21 L20:AG20 C24 N22:AG23 C26 N25:AG25 E26:AG26 E24:AG24 E21:AG21 E15:AG19 E8:AG12">
    <cfRule type="containsText" dxfId="308" priority="307" operator="containsText" text="B">
      <formula>NOT(ISERROR(SEARCH("B",C8)))</formula>
    </cfRule>
    <cfRule type="containsText" dxfId="307" priority="308" operator="containsText" text="TB">
      <formula>NOT(ISERROR(SEARCH("TB",C8)))</formula>
    </cfRule>
    <cfRule type="containsText" dxfId="306" priority="309" operator="containsText" text="T">
      <formula>NOT(ISERROR(SEARCH("T",C8)))</formula>
    </cfRule>
  </conditionalFormatting>
  <conditionalFormatting sqref="C8:C12 C15:C19 L13:AG14 C21 L20:AG20 C24 N22:AG23 C26 N25:AG25 E26:AG26 E24:AG24 E21:AG21 E15:AG19 E8:AG12">
    <cfRule type="containsText" dxfId="305" priority="306" operator="containsText" text="TB">
      <formula>NOT(ISERROR(SEARCH("TB",C8)))</formula>
    </cfRule>
  </conditionalFormatting>
  <conditionalFormatting sqref="C7 E7:K7">
    <cfRule type="containsText" dxfId="304" priority="303" operator="containsText" text="B">
      <formula>NOT(ISERROR(SEARCH("B",C7)))</formula>
    </cfRule>
    <cfRule type="containsText" dxfId="303" priority="304" operator="containsText" text="TB">
      <formula>NOT(ISERROR(SEARCH("TB",C7)))</formula>
    </cfRule>
    <cfRule type="containsText" dxfId="302" priority="305" operator="containsText" text="T">
      <formula>NOT(ISERROR(SEARCH("T",C7)))</formula>
    </cfRule>
  </conditionalFormatting>
  <conditionalFormatting sqref="C7 E7:K7">
    <cfRule type="containsText" dxfId="301" priority="302" operator="containsText" text="TB">
      <formula>NOT(ISERROR(SEARCH("TB",C7)))</formula>
    </cfRule>
  </conditionalFormatting>
  <conditionalFormatting sqref="C13:C14 E13:K14">
    <cfRule type="containsText" dxfId="300" priority="299" operator="containsText" text="B">
      <formula>NOT(ISERROR(SEARCH("B",C13)))</formula>
    </cfRule>
    <cfRule type="containsText" dxfId="299" priority="300" operator="containsText" text="TB">
      <formula>NOT(ISERROR(SEARCH("TB",C13)))</formula>
    </cfRule>
    <cfRule type="containsText" dxfId="298" priority="301" operator="containsText" text="T">
      <formula>NOT(ISERROR(SEARCH("T",C13)))</formula>
    </cfRule>
  </conditionalFormatting>
  <conditionalFormatting sqref="C13:C14 E13:K14">
    <cfRule type="containsText" dxfId="297" priority="298" operator="containsText" text="TB">
      <formula>NOT(ISERROR(SEARCH("TB",C13)))</formula>
    </cfRule>
  </conditionalFormatting>
  <conditionalFormatting sqref="C20 E20:K20">
    <cfRule type="containsText" dxfId="296" priority="295" operator="containsText" text="B">
      <formula>NOT(ISERROR(SEARCH("B",C20)))</formula>
    </cfRule>
    <cfRule type="containsText" dxfId="295" priority="296" operator="containsText" text="TB">
      <formula>NOT(ISERROR(SEARCH("TB",C20)))</formula>
    </cfRule>
    <cfRule type="containsText" dxfId="294" priority="297" operator="containsText" text="T">
      <formula>NOT(ISERROR(SEARCH("T",C20)))</formula>
    </cfRule>
  </conditionalFormatting>
  <conditionalFormatting sqref="C20 E20:K20">
    <cfRule type="containsText" dxfId="293" priority="294" operator="containsText" text="TB">
      <formula>NOT(ISERROR(SEARCH("TB",C20)))</formula>
    </cfRule>
  </conditionalFormatting>
  <conditionalFormatting sqref="C22:C23 E22:M23">
    <cfRule type="containsText" dxfId="292" priority="291" operator="containsText" text="B">
      <formula>NOT(ISERROR(SEARCH("B",C22)))</formula>
    </cfRule>
    <cfRule type="containsText" dxfId="291" priority="292" operator="containsText" text="TB">
      <formula>NOT(ISERROR(SEARCH("TB",C22)))</formula>
    </cfRule>
    <cfRule type="containsText" dxfId="290" priority="293" operator="containsText" text="T">
      <formula>NOT(ISERROR(SEARCH("T",C22)))</formula>
    </cfRule>
  </conditionalFormatting>
  <conditionalFormatting sqref="C22:C23 E22:M23">
    <cfRule type="containsText" dxfId="289" priority="290" operator="containsText" text="TB">
      <formula>NOT(ISERROR(SEARCH("TB",C22)))</formula>
    </cfRule>
  </conditionalFormatting>
  <conditionalFormatting sqref="C25 E25:M25">
    <cfRule type="containsText" dxfId="288" priority="287" operator="containsText" text="B">
      <formula>NOT(ISERROR(SEARCH("B",C25)))</formula>
    </cfRule>
    <cfRule type="containsText" dxfId="287" priority="288" operator="containsText" text="TB">
      <formula>NOT(ISERROR(SEARCH("TB",C25)))</formula>
    </cfRule>
    <cfRule type="containsText" dxfId="286" priority="289" operator="containsText" text="T">
      <formula>NOT(ISERROR(SEARCH("T",C25)))</formula>
    </cfRule>
  </conditionalFormatting>
  <conditionalFormatting sqref="C25 E25:M25">
    <cfRule type="containsText" dxfId="285" priority="286" operator="containsText" text="TB">
      <formula>NOT(ISERROR(SEARCH("TB",C25)))</formula>
    </cfRule>
  </conditionalFormatting>
  <conditionalFormatting sqref="C28 E28:M28">
    <cfRule type="containsText" dxfId="284" priority="283" operator="containsText" text="B">
      <formula>NOT(ISERROR(SEARCH("B",C28)))</formula>
    </cfRule>
    <cfRule type="containsText" dxfId="283" priority="284" operator="containsText" text="TB">
      <formula>NOT(ISERROR(SEARCH("TB",C28)))</formula>
    </cfRule>
    <cfRule type="containsText" dxfId="282" priority="285" operator="containsText" text="T">
      <formula>NOT(ISERROR(SEARCH("T",C28)))</formula>
    </cfRule>
  </conditionalFormatting>
  <conditionalFormatting sqref="C28 E28:M28">
    <cfRule type="containsText" dxfId="281" priority="282" operator="containsText" text="TB">
      <formula>NOT(ISERROR(SEARCH("TB",C28)))</formula>
    </cfRule>
  </conditionalFormatting>
  <conditionalFormatting sqref="C32:C34 E32:M34">
    <cfRule type="containsText" dxfId="280" priority="279" operator="containsText" text="B">
      <formula>NOT(ISERROR(SEARCH("B",C32)))</formula>
    </cfRule>
    <cfRule type="containsText" dxfId="279" priority="280" operator="containsText" text="TB">
      <formula>NOT(ISERROR(SEARCH("TB",C32)))</formula>
    </cfRule>
    <cfRule type="containsText" dxfId="278" priority="281" operator="containsText" text="T">
      <formula>NOT(ISERROR(SEARCH("T",C32)))</formula>
    </cfRule>
  </conditionalFormatting>
  <conditionalFormatting sqref="C32:C34 E32:M34">
    <cfRule type="containsText" dxfId="277" priority="278" operator="containsText" text="TB">
      <formula>NOT(ISERROR(SEARCH("TB",C32)))</formula>
    </cfRule>
  </conditionalFormatting>
  <conditionalFormatting sqref="C38:C39 E38:M39">
    <cfRule type="containsText" dxfId="276" priority="275" operator="containsText" text="B">
      <formula>NOT(ISERROR(SEARCH("B",C38)))</formula>
    </cfRule>
    <cfRule type="containsText" dxfId="275" priority="276" operator="containsText" text="TB">
      <formula>NOT(ISERROR(SEARCH("TB",C38)))</formula>
    </cfRule>
    <cfRule type="containsText" dxfId="274" priority="277" operator="containsText" text="T">
      <formula>NOT(ISERROR(SEARCH("T",C38)))</formula>
    </cfRule>
  </conditionalFormatting>
  <conditionalFormatting sqref="C38:C39 E38:M39">
    <cfRule type="containsText" dxfId="273" priority="274" operator="containsText" text="TB">
      <formula>NOT(ISERROR(SEARCH("TB",C38)))</formula>
    </cfRule>
  </conditionalFormatting>
  <conditionalFormatting sqref="C43:C45 E43:M45">
    <cfRule type="containsText" dxfId="272" priority="271" operator="containsText" text="B">
      <formula>NOT(ISERROR(SEARCH("B",C43)))</formula>
    </cfRule>
    <cfRule type="containsText" dxfId="271" priority="272" operator="containsText" text="TB">
      <formula>NOT(ISERROR(SEARCH("TB",C43)))</formula>
    </cfRule>
    <cfRule type="containsText" dxfId="270" priority="273" operator="containsText" text="T">
      <formula>NOT(ISERROR(SEARCH("T",C43)))</formula>
    </cfRule>
  </conditionalFormatting>
  <conditionalFormatting sqref="C43:C45 E43:M45">
    <cfRule type="containsText" dxfId="269" priority="270" operator="containsText" text="TB">
      <formula>NOT(ISERROR(SEARCH("TB",C43)))</formula>
    </cfRule>
  </conditionalFormatting>
  <conditionalFormatting sqref="C48:C50 E48:M50">
    <cfRule type="containsText" dxfId="268" priority="267" operator="containsText" text="B">
      <formula>NOT(ISERROR(SEARCH("B",C48)))</formula>
    </cfRule>
    <cfRule type="containsText" dxfId="267" priority="268" operator="containsText" text="TB">
      <formula>NOT(ISERROR(SEARCH("TB",C48)))</formula>
    </cfRule>
    <cfRule type="containsText" dxfId="266" priority="269" operator="containsText" text="T">
      <formula>NOT(ISERROR(SEARCH("T",C48)))</formula>
    </cfRule>
  </conditionalFormatting>
  <conditionalFormatting sqref="C48:C50 E48:M50">
    <cfRule type="containsText" dxfId="265" priority="266" operator="containsText" text="TB">
      <formula>NOT(ISERROR(SEARCH("TB",C48)))</formula>
    </cfRule>
  </conditionalFormatting>
  <conditionalFormatting sqref="C51:C53 E51:M53">
    <cfRule type="containsText" dxfId="264" priority="263" operator="containsText" text="B">
      <formula>NOT(ISERROR(SEARCH("B",C51)))</formula>
    </cfRule>
    <cfRule type="containsText" dxfId="263" priority="264" operator="containsText" text="TB">
      <formula>NOT(ISERROR(SEARCH("TB",C51)))</formula>
    </cfRule>
    <cfRule type="containsText" dxfId="262" priority="265" operator="containsText" text="T">
      <formula>NOT(ISERROR(SEARCH("T",C51)))</formula>
    </cfRule>
  </conditionalFormatting>
  <conditionalFormatting sqref="C51:C53 E51:M53">
    <cfRule type="containsText" dxfId="261" priority="262" operator="containsText" text="TB">
      <formula>NOT(ISERROR(SEARCH("TB",C51)))</formula>
    </cfRule>
  </conditionalFormatting>
  <conditionalFormatting sqref="C54:C55 E54:M55">
    <cfRule type="containsText" dxfId="260" priority="259" operator="containsText" text="B">
      <formula>NOT(ISERROR(SEARCH("B",C54)))</formula>
    </cfRule>
    <cfRule type="containsText" dxfId="259" priority="260" operator="containsText" text="TB">
      <formula>NOT(ISERROR(SEARCH("TB",C54)))</formula>
    </cfRule>
    <cfRule type="containsText" dxfId="258" priority="261" operator="containsText" text="T">
      <formula>NOT(ISERROR(SEARCH("T",C54)))</formula>
    </cfRule>
  </conditionalFormatting>
  <conditionalFormatting sqref="C54:C55 E54:M55">
    <cfRule type="containsText" dxfId="257" priority="258" operator="containsText" text="TB">
      <formula>NOT(ISERROR(SEARCH("TB",C54)))</formula>
    </cfRule>
  </conditionalFormatting>
  <conditionalFormatting sqref="C56:C58 E56:M58">
    <cfRule type="containsText" dxfId="256" priority="255" operator="containsText" text="B">
      <formula>NOT(ISERROR(SEARCH("B",C56)))</formula>
    </cfRule>
    <cfRule type="containsText" dxfId="255" priority="256" operator="containsText" text="TB">
      <formula>NOT(ISERROR(SEARCH("TB",C56)))</formula>
    </cfRule>
    <cfRule type="containsText" dxfId="254" priority="257" operator="containsText" text="T">
      <formula>NOT(ISERROR(SEARCH("T",C56)))</formula>
    </cfRule>
  </conditionalFormatting>
  <conditionalFormatting sqref="C56:C58 E56:M58">
    <cfRule type="containsText" dxfId="253" priority="254" operator="containsText" text="TB">
      <formula>NOT(ISERROR(SEARCH("TB",C56)))</formula>
    </cfRule>
  </conditionalFormatting>
  <conditionalFormatting sqref="C60:C61 E60:M61">
    <cfRule type="containsText" dxfId="252" priority="251" operator="containsText" text="B">
      <formula>NOT(ISERROR(SEARCH("B",C60)))</formula>
    </cfRule>
    <cfRule type="containsText" dxfId="251" priority="252" operator="containsText" text="TB">
      <formula>NOT(ISERROR(SEARCH("TB",C60)))</formula>
    </cfRule>
    <cfRule type="containsText" dxfId="250" priority="253" operator="containsText" text="T">
      <formula>NOT(ISERROR(SEARCH("T",C60)))</formula>
    </cfRule>
  </conditionalFormatting>
  <conditionalFormatting sqref="C60:C61 E60:M61">
    <cfRule type="containsText" dxfId="249" priority="250" operator="containsText" text="TB">
      <formula>NOT(ISERROR(SEARCH("TB",C60)))</formula>
    </cfRule>
  </conditionalFormatting>
  <conditionalFormatting sqref="C63 E63:M63">
    <cfRule type="containsText" dxfId="248" priority="247" operator="containsText" text="B">
      <formula>NOT(ISERROR(SEARCH("B",C63)))</formula>
    </cfRule>
    <cfRule type="containsText" dxfId="247" priority="248" operator="containsText" text="TB">
      <formula>NOT(ISERROR(SEARCH("TB",C63)))</formula>
    </cfRule>
    <cfRule type="containsText" dxfId="246" priority="249" operator="containsText" text="T">
      <formula>NOT(ISERROR(SEARCH("T",C63)))</formula>
    </cfRule>
  </conditionalFormatting>
  <conditionalFormatting sqref="C63 E63:M63">
    <cfRule type="containsText" dxfId="245" priority="246" operator="containsText" text="TB">
      <formula>NOT(ISERROR(SEARCH("TB",C63)))</formula>
    </cfRule>
  </conditionalFormatting>
  <conditionalFormatting sqref="C66 E66:M66">
    <cfRule type="containsText" dxfId="244" priority="243" operator="containsText" text="B">
      <formula>NOT(ISERROR(SEARCH("B",C66)))</formula>
    </cfRule>
    <cfRule type="containsText" dxfId="243" priority="244" operator="containsText" text="TB">
      <formula>NOT(ISERROR(SEARCH("TB",C66)))</formula>
    </cfRule>
    <cfRule type="containsText" dxfId="242" priority="245" operator="containsText" text="T">
      <formula>NOT(ISERROR(SEARCH("T",C66)))</formula>
    </cfRule>
  </conditionalFormatting>
  <conditionalFormatting sqref="C66 E66:M66">
    <cfRule type="containsText" dxfId="241" priority="242" operator="containsText" text="TB">
      <formula>NOT(ISERROR(SEARCH("TB",C66)))</formula>
    </cfRule>
  </conditionalFormatting>
  <conditionalFormatting sqref="C67 E67:M67">
    <cfRule type="containsText" dxfId="240" priority="239" operator="containsText" text="B">
      <formula>NOT(ISERROR(SEARCH("B",C67)))</formula>
    </cfRule>
    <cfRule type="containsText" dxfId="239" priority="240" operator="containsText" text="TB">
      <formula>NOT(ISERROR(SEARCH("TB",C67)))</formula>
    </cfRule>
    <cfRule type="containsText" dxfId="238" priority="241" operator="containsText" text="T">
      <formula>NOT(ISERROR(SEARCH("T",C67)))</formula>
    </cfRule>
  </conditionalFormatting>
  <conditionalFormatting sqref="C67 E67:M67">
    <cfRule type="containsText" dxfId="237" priority="238" operator="containsText" text="TB">
      <formula>NOT(ISERROR(SEARCH("TB",C67)))</formula>
    </cfRule>
  </conditionalFormatting>
  <conditionalFormatting sqref="C69:C70 E69:M70">
    <cfRule type="containsText" dxfId="236" priority="235" operator="containsText" text="B">
      <formula>NOT(ISERROR(SEARCH("B",C69)))</formula>
    </cfRule>
    <cfRule type="containsText" dxfId="235" priority="236" operator="containsText" text="TB">
      <formula>NOT(ISERROR(SEARCH("TB",C69)))</formula>
    </cfRule>
    <cfRule type="containsText" dxfId="234" priority="237" operator="containsText" text="T">
      <formula>NOT(ISERROR(SEARCH("T",C69)))</formula>
    </cfRule>
  </conditionalFormatting>
  <conditionalFormatting sqref="C69:C70 E69:M70">
    <cfRule type="containsText" dxfId="233" priority="234" operator="containsText" text="TB">
      <formula>NOT(ISERROR(SEARCH("TB",C69)))</formula>
    </cfRule>
  </conditionalFormatting>
  <conditionalFormatting sqref="C75 E75:M75">
    <cfRule type="containsText" dxfId="232" priority="231" operator="containsText" text="B">
      <formula>NOT(ISERROR(SEARCH("B",C75)))</formula>
    </cfRule>
    <cfRule type="containsText" dxfId="231" priority="232" operator="containsText" text="TB">
      <formula>NOT(ISERROR(SEARCH("TB",C75)))</formula>
    </cfRule>
    <cfRule type="containsText" dxfId="230" priority="233" operator="containsText" text="T">
      <formula>NOT(ISERROR(SEARCH("T",C75)))</formula>
    </cfRule>
  </conditionalFormatting>
  <conditionalFormatting sqref="C75 E75:M75">
    <cfRule type="containsText" dxfId="229" priority="230" operator="containsText" text="TB">
      <formula>NOT(ISERROR(SEARCH("TB",C75)))</formula>
    </cfRule>
  </conditionalFormatting>
  <conditionalFormatting sqref="C77">
    <cfRule type="containsText" dxfId="228" priority="227" operator="containsText" text="B">
      <formula>NOT(ISERROR(SEARCH("B",C77)))</formula>
    </cfRule>
    <cfRule type="containsText" dxfId="227" priority="228" operator="containsText" text="TB">
      <formula>NOT(ISERROR(SEARCH("TB",C77)))</formula>
    </cfRule>
    <cfRule type="containsText" dxfId="226" priority="229" operator="containsText" text="T">
      <formula>NOT(ISERROR(SEARCH("T",C77)))</formula>
    </cfRule>
  </conditionalFormatting>
  <conditionalFormatting sqref="C77">
    <cfRule type="containsText" dxfId="225" priority="226" operator="containsText" text="TB">
      <formula>NOT(ISERROR(SEARCH("TB",C77)))</formula>
    </cfRule>
  </conditionalFormatting>
  <conditionalFormatting sqref="E77:N77">
    <cfRule type="containsText" dxfId="224" priority="223" operator="containsText" text="B">
      <formula>NOT(ISERROR(SEARCH("B",E77)))</formula>
    </cfRule>
    <cfRule type="containsText" dxfId="223" priority="224" operator="containsText" text="TB">
      <formula>NOT(ISERROR(SEARCH("TB",E77)))</formula>
    </cfRule>
    <cfRule type="containsText" dxfId="222" priority="225" operator="containsText" text="T">
      <formula>NOT(ISERROR(SEARCH("T",E77)))</formula>
    </cfRule>
  </conditionalFormatting>
  <conditionalFormatting sqref="E77:N77">
    <cfRule type="containsText" dxfId="221" priority="222" operator="containsText" text="TB">
      <formula>NOT(ISERROR(SEARCH("TB",E77)))</formula>
    </cfRule>
  </conditionalFormatting>
  <conditionalFormatting sqref="C80 E80:M80">
    <cfRule type="containsText" dxfId="220" priority="219" operator="containsText" text="B">
      <formula>NOT(ISERROR(SEARCH("B",C80)))</formula>
    </cfRule>
    <cfRule type="containsText" dxfId="219" priority="220" operator="containsText" text="TB">
      <formula>NOT(ISERROR(SEARCH("TB",C80)))</formula>
    </cfRule>
    <cfRule type="containsText" dxfId="218" priority="221" operator="containsText" text="T">
      <formula>NOT(ISERROR(SEARCH("T",C80)))</formula>
    </cfRule>
  </conditionalFormatting>
  <conditionalFormatting sqref="C80 E80:M80">
    <cfRule type="containsText" dxfId="217" priority="218" operator="containsText" text="TB">
      <formula>NOT(ISERROR(SEARCH("TB",C80)))</formula>
    </cfRule>
  </conditionalFormatting>
  <conditionalFormatting sqref="C83:C84 E83:M84">
    <cfRule type="containsText" dxfId="216" priority="215" operator="containsText" text="B">
      <formula>NOT(ISERROR(SEARCH("B",C83)))</formula>
    </cfRule>
    <cfRule type="containsText" dxfId="215" priority="216" operator="containsText" text="TB">
      <formula>NOT(ISERROR(SEARCH("TB",C83)))</formula>
    </cfRule>
    <cfRule type="containsText" dxfId="214" priority="217" operator="containsText" text="T">
      <formula>NOT(ISERROR(SEARCH("T",C83)))</formula>
    </cfRule>
  </conditionalFormatting>
  <conditionalFormatting sqref="C83:C84 E83:M84">
    <cfRule type="containsText" dxfId="213" priority="214" operator="containsText" text="TB">
      <formula>NOT(ISERROR(SEARCH("TB",C83)))</formula>
    </cfRule>
  </conditionalFormatting>
  <conditionalFormatting sqref="C85:C87 E85:M87">
    <cfRule type="containsText" dxfId="212" priority="211" operator="containsText" text="B">
      <formula>NOT(ISERROR(SEARCH("B",C85)))</formula>
    </cfRule>
    <cfRule type="containsText" dxfId="211" priority="212" operator="containsText" text="TB">
      <formula>NOT(ISERROR(SEARCH("TB",C85)))</formula>
    </cfRule>
    <cfRule type="containsText" dxfId="210" priority="213" operator="containsText" text="T">
      <formula>NOT(ISERROR(SEARCH("T",C85)))</formula>
    </cfRule>
  </conditionalFormatting>
  <conditionalFormatting sqref="C85:C87 E85:M87">
    <cfRule type="containsText" dxfId="209" priority="210" operator="containsText" text="TB">
      <formula>NOT(ISERROR(SEARCH("TB",C85)))</formula>
    </cfRule>
  </conditionalFormatting>
  <conditionalFormatting sqref="C89:C90 E89:M90">
    <cfRule type="containsText" dxfId="208" priority="207" operator="containsText" text="B">
      <formula>NOT(ISERROR(SEARCH("B",C89)))</formula>
    </cfRule>
    <cfRule type="containsText" dxfId="207" priority="208" operator="containsText" text="TB">
      <formula>NOT(ISERROR(SEARCH("TB",C89)))</formula>
    </cfRule>
    <cfRule type="containsText" dxfId="206" priority="209" operator="containsText" text="T">
      <formula>NOT(ISERROR(SEARCH("T",C89)))</formula>
    </cfRule>
  </conditionalFormatting>
  <conditionalFormatting sqref="C89:C90 E89:M90">
    <cfRule type="containsText" dxfId="205" priority="206" operator="containsText" text="TB">
      <formula>NOT(ISERROR(SEARCH("TB",C89)))</formula>
    </cfRule>
  </conditionalFormatting>
  <conditionalFormatting sqref="C94 E94:M94">
    <cfRule type="containsText" dxfId="204" priority="203" operator="containsText" text="B">
      <formula>NOT(ISERROR(SEARCH("B",C94)))</formula>
    </cfRule>
    <cfRule type="containsText" dxfId="203" priority="204" operator="containsText" text="TB">
      <formula>NOT(ISERROR(SEARCH("TB",C94)))</formula>
    </cfRule>
    <cfRule type="containsText" dxfId="202" priority="205" operator="containsText" text="T">
      <formula>NOT(ISERROR(SEARCH("T",C94)))</formula>
    </cfRule>
  </conditionalFormatting>
  <conditionalFormatting sqref="C94 E94:M94">
    <cfRule type="containsText" dxfId="201" priority="202" operator="containsText" text="TB">
      <formula>NOT(ISERROR(SEARCH("TB",C94)))</formula>
    </cfRule>
  </conditionalFormatting>
  <conditionalFormatting sqref="C95 E95:M95">
    <cfRule type="containsText" dxfId="200" priority="199" operator="containsText" text="B">
      <formula>NOT(ISERROR(SEARCH("B",C95)))</formula>
    </cfRule>
    <cfRule type="containsText" dxfId="199" priority="200" operator="containsText" text="TB">
      <formula>NOT(ISERROR(SEARCH("TB",C95)))</formula>
    </cfRule>
    <cfRule type="containsText" dxfId="198" priority="201" operator="containsText" text="T">
      <formula>NOT(ISERROR(SEARCH("T",C95)))</formula>
    </cfRule>
  </conditionalFormatting>
  <conditionalFormatting sqref="C95 E95:M95">
    <cfRule type="containsText" dxfId="197" priority="198" operator="containsText" text="TB">
      <formula>NOT(ISERROR(SEARCH("TB",C95)))</formula>
    </cfRule>
  </conditionalFormatting>
  <conditionalFormatting sqref="E96:N97">
    <cfRule type="containsText" dxfId="196" priority="195" operator="containsText" text="B">
      <formula>NOT(ISERROR(SEARCH("B",E96)))</formula>
    </cfRule>
    <cfRule type="containsText" dxfId="195" priority="196" operator="containsText" text="TB">
      <formula>NOT(ISERROR(SEARCH("TB",E96)))</formula>
    </cfRule>
    <cfRule type="containsText" dxfId="194" priority="197" operator="containsText" text="T">
      <formula>NOT(ISERROR(SEARCH("T",E96)))</formula>
    </cfRule>
  </conditionalFormatting>
  <conditionalFormatting sqref="E96:N97">
    <cfRule type="containsText" dxfId="193" priority="194" operator="containsText" text="TB">
      <formula>NOT(ISERROR(SEARCH("TB",E96)))</formula>
    </cfRule>
  </conditionalFormatting>
  <conditionalFormatting sqref="C99:C100 E99:M100">
    <cfRule type="containsText" dxfId="192" priority="191" operator="containsText" text="B">
      <formula>NOT(ISERROR(SEARCH("B",C99)))</formula>
    </cfRule>
    <cfRule type="containsText" dxfId="191" priority="192" operator="containsText" text="TB">
      <formula>NOT(ISERROR(SEARCH("TB",C99)))</formula>
    </cfRule>
    <cfRule type="containsText" dxfId="190" priority="193" operator="containsText" text="T">
      <formula>NOT(ISERROR(SEARCH("T",C99)))</formula>
    </cfRule>
  </conditionalFormatting>
  <conditionalFormatting sqref="C99:C100 E99:M100">
    <cfRule type="containsText" dxfId="189" priority="190" operator="containsText" text="TB">
      <formula>NOT(ISERROR(SEARCH("TB",C99)))</formula>
    </cfRule>
  </conditionalFormatting>
  <conditionalFormatting sqref="C103 E103:M103">
    <cfRule type="containsText" dxfId="188" priority="187" operator="containsText" text="B">
      <formula>NOT(ISERROR(SEARCH("B",C103)))</formula>
    </cfRule>
    <cfRule type="containsText" dxfId="187" priority="188" operator="containsText" text="TB">
      <formula>NOT(ISERROR(SEARCH("TB",C103)))</formula>
    </cfRule>
    <cfRule type="containsText" dxfId="186" priority="189" operator="containsText" text="T">
      <formula>NOT(ISERROR(SEARCH("T",C103)))</formula>
    </cfRule>
  </conditionalFormatting>
  <conditionalFormatting sqref="C103 E103:M103">
    <cfRule type="containsText" dxfId="185" priority="186" operator="containsText" text="TB">
      <formula>NOT(ISERROR(SEARCH("TB",C103)))</formula>
    </cfRule>
  </conditionalFormatting>
  <conditionalFormatting sqref="C71:C72 E71:J72">
    <cfRule type="containsText" dxfId="184" priority="183" operator="containsText" text="B">
      <formula>NOT(ISERROR(SEARCH("B",C71)))</formula>
    </cfRule>
    <cfRule type="containsText" dxfId="183" priority="184" operator="containsText" text="TB">
      <formula>NOT(ISERROR(SEARCH("TB",C71)))</formula>
    </cfRule>
    <cfRule type="containsText" dxfId="182" priority="185" operator="containsText" text="T">
      <formula>NOT(ISERROR(SEARCH("T",C71)))</formula>
    </cfRule>
  </conditionalFormatting>
  <conditionalFormatting sqref="C71:C72 E71:J72">
    <cfRule type="containsText" dxfId="181" priority="182" operator="containsText" text="TB">
      <formula>NOT(ISERROR(SEARCH("TB",C71)))</formula>
    </cfRule>
  </conditionalFormatting>
  <conditionalFormatting sqref="C76 E76:J76">
    <cfRule type="containsText" dxfId="180" priority="179" operator="containsText" text="B">
      <formula>NOT(ISERROR(SEARCH("B",C76)))</formula>
    </cfRule>
    <cfRule type="containsText" dxfId="179" priority="180" operator="containsText" text="TB">
      <formula>NOT(ISERROR(SEARCH("TB",C76)))</formula>
    </cfRule>
    <cfRule type="containsText" dxfId="178" priority="181" operator="containsText" text="T">
      <formula>NOT(ISERROR(SEARCH("T",C76)))</formula>
    </cfRule>
  </conditionalFormatting>
  <conditionalFormatting sqref="C76 E76:J76">
    <cfRule type="containsText" dxfId="177" priority="178" operator="containsText" text="TB">
      <formula>NOT(ISERROR(SEARCH("TB",C76)))</formula>
    </cfRule>
  </conditionalFormatting>
  <conditionalFormatting sqref="C78 E78:M78">
    <cfRule type="containsText" dxfId="176" priority="175" operator="containsText" text="B">
      <formula>NOT(ISERROR(SEARCH("B",C78)))</formula>
    </cfRule>
    <cfRule type="containsText" dxfId="175" priority="176" operator="containsText" text="TB">
      <formula>NOT(ISERROR(SEARCH("TB",C78)))</formula>
    </cfRule>
    <cfRule type="containsText" dxfId="174" priority="177" operator="containsText" text="T">
      <formula>NOT(ISERROR(SEARCH("T",C78)))</formula>
    </cfRule>
  </conditionalFormatting>
  <conditionalFormatting sqref="C78 E78:M78">
    <cfRule type="containsText" dxfId="173" priority="174" operator="containsText" text="TB">
      <formula>NOT(ISERROR(SEARCH("TB",C78)))</formula>
    </cfRule>
  </conditionalFormatting>
  <conditionalFormatting sqref="C79 E79:J79">
    <cfRule type="containsText" dxfId="172" priority="171" operator="containsText" text="B">
      <formula>NOT(ISERROR(SEARCH("B",C79)))</formula>
    </cfRule>
    <cfRule type="containsText" dxfId="171" priority="172" operator="containsText" text="TB">
      <formula>NOT(ISERROR(SEARCH("TB",C79)))</formula>
    </cfRule>
    <cfRule type="containsText" dxfId="170" priority="173" operator="containsText" text="T">
      <formula>NOT(ISERROR(SEARCH("T",C79)))</formula>
    </cfRule>
  </conditionalFormatting>
  <conditionalFormatting sqref="C79 E79:J79">
    <cfRule type="containsText" dxfId="169" priority="170" operator="containsText" text="TB">
      <formula>NOT(ISERROR(SEARCH("TB",C79)))</formula>
    </cfRule>
  </conditionalFormatting>
  <conditionalFormatting sqref="C91:C92 E91:J92">
    <cfRule type="containsText" dxfId="168" priority="167" operator="containsText" text="B">
      <formula>NOT(ISERROR(SEARCH("B",C91)))</formula>
    </cfRule>
    <cfRule type="containsText" dxfId="167" priority="168" operator="containsText" text="TB">
      <formula>NOT(ISERROR(SEARCH("TB",C91)))</formula>
    </cfRule>
    <cfRule type="containsText" dxfId="166" priority="169" operator="containsText" text="T">
      <formula>NOT(ISERROR(SEARCH("T",C91)))</formula>
    </cfRule>
  </conditionalFormatting>
  <conditionalFormatting sqref="C91:C92 E91:J92">
    <cfRule type="containsText" dxfId="165" priority="166" operator="containsText" text="TB">
      <formula>NOT(ISERROR(SEARCH("TB",C91)))</formula>
    </cfRule>
  </conditionalFormatting>
  <conditionalFormatting sqref="C186:I187 K186:M187 C190:J190 L190:M190 C188:M189 C191:M200">
    <cfRule type="containsText" dxfId="164" priority="163" operator="containsText" text="B">
      <formula>NOT(ISERROR(SEARCH("B",C186)))</formula>
    </cfRule>
    <cfRule type="containsText" dxfId="163" priority="164" operator="containsText" text="TB">
      <formula>NOT(ISERROR(SEARCH("TB",C186)))</formula>
    </cfRule>
    <cfRule type="containsText" dxfId="162" priority="165" operator="containsText" text="T">
      <formula>NOT(ISERROR(SEARCH("T",C186)))</formula>
    </cfRule>
  </conditionalFormatting>
  <conditionalFormatting sqref="C186:I187 K186:M187 C190:J190 L190:M190 C188:M189 C191:M200">
    <cfRule type="containsText" dxfId="161" priority="162" operator="containsText" text="TB">
      <formula>NOT(ISERROR(SEARCH("TB",C186)))</formula>
    </cfRule>
  </conditionalFormatting>
  <conditionalFormatting sqref="J187">
    <cfRule type="containsText" dxfId="160" priority="159" operator="containsText" text="B">
      <formula>NOT(ISERROR(SEARCH("B",J187)))</formula>
    </cfRule>
    <cfRule type="containsText" dxfId="159" priority="160" operator="containsText" text="TB">
      <formula>NOT(ISERROR(SEARCH("TB",J187)))</formula>
    </cfRule>
    <cfRule type="containsText" dxfId="158" priority="161" operator="containsText" text="T">
      <formula>NOT(ISERROR(SEARCH("T",J187)))</formula>
    </cfRule>
  </conditionalFormatting>
  <conditionalFormatting sqref="J187">
    <cfRule type="containsText" dxfId="157" priority="158" operator="containsText" text="TB">
      <formula>NOT(ISERROR(SEARCH("TB",J187)))</formula>
    </cfRule>
  </conditionalFormatting>
  <conditionalFormatting sqref="J186">
    <cfRule type="containsText" dxfId="156" priority="155" operator="containsText" text="B">
      <formula>NOT(ISERROR(SEARCH("B",J186)))</formula>
    </cfRule>
    <cfRule type="containsText" dxfId="155" priority="156" operator="containsText" text="TB">
      <formula>NOT(ISERROR(SEARCH("TB",J186)))</formula>
    </cfRule>
    <cfRule type="containsText" dxfId="154" priority="157" operator="containsText" text="T">
      <formula>NOT(ISERROR(SEARCH("T",J186)))</formula>
    </cfRule>
  </conditionalFormatting>
  <conditionalFormatting sqref="J186">
    <cfRule type="containsText" dxfId="153" priority="154" operator="containsText" text="TB">
      <formula>NOT(ISERROR(SEARCH("TB",J186)))</formula>
    </cfRule>
  </conditionalFormatting>
  <conditionalFormatting sqref="K190">
    <cfRule type="containsText" dxfId="152" priority="151" operator="containsText" text="B">
      <formula>NOT(ISERROR(SEARCH("B",K190)))</formula>
    </cfRule>
    <cfRule type="containsText" dxfId="151" priority="152" operator="containsText" text="TB">
      <formula>NOT(ISERROR(SEARCH("TB",K190)))</formula>
    </cfRule>
    <cfRule type="containsText" dxfId="150" priority="153" operator="containsText" text="T">
      <formula>NOT(ISERROR(SEARCH("T",K190)))</formula>
    </cfRule>
  </conditionalFormatting>
  <conditionalFormatting sqref="K190">
    <cfRule type="containsText" dxfId="149" priority="150" operator="containsText" text="TB">
      <formula>NOT(ISERROR(SEARCH("TB",K190)))</formula>
    </cfRule>
  </conditionalFormatting>
  <conditionalFormatting sqref="C108 E108:AG108">
    <cfRule type="containsText" dxfId="148" priority="147" operator="containsText" text="B">
      <formula>NOT(ISERROR(SEARCH("B",C108)))</formula>
    </cfRule>
    <cfRule type="containsText" dxfId="147" priority="148" operator="containsText" text="TB">
      <formula>NOT(ISERROR(SEARCH("TB",C108)))</formula>
    </cfRule>
    <cfRule type="containsText" dxfId="146" priority="149" operator="containsText" text="T">
      <formula>NOT(ISERROR(SEARCH("T",C108)))</formula>
    </cfRule>
  </conditionalFormatting>
  <conditionalFormatting sqref="C108 E108:AG108">
    <cfRule type="containsText" dxfId="145" priority="146" operator="containsText" text="TB">
      <formula>NOT(ISERROR(SEARCH("TB",C108)))</formula>
    </cfRule>
  </conditionalFormatting>
  <conditionalFormatting sqref="D27 D29:D31 D35:D37 D40:D42 D46:D47 D59 D62 D64:D65 D68 D81:D82 D88 D93 D96:D98 D101:D102 D104:D107 D73:D74 D109:D155">
    <cfRule type="containsText" dxfId="144" priority="143" operator="containsText" text="B">
      <formula>NOT(ISERROR(SEARCH("B",D27)))</formula>
    </cfRule>
    <cfRule type="containsText" dxfId="143" priority="144" operator="containsText" text="TB">
      <formula>NOT(ISERROR(SEARCH("TB",D27)))</formula>
    </cfRule>
    <cfRule type="containsText" dxfId="142" priority="145" operator="containsText" text="T">
      <formula>NOT(ISERROR(SEARCH("T",D27)))</formula>
    </cfRule>
  </conditionalFormatting>
  <conditionalFormatting sqref="D27 D29:D31 D35:D37 D40:D42 D46:D47 D59 D62 D64:D65 D68 D81:D82 D88 D93 D96:D98 D101:D102 D104:D107 D73:D74 D109:D155">
    <cfRule type="containsText" dxfId="141" priority="142" operator="containsText" text="TB">
      <formula>NOT(ISERROR(SEARCH("TB",D27)))</formula>
    </cfRule>
  </conditionalFormatting>
  <conditionalFormatting sqref="D8:D12 D15:D19 D21 D24 D26">
    <cfRule type="containsText" dxfId="140" priority="139" operator="containsText" text="B">
      <formula>NOT(ISERROR(SEARCH("B",D8)))</formula>
    </cfRule>
    <cfRule type="containsText" dxfId="139" priority="140" operator="containsText" text="TB">
      <formula>NOT(ISERROR(SEARCH("TB",D8)))</formula>
    </cfRule>
    <cfRule type="containsText" dxfId="138" priority="141" operator="containsText" text="T">
      <formula>NOT(ISERROR(SEARCH("T",D8)))</formula>
    </cfRule>
  </conditionalFormatting>
  <conditionalFormatting sqref="D8:D12 D15:D19 D21 D24 D26">
    <cfRule type="containsText" dxfId="137" priority="138" operator="containsText" text="TB">
      <formula>NOT(ISERROR(SEARCH("TB",D8)))</formula>
    </cfRule>
  </conditionalFormatting>
  <conditionalFormatting sqref="D7">
    <cfRule type="containsText" dxfId="136" priority="135" operator="containsText" text="B">
      <formula>NOT(ISERROR(SEARCH("B",D7)))</formula>
    </cfRule>
    <cfRule type="containsText" dxfId="135" priority="136" operator="containsText" text="TB">
      <formula>NOT(ISERROR(SEARCH("TB",D7)))</formula>
    </cfRule>
    <cfRule type="containsText" dxfId="134" priority="137" operator="containsText" text="T">
      <formula>NOT(ISERROR(SEARCH("T",D7)))</formula>
    </cfRule>
  </conditionalFormatting>
  <conditionalFormatting sqref="D7">
    <cfRule type="containsText" dxfId="133" priority="134" operator="containsText" text="TB">
      <formula>NOT(ISERROR(SEARCH("TB",D7)))</formula>
    </cfRule>
  </conditionalFormatting>
  <conditionalFormatting sqref="D13:D14">
    <cfRule type="containsText" dxfId="132" priority="131" operator="containsText" text="B">
      <formula>NOT(ISERROR(SEARCH("B",D13)))</formula>
    </cfRule>
    <cfRule type="containsText" dxfId="131" priority="132" operator="containsText" text="TB">
      <formula>NOT(ISERROR(SEARCH("TB",D13)))</formula>
    </cfRule>
    <cfRule type="containsText" dxfId="130" priority="133" operator="containsText" text="T">
      <formula>NOT(ISERROR(SEARCH("T",D13)))</formula>
    </cfRule>
  </conditionalFormatting>
  <conditionalFormatting sqref="D13:D14">
    <cfRule type="containsText" dxfId="129" priority="130" operator="containsText" text="TB">
      <formula>NOT(ISERROR(SEARCH("TB",D13)))</formula>
    </cfRule>
  </conditionalFormatting>
  <conditionalFormatting sqref="D20">
    <cfRule type="containsText" dxfId="128" priority="127" operator="containsText" text="B">
      <formula>NOT(ISERROR(SEARCH("B",D20)))</formula>
    </cfRule>
    <cfRule type="containsText" dxfId="127" priority="128" operator="containsText" text="TB">
      <formula>NOT(ISERROR(SEARCH("TB",D20)))</formula>
    </cfRule>
    <cfRule type="containsText" dxfId="126" priority="129" operator="containsText" text="T">
      <formula>NOT(ISERROR(SEARCH("T",D20)))</formula>
    </cfRule>
  </conditionalFormatting>
  <conditionalFormatting sqref="D20">
    <cfRule type="containsText" dxfId="125" priority="126" operator="containsText" text="TB">
      <formula>NOT(ISERROR(SEARCH("TB",D20)))</formula>
    </cfRule>
  </conditionalFormatting>
  <conditionalFormatting sqref="D22:D23">
    <cfRule type="containsText" dxfId="124" priority="123" operator="containsText" text="B">
      <formula>NOT(ISERROR(SEARCH("B",D22)))</formula>
    </cfRule>
    <cfRule type="containsText" dxfId="123" priority="124" operator="containsText" text="TB">
      <formula>NOT(ISERROR(SEARCH("TB",D22)))</formula>
    </cfRule>
    <cfRule type="containsText" dxfId="122" priority="125" operator="containsText" text="T">
      <formula>NOT(ISERROR(SEARCH("T",D22)))</formula>
    </cfRule>
  </conditionalFormatting>
  <conditionalFormatting sqref="D22:D23">
    <cfRule type="containsText" dxfId="121" priority="122" operator="containsText" text="TB">
      <formula>NOT(ISERROR(SEARCH("TB",D22)))</formula>
    </cfRule>
  </conditionalFormatting>
  <conditionalFormatting sqref="D25">
    <cfRule type="containsText" dxfId="120" priority="119" operator="containsText" text="B">
      <formula>NOT(ISERROR(SEARCH("B",D25)))</formula>
    </cfRule>
    <cfRule type="containsText" dxfId="119" priority="120" operator="containsText" text="TB">
      <formula>NOT(ISERROR(SEARCH("TB",D25)))</formula>
    </cfRule>
    <cfRule type="containsText" dxfId="118" priority="121" operator="containsText" text="T">
      <formula>NOT(ISERROR(SEARCH("T",D25)))</formula>
    </cfRule>
  </conditionalFormatting>
  <conditionalFormatting sqref="D25">
    <cfRule type="containsText" dxfId="117" priority="118" operator="containsText" text="TB">
      <formula>NOT(ISERROR(SEARCH("TB",D25)))</formula>
    </cfRule>
  </conditionalFormatting>
  <conditionalFormatting sqref="D28">
    <cfRule type="containsText" dxfId="116" priority="115" operator="containsText" text="B">
      <formula>NOT(ISERROR(SEARCH("B",D28)))</formula>
    </cfRule>
    <cfRule type="containsText" dxfId="115" priority="116" operator="containsText" text="TB">
      <formula>NOT(ISERROR(SEARCH("TB",D28)))</formula>
    </cfRule>
    <cfRule type="containsText" dxfId="114" priority="117" operator="containsText" text="T">
      <formula>NOT(ISERROR(SEARCH("T",D28)))</formula>
    </cfRule>
  </conditionalFormatting>
  <conditionalFormatting sqref="D28">
    <cfRule type="containsText" dxfId="113" priority="114" operator="containsText" text="TB">
      <formula>NOT(ISERROR(SEARCH("TB",D28)))</formula>
    </cfRule>
  </conditionalFormatting>
  <conditionalFormatting sqref="D32:D34">
    <cfRule type="containsText" dxfId="112" priority="111" operator="containsText" text="B">
      <formula>NOT(ISERROR(SEARCH("B",D32)))</formula>
    </cfRule>
    <cfRule type="containsText" dxfId="111" priority="112" operator="containsText" text="TB">
      <formula>NOT(ISERROR(SEARCH("TB",D32)))</formula>
    </cfRule>
    <cfRule type="containsText" dxfId="110" priority="113" operator="containsText" text="T">
      <formula>NOT(ISERROR(SEARCH("T",D32)))</formula>
    </cfRule>
  </conditionalFormatting>
  <conditionalFormatting sqref="D32:D34">
    <cfRule type="containsText" dxfId="109" priority="110" operator="containsText" text="TB">
      <formula>NOT(ISERROR(SEARCH("TB",D32)))</formula>
    </cfRule>
  </conditionalFormatting>
  <conditionalFormatting sqref="D38:D39">
    <cfRule type="containsText" dxfId="108" priority="107" operator="containsText" text="B">
      <formula>NOT(ISERROR(SEARCH("B",D38)))</formula>
    </cfRule>
    <cfRule type="containsText" dxfId="107" priority="108" operator="containsText" text="TB">
      <formula>NOT(ISERROR(SEARCH("TB",D38)))</formula>
    </cfRule>
    <cfRule type="containsText" dxfId="106" priority="109" operator="containsText" text="T">
      <formula>NOT(ISERROR(SEARCH("T",D38)))</formula>
    </cfRule>
  </conditionalFormatting>
  <conditionalFormatting sqref="D38:D39">
    <cfRule type="containsText" dxfId="105" priority="106" operator="containsText" text="TB">
      <formula>NOT(ISERROR(SEARCH("TB",D38)))</formula>
    </cfRule>
  </conditionalFormatting>
  <conditionalFormatting sqref="D43:D45">
    <cfRule type="containsText" dxfId="104" priority="103" operator="containsText" text="B">
      <formula>NOT(ISERROR(SEARCH("B",D43)))</formula>
    </cfRule>
    <cfRule type="containsText" dxfId="103" priority="104" operator="containsText" text="TB">
      <formula>NOT(ISERROR(SEARCH("TB",D43)))</formula>
    </cfRule>
    <cfRule type="containsText" dxfId="102" priority="105" operator="containsText" text="T">
      <formula>NOT(ISERROR(SEARCH("T",D43)))</formula>
    </cfRule>
  </conditionalFormatting>
  <conditionalFormatting sqref="D43:D45">
    <cfRule type="containsText" dxfId="101" priority="102" operator="containsText" text="TB">
      <formula>NOT(ISERROR(SEARCH("TB",D43)))</formula>
    </cfRule>
  </conditionalFormatting>
  <conditionalFormatting sqref="D48:D50">
    <cfRule type="containsText" dxfId="100" priority="99" operator="containsText" text="B">
      <formula>NOT(ISERROR(SEARCH("B",D48)))</formula>
    </cfRule>
    <cfRule type="containsText" dxfId="99" priority="100" operator="containsText" text="TB">
      <formula>NOT(ISERROR(SEARCH("TB",D48)))</formula>
    </cfRule>
    <cfRule type="containsText" dxfId="98" priority="101" operator="containsText" text="T">
      <formula>NOT(ISERROR(SEARCH("T",D48)))</formula>
    </cfRule>
  </conditionalFormatting>
  <conditionalFormatting sqref="D48:D50">
    <cfRule type="containsText" dxfId="97" priority="98" operator="containsText" text="TB">
      <formula>NOT(ISERROR(SEARCH("TB",D48)))</formula>
    </cfRule>
  </conditionalFormatting>
  <conditionalFormatting sqref="D51:D53">
    <cfRule type="containsText" dxfId="96" priority="95" operator="containsText" text="B">
      <formula>NOT(ISERROR(SEARCH("B",D51)))</formula>
    </cfRule>
    <cfRule type="containsText" dxfId="95" priority="96" operator="containsText" text="TB">
      <formula>NOT(ISERROR(SEARCH("TB",D51)))</formula>
    </cfRule>
    <cfRule type="containsText" dxfId="94" priority="97" operator="containsText" text="T">
      <formula>NOT(ISERROR(SEARCH("T",D51)))</formula>
    </cfRule>
  </conditionalFormatting>
  <conditionalFormatting sqref="D51:D53">
    <cfRule type="containsText" dxfId="93" priority="94" operator="containsText" text="TB">
      <formula>NOT(ISERROR(SEARCH("TB",D51)))</formula>
    </cfRule>
  </conditionalFormatting>
  <conditionalFormatting sqref="D54:D55">
    <cfRule type="containsText" dxfId="92" priority="91" operator="containsText" text="B">
      <formula>NOT(ISERROR(SEARCH("B",D54)))</formula>
    </cfRule>
    <cfRule type="containsText" dxfId="91" priority="92" operator="containsText" text="TB">
      <formula>NOT(ISERROR(SEARCH("TB",D54)))</formula>
    </cfRule>
    <cfRule type="containsText" dxfId="90" priority="93" operator="containsText" text="T">
      <formula>NOT(ISERROR(SEARCH("T",D54)))</formula>
    </cfRule>
  </conditionalFormatting>
  <conditionalFormatting sqref="D54:D55">
    <cfRule type="containsText" dxfId="89" priority="90" operator="containsText" text="TB">
      <formula>NOT(ISERROR(SEARCH("TB",D54)))</formula>
    </cfRule>
  </conditionalFormatting>
  <conditionalFormatting sqref="D56:D58">
    <cfRule type="containsText" dxfId="88" priority="87" operator="containsText" text="B">
      <formula>NOT(ISERROR(SEARCH("B",D56)))</formula>
    </cfRule>
    <cfRule type="containsText" dxfId="87" priority="88" operator="containsText" text="TB">
      <formula>NOT(ISERROR(SEARCH("TB",D56)))</formula>
    </cfRule>
    <cfRule type="containsText" dxfId="86" priority="89" operator="containsText" text="T">
      <formula>NOT(ISERROR(SEARCH("T",D56)))</formula>
    </cfRule>
  </conditionalFormatting>
  <conditionalFormatting sqref="D56:D58">
    <cfRule type="containsText" dxfId="85" priority="86" operator="containsText" text="TB">
      <formula>NOT(ISERROR(SEARCH("TB",D56)))</formula>
    </cfRule>
  </conditionalFormatting>
  <conditionalFormatting sqref="D60:D61">
    <cfRule type="containsText" dxfId="84" priority="83" operator="containsText" text="B">
      <formula>NOT(ISERROR(SEARCH("B",D60)))</formula>
    </cfRule>
    <cfRule type="containsText" dxfId="83" priority="84" operator="containsText" text="TB">
      <formula>NOT(ISERROR(SEARCH("TB",D60)))</formula>
    </cfRule>
    <cfRule type="containsText" dxfId="82" priority="85" operator="containsText" text="T">
      <formula>NOT(ISERROR(SEARCH("T",D60)))</formula>
    </cfRule>
  </conditionalFormatting>
  <conditionalFormatting sqref="D60:D61">
    <cfRule type="containsText" dxfId="81" priority="82" operator="containsText" text="TB">
      <formula>NOT(ISERROR(SEARCH("TB",D60)))</formula>
    </cfRule>
  </conditionalFormatting>
  <conditionalFormatting sqref="D63">
    <cfRule type="containsText" dxfId="80" priority="79" operator="containsText" text="B">
      <formula>NOT(ISERROR(SEARCH("B",D63)))</formula>
    </cfRule>
    <cfRule type="containsText" dxfId="79" priority="80" operator="containsText" text="TB">
      <formula>NOT(ISERROR(SEARCH("TB",D63)))</formula>
    </cfRule>
    <cfRule type="containsText" dxfId="78" priority="81" operator="containsText" text="T">
      <formula>NOT(ISERROR(SEARCH("T",D63)))</formula>
    </cfRule>
  </conditionalFormatting>
  <conditionalFormatting sqref="D63">
    <cfRule type="containsText" dxfId="77" priority="78" operator="containsText" text="TB">
      <formula>NOT(ISERROR(SEARCH("TB",D63)))</formula>
    </cfRule>
  </conditionalFormatting>
  <conditionalFormatting sqref="D66">
    <cfRule type="containsText" dxfId="76" priority="75" operator="containsText" text="B">
      <formula>NOT(ISERROR(SEARCH("B",D66)))</formula>
    </cfRule>
    <cfRule type="containsText" dxfId="75" priority="76" operator="containsText" text="TB">
      <formula>NOT(ISERROR(SEARCH("TB",D66)))</formula>
    </cfRule>
    <cfRule type="containsText" dxfId="74" priority="77" operator="containsText" text="T">
      <formula>NOT(ISERROR(SEARCH("T",D66)))</formula>
    </cfRule>
  </conditionalFormatting>
  <conditionalFormatting sqref="D66">
    <cfRule type="containsText" dxfId="73" priority="74" operator="containsText" text="TB">
      <formula>NOT(ISERROR(SEARCH("TB",D66)))</formula>
    </cfRule>
  </conditionalFormatting>
  <conditionalFormatting sqref="D67">
    <cfRule type="containsText" dxfId="72" priority="71" operator="containsText" text="B">
      <formula>NOT(ISERROR(SEARCH("B",D67)))</formula>
    </cfRule>
    <cfRule type="containsText" dxfId="71" priority="72" operator="containsText" text="TB">
      <formula>NOT(ISERROR(SEARCH("TB",D67)))</formula>
    </cfRule>
    <cfRule type="containsText" dxfId="70" priority="73" operator="containsText" text="T">
      <formula>NOT(ISERROR(SEARCH("T",D67)))</formula>
    </cfRule>
  </conditionalFormatting>
  <conditionalFormatting sqref="D67">
    <cfRule type="containsText" dxfId="69" priority="70" operator="containsText" text="TB">
      <formula>NOT(ISERROR(SEARCH("TB",D67)))</formula>
    </cfRule>
  </conditionalFormatting>
  <conditionalFormatting sqref="D69:D70">
    <cfRule type="containsText" dxfId="68" priority="67" operator="containsText" text="B">
      <formula>NOT(ISERROR(SEARCH("B",D69)))</formula>
    </cfRule>
    <cfRule type="containsText" dxfId="67" priority="68" operator="containsText" text="TB">
      <formula>NOT(ISERROR(SEARCH("TB",D69)))</formula>
    </cfRule>
    <cfRule type="containsText" dxfId="66" priority="69" operator="containsText" text="T">
      <formula>NOT(ISERROR(SEARCH("T",D69)))</formula>
    </cfRule>
  </conditionalFormatting>
  <conditionalFormatting sqref="D69:D70">
    <cfRule type="containsText" dxfId="65" priority="66" operator="containsText" text="TB">
      <formula>NOT(ISERROR(SEARCH("TB",D69)))</formula>
    </cfRule>
  </conditionalFormatting>
  <conditionalFormatting sqref="D75">
    <cfRule type="containsText" dxfId="64" priority="63" operator="containsText" text="B">
      <formula>NOT(ISERROR(SEARCH("B",D75)))</formula>
    </cfRule>
    <cfRule type="containsText" dxfId="63" priority="64" operator="containsText" text="TB">
      <formula>NOT(ISERROR(SEARCH("TB",D75)))</formula>
    </cfRule>
    <cfRule type="containsText" dxfId="62" priority="65" operator="containsText" text="T">
      <formula>NOT(ISERROR(SEARCH("T",D75)))</formula>
    </cfRule>
  </conditionalFormatting>
  <conditionalFormatting sqref="D75">
    <cfRule type="containsText" dxfId="61" priority="62" operator="containsText" text="TB">
      <formula>NOT(ISERROR(SEARCH("TB",D75)))</formula>
    </cfRule>
  </conditionalFormatting>
  <conditionalFormatting sqref="D77">
    <cfRule type="containsText" dxfId="60" priority="59" operator="containsText" text="B">
      <formula>NOT(ISERROR(SEARCH("B",D77)))</formula>
    </cfRule>
    <cfRule type="containsText" dxfId="59" priority="60" operator="containsText" text="TB">
      <formula>NOT(ISERROR(SEARCH("TB",D77)))</formula>
    </cfRule>
    <cfRule type="containsText" dxfId="58" priority="61" operator="containsText" text="T">
      <formula>NOT(ISERROR(SEARCH("T",D77)))</formula>
    </cfRule>
  </conditionalFormatting>
  <conditionalFormatting sqref="D77">
    <cfRule type="containsText" dxfId="57" priority="58" operator="containsText" text="TB">
      <formula>NOT(ISERROR(SEARCH("TB",D77)))</formula>
    </cfRule>
  </conditionalFormatting>
  <conditionalFormatting sqref="D80">
    <cfRule type="containsText" dxfId="56" priority="55" operator="containsText" text="B">
      <formula>NOT(ISERROR(SEARCH("B",D80)))</formula>
    </cfRule>
    <cfRule type="containsText" dxfId="55" priority="56" operator="containsText" text="TB">
      <formula>NOT(ISERROR(SEARCH("TB",D80)))</formula>
    </cfRule>
    <cfRule type="containsText" dxfId="54" priority="57" operator="containsText" text="T">
      <formula>NOT(ISERROR(SEARCH("T",D80)))</formula>
    </cfRule>
  </conditionalFormatting>
  <conditionalFormatting sqref="D80">
    <cfRule type="containsText" dxfId="53" priority="54" operator="containsText" text="TB">
      <formula>NOT(ISERROR(SEARCH("TB",D80)))</formula>
    </cfRule>
  </conditionalFormatting>
  <conditionalFormatting sqref="D83:D84">
    <cfRule type="containsText" dxfId="52" priority="51" operator="containsText" text="B">
      <formula>NOT(ISERROR(SEARCH("B",D83)))</formula>
    </cfRule>
    <cfRule type="containsText" dxfId="51" priority="52" operator="containsText" text="TB">
      <formula>NOT(ISERROR(SEARCH("TB",D83)))</formula>
    </cfRule>
    <cfRule type="containsText" dxfId="50" priority="53" operator="containsText" text="T">
      <formula>NOT(ISERROR(SEARCH("T",D83)))</formula>
    </cfRule>
  </conditionalFormatting>
  <conditionalFormatting sqref="D83:D84">
    <cfRule type="containsText" dxfId="49" priority="50" operator="containsText" text="TB">
      <formula>NOT(ISERROR(SEARCH("TB",D83)))</formula>
    </cfRule>
  </conditionalFormatting>
  <conditionalFormatting sqref="D85:D87">
    <cfRule type="containsText" dxfId="48" priority="47" operator="containsText" text="B">
      <formula>NOT(ISERROR(SEARCH("B",D85)))</formula>
    </cfRule>
    <cfRule type="containsText" dxfId="47" priority="48" operator="containsText" text="TB">
      <formula>NOT(ISERROR(SEARCH("TB",D85)))</formula>
    </cfRule>
    <cfRule type="containsText" dxfId="46" priority="49" operator="containsText" text="T">
      <formula>NOT(ISERROR(SEARCH("T",D85)))</formula>
    </cfRule>
  </conditionalFormatting>
  <conditionalFormatting sqref="D85:D87">
    <cfRule type="containsText" dxfId="45" priority="46" operator="containsText" text="TB">
      <formula>NOT(ISERROR(SEARCH("TB",D85)))</formula>
    </cfRule>
  </conditionalFormatting>
  <conditionalFormatting sqref="D89:D90">
    <cfRule type="containsText" dxfId="44" priority="43" operator="containsText" text="B">
      <formula>NOT(ISERROR(SEARCH("B",D89)))</formula>
    </cfRule>
    <cfRule type="containsText" dxfId="43" priority="44" operator="containsText" text="TB">
      <formula>NOT(ISERROR(SEARCH("TB",D89)))</formula>
    </cfRule>
    <cfRule type="containsText" dxfId="42" priority="45" operator="containsText" text="T">
      <formula>NOT(ISERROR(SEARCH("T",D89)))</formula>
    </cfRule>
  </conditionalFormatting>
  <conditionalFormatting sqref="D89:D90">
    <cfRule type="containsText" dxfId="41" priority="42" operator="containsText" text="TB">
      <formula>NOT(ISERROR(SEARCH("TB",D89)))</formula>
    </cfRule>
  </conditionalFormatting>
  <conditionalFormatting sqref="D94">
    <cfRule type="containsText" dxfId="40" priority="39" operator="containsText" text="B">
      <formula>NOT(ISERROR(SEARCH("B",D94)))</formula>
    </cfRule>
    <cfRule type="containsText" dxfId="39" priority="40" operator="containsText" text="TB">
      <formula>NOT(ISERROR(SEARCH("TB",D94)))</formula>
    </cfRule>
    <cfRule type="containsText" dxfId="38" priority="41" operator="containsText" text="T">
      <formula>NOT(ISERROR(SEARCH("T",D94)))</formula>
    </cfRule>
  </conditionalFormatting>
  <conditionalFormatting sqref="D94">
    <cfRule type="containsText" dxfId="37" priority="38" operator="containsText" text="TB">
      <formula>NOT(ISERROR(SEARCH("TB",D94)))</formula>
    </cfRule>
  </conditionalFormatting>
  <conditionalFormatting sqref="D95">
    <cfRule type="containsText" dxfId="36" priority="35" operator="containsText" text="B">
      <formula>NOT(ISERROR(SEARCH("B",D95)))</formula>
    </cfRule>
    <cfRule type="containsText" dxfId="35" priority="36" operator="containsText" text="TB">
      <formula>NOT(ISERROR(SEARCH("TB",D95)))</formula>
    </cfRule>
    <cfRule type="containsText" dxfId="34" priority="37" operator="containsText" text="T">
      <formula>NOT(ISERROR(SEARCH("T",D95)))</formula>
    </cfRule>
  </conditionalFormatting>
  <conditionalFormatting sqref="D95">
    <cfRule type="containsText" dxfId="33" priority="34" operator="containsText" text="TB">
      <formula>NOT(ISERROR(SEARCH("TB",D95)))</formula>
    </cfRule>
  </conditionalFormatting>
  <conditionalFormatting sqref="D99:D100">
    <cfRule type="containsText" dxfId="32" priority="31" operator="containsText" text="B">
      <formula>NOT(ISERROR(SEARCH("B",D99)))</formula>
    </cfRule>
    <cfRule type="containsText" dxfId="31" priority="32" operator="containsText" text="TB">
      <formula>NOT(ISERROR(SEARCH("TB",D99)))</formula>
    </cfRule>
    <cfRule type="containsText" dxfId="30" priority="33" operator="containsText" text="T">
      <formula>NOT(ISERROR(SEARCH("T",D99)))</formula>
    </cfRule>
  </conditionalFormatting>
  <conditionalFormatting sqref="D99:D100">
    <cfRule type="containsText" dxfId="29" priority="30" operator="containsText" text="TB">
      <formula>NOT(ISERROR(SEARCH("TB",D99)))</formula>
    </cfRule>
  </conditionalFormatting>
  <conditionalFormatting sqref="D103">
    <cfRule type="containsText" dxfId="28" priority="27" operator="containsText" text="B">
      <formula>NOT(ISERROR(SEARCH("B",D103)))</formula>
    </cfRule>
    <cfRule type="containsText" dxfId="27" priority="28" operator="containsText" text="TB">
      <formula>NOT(ISERROR(SEARCH("TB",D103)))</formula>
    </cfRule>
    <cfRule type="containsText" dxfId="26" priority="29" operator="containsText" text="T">
      <formula>NOT(ISERROR(SEARCH("T",D103)))</formula>
    </cfRule>
  </conditionalFormatting>
  <conditionalFormatting sqref="D103">
    <cfRule type="containsText" dxfId="25" priority="26" operator="containsText" text="TB">
      <formula>NOT(ISERROR(SEARCH("TB",D103)))</formula>
    </cfRule>
  </conditionalFormatting>
  <conditionalFormatting sqref="D71:D72">
    <cfRule type="containsText" dxfId="24" priority="23" operator="containsText" text="B">
      <formula>NOT(ISERROR(SEARCH("B",D71)))</formula>
    </cfRule>
    <cfRule type="containsText" dxfId="23" priority="24" operator="containsText" text="TB">
      <formula>NOT(ISERROR(SEARCH("TB",D71)))</formula>
    </cfRule>
    <cfRule type="containsText" dxfId="22" priority="25" operator="containsText" text="T">
      <formula>NOT(ISERROR(SEARCH("T",D71)))</formula>
    </cfRule>
  </conditionalFormatting>
  <conditionalFormatting sqref="D71:D72">
    <cfRule type="containsText" dxfId="21" priority="22" operator="containsText" text="TB">
      <formula>NOT(ISERROR(SEARCH("TB",D71)))</formula>
    </cfRule>
  </conditionalFormatting>
  <conditionalFormatting sqref="D76">
    <cfRule type="containsText" dxfId="20" priority="19" operator="containsText" text="B">
      <formula>NOT(ISERROR(SEARCH("B",D76)))</formula>
    </cfRule>
    <cfRule type="containsText" dxfId="19" priority="20" operator="containsText" text="TB">
      <formula>NOT(ISERROR(SEARCH("TB",D76)))</formula>
    </cfRule>
    <cfRule type="containsText" dxfId="18" priority="21" operator="containsText" text="T">
      <formula>NOT(ISERROR(SEARCH("T",D76)))</formula>
    </cfRule>
  </conditionalFormatting>
  <conditionalFormatting sqref="D76">
    <cfRule type="containsText" dxfId="17" priority="18" operator="containsText" text="TB">
      <formula>NOT(ISERROR(SEARCH("TB",D76)))</formula>
    </cfRule>
  </conditionalFormatting>
  <conditionalFormatting sqref="D78">
    <cfRule type="containsText" dxfId="16" priority="15" operator="containsText" text="B">
      <formula>NOT(ISERROR(SEARCH("B",D78)))</formula>
    </cfRule>
    <cfRule type="containsText" dxfId="15" priority="16" operator="containsText" text="TB">
      <formula>NOT(ISERROR(SEARCH("TB",D78)))</formula>
    </cfRule>
    <cfRule type="containsText" dxfId="14" priority="17" operator="containsText" text="T">
      <formula>NOT(ISERROR(SEARCH("T",D78)))</formula>
    </cfRule>
  </conditionalFormatting>
  <conditionalFormatting sqref="D78">
    <cfRule type="containsText" dxfId="13" priority="14" operator="containsText" text="TB">
      <formula>NOT(ISERROR(SEARCH("TB",D78)))</formula>
    </cfRule>
  </conditionalFormatting>
  <conditionalFormatting sqref="D79">
    <cfRule type="containsText" dxfId="12" priority="11" operator="containsText" text="B">
      <formula>NOT(ISERROR(SEARCH("B",D79)))</formula>
    </cfRule>
    <cfRule type="containsText" dxfId="11" priority="12" operator="containsText" text="TB">
      <formula>NOT(ISERROR(SEARCH("TB",D79)))</formula>
    </cfRule>
    <cfRule type="containsText" dxfId="10" priority="13" operator="containsText" text="T">
      <formula>NOT(ISERROR(SEARCH("T",D79)))</formula>
    </cfRule>
  </conditionalFormatting>
  <conditionalFormatting sqref="D79">
    <cfRule type="containsText" dxfId="9" priority="10" operator="containsText" text="TB">
      <formula>NOT(ISERROR(SEARCH("TB",D79)))</formula>
    </cfRule>
  </conditionalFormatting>
  <conditionalFormatting sqref="D91:D92">
    <cfRule type="containsText" dxfId="8" priority="7" operator="containsText" text="B">
      <formula>NOT(ISERROR(SEARCH("B",D91)))</formula>
    </cfRule>
    <cfRule type="containsText" dxfId="7" priority="8" operator="containsText" text="TB">
      <formula>NOT(ISERROR(SEARCH("TB",D91)))</formula>
    </cfRule>
    <cfRule type="containsText" dxfId="6" priority="9" operator="containsText" text="T">
      <formula>NOT(ISERROR(SEARCH("T",D91)))</formula>
    </cfRule>
  </conditionalFormatting>
  <conditionalFormatting sqref="D91:D92">
    <cfRule type="containsText" dxfId="5" priority="6" operator="containsText" text="TB">
      <formula>NOT(ISERROR(SEARCH("TB",D91)))</formula>
    </cfRule>
  </conditionalFormatting>
  <conditionalFormatting sqref="D108">
    <cfRule type="containsText" dxfId="4" priority="3" operator="containsText" text="B">
      <formula>NOT(ISERROR(SEARCH("B",D108)))</formula>
    </cfRule>
    <cfRule type="containsText" dxfId="3" priority="4" operator="containsText" text="TB">
      <formula>NOT(ISERROR(SEARCH("TB",D108)))</formula>
    </cfRule>
    <cfRule type="containsText" dxfId="2" priority="5" operator="containsText" text="T">
      <formula>NOT(ISERROR(SEARCH("T",D108)))</formula>
    </cfRule>
  </conditionalFormatting>
  <conditionalFormatting sqref="D108">
    <cfRule type="containsText" dxfId="1" priority="2" operator="containsText" text="TB">
      <formula>NOT(ISERROR(SEARCH("TB",D108)))</formula>
    </cfRule>
  </conditionalFormatting>
  <conditionalFormatting sqref="C157:AG157">
    <cfRule type="containsText" dxfId="0" priority="1" operator="containsText" text="TB">
      <formula>NOT(ISERROR(SEARCH("TB",C157)))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48"/>
  <sheetViews>
    <sheetView tabSelected="1" workbookViewId="0">
      <selection activeCell="M34" sqref="M34"/>
    </sheetView>
  </sheetViews>
  <sheetFormatPr defaultRowHeight="15"/>
  <cols>
    <col min="3" max="3" width="10" bestFit="1" customWidth="1"/>
    <col min="5" max="5" width="9.85546875" bestFit="1" customWidth="1"/>
    <col min="6" max="6" width="10" bestFit="1" customWidth="1"/>
    <col min="13" max="13" width="17.42578125" bestFit="1" customWidth="1"/>
    <col min="14" max="14" width="9.28515625" bestFit="1" customWidth="1"/>
  </cols>
  <sheetData>
    <row r="3" spans="2:21" ht="25.5">
      <c r="B3" s="27" t="s">
        <v>177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8" t="s">
        <v>178</v>
      </c>
      <c r="N3" s="29" t="s">
        <v>179</v>
      </c>
      <c r="O3" s="30" t="s">
        <v>180</v>
      </c>
      <c r="P3" s="28" t="s">
        <v>181</v>
      </c>
      <c r="Q3" s="28" t="s">
        <v>181</v>
      </c>
      <c r="R3" s="31" t="s">
        <v>182</v>
      </c>
      <c r="S3" s="31"/>
      <c r="T3" s="31"/>
      <c r="U3" s="30" t="s">
        <v>181</v>
      </c>
    </row>
    <row r="4" spans="2:21" ht="36">
      <c r="B4" s="32" t="s">
        <v>183</v>
      </c>
      <c r="C4" s="33" t="s">
        <v>184</v>
      </c>
      <c r="D4" s="34" t="s">
        <v>185</v>
      </c>
      <c r="E4" s="35" t="s">
        <v>186</v>
      </c>
      <c r="F4" s="36" t="s">
        <v>187</v>
      </c>
      <c r="G4" s="36"/>
      <c r="H4" s="37" t="s">
        <v>188</v>
      </c>
      <c r="I4" s="38" t="s">
        <v>189</v>
      </c>
      <c r="J4" s="39" t="s">
        <v>190</v>
      </c>
      <c r="K4" s="40" t="s">
        <v>191</v>
      </c>
      <c r="L4" s="40"/>
      <c r="M4" s="41" t="s">
        <v>192</v>
      </c>
      <c r="N4" s="42" t="s">
        <v>193</v>
      </c>
      <c r="O4" s="43" t="s">
        <v>194</v>
      </c>
      <c r="P4" s="41" t="s">
        <v>195</v>
      </c>
      <c r="Q4" s="41" t="s">
        <v>196</v>
      </c>
      <c r="R4" s="44" t="s">
        <v>197</v>
      </c>
      <c r="S4" s="44" t="s">
        <v>198</v>
      </c>
      <c r="T4" s="44" t="s">
        <v>179</v>
      </c>
      <c r="U4" s="43" t="s">
        <v>199</v>
      </c>
    </row>
    <row r="5" spans="2:21">
      <c r="B5" s="45" t="s">
        <v>200</v>
      </c>
      <c r="C5" s="46">
        <f>+F5+H5+I5+K5</f>
        <v>60965.730495000033</v>
      </c>
      <c r="D5" s="47">
        <v>0.94</v>
      </c>
      <c r="E5" s="48">
        <f>+G5</f>
        <v>0.96217967280505068</v>
      </c>
      <c r="F5" s="46">
        <v>58659.986620000032</v>
      </c>
      <c r="G5" s="49">
        <f t="shared" ref="G5:G9" si="0">+F5/C5</f>
        <v>0.96217967280505068</v>
      </c>
      <c r="H5" s="46">
        <v>2289.2138749999999</v>
      </c>
      <c r="I5" s="46">
        <v>16.53</v>
      </c>
      <c r="J5" s="49">
        <f t="shared" ref="J5:J8" si="1">+(H5+I5)/C5</f>
        <v>3.7820327194949308E-2</v>
      </c>
      <c r="K5" s="46">
        <v>0</v>
      </c>
      <c r="L5" s="49">
        <f t="shared" ref="L5:L9" si="2">+K5/C5</f>
        <v>0</v>
      </c>
      <c r="M5" s="50">
        <v>0.47619047619047616</v>
      </c>
      <c r="N5" s="51">
        <v>0.90352516899661139</v>
      </c>
      <c r="O5" s="52"/>
      <c r="P5" s="52"/>
      <c r="Q5" s="52"/>
      <c r="R5" s="46"/>
      <c r="S5" s="46"/>
      <c r="T5" s="49">
        <v>1</v>
      </c>
      <c r="U5" s="53">
        <v>0</v>
      </c>
    </row>
    <row r="6" spans="2:21">
      <c r="B6" s="45" t="s">
        <v>201</v>
      </c>
      <c r="C6" s="46">
        <f>+F6+H6+I6+K6</f>
        <v>78013.651645000005</v>
      </c>
      <c r="D6" s="47">
        <v>0.94</v>
      </c>
      <c r="E6" s="48">
        <f>AVERAGE(G5:G6)</f>
        <v>0.96896844027427975</v>
      </c>
      <c r="F6" s="46">
        <v>76122.382895000002</v>
      </c>
      <c r="G6" s="47">
        <f t="shared" si="0"/>
        <v>0.97575720774350883</v>
      </c>
      <c r="H6" s="46">
        <v>1852.18875</v>
      </c>
      <c r="I6" s="46">
        <v>39.08</v>
      </c>
      <c r="J6" s="49">
        <f t="shared" si="1"/>
        <v>2.4242792256491095E-2</v>
      </c>
      <c r="K6" s="46">
        <v>0</v>
      </c>
      <c r="L6" s="47">
        <f t="shared" si="2"/>
        <v>0</v>
      </c>
      <c r="M6" s="51">
        <v>0.1875</v>
      </c>
      <c r="N6" s="51">
        <v>0.90397016595073043</v>
      </c>
      <c r="O6" s="52"/>
      <c r="P6" s="52"/>
      <c r="Q6" s="52"/>
      <c r="R6" s="46"/>
      <c r="S6" s="46"/>
      <c r="T6" s="49">
        <v>1</v>
      </c>
      <c r="U6" s="53">
        <v>0</v>
      </c>
    </row>
    <row r="7" spans="2:21">
      <c r="B7" s="45" t="s">
        <v>202</v>
      </c>
      <c r="C7" s="46">
        <f>+F7+H7+I7+K7</f>
        <v>69452.651385000005</v>
      </c>
      <c r="D7" s="47">
        <v>0.94</v>
      </c>
      <c r="E7" s="48">
        <f>AVERAGE(G5:G7)</f>
        <v>0.97223907614861893</v>
      </c>
      <c r="F7" s="46">
        <v>67978.890285000001</v>
      </c>
      <c r="G7" s="49">
        <f t="shared" si="0"/>
        <v>0.97878034789729718</v>
      </c>
      <c r="H7" s="46">
        <v>1377.6061</v>
      </c>
      <c r="I7" s="46">
        <v>96.155000000000001</v>
      </c>
      <c r="J7" s="49">
        <f t="shared" si="1"/>
        <v>2.12196521027028E-2</v>
      </c>
      <c r="K7" s="46">
        <v>0</v>
      </c>
      <c r="L7" s="49">
        <f t="shared" si="2"/>
        <v>0</v>
      </c>
      <c r="M7" s="51">
        <v>0.1</v>
      </c>
      <c r="N7" s="51">
        <v>0.95463606479452001</v>
      </c>
      <c r="O7" s="52"/>
      <c r="P7" s="52"/>
      <c r="Q7" s="52"/>
      <c r="R7" s="46"/>
      <c r="S7" s="46"/>
      <c r="T7" s="49">
        <v>1</v>
      </c>
      <c r="U7" s="53">
        <v>0</v>
      </c>
    </row>
    <row r="8" spans="2:21">
      <c r="B8" s="45" t="s">
        <v>203</v>
      </c>
      <c r="C8" s="46">
        <f>+F8+H8+I8+K8</f>
        <v>80270.792545000018</v>
      </c>
      <c r="D8" s="47">
        <v>0.94</v>
      </c>
      <c r="E8" s="48">
        <f>+G8</f>
        <v>0.96585864281253175</v>
      </c>
      <c r="F8" s="46">
        <v>77530.23874500001</v>
      </c>
      <c r="G8" s="49">
        <f t="shared" si="0"/>
        <v>0.96585864281253175</v>
      </c>
      <c r="H8" s="46">
        <v>2674.7988</v>
      </c>
      <c r="I8" s="46">
        <v>65.754999999999995</v>
      </c>
      <c r="J8" s="49">
        <f t="shared" si="1"/>
        <v>3.4141357187468135E-2</v>
      </c>
      <c r="K8" s="46">
        <v>0</v>
      </c>
      <c r="L8" s="49">
        <f t="shared" si="2"/>
        <v>0</v>
      </c>
      <c r="M8" s="51">
        <v>0.15790000000000001</v>
      </c>
      <c r="N8" s="51">
        <v>0.89720832428788555</v>
      </c>
      <c r="O8" s="52"/>
      <c r="P8" s="52"/>
      <c r="Q8" s="52"/>
      <c r="R8" s="46"/>
      <c r="S8" s="46"/>
      <c r="T8" s="49">
        <v>1</v>
      </c>
      <c r="U8" s="53">
        <v>0</v>
      </c>
    </row>
    <row r="9" spans="2:21">
      <c r="B9" s="45" t="s">
        <v>204</v>
      </c>
      <c r="C9" s="46">
        <f t="shared" ref="C9" si="3">+F9+H9+I9+K9</f>
        <v>70265.674815000006</v>
      </c>
      <c r="D9" s="47">
        <v>0.94</v>
      </c>
      <c r="E9" s="48">
        <f>AVERAGE(G8:G9)</f>
        <v>0.96451376657231769</v>
      </c>
      <c r="F9" s="46">
        <v>67677.712039999999</v>
      </c>
      <c r="G9" s="49">
        <f t="shared" si="0"/>
        <v>0.96316889033210362</v>
      </c>
      <c r="H9" s="46">
        <v>2373.0686999999998</v>
      </c>
      <c r="I9" s="46">
        <v>192.63907499999999</v>
      </c>
      <c r="J9" s="49">
        <f>+(H9+I9)/C9</f>
        <v>3.6514383185746957E-2</v>
      </c>
      <c r="K9" s="46">
        <v>22.254999999999999</v>
      </c>
      <c r="L9" s="49">
        <f t="shared" si="2"/>
        <v>3.1672648214927697E-4</v>
      </c>
      <c r="M9" s="51">
        <v>0</v>
      </c>
      <c r="N9" s="51">
        <v>0.89949999999999997</v>
      </c>
      <c r="O9" s="52"/>
      <c r="P9" s="52"/>
      <c r="Q9" s="52"/>
      <c r="R9" s="46"/>
      <c r="S9" s="46"/>
      <c r="T9" s="49">
        <v>1</v>
      </c>
      <c r="U9" s="53">
        <v>1</v>
      </c>
    </row>
    <row r="14" spans="2:21">
      <c r="B14" s="54" t="s">
        <v>205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 spans="2:21">
      <c r="B15" s="56" t="s">
        <v>183</v>
      </c>
      <c r="C15" s="57" t="s">
        <v>206</v>
      </c>
      <c r="D15" s="58"/>
      <c r="E15" s="58"/>
      <c r="F15" s="58"/>
      <c r="G15" s="58"/>
      <c r="H15" s="58"/>
      <c r="I15" s="59"/>
      <c r="J15" s="60" t="s">
        <v>185</v>
      </c>
      <c r="K15" s="61"/>
      <c r="L15" s="62" t="s">
        <v>207</v>
      </c>
      <c r="M15" s="62" t="s">
        <v>208</v>
      </c>
    </row>
    <row r="16" spans="2:21">
      <c r="B16" s="56"/>
      <c r="C16" s="63" t="s">
        <v>209</v>
      </c>
      <c r="D16" s="64"/>
      <c r="E16" s="64"/>
      <c r="F16" s="65"/>
      <c r="G16" s="66" t="s">
        <v>210</v>
      </c>
      <c r="H16" s="67"/>
      <c r="I16" s="68"/>
      <c r="J16" s="69" t="s">
        <v>211</v>
      </c>
      <c r="K16" s="70"/>
      <c r="L16" s="71" t="s">
        <v>212</v>
      </c>
      <c r="M16" s="71" t="s">
        <v>213</v>
      </c>
    </row>
    <row r="17" spans="2:13">
      <c r="B17" s="56"/>
      <c r="C17" s="72" t="s">
        <v>185</v>
      </c>
      <c r="D17" s="73" t="s">
        <v>179</v>
      </c>
      <c r="E17" s="73" t="s">
        <v>214</v>
      </c>
      <c r="F17" s="74" t="s">
        <v>215</v>
      </c>
      <c r="G17" s="73" t="s">
        <v>179</v>
      </c>
      <c r="H17" s="73" t="s">
        <v>214</v>
      </c>
      <c r="I17" s="74" t="s">
        <v>215</v>
      </c>
      <c r="J17" s="75" t="s">
        <v>214</v>
      </c>
      <c r="K17" s="75" t="s">
        <v>215</v>
      </c>
      <c r="L17" s="76" t="s">
        <v>216</v>
      </c>
      <c r="M17" s="76" t="s">
        <v>216</v>
      </c>
    </row>
    <row r="18" spans="2:13">
      <c r="B18" s="77" t="s">
        <v>200</v>
      </c>
      <c r="C18" s="78">
        <v>0.995</v>
      </c>
      <c r="D18" s="78">
        <f>+E18/(E18+F18)</f>
        <v>0.99544962286014371</v>
      </c>
      <c r="E18" s="79">
        <f>+H18</f>
        <v>63057.819560000004</v>
      </c>
      <c r="F18" s="79">
        <f>+I18</f>
        <v>288.24849999999998</v>
      </c>
      <c r="G18" s="80">
        <f t="shared" ref="G18:G22" si="4">+H18/(H18+I18)</f>
        <v>0.99544962286014371</v>
      </c>
      <c r="H18" s="81">
        <v>63057.819560000004</v>
      </c>
      <c r="I18" s="82">
        <v>288.24849999999998</v>
      </c>
      <c r="J18" s="81" t="s">
        <v>217</v>
      </c>
      <c r="K18" s="83">
        <v>200</v>
      </c>
      <c r="L18" s="84">
        <v>0</v>
      </c>
      <c r="M18" s="85">
        <v>0</v>
      </c>
    </row>
    <row r="19" spans="2:13">
      <c r="B19" s="77" t="s">
        <v>201</v>
      </c>
      <c r="C19" s="78">
        <v>0.995</v>
      </c>
      <c r="D19" s="78">
        <f t="shared" ref="D19:D22" si="5">+E19/(E19+F19)</f>
        <v>0.99615539916580975</v>
      </c>
      <c r="E19" s="79">
        <f>+E18+H19</f>
        <v>129993.38021000009</v>
      </c>
      <c r="F19" s="79">
        <f>+F18+I19</f>
        <v>501.70150000000001</v>
      </c>
      <c r="G19" s="80">
        <f t="shared" si="4"/>
        <v>0.9968212042381952</v>
      </c>
      <c r="H19" s="82">
        <v>66935.560650000087</v>
      </c>
      <c r="I19" s="82">
        <v>213.453</v>
      </c>
      <c r="J19" s="81" t="s">
        <v>217</v>
      </c>
      <c r="K19" s="83">
        <v>200</v>
      </c>
      <c r="L19" s="84">
        <v>0</v>
      </c>
      <c r="M19" s="85">
        <v>0</v>
      </c>
    </row>
    <row r="20" spans="2:13">
      <c r="B20" s="77" t="s">
        <v>202</v>
      </c>
      <c r="C20" s="78">
        <v>0.995</v>
      </c>
      <c r="D20" s="78">
        <f t="shared" si="5"/>
        <v>0.99426701241004045</v>
      </c>
      <c r="E20" s="79">
        <f t="shared" ref="E20:F22" si="6">+E19+H20</f>
        <v>182801.53677000012</v>
      </c>
      <c r="F20" s="79">
        <f t="shared" si="6"/>
        <v>1054.0417499999999</v>
      </c>
      <c r="G20" s="80">
        <f t="shared" si="4"/>
        <v>0.98964889228886477</v>
      </c>
      <c r="H20" s="82">
        <v>52808.156560000047</v>
      </c>
      <c r="I20" s="82">
        <v>552.34024999999997</v>
      </c>
      <c r="J20" s="81" t="s">
        <v>217</v>
      </c>
      <c r="K20" s="83">
        <v>200</v>
      </c>
      <c r="L20" s="84">
        <v>0</v>
      </c>
      <c r="M20" s="85">
        <v>0</v>
      </c>
    </row>
    <row r="21" spans="2:13">
      <c r="B21" s="77" t="s">
        <v>203</v>
      </c>
      <c r="C21" s="78">
        <v>0.995</v>
      </c>
      <c r="D21" s="78">
        <f t="shared" si="5"/>
        <v>0.99452157785878181</v>
      </c>
      <c r="E21" s="79">
        <f t="shared" si="6"/>
        <v>257919.00850500012</v>
      </c>
      <c r="F21" s="79">
        <f t="shared" si="6"/>
        <v>1420.7727999999997</v>
      </c>
      <c r="G21" s="80">
        <f t="shared" si="4"/>
        <v>0.99514161855766625</v>
      </c>
      <c r="H21" s="82">
        <v>75117.471734999999</v>
      </c>
      <c r="I21" s="82">
        <v>366.73104999999998</v>
      </c>
      <c r="J21" s="81" t="s">
        <v>217</v>
      </c>
      <c r="K21" s="83">
        <v>200</v>
      </c>
      <c r="L21" s="84">
        <v>0</v>
      </c>
      <c r="M21" s="86">
        <v>0.17</v>
      </c>
    </row>
    <row r="22" spans="2:13">
      <c r="B22" s="77" t="s">
        <v>204</v>
      </c>
      <c r="C22" s="78">
        <v>0.995</v>
      </c>
      <c r="D22" s="87">
        <f t="shared" si="5"/>
        <v>0.9950842884195531</v>
      </c>
      <c r="E22" s="79">
        <f t="shared" si="6"/>
        <v>316309.83343500015</v>
      </c>
      <c r="F22" s="79">
        <f t="shared" si="6"/>
        <v>1562.5690499999996</v>
      </c>
      <c r="G22" s="80">
        <f t="shared" si="4"/>
        <v>0.99757748333935115</v>
      </c>
      <c r="H22" s="82">
        <v>58390.824930000002</v>
      </c>
      <c r="I22" s="82">
        <v>141.79624999999999</v>
      </c>
      <c r="J22" s="81" t="s">
        <v>217</v>
      </c>
      <c r="K22" s="83">
        <v>200</v>
      </c>
      <c r="L22" s="84">
        <v>0</v>
      </c>
      <c r="M22" s="86">
        <v>0.77155669803266691</v>
      </c>
    </row>
    <row r="28" spans="2:13">
      <c r="B28" s="88" t="s">
        <v>218</v>
      </c>
      <c r="C28" s="88" t="s">
        <v>219</v>
      </c>
      <c r="D28" s="88" t="s">
        <v>220</v>
      </c>
      <c r="E28" s="88" t="s">
        <v>5</v>
      </c>
      <c r="F28" s="88" t="s">
        <v>221</v>
      </c>
      <c r="G28" s="88" t="s">
        <v>222</v>
      </c>
      <c r="H28" s="88" t="s">
        <v>223</v>
      </c>
      <c r="I28" s="88" t="s">
        <v>224</v>
      </c>
    </row>
    <row r="29" spans="2:13">
      <c r="B29" s="89">
        <v>1</v>
      </c>
      <c r="C29" s="90" t="s">
        <v>225</v>
      </c>
      <c r="D29" s="91">
        <v>387</v>
      </c>
      <c r="E29" s="92">
        <v>468</v>
      </c>
      <c r="F29" s="92">
        <v>609</v>
      </c>
      <c r="G29" s="92">
        <v>453</v>
      </c>
      <c r="H29" s="92">
        <v>438</v>
      </c>
      <c r="I29" s="92">
        <v>889</v>
      </c>
    </row>
    <row r="30" spans="2:13">
      <c r="B30" s="89"/>
      <c r="C30" s="90" t="s">
        <v>226</v>
      </c>
      <c r="D30" s="91">
        <v>357</v>
      </c>
      <c r="E30" s="92">
        <v>455</v>
      </c>
      <c r="F30" s="91">
        <v>562</v>
      </c>
      <c r="G30" s="92">
        <v>415</v>
      </c>
      <c r="H30" s="92">
        <v>415</v>
      </c>
      <c r="I30" s="92">
        <v>861</v>
      </c>
    </row>
    <row r="31" spans="2:13">
      <c r="B31" s="89"/>
      <c r="C31" s="90" t="s">
        <v>185</v>
      </c>
      <c r="D31" s="91">
        <v>30</v>
      </c>
      <c r="E31" s="91">
        <f t="shared" ref="E31" si="7">+E29-E30</f>
        <v>13</v>
      </c>
      <c r="F31" s="91">
        <f>+F29-F30</f>
        <v>47</v>
      </c>
      <c r="G31" s="92">
        <f>+G29-G30</f>
        <v>38</v>
      </c>
      <c r="H31" s="91">
        <f>+H29-H30</f>
        <v>23</v>
      </c>
      <c r="I31" s="91">
        <v>28</v>
      </c>
    </row>
    <row r="32" spans="2:13">
      <c r="B32" s="89"/>
      <c r="C32" s="93" t="s">
        <v>179</v>
      </c>
      <c r="D32" s="94">
        <f>D30/D29</f>
        <v>0.92248062015503873</v>
      </c>
      <c r="E32" s="94">
        <f t="shared" ref="E32:I32" si="8">E30/E29</f>
        <v>0.97222222222222221</v>
      </c>
      <c r="F32" s="94">
        <f t="shared" si="8"/>
        <v>0.92282430213464695</v>
      </c>
      <c r="G32" s="94">
        <f>G30/G29</f>
        <v>0.91611479028697573</v>
      </c>
      <c r="H32" s="94">
        <f t="shared" si="8"/>
        <v>0.94748858447488582</v>
      </c>
      <c r="I32" s="94">
        <f t="shared" si="8"/>
        <v>0.96850393700787396</v>
      </c>
    </row>
    <row r="33" spans="2:9">
      <c r="B33" s="89">
        <v>2</v>
      </c>
      <c r="C33" s="90" t="s">
        <v>225</v>
      </c>
      <c r="D33" s="91">
        <v>387</v>
      </c>
      <c r="E33" s="92">
        <v>468</v>
      </c>
      <c r="F33" s="92">
        <v>609</v>
      </c>
      <c r="G33" s="92">
        <v>453</v>
      </c>
      <c r="H33" s="92">
        <v>440</v>
      </c>
      <c r="I33" s="92">
        <v>889</v>
      </c>
    </row>
    <row r="34" spans="2:9">
      <c r="B34" s="89"/>
      <c r="C34" s="90" t="s">
        <v>226</v>
      </c>
      <c r="D34" s="91">
        <v>363</v>
      </c>
      <c r="E34" s="92">
        <v>457</v>
      </c>
      <c r="F34" s="91">
        <v>564</v>
      </c>
      <c r="G34" s="92">
        <v>425</v>
      </c>
      <c r="H34" s="92">
        <v>408</v>
      </c>
      <c r="I34" s="92">
        <v>863</v>
      </c>
    </row>
    <row r="35" spans="2:9">
      <c r="B35" s="89"/>
      <c r="C35" s="90" t="s">
        <v>185</v>
      </c>
      <c r="D35" s="91">
        <f t="shared" ref="D35:I35" si="9">+D33-D34</f>
        <v>24</v>
      </c>
      <c r="E35" s="91">
        <f>+E33-E34</f>
        <v>11</v>
      </c>
      <c r="F35" s="91">
        <f t="shared" si="9"/>
        <v>45</v>
      </c>
      <c r="G35" s="91">
        <f t="shared" si="9"/>
        <v>28</v>
      </c>
      <c r="H35" s="91">
        <v>32</v>
      </c>
      <c r="I35" s="91">
        <f t="shared" si="9"/>
        <v>26</v>
      </c>
    </row>
    <row r="36" spans="2:9">
      <c r="B36" s="89"/>
      <c r="C36" s="95" t="s">
        <v>179</v>
      </c>
      <c r="D36" s="96">
        <f>D34/D33</f>
        <v>0.93798449612403101</v>
      </c>
      <c r="E36" s="96">
        <f t="shared" ref="E36:F36" si="10">E34/E33</f>
        <v>0.97649572649572647</v>
      </c>
      <c r="F36" s="96">
        <f t="shared" si="10"/>
        <v>0.92610837438423643</v>
      </c>
      <c r="G36" s="96">
        <f>G34/G33</f>
        <v>0.9381898454746137</v>
      </c>
      <c r="H36" s="96">
        <f>H34/H33</f>
        <v>0.92727272727272725</v>
      </c>
      <c r="I36" s="96">
        <f t="shared" ref="I36" si="11">I34/I33</f>
        <v>0.97075365579302586</v>
      </c>
    </row>
    <row r="37" spans="2:9">
      <c r="B37" s="89">
        <v>3</v>
      </c>
      <c r="C37" s="90" t="s">
        <v>225</v>
      </c>
      <c r="D37" s="91">
        <v>610</v>
      </c>
      <c r="E37" s="92">
        <v>468</v>
      </c>
      <c r="F37" s="92">
        <v>387</v>
      </c>
      <c r="G37" s="92">
        <v>453</v>
      </c>
      <c r="H37" s="92">
        <v>440</v>
      </c>
      <c r="I37" s="92">
        <v>889</v>
      </c>
    </row>
    <row r="38" spans="2:9">
      <c r="B38" s="89"/>
      <c r="C38" s="90" t="s">
        <v>226</v>
      </c>
      <c r="D38" s="91">
        <v>581</v>
      </c>
      <c r="E38" s="92">
        <v>454</v>
      </c>
      <c r="F38" s="91">
        <v>362</v>
      </c>
      <c r="G38" s="92">
        <f>425+2</f>
        <v>427</v>
      </c>
      <c r="H38" s="92">
        <v>416</v>
      </c>
      <c r="I38" s="92">
        <f>863-2</f>
        <v>861</v>
      </c>
    </row>
    <row r="39" spans="2:9">
      <c r="B39" s="89"/>
      <c r="C39" s="90" t="s">
        <v>185</v>
      </c>
      <c r="D39" s="97">
        <f t="shared" ref="D39:I39" si="12">+D37-D38</f>
        <v>29</v>
      </c>
      <c r="E39" s="98">
        <f t="shared" si="12"/>
        <v>14</v>
      </c>
      <c r="F39" s="98">
        <f t="shared" si="12"/>
        <v>25</v>
      </c>
      <c r="G39" s="98">
        <f t="shared" si="12"/>
        <v>26</v>
      </c>
      <c r="H39" s="98">
        <f t="shared" si="12"/>
        <v>24</v>
      </c>
      <c r="I39" s="98">
        <f t="shared" si="12"/>
        <v>28</v>
      </c>
    </row>
    <row r="40" spans="2:9">
      <c r="B40" s="89"/>
      <c r="C40" s="95" t="s">
        <v>179</v>
      </c>
      <c r="D40" s="96">
        <f>D38/D37</f>
        <v>0.95245901639344266</v>
      </c>
      <c r="E40" s="96">
        <f t="shared" ref="E40" si="13">E38/E37</f>
        <v>0.97008547008547008</v>
      </c>
      <c r="F40" s="96">
        <f>F38/F37</f>
        <v>0.93540051679586567</v>
      </c>
      <c r="G40" s="96">
        <f>G38/G37</f>
        <v>0.94260485651214132</v>
      </c>
      <c r="H40" s="96">
        <f>H38/H37</f>
        <v>0.94545454545454544</v>
      </c>
      <c r="I40" s="96">
        <f t="shared" ref="I40" si="14">I38/I37</f>
        <v>0.96850393700787396</v>
      </c>
    </row>
    <row r="41" spans="2:9">
      <c r="B41" s="89">
        <v>4</v>
      </c>
      <c r="C41" s="90" t="s">
        <v>225</v>
      </c>
      <c r="D41" s="91">
        <v>623</v>
      </c>
      <c r="E41" s="92">
        <v>921</v>
      </c>
      <c r="F41" s="92">
        <v>402</v>
      </c>
      <c r="G41" s="92"/>
      <c r="H41" s="92">
        <v>461</v>
      </c>
      <c r="I41" s="92">
        <v>902</v>
      </c>
    </row>
    <row r="42" spans="2:9">
      <c r="B42" s="89"/>
      <c r="C42" s="90" t="s">
        <v>226</v>
      </c>
      <c r="D42" s="91">
        <v>598</v>
      </c>
      <c r="E42" s="92">
        <v>888</v>
      </c>
      <c r="F42" s="91">
        <v>381</v>
      </c>
      <c r="G42" s="92"/>
      <c r="H42" s="92">
        <v>429</v>
      </c>
      <c r="I42" s="92">
        <v>875</v>
      </c>
    </row>
    <row r="43" spans="2:9">
      <c r="B43" s="89"/>
      <c r="C43" s="90" t="s">
        <v>185</v>
      </c>
      <c r="D43" s="97">
        <f t="shared" ref="D43:I43" si="15">+D41-D42</f>
        <v>25</v>
      </c>
      <c r="E43" s="98">
        <f t="shared" si="15"/>
        <v>33</v>
      </c>
      <c r="F43" s="98">
        <f t="shared" si="15"/>
        <v>21</v>
      </c>
      <c r="G43" s="98">
        <f t="shared" si="15"/>
        <v>0</v>
      </c>
      <c r="H43" s="98">
        <f t="shared" si="15"/>
        <v>32</v>
      </c>
      <c r="I43" s="98">
        <f t="shared" si="15"/>
        <v>27</v>
      </c>
    </row>
    <row r="44" spans="2:9">
      <c r="B44" s="89"/>
      <c r="C44" s="95" t="s">
        <v>179</v>
      </c>
      <c r="D44" s="96">
        <f>D42/D41</f>
        <v>0.9598715890850722</v>
      </c>
      <c r="E44" s="96">
        <f t="shared" ref="E44" si="16">E42/E41</f>
        <v>0.96416938110749184</v>
      </c>
      <c r="F44" s="96">
        <f>F42/F41</f>
        <v>0.94776119402985071</v>
      </c>
      <c r="G44" s="96" t="e">
        <f>G42/G41</f>
        <v>#DIV/0!</v>
      </c>
      <c r="H44" s="96">
        <f>H42/H41</f>
        <v>0.93058568329718006</v>
      </c>
      <c r="I44" s="96">
        <f t="shared" ref="I44" si="17">I42/I41</f>
        <v>0.97006651884700668</v>
      </c>
    </row>
    <row r="45" spans="2:9">
      <c r="B45" s="89">
        <v>5</v>
      </c>
      <c r="C45" s="90" t="s">
        <v>225</v>
      </c>
      <c r="D45" s="91">
        <v>623</v>
      </c>
      <c r="E45" s="92">
        <v>969</v>
      </c>
      <c r="F45" s="92">
        <v>400</v>
      </c>
      <c r="G45" s="92"/>
      <c r="H45" s="92">
        <v>444</v>
      </c>
      <c r="I45" s="92">
        <v>902</v>
      </c>
    </row>
    <row r="46" spans="2:9">
      <c r="B46" s="89"/>
      <c r="C46" s="90" t="s">
        <v>226</v>
      </c>
      <c r="D46" s="91">
        <v>599</v>
      </c>
      <c r="E46" s="92">
        <v>941</v>
      </c>
      <c r="F46" s="91">
        <v>371</v>
      </c>
      <c r="G46" s="92"/>
      <c r="H46" s="92">
        <v>409</v>
      </c>
      <c r="I46" s="92">
        <v>874</v>
      </c>
    </row>
    <row r="47" spans="2:9">
      <c r="B47" s="89"/>
      <c r="C47" s="90" t="s">
        <v>185</v>
      </c>
      <c r="D47" s="97">
        <v>24</v>
      </c>
      <c r="E47" s="98">
        <v>28</v>
      </c>
      <c r="F47" s="98">
        <v>29</v>
      </c>
      <c r="G47" s="98"/>
      <c r="H47" s="98">
        <v>35</v>
      </c>
      <c r="I47" s="98">
        <v>28</v>
      </c>
    </row>
    <row r="48" spans="2:9">
      <c r="B48" s="89"/>
      <c r="C48" s="95" t="s">
        <v>179</v>
      </c>
      <c r="D48" s="96">
        <f>D46/D45</f>
        <v>0.9614767255216693</v>
      </c>
      <c r="E48" s="96">
        <f t="shared" ref="E48" si="18">E46/E45</f>
        <v>0.97110423116615063</v>
      </c>
      <c r="F48" s="96">
        <f>F46/F45</f>
        <v>0.92749999999999999</v>
      </c>
      <c r="G48" s="96" t="e">
        <f>G46/G45</f>
        <v>#DIV/0!</v>
      </c>
      <c r="H48" s="96">
        <f>H46/H45</f>
        <v>0.9211711711711712</v>
      </c>
      <c r="I48" s="96">
        <f t="shared" ref="I48" si="19">I46/I45</f>
        <v>0.96895787139689582</v>
      </c>
    </row>
  </sheetData>
  <mergeCells count="16">
    <mergeCell ref="B29:B32"/>
    <mergeCell ref="B33:B36"/>
    <mergeCell ref="B37:B40"/>
    <mergeCell ref="B41:B44"/>
    <mergeCell ref="B45:B48"/>
    <mergeCell ref="J16:K16"/>
    <mergeCell ref="B14:M14"/>
    <mergeCell ref="B15:B17"/>
    <mergeCell ref="C15:I15"/>
    <mergeCell ref="J15:K15"/>
    <mergeCell ref="C16:F16"/>
    <mergeCell ref="G16:I16"/>
    <mergeCell ref="B3:L3"/>
    <mergeCell ref="R3:T3"/>
    <mergeCell ref="F4:G4"/>
    <mergeCell ref="K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Mei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Ariyani A.</dc:creator>
  <cp:lastModifiedBy>Ariyani A.</cp:lastModifiedBy>
  <dcterms:created xsi:type="dcterms:W3CDTF">2026-06-05T08:19:41Z</dcterms:created>
  <dcterms:modified xsi:type="dcterms:W3CDTF">2026-06-05T08:43:33Z</dcterms:modified>
</cp:coreProperties>
</file>