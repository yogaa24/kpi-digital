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245"/>
  </bookViews>
  <sheets>
    <sheet name="Sheet1" sheetId="1" r:id="rId1"/>
    <sheet name="April" sheetId="4" r:id="rId2"/>
    <sheet name="Sheet2" sheetId="2" r:id="rId3"/>
    <sheet name="Sheet3" sheetId="3" r:id="rId4"/>
  </sheets>
  <definedNames>
    <definedName name="_xlnm._FilterDatabase" localSheetId="1" hidden="1">April!$A$1:$AG$118</definedName>
  </definedNames>
  <calcPr calcId="145621"/>
</workbook>
</file>

<file path=xl/calcChain.xml><?xml version="1.0" encoding="utf-8"?>
<calcChain xmlns="http://schemas.openxmlformats.org/spreadsheetml/2006/main">
  <c r="AG231" i="4" l="1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AJ22" i="4"/>
  <c r="AI22" i="4"/>
  <c r="AH22" i="4"/>
  <c r="AJ8" i="4"/>
  <c r="AI8" i="4"/>
  <c r="AI11" i="4" s="1"/>
  <c r="AH8" i="4"/>
  <c r="AH11" i="4" s="1"/>
  <c r="AM11" i="4" s="1"/>
  <c r="AH13" i="4" l="1"/>
  <c r="G36" i="1"/>
  <c r="G35" i="1"/>
  <c r="G34" i="1"/>
  <c r="G33" i="1"/>
  <c r="F33" i="1"/>
  <c r="F34" i="1" s="1"/>
  <c r="F35" i="1" s="1"/>
  <c r="F36" i="1" s="1"/>
  <c r="E33" i="1"/>
  <c r="E34" i="1" s="1"/>
  <c r="D26" i="1"/>
  <c r="D25" i="1"/>
  <c r="D22" i="1"/>
  <c r="D21" i="1"/>
  <c r="D18" i="1"/>
  <c r="D17" i="1"/>
  <c r="D14" i="1"/>
  <c r="D13" i="1"/>
  <c r="C7" i="1"/>
  <c r="L7" i="1" s="1"/>
  <c r="C6" i="1"/>
  <c r="J6" i="1" s="1"/>
  <c r="C5" i="1"/>
  <c r="L5" i="1" s="1"/>
  <c r="C4" i="1"/>
  <c r="L4" i="1" s="1"/>
  <c r="E35" i="1" l="1"/>
  <c r="D34" i="1"/>
  <c r="D33" i="1"/>
  <c r="J4" i="1"/>
  <c r="G5" i="1"/>
  <c r="G4" i="1"/>
  <c r="E4" i="1" s="1"/>
  <c r="J5" i="1"/>
  <c r="L6" i="1"/>
  <c r="G6" i="1"/>
  <c r="G7" i="1"/>
  <c r="J7" i="1"/>
  <c r="E36" i="1" l="1"/>
  <c r="D36" i="1" s="1"/>
  <c r="D35" i="1"/>
  <c r="E6" i="1"/>
  <c r="E5" i="1"/>
  <c r="E7" i="1"/>
</calcChain>
</file>

<file path=xl/sharedStrings.xml><?xml version="1.0" encoding="utf-8"?>
<sst xmlns="http://schemas.openxmlformats.org/spreadsheetml/2006/main" count="799" uniqueCount="214">
  <si>
    <t>TC : HENDRA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</si>
  <si>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</si>
  <si>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</si>
  <si>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</si>
  <si>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</si>
  <si>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</si>
  <si>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</si>
  <si>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</si>
  <si>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</si>
  <si>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</si>
  <si>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</si>
  <si>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</si>
  <si>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</si>
  <si>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</si>
  <si>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</si>
  <si>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</si>
  <si>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</si>
  <si>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</si>
  <si>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</si>
  <si>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</si>
  <si>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</si>
  <si>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</si>
  <si>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</si>
  <si>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</si>
  <si>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FEB</t>
  </si>
  <si>
    <t>MAR</t>
  </si>
  <si>
    <t>APR</t>
  </si>
  <si>
    <t>Bulan</t>
  </si>
  <si>
    <t>Klasifikasi</t>
  </si>
  <si>
    <t>Hendra</t>
  </si>
  <si>
    <t>Total Kios</t>
  </si>
  <si>
    <t>Kios Aman</t>
  </si>
  <si>
    <t>Menarik Pembayaran Kios OD 30</t>
  </si>
  <si>
    <t>TC : Hendra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</si>
  <si>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</si>
  <si>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</si>
  <si>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</si>
  <si>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</si>
  <si>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</si>
  <si>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</si>
  <si>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</si>
  <si>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</si>
  <si>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</si>
  <si>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</si>
  <si>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</si>
  <si>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50 M</t>
  </si>
  <si>
    <t>KALENDER PENAGIHAN TEAM COLLECTION</t>
  </si>
  <si>
    <t>BULAN APRIL 2026</t>
  </si>
  <si>
    <t xml:space="preserve"> </t>
  </si>
  <si>
    <t>Nama TC</t>
  </si>
  <si>
    <t>:</t>
  </si>
  <si>
    <t>Wilayah</t>
  </si>
  <si>
    <t>Luar Pulau, Jabar Jateng, Jatim Barat, Prob, Lumajang, Jember</t>
  </si>
  <si>
    <t>Posisi Over Due</t>
  </si>
  <si>
    <t>30 &gt;</t>
  </si>
  <si>
    <t>No</t>
  </si>
  <si>
    <t>Nama Kios</t>
  </si>
  <si>
    <t>Agri Bina Cipta, CV</t>
  </si>
  <si>
    <t>B</t>
  </si>
  <si>
    <t>T</t>
  </si>
  <si>
    <t>TB</t>
  </si>
  <si>
    <t>Alam Tani</t>
  </si>
  <si>
    <t>Alaska Prima Perkasa, CV</t>
  </si>
  <si>
    <t>Aneka Tani/ Sriyani</t>
  </si>
  <si>
    <t>Aneka Tani/Efendi</t>
  </si>
  <si>
    <t>Aqin Tani, UD</t>
  </si>
  <si>
    <t>Baru Bersinar, UD</t>
  </si>
  <si>
    <t>Berkah Abadi Tani/Widodo (Benih+Pupuk)</t>
  </si>
  <si>
    <t>Bintang Sejahtera/Aprianto</t>
  </si>
  <si>
    <t>Budi Berkah/H. Syahran</t>
  </si>
  <si>
    <t>Cahaya Tani, CV/Nurrohman</t>
  </si>
  <si>
    <t>Cipta Jaya Multifarm</t>
  </si>
  <si>
    <t>CV. Surya Agro Pradhana</t>
  </si>
  <si>
    <t xml:space="preserve">Fajar Tetap Jaya/Supriadi </t>
  </si>
  <si>
    <t>Feryan Tantoni</t>
  </si>
  <si>
    <t>Hidayat Tani, UD</t>
  </si>
  <si>
    <t>Ilham, UD/Ridha</t>
  </si>
  <si>
    <t>Ingin Maju, UD</t>
  </si>
  <si>
    <t>Karisma Eka Putra, PT</t>
  </si>
  <si>
    <t>Karya Tani/Hariman</t>
  </si>
  <si>
    <t>Lintang Jaya Tani</t>
  </si>
  <si>
    <t>Mega Agro Sejahtera/Fadli</t>
  </si>
  <si>
    <t>Nuansa Tani</t>
  </si>
  <si>
    <t>Nusra Persada Agriculture</t>
  </si>
  <si>
    <t>Paisal Rizal</t>
  </si>
  <si>
    <t>Pelita Tani, CV/Budi</t>
  </si>
  <si>
    <t>Pesona Tani</t>
  </si>
  <si>
    <t>Primus Tani, UD</t>
  </si>
  <si>
    <t>Purnama, Toko/Haris</t>
  </si>
  <si>
    <t>Rejeki Tani, UD/Christina</t>
  </si>
  <si>
    <t>Rekan Tani Indonesia, CV</t>
  </si>
  <si>
    <t>Rizki Tani/Ratna</t>
  </si>
  <si>
    <t>Sagara, UD</t>
  </si>
  <si>
    <t>Sahabat Tani/Suherman</t>
  </si>
  <si>
    <t>Sentra Agronusa Bhakti, PT</t>
  </si>
  <si>
    <t>Tani Illahi/Nunung</t>
  </si>
  <si>
    <t>Tani Sejati/Ivan</t>
  </si>
  <si>
    <t>Tani Sejati/Johny</t>
  </si>
  <si>
    <t>Tani Sumber Makmur/Maskur</t>
  </si>
  <si>
    <t>Tricu Jaya, UD</t>
  </si>
  <si>
    <t>Yakob/Karisma</t>
  </si>
  <si>
    <t>Gilang Perkasa Utama</t>
  </si>
  <si>
    <t>Delima, Toko/Nurhasan</t>
  </si>
  <si>
    <t>Sumber Pangan/Jainuri</t>
  </si>
  <si>
    <t>Barokah Tani, UD/Sutrisno</t>
  </si>
  <si>
    <t>Bumi Asih, UD/Hasan</t>
  </si>
  <si>
    <t>Subur/Yusuf</t>
  </si>
  <si>
    <t>Sumber Rejeki/Ali</t>
  </si>
  <si>
    <t>Sumber Tani, UD/Agin</t>
  </si>
  <si>
    <t>Sumber Barokah, UD</t>
  </si>
  <si>
    <t>Jaya Utama, CV</t>
  </si>
  <si>
    <t>Tani Jaya, UD/Choiri</t>
  </si>
  <si>
    <t>Podo Tani/Supri</t>
  </si>
  <si>
    <t>Sumber Makmur/Mahrus</t>
  </si>
  <si>
    <t>Ibu Tani</t>
  </si>
  <si>
    <t>Mira Tani/Yudi, H</t>
  </si>
  <si>
    <t>Abi Tani/Soleudin</t>
  </si>
  <si>
    <t>Sukses Sejahtera</t>
  </si>
  <si>
    <t>Damai Tani/Samsuri, H</t>
  </si>
  <si>
    <t>Agro Tani Mandiri</t>
  </si>
  <si>
    <t>Jaya Utama II</t>
  </si>
  <si>
    <t>Hariyono Sby</t>
  </si>
  <si>
    <t>Tani Barokah/Salim</t>
  </si>
  <si>
    <t>Mahhur</t>
  </si>
  <si>
    <t>Sumber Rejeki/Moh Soleh</t>
  </si>
  <si>
    <t>Mantab Jaya/Andiya</t>
  </si>
  <si>
    <t>Karya Guna/Agus</t>
  </si>
  <si>
    <t>Tani Makmur/Kusnan</t>
  </si>
  <si>
    <t>Pertanian Bu Linda, Toko</t>
  </si>
  <si>
    <t>Tunggal Sumber Rejeki</t>
  </si>
  <si>
    <t>Adam Jaya/Indah</t>
  </si>
  <si>
    <t>Tani Maju/Aris</t>
  </si>
  <si>
    <t>Jaya Makmur/Suyono</t>
  </si>
  <si>
    <t>Rawa Indah</t>
  </si>
  <si>
    <t>Febri Catur Nugroho</t>
  </si>
  <si>
    <t>Abdi Tani/Zuhri</t>
  </si>
  <si>
    <t>Shijaya Tani/Hendrik</t>
  </si>
  <si>
    <t>Putra Tani/Bayu</t>
  </si>
  <si>
    <t>Sumber Agung/Ferdi</t>
  </si>
  <si>
    <t>Tani Sejahtera/Mat Syawal</t>
  </si>
  <si>
    <t>Soponyono/Hasan</t>
  </si>
  <si>
    <t>Aboe Tani</t>
  </si>
  <si>
    <t>Semes Tani/Tomi</t>
  </si>
  <si>
    <t>Rita 29, Toko</t>
  </si>
  <si>
    <t>Joyo Tani Makmur, UD</t>
  </si>
  <si>
    <t>Wukir Sari</t>
  </si>
  <si>
    <t>Java Tani/Anis</t>
  </si>
  <si>
    <t>Dianta Tani</t>
  </si>
  <si>
    <t>Putra Podomoro, CV</t>
  </si>
  <si>
    <t>Hasil Tani/Supriyadi</t>
  </si>
  <si>
    <t>Surya Tani/Ari</t>
  </si>
  <si>
    <t>Sido Muncul/Hosen</t>
  </si>
  <si>
    <t>TOTAL</t>
  </si>
  <si>
    <t>Tagih Langsung Bayar</t>
  </si>
  <si>
    <t>Tagih</t>
  </si>
  <si>
    <t>Bayar</t>
  </si>
  <si>
    <t>&lt; 30</t>
  </si>
  <si>
    <t>Agro Kalimantan Sejahtera/P Ulin</t>
  </si>
  <si>
    <t>Aisah Turabiah Sape</t>
  </si>
  <si>
    <t>Anda/Darwin</t>
  </si>
  <si>
    <t>Baba, UD/Suherman</t>
  </si>
  <si>
    <t>Bagus Rizki, UD</t>
  </si>
  <si>
    <t>Guna Adi Tani</t>
  </si>
  <si>
    <t>Hadi Putra, UD</t>
  </si>
  <si>
    <t>Harapan Agro Tani, PT</t>
  </si>
  <si>
    <t>Ikhlas Tani, UD</t>
  </si>
  <si>
    <t>Iwan Jaya, UD/Iwan</t>
  </si>
  <si>
    <t>Jaya Makmur, UD/Suguanto Winarko</t>
  </si>
  <si>
    <t>Karisma Bumi Indah/Fedo</t>
  </si>
  <si>
    <t>Laju Tani, Toko</t>
  </si>
  <si>
    <t>Maryono</t>
  </si>
  <si>
    <t>Mekar Tani/Muhlis</t>
  </si>
  <si>
    <t>Mitra Tani/Elsa</t>
  </si>
  <si>
    <t>Purbaya</t>
  </si>
  <si>
    <t>Pusaka Tani/Budhi Yintoro</t>
  </si>
  <si>
    <t>Rizal Tjowasi</t>
  </si>
  <si>
    <t>Rizal Tjowasi/Tobelo</t>
  </si>
  <si>
    <t>Rose, UD</t>
  </si>
  <si>
    <t>Sahabat Tani/Regina</t>
  </si>
  <si>
    <t>Sarman</t>
  </si>
  <si>
    <t>Satura Tani/Febrisnaini</t>
  </si>
  <si>
    <t>Sederhana Tani</t>
  </si>
  <si>
    <t>Sinar Dumoga Jaya</t>
  </si>
  <si>
    <t>Subur Makmur, UD</t>
  </si>
  <si>
    <t>Suharti Tani, UD/Nasir</t>
  </si>
  <si>
    <t>Sumber Makmur/Henry</t>
  </si>
  <si>
    <t>Sumber Makmur/Rudijanto</t>
  </si>
  <si>
    <t>Sumber Tani, CV/Surjanto</t>
  </si>
  <si>
    <t>Sumber Tani/Roy</t>
  </si>
  <si>
    <t>Tani Beru/Alberto Jemmy Limonta</t>
  </si>
  <si>
    <t>Agro Sukses Surabaya, PT</t>
  </si>
  <si>
    <t>Berkah Tani/Abdul Mujib</t>
  </si>
  <si>
    <t>Cobra AG/Mohammad Gusti</t>
  </si>
  <si>
    <t>Gudang Barokah/Ishak</t>
  </si>
  <si>
    <t>Hafiz Tani/Musrifatun</t>
  </si>
  <si>
    <t>Indra, Toko</t>
  </si>
  <si>
    <t>Kawan Tani/Bahrul, H</t>
  </si>
  <si>
    <t>Madani</t>
  </si>
  <si>
    <t>Rudi Tani/Rudi</t>
  </si>
  <si>
    <t>Sari Agung/Wasudi, H</t>
  </si>
  <si>
    <t>Sedulur Tani/Eko Galih</t>
  </si>
  <si>
    <t>Putri Rejeki/Saman</t>
  </si>
  <si>
    <t>Sido Mulyo/Hidayat, M</t>
  </si>
  <si>
    <t>Sumber Agung/Muhamat Nur</t>
  </si>
  <si>
    <t>Surya Tani/Harwoko</t>
  </si>
  <si>
    <t>Tani Barokah/Rofiudin</t>
  </si>
  <si>
    <t>Tani Hasil, UD/Bagong, H</t>
  </si>
  <si>
    <t>Tani Lumayan/Ali, H</t>
  </si>
  <si>
    <t>Tani Moderen/Septiani</t>
  </si>
  <si>
    <t>Tani Subur/Agus Priyanto</t>
  </si>
  <si>
    <t>Usaha Tani/Dori</t>
  </si>
  <si>
    <t>Windu Kamukten, PT</t>
  </si>
  <si>
    <t>Herry djuwarsa</t>
  </si>
  <si>
    <t>Subur Tani Agro Raya Sejahtera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</si>
</sst>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64" formatCode="_(* #,##0.00_);_(* \(#,##0.00\);_(* &quot;-&quot;??_);_(@_)"/>
    <numFmt numFmtId="165" formatCode="_(* #,##0_);_(* \(#,##0\);_(* &quot;-&quot;_);_(@_)"/>
    <numFmt numFmtId="166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b/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b/>
      <sz val="8"/>
      <color theme="1"/>
      <name val="Lao UI"/>
    </font>
    <font>
      <sz val="10"/>
      <name val="Arial"/>
      <family val="2"/>
    </font>
    <font>
      <sz val="8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0" fontId="25" fillId="0" borderId="0">
      <alignment horizontal="left" vertical="top"/>
    </xf>
  </cellStyleXfs>
  <cellXfs count="9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5" fillId="16" borderId="1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indent="1"/>
    </xf>
    <xf numFmtId="164" fontId="10" fillId="0" borderId="1" xfId="3" applyFont="1" applyFill="1" applyBorder="1" applyAlignment="1">
      <alignment vertical="center"/>
    </xf>
    <xf numFmtId="10" fontId="10" fillId="0" borderId="1" xfId="3" applyNumberFormat="1" applyFont="1" applyFill="1" applyBorder="1" applyAlignment="1">
      <alignment horizontal="center" vertical="center"/>
    </xf>
    <xf numFmtId="10" fontId="10" fillId="18" borderId="1" xfId="3" applyNumberFormat="1" applyFont="1" applyFill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10" fontId="11" fillId="19" borderId="1" xfId="2" applyNumberFormat="1" applyFont="1" applyFill="1" applyBorder="1" applyAlignment="1">
      <alignment horizontal="center" vertical="center"/>
    </xf>
    <xf numFmtId="10" fontId="10" fillId="18" borderId="1" xfId="2" applyNumberFormat="1" applyFont="1" applyFill="1" applyBorder="1" applyAlignment="1">
      <alignment horizontal="center" vertical="center"/>
    </xf>
    <xf numFmtId="0" fontId="10" fillId="12" borderId="1" xfId="2" applyNumberFormat="1" applyFont="1" applyFill="1" applyBorder="1" applyAlignment="1">
      <alignment horizontal="center" vertical="center"/>
    </xf>
    <xf numFmtId="0" fontId="10" fillId="0" borderId="1" xfId="2" applyNumberFormat="1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21" borderId="2" xfId="0" applyFont="1" applyFill="1" applyBorder="1" applyAlignment="1">
      <alignment horizontal="center"/>
    </xf>
    <xf numFmtId="10" fontId="3" fillId="8" borderId="2" xfId="4" applyNumberFormat="1" applyFont="1" applyFill="1" applyBorder="1" applyAlignment="1">
      <alignment horizontal="center"/>
    </xf>
    <xf numFmtId="0" fontId="12" fillId="21" borderId="2" xfId="0" applyFont="1" applyFill="1" applyBorder="1" applyAlignment="1">
      <alignment horizontal="center"/>
    </xf>
    <xf numFmtId="10" fontId="12" fillId="9" borderId="2" xfId="4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indent="1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165" fontId="15" fillId="18" borderId="5" xfId="0" applyNumberFormat="1" applyFont="1" applyFill="1" applyBorder="1" applyAlignment="1">
      <alignment horizontal="center" vertical="center"/>
    </xf>
    <xf numFmtId="165" fontId="15" fillId="18" borderId="6" xfId="0" applyNumberFormat="1" applyFont="1" applyFill="1" applyBorder="1" applyAlignment="1">
      <alignment horizontal="center" vertical="center"/>
    </xf>
    <xf numFmtId="165" fontId="15" fillId="18" borderId="7" xfId="0" applyNumberFormat="1" applyFont="1" applyFill="1" applyBorder="1" applyAlignment="1">
      <alignment horizontal="center" vertical="center"/>
    </xf>
    <xf numFmtId="0" fontId="14" fillId="18" borderId="5" xfId="0" applyFont="1" applyFill="1" applyBorder="1" applyAlignment="1">
      <alignment horizontal="center" vertical="center"/>
    </xf>
    <xf numFmtId="0" fontId="14" fillId="18" borderId="7" xfId="0" applyFont="1" applyFill="1" applyBorder="1" applyAlignment="1">
      <alignment horizontal="center" vertical="center"/>
    </xf>
    <xf numFmtId="165" fontId="14" fillId="18" borderId="1" xfId="0" applyNumberFormat="1" applyFont="1" applyFill="1" applyBorder="1" applyAlignment="1">
      <alignment horizontal="center" vertical="center"/>
    </xf>
    <xf numFmtId="165" fontId="15" fillId="23" borderId="5" xfId="0" applyNumberFormat="1" applyFont="1" applyFill="1" applyBorder="1" applyAlignment="1">
      <alignment horizontal="center" vertical="center"/>
    </xf>
    <xf numFmtId="165" fontId="15" fillId="23" borderId="6" xfId="0" applyNumberFormat="1" applyFont="1" applyFill="1" applyBorder="1" applyAlignment="1">
      <alignment horizontal="center" vertical="center"/>
    </xf>
    <xf numFmtId="165" fontId="15" fillId="23" borderId="7" xfId="0" applyNumberFormat="1" applyFont="1" applyFill="1" applyBorder="1" applyAlignment="1">
      <alignment horizontal="center" vertical="center"/>
    </xf>
    <xf numFmtId="165" fontId="15" fillId="4" borderId="5" xfId="0" applyNumberFormat="1" applyFont="1" applyFill="1" applyBorder="1" applyAlignment="1">
      <alignment horizontal="center" vertical="center"/>
    </xf>
    <xf numFmtId="165" fontId="15" fillId="4" borderId="6" xfId="0" applyNumberFormat="1" applyFont="1" applyFill="1" applyBorder="1" applyAlignment="1">
      <alignment horizontal="center" vertical="center"/>
    </xf>
    <xf numFmtId="165" fontId="15" fillId="4" borderId="7" xfId="0" applyNumberFormat="1" applyFont="1" applyFill="1" applyBorder="1" applyAlignment="1">
      <alignment horizontal="center" vertical="center"/>
    </xf>
    <xf numFmtId="165" fontId="15" fillId="24" borderId="5" xfId="0" applyNumberFormat="1" applyFont="1" applyFill="1" applyBorder="1" applyAlignment="1">
      <alignment horizontal="center" vertical="center"/>
    </xf>
    <xf numFmtId="165" fontId="15" fillId="24" borderId="7" xfId="0" applyNumberFormat="1" applyFont="1" applyFill="1" applyBorder="1" applyAlignment="1">
      <alignment horizontal="center" vertical="center"/>
    </xf>
    <xf numFmtId="165" fontId="15" fillId="25" borderId="1" xfId="0" applyNumberFormat="1" applyFont="1" applyFill="1" applyBorder="1" applyAlignment="1">
      <alignment horizontal="center" vertical="center"/>
    </xf>
    <xf numFmtId="0" fontId="15" fillId="26" borderId="1" xfId="0" applyFont="1" applyFill="1" applyBorder="1" applyAlignment="1">
      <alignment horizontal="center" vertical="center"/>
    </xf>
    <xf numFmtId="165" fontId="15" fillId="11" borderId="1" xfId="0" applyNumberFormat="1" applyFont="1" applyFill="1" applyBorder="1" applyAlignment="1">
      <alignment horizontal="center" vertical="center"/>
    </xf>
    <xf numFmtId="165" fontId="15" fillId="10" borderId="1" xfId="0" applyNumberFormat="1" applyFont="1" applyFill="1" applyBorder="1" applyAlignment="1">
      <alignment horizontal="center" vertical="center"/>
    </xf>
    <xf numFmtId="165" fontId="15" fillId="27" borderId="1" xfId="0" applyNumberFormat="1" applyFont="1" applyFill="1" applyBorder="1" applyAlignment="1">
      <alignment horizontal="center" vertical="center" wrapText="1"/>
    </xf>
    <xf numFmtId="165" fontId="15" fillId="27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indent="1"/>
    </xf>
    <xf numFmtId="10" fontId="15" fillId="0" borderId="1" xfId="2" applyNumberFormat="1" applyFont="1" applyFill="1" applyBorder="1" applyAlignment="1">
      <alignment horizontal="center" vertical="center"/>
    </xf>
    <xf numFmtId="164" fontId="15" fillId="0" borderId="1" xfId="3" applyFont="1" applyFill="1" applyBorder="1" applyAlignment="1">
      <alignment vertical="center"/>
    </xf>
    <xf numFmtId="10" fontId="15" fillId="0" borderId="8" xfId="4" applyNumberFormat="1" applyFont="1" applyFill="1" applyBorder="1" applyAlignment="1">
      <alignment horizontal="center" vertical="center"/>
    </xf>
    <xf numFmtId="164" fontId="15" fillId="0" borderId="8" xfId="3" applyFont="1" applyFill="1" applyBorder="1" applyAlignment="1">
      <alignment horizontal="center" vertical="center"/>
    </xf>
    <xf numFmtId="164" fontId="15" fillId="0" borderId="8" xfId="3" applyFont="1" applyFill="1" applyBorder="1" applyAlignment="1">
      <alignment vertical="center"/>
    </xf>
    <xf numFmtId="166" fontId="15" fillId="0" borderId="1" xfId="3" applyNumberFormat="1" applyFont="1" applyFill="1" applyBorder="1" applyAlignment="1">
      <alignment vertical="center"/>
    </xf>
    <xf numFmtId="0" fontId="15" fillId="0" borderId="8" xfId="3" applyNumberFormat="1" applyFont="1" applyFill="1" applyBorder="1" applyAlignment="1">
      <alignment horizontal="center" vertical="center"/>
    </xf>
    <xf numFmtId="41" fontId="15" fillId="0" borderId="8" xfId="1" applyFont="1" applyFill="1" applyBorder="1" applyAlignment="1">
      <alignment horizontal="center" vertical="center"/>
    </xf>
    <xf numFmtId="10" fontId="16" fillId="19" borderId="1" xfId="2" applyNumberFormat="1" applyFont="1" applyFill="1" applyBorder="1" applyAlignment="1">
      <alignment horizontal="center" vertical="center"/>
    </xf>
    <xf numFmtId="9" fontId="15" fillId="0" borderId="8" xfId="3" applyNumberFormat="1" applyFont="1" applyFill="1" applyBorder="1" applyAlignment="1">
      <alignment horizontal="center" vertical="center"/>
    </xf>
    <xf numFmtId="0" fontId="17" fillId="28" borderId="0" xfId="0" applyFont="1" applyFill="1" applyAlignment="1">
      <alignment horizontal="center" vertical="center"/>
    </xf>
    <xf numFmtId="0" fontId="0" fillId="28" borderId="0" xfId="0" applyFill="1"/>
    <xf numFmtId="0" fontId="18" fillId="28" borderId="0" xfId="0" applyFont="1" applyFill="1" applyAlignment="1">
      <alignment horizontal="center" vertical="center"/>
    </xf>
    <xf numFmtId="0" fontId="19" fillId="28" borderId="0" xfId="0" applyFont="1" applyFill="1"/>
    <xf numFmtId="0" fontId="20" fillId="28" borderId="0" xfId="0" applyFont="1" applyFill="1" applyAlignment="1">
      <alignment vertical="center"/>
    </xf>
    <xf numFmtId="0" fontId="20" fillId="28" borderId="0" xfId="0" applyFont="1" applyFill="1"/>
    <xf numFmtId="0" fontId="21" fillId="0" borderId="2" xfId="0" applyFont="1" applyFill="1" applyBorder="1" applyAlignment="1">
      <alignment horizontal="center" vertical="center" wrapText="1"/>
    </xf>
    <xf numFmtId="0" fontId="21" fillId="19" borderId="2" xfId="0" applyFont="1" applyFill="1" applyBorder="1" applyAlignment="1">
      <alignment horizontal="center" vertical="center" wrapText="1"/>
    </xf>
    <xf numFmtId="0" fontId="19" fillId="0" borderId="0" xfId="0" applyFont="1"/>
    <xf numFmtId="0" fontId="22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28" borderId="2" xfId="0" applyFont="1" applyFill="1" applyBorder="1" applyAlignment="1">
      <alignment horizontal="center" vertical="center"/>
    </xf>
    <xf numFmtId="0" fontId="19" fillId="24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9" fillId="28" borderId="0" xfId="0" applyFont="1" applyFill="1" applyAlignment="1">
      <alignment horizontal="center" vertical="center"/>
    </xf>
    <xf numFmtId="0" fontId="19" fillId="0" borderId="2" xfId="0" applyFont="1" applyBorder="1"/>
    <xf numFmtId="9" fontId="19" fillId="28" borderId="0" xfId="2" applyFont="1" applyFill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1" fillId="29" borderId="2" xfId="0" applyFont="1" applyFill="1" applyBorder="1" applyAlignment="1">
      <alignment horizontal="center" vertical="center"/>
    </xf>
    <xf numFmtId="0" fontId="21" fillId="29" borderId="2" xfId="0" applyFont="1" applyFill="1" applyBorder="1" applyAlignment="1">
      <alignment vertical="center"/>
    </xf>
    <xf numFmtId="0" fontId="22" fillId="28" borderId="0" xfId="0" applyFont="1" applyFill="1" applyBorder="1" applyAlignment="1">
      <alignment vertical="center"/>
    </xf>
    <xf numFmtId="0" fontId="0" fillId="0" borderId="2" xfId="0" applyFont="1" applyBorder="1"/>
    <xf numFmtId="0" fontId="0" fillId="0" borderId="0" xfId="0" applyFont="1" applyBorder="1"/>
    <xf numFmtId="0" fontId="19" fillId="0" borderId="0" xfId="0" applyFont="1" applyBorder="1" applyAlignment="1">
      <alignment horizontal="center" vertical="center"/>
    </xf>
  </cellXfs>
  <cellStyles count="7">
    <cellStyle name="Comma [0]" xfId="1" builtinId="6"/>
    <cellStyle name="Comma 10 2" xfId="3"/>
    <cellStyle name="Normal" xfId="0" builtinId="0"/>
    <cellStyle name="Normal 2 2 2" xfId="5"/>
    <cellStyle name="Percent" xfId="2" builtinId="5"/>
    <cellStyle name="Percent 4" xfId="4"/>
    <cellStyle name="S0" xfId="6"/>
  </cellStyles>
  <dxfs count="945"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23287</xdr:colOff>
      <xdr:row>1</xdr:row>
      <xdr:rowOff>23284</xdr:rowOff>
    </xdr:from>
    <xdr:to>
      <xdr:col>1</xdr:col>
      <xdr:colOff>351371</xdr:colOff>
      <xdr:row>1</xdr:row>
      <xdr:rowOff>309034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/>
      </xdr:nvSpPr>
      <xdr:spPr>
        <a:xfrm>
          <a:off x="80437" y="10786534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6</a:t>
          </a:r>
        </a:p>
      </xdr:txBody>
    </xdr:sp>
    <xdr:clientData/>
  </xdr:twoCellAnchor>
  <xdr:twoCellAnchor>
    <xdr:from>
      <xdr:col>1</xdr:col>
      <xdr:colOff>9525</xdr:colOff>
      <xdr:row>28</xdr:row>
      <xdr:rowOff>28575</xdr:rowOff>
    </xdr:from>
    <xdr:to>
      <xdr:col>1</xdr:col>
      <xdr:colOff>337609</xdr:colOff>
      <xdr:row>29</xdr:row>
      <xdr:rowOff>123825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/>
      </xdr:nvSpPr>
      <xdr:spPr>
        <a:xfrm>
          <a:off x="180975" y="8277225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6"/>
  <sheetViews>
    <sheetView tabSelected="1" topLeftCell="A4" zoomScale="90" zoomScaleNormal="90" workbookViewId="0">
      <selection activeCell="I20" sqref="I20"/>
    </sheetView>
  </sheetViews>
  <sheetFormatPr defaultRowHeight="15"/>
  <cols>
    <col min="3" max="3" width="10" bestFit="1" customWidth="1"/>
    <col min="5" max="5" width="11.42578125" customWidth="1"/>
    <col min="6" max="6" width="11.140625" customWidth="1"/>
    <col min="8" max="8" width="10.5703125" customWidth="1"/>
    <col min="13" max="13" width="17.42578125" bestFit="1" customWidth="1"/>
  </cols>
  <sheetData>
    <row r="2" spans="2:21" ht="25.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1</v>
      </c>
      <c r="N2" s="3" t="s">
        <v>2</v>
      </c>
      <c r="O2" s="4" t="s">
        <v>3</v>
      </c>
      <c r="P2" s="2" t="s">
        <v>4</v>
      </c>
      <c r="Q2" s="2" t="s">
        <v>4</v>
      </c>
      <c r="R2" s="5" t="s">
        <v>5</v>
      </c>
      <c r="S2" s="5"/>
      <c r="T2" s="5"/>
      <c r="U2" s="4" t="s">
        <v>4</v>
      </c>
    </row>
    <row r="3" spans="2:21" ht="36">
      <c r="B3" s="6" t="s">
        <v>6</v>
      </c>
      <c r="C3" s="7" t="s">
        <v>7</v>
      </c>
      <c r="D3" s="8" t="s">
        <v>8</v>
      </c>
      <c r="E3" s="9" t="s">
        <v>9</v>
      </c>
      <c r="F3" s="10" t="s">
        <v>10</v>
      </c>
      <c r="G3" s="10"/>
      <c r="H3" s="11" t="s">
        <v>11</v>
      </c>
      <c r="I3" s="12" t="s">
        <v>12</v>
      </c>
      <c r="J3" s="13" t="s">
        <v>13</v>
      </c>
      <c r="K3" s="14" t="s">
        <v>14</v>
      </c>
      <c r="L3" s="14"/>
      <c r="M3" s="15" t="s">
        <v>15</v>
      </c>
      <c r="N3" s="16" t="s">
        <v>16</v>
      </c>
      <c r="O3" s="17" t="s">
        <v>17</v>
      </c>
      <c r="P3" s="15" t="s">
        <v>18</v>
      </c>
      <c r="Q3" s="15" t="s">
        <v>19</v>
      </c>
      <c r="R3" s="18" t="s">
        <v>20</v>
      </c>
      <c r="S3" s="18" t="s">
        <v>21</v>
      </c>
      <c r="T3" s="18" t="s">
        <v>2</v>
      </c>
      <c r="U3" s="17" t="s">
        <v>22</v>
      </c>
    </row>
    <row r="4" spans="2:21">
      <c r="B4" s="19" t="s">
        <v>23</v>
      </c>
      <c r="C4" s="20">
        <f>+F4+H4+I4+K4</f>
        <v>60965.730495000033</v>
      </c>
      <c r="D4" s="21">
        <v>0.94</v>
      </c>
      <c r="E4" s="22">
        <f>+G4</f>
        <v>0.96217967280505068</v>
      </c>
      <c r="F4" s="20">
        <v>58659.986620000032</v>
      </c>
      <c r="G4" s="23">
        <f t="shared" ref="G4:G7" si="0">+F4/C4</f>
        <v>0.96217967280505068</v>
      </c>
      <c r="H4" s="20">
        <v>2289.2138749999999</v>
      </c>
      <c r="I4" s="20">
        <v>16.53</v>
      </c>
      <c r="J4" s="23">
        <f t="shared" ref="J4:J7" si="1">+(H4+I4)/C4</f>
        <v>3.7820327194949308E-2</v>
      </c>
      <c r="K4" s="20">
        <v>0</v>
      </c>
      <c r="L4" s="23">
        <f t="shared" ref="L4:L7" si="2">+K4/C4</f>
        <v>0</v>
      </c>
      <c r="M4" s="24">
        <v>0.47619047619047616</v>
      </c>
      <c r="N4" s="25">
        <v>0.90352516899661139</v>
      </c>
      <c r="O4" s="26"/>
      <c r="P4" s="26"/>
      <c r="Q4" s="26"/>
      <c r="R4" s="20"/>
      <c r="S4" s="20"/>
      <c r="T4" s="23">
        <v>1</v>
      </c>
      <c r="U4" s="27">
        <v>0</v>
      </c>
    </row>
    <row r="5" spans="2:21">
      <c r="B5" s="19" t="s">
        <v>24</v>
      </c>
      <c r="C5" s="20">
        <f>+F5+H5+I5+K5</f>
        <v>78013.651645000005</v>
      </c>
      <c r="D5" s="21">
        <v>0.94</v>
      </c>
      <c r="E5" s="22">
        <f>AVERAGE(G4:G5)</f>
        <v>0.96896844027427975</v>
      </c>
      <c r="F5" s="20">
        <v>76122.382895000002</v>
      </c>
      <c r="G5" s="21">
        <f t="shared" si="0"/>
        <v>0.97575720774350883</v>
      </c>
      <c r="H5" s="20">
        <v>1852.18875</v>
      </c>
      <c r="I5" s="20">
        <v>39.08</v>
      </c>
      <c r="J5" s="23">
        <f t="shared" si="1"/>
        <v>2.4242792256491095E-2</v>
      </c>
      <c r="K5" s="20">
        <v>0</v>
      </c>
      <c r="L5" s="21">
        <f t="shared" si="2"/>
        <v>0</v>
      </c>
      <c r="M5" s="25">
        <v>0.1875</v>
      </c>
      <c r="N5" s="25">
        <v>0.90397016595073043</v>
      </c>
      <c r="O5" s="26"/>
      <c r="P5" s="26"/>
      <c r="Q5" s="26"/>
      <c r="R5" s="20"/>
      <c r="S5" s="20"/>
      <c r="T5" s="23">
        <v>1</v>
      </c>
      <c r="U5" s="27">
        <v>0</v>
      </c>
    </row>
    <row r="6" spans="2:21">
      <c r="B6" s="19" t="s">
        <v>25</v>
      </c>
      <c r="C6" s="20">
        <f>+F6+H6+I6+K6</f>
        <v>69452.651385000005</v>
      </c>
      <c r="D6" s="21">
        <v>0.94</v>
      </c>
      <c r="E6" s="22">
        <f>AVERAGE(G4:G6)</f>
        <v>0.97223907614861893</v>
      </c>
      <c r="F6" s="20">
        <v>67978.890285000001</v>
      </c>
      <c r="G6" s="23">
        <f t="shared" si="0"/>
        <v>0.97878034789729718</v>
      </c>
      <c r="H6" s="20">
        <v>1377.6061</v>
      </c>
      <c r="I6" s="20">
        <v>96.155000000000001</v>
      </c>
      <c r="J6" s="23">
        <f t="shared" si="1"/>
        <v>2.12196521027028E-2</v>
      </c>
      <c r="K6" s="20">
        <v>0</v>
      </c>
      <c r="L6" s="23">
        <f t="shared" si="2"/>
        <v>0</v>
      </c>
      <c r="M6" s="25">
        <v>0.1</v>
      </c>
      <c r="N6" s="25">
        <v>0.95463606479452001</v>
      </c>
      <c r="O6" s="26"/>
      <c r="P6" s="26"/>
      <c r="Q6" s="26"/>
      <c r="R6" s="20"/>
      <c r="S6" s="20"/>
      <c r="T6" s="23">
        <v>1</v>
      </c>
      <c r="U6" s="27">
        <v>0</v>
      </c>
    </row>
    <row r="7" spans="2:21">
      <c r="B7" s="19" t="s">
        <v>26</v>
      </c>
      <c r="C7" s="20">
        <f>+F7+H7+I7+K7</f>
        <v>80270.792545000018</v>
      </c>
      <c r="D7" s="21">
        <v>0.94</v>
      </c>
      <c r="E7" s="22">
        <f>AVERAGE(G4:G7)</f>
        <v>0.97064396781459705</v>
      </c>
      <c r="F7" s="20">
        <v>77530.23874500001</v>
      </c>
      <c r="G7" s="23">
        <f t="shared" si="0"/>
        <v>0.96585864281253175</v>
      </c>
      <c r="H7" s="20">
        <v>2674.7988</v>
      </c>
      <c r="I7" s="20">
        <v>65.754999999999995</v>
      </c>
      <c r="J7" s="23">
        <f t="shared" si="1"/>
        <v>3.4141357187468135E-2</v>
      </c>
      <c r="K7" s="20">
        <v>0</v>
      </c>
      <c r="L7" s="23">
        <f t="shared" si="2"/>
        <v>0</v>
      </c>
      <c r="M7" s="25">
        <v>0.15790000000000001</v>
      </c>
      <c r="N7" s="25">
        <v>0.89720832428788555</v>
      </c>
      <c r="O7" s="26"/>
      <c r="P7" s="26"/>
      <c r="Q7" s="26"/>
      <c r="R7" s="20"/>
      <c r="S7" s="20"/>
      <c r="T7" s="23">
        <v>1</v>
      </c>
      <c r="U7" s="27">
        <v>0</v>
      </c>
    </row>
    <row r="9" spans="2:21">
      <c r="B9" s="38" t="s">
        <v>32</v>
      </c>
    </row>
    <row r="10" spans="2:21">
      <c r="B10" s="28" t="s">
        <v>27</v>
      </c>
      <c r="C10" s="28" t="s">
        <v>28</v>
      </c>
      <c r="D10" s="28" t="s">
        <v>29</v>
      </c>
    </row>
    <row r="11" spans="2:21">
      <c r="B11" s="29">
        <v>1</v>
      </c>
      <c r="C11" s="30" t="s">
        <v>30</v>
      </c>
      <c r="D11" s="32">
        <v>468</v>
      </c>
    </row>
    <row r="12" spans="2:21">
      <c r="B12" s="29"/>
      <c r="C12" s="30" t="s">
        <v>31</v>
      </c>
      <c r="D12" s="32">
        <v>455</v>
      </c>
    </row>
    <row r="13" spans="2:21">
      <c r="B13" s="29"/>
      <c r="C13" s="30" t="s">
        <v>8</v>
      </c>
      <c r="D13" s="31">
        <f t="shared" ref="D13" si="3">+D11-D12</f>
        <v>13</v>
      </c>
    </row>
    <row r="14" spans="2:21">
      <c r="B14" s="29"/>
      <c r="C14" s="33" t="s">
        <v>2</v>
      </c>
      <c r="D14" s="34">
        <f t="shared" ref="D14" si="4">D12/D11</f>
        <v>0.97222222222222221</v>
      </c>
    </row>
    <row r="15" spans="2:21">
      <c r="B15" s="29">
        <v>2</v>
      </c>
      <c r="C15" s="30" t="s">
        <v>30</v>
      </c>
      <c r="D15" s="32">
        <v>468</v>
      </c>
    </row>
    <row r="16" spans="2:21">
      <c r="B16" s="29"/>
      <c r="C16" s="30" t="s">
        <v>31</v>
      </c>
      <c r="D16" s="32">
        <v>457</v>
      </c>
    </row>
    <row r="17" spans="2:13">
      <c r="B17" s="29"/>
      <c r="C17" s="30" t="s">
        <v>8</v>
      </c>
      <c r="D17" s="31">
        <f>+D15-D16</f>
        <v>11</v>
      </c>
    </row>
    <row r="18" spans="2:13">
      <c r="B18" s="29"/>
      <c r="C18" s="35" t="s">
        <v>2</v>
      </c>
      <c r="D18" s="36">
        <f t="shared" ref="D18" si="5">D16/D15</f>
        <v>0.97649572649572647</v>
      </c>
    </row>
    <row r="19" spans="2:13">
      <c r="B19" s="29">
        <v>3</v>
      </c>
      <c r="C19" s="30" t="s">
        <v>30</v>
      </c>
      <c r="D19" s="32">
        <v>468</v>
      </c>
    </row>
    <row r="20" spans="2:13">
      <c r="B20" s="29"/>
      <c r="C20" s="30" t="s">
        <v>31</v>
      </c>
      <c r="D20" s="32">
        <v>454</v>
      </c>
    </row>
    <row r="21" spans="2:13">
      <c r="B21" s="29"/>
      <c r="C21" s="30" t="s">
        <v>8</v>
      </c>
      <c r="D21" s="37">
        <f t="shared" ref="D21" si="6">+D19-D20</f>
        <v>14</v>
      </c>
    </row>
    <row r="22" spans="2:13">
      <c r="B22" s="29"/>
      <c r="C22" s="35" t="s">
        <v>2</v>
      </c>
      <c r="D22" s="36">
        <f t="shared" ref="D22" si="7">D20/D19</f>
        <v>0.97008547008547008</v>
      </c>
    </row>
    <row r="23" spans="2:13">
      <c r="B23" s="29">
        <v>4</v>
      </c>
      <c r="C23" s="30" t="s">
        <v>30</v>
      </c>
      <c r="D23" s="32">
        <v>921</v>
      </c>
    </row>
    <row r="24" spans="2:13">
      <c r="B24" s="29"/>
      <c r="C24" s="30" t="s">
        <v>31</v>
      </c>
      <c r="D24" s="32">
        <v>888</v>
      </c>
    </row>
    <row r="25" spans="2:13">
      <c r="B25" s="29"/>
      <c r="C25" s="30" t="s">
        <v>8</v>
      </c>
      <c r="D25" s="37">
        <f t="shared" ref="D25" si="8">+D23-D24</f>
        <v>33</v>
      </c>
    </row>
    <row r="26" spans="2:13">
      <c r="B26" s="29"/>
      <c r="C26" s="35" t="s">
        <v>2</v>
      </c>
      <c r="D26" s="36">
        <f t="shared" ref="D26" si="9">D24/D23</f>
        <v>0.96416938110749184</v>
      </c>
    </row>
    <row r="29" spans="2:13">
      <c r="B29" s="39" t="s">
        <v>33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</row>
    <row r="30" spans="2:13">
      <c r="B30" s="41" t="s">
        <v>6</v>
      </c>
      <c r="C30" s="42" t="s">
        <v>34</v>
      </c>
      <c r="D30" s="43"/>
      <c r="E30" s="43"/>
      <c r="F30" s="43"/>
      <c r="G30" s="43"/>
      <c r="H30" s="43"/>
      <c r="I30" s="44"/>
      <c r="J30" s="45" t="s">
        <v>8</v>
      </c>
      <c r="K30" s="46"/>
      <c r="L30" s="47" t="s">
        <v>35</v>
      </c>
      <c r="M30" s="47" t="s">
        <v>36</v>
      </c>
    </row>
    <row r="31" spans="2:13">
      <c r="B31" s="41"/>
      <c r="C31" s="48" t="s">
        <v>37</v>
      </c>
      <c r="D31" s="49"/>
      <c r="E31" s="49"/>
      <c r="F31" s="50"/>
      <c r="G31" s="51" t="s">
        <v>38</v>
      </c>
      <c r="H31" s="52"/>
      <c r="I31" s="53"/>
      <c r="J31" s="54" t="s">
        <v>39</v>
      </c>
      <c r="K31" s="55"/>
      <c r="L31" s="56" t="s">
        <v>40</v>
      </c>
      <c r="M31" s="56" t="s">
        <v>41</v>
      </c>
    </row>
    <row r="32" spans="2:13">
      <c r="B32" s="41"/>
      <c r="C32" s="57" t="s">
        <v>8</v>
      </c>
      <c r="D32" s="58" t="s">
        <v>2</v>
      </c>
      <c r="E32" s="58" t="s">
        <v>42</v>
      </c>
      <c r="F32" s="59" t="s">
        <v>43</v>
      </c>
      <c r="G32" s="58" t="s">
        <v>2</v>
      </c>
      <c r="H32" s="58" t="s">
        <v>42</v>
      </c>
      <c r="I32" s="59" t="s">
        <v>43</v>
      </c>
      <c r="J32" s="60" t="s">
        <v>42</v>
      </c>
      <c r="K32" s="60" t="s">
        <v>43</v>
      </c>
      <c r="L32" s="61" t="s">
        <v>44</v>
      </c>
      <c r="M32" s="61" t="s">
        <v>44</v>
      </c>
    </row>
    <row r="33" spans="2:13">
      <c r="B33" s="62" t="s">
        <v>23</v>
      </c>
      <c r="C33" s="63">
        <v>0.995</v>
      </c>
      <c r="D33" s="63">
        <f>+E33/(E33+F33)</f>
        <v>0.99223200296506264</v>
      </c>
      <c r="E33" s="64">
        <f>+H33</f>
        <v>73093.472830000013</v>
      </c>
      <c r="F33" s="64">
        <f>+I33</f>
        <v>572.2349999999999</v>
      </c>
      <c r="G33" s="65">
        <f t="shared" ref="G33:G36" si="10">+H33/(H33+I33)</f>
        <v>0.99223200296506264</v>
      </c>
      <c r="H33" s="66">
        <v>73093.472830000013</v>
      </c>
      <c r="I33" s="67">
        <v>572.2349999999999</v>
      </c>
      <c r="J33" s="66" t="s">
        <v>45</v>
      </c>
      <c r="K33" s="68">
        <v>200</v>
      </c>
      <c r="L33" s="69">
        <v>0</v>
      </c>
      <c r="M33" s="70">
        <v>0</v>
      </c>
    </row>
    <row r="34" spans="2:13">
      <c r="B34" s="62" t="s">
        <v>24</v>
      </c>
      <c r="C34" s="63">
        <v>0.995</v>
      </c>
      <c r="D34" s="63">
        <f t="shared" ref="D34:D36" si="11">+E34/(E34+F34)</f>
        <v>0.99198380848745649</v>
      </c>
      <c r="E34" s="64">
        <f>+E33+H34</f>
        <v>151114.28236700012</v>
      </c>
      <c r="F34" s="64">
        <f>+F33+I34</f>
        <v>1221.1499999999999</v>
      </c>
      <c r="G34" s="65">
        <f t="shared" si="10"/>
        <v>0.99175140114168325</v>
      </c>
      <c r="H34" s="67">
        <v>78020.809537000125</v>
      </c>
      <c r="I34" s="67">
        <v>648.91499999999996</v>
      </c>
      <c r="J34" s="66" t="s">
        <v>45</v>
      </c>
      <c r="K34" s="68">
        <v>200</v>
      </c>
      <c r="L34" s="69">
        <v>0</v>
      </c>
      <c r="M34" s="70">
        <v>0</v>
      </c>
    </row>
    <row r="35" spans="2:13">
      <c r="B35" s="62" t="s">
        <v>25</v>
      </c>
      <c r="C35" s="63">
        <v>0.995</v>
      </c>
      <c r="D35" s="63">
        <f t="shared" si="11"/>
        <v>0.99257302156159322</v>
      </c>
      <c r="E35" s="64">
        <f t="shared" ref="E35:F36" si="12">+E34+H35</f>
        <v>211330.75617700021</v>
      </c>
      <c r="F35" s="64">
        <f t="shared" si="12"/>
        <v>1581.2931999999998</v>
      </c>
      <c r="G35" s="65">
        <f t="shared" si="10"/>
        <v>0.99405474888205547</v>
      </c>
      <c r="H35" s="67">
        <v>60216.47381000009</v>
      </c>
      <c r="I35" s="67">
        <v>360.14319999999998</v>
      </c>
      <c r="J35" s="66" t="s">
        <v>45</v>
      </c>
      <c r="K35" s="68">
        <v>200</v>
      </c>
      <c r="L35" s="69">
        <v>0</v>
      </c>
      <c r="M35" s="70">
        <v>0</v>
      </c>
    </row>
    <row r="36" spans="2:13">
      <c r="B36" s="62" t="s">
        <v>26</v>
      </c>
      <c r="C36" s="63">
        <v>0.995</v>
      </c>
      <c r="D36" s="71">
        <f t="shared" si="11"/>
        <v>0.9932453205081675</v>
      </c>
      <c r="E36" s="64">
        <f t="shared" si="12"/>
        <v>286448.22791200015</v>
      </c>
      <c r="F36" s="64">
        <f t="shared" si="12"/>
        <v>1948.0242499999997</v>
      </c>
      <c r="G36" s="65">
        <f t="shared" si="10"/>
        <v>0.99514161855766625</v>
      </c>
      <c r="H36" s="67">
        <v>75117.471734999956</v>
      </c>
      <c r="I36" s="67">
        <v>366.73104999999993</v>
      </c>
      <c r="J36" s="66" t="s">
        <v>45</v>
      </c>
      <c r="K36" s="68">
        <v>200</v>
      </c>
      <c r="L36" s="69">
        <v>0</v>
      </c>
      <c r="M36" s="72">
        <v>0.17</v>
      </c>
    </row>
  </sheetData>
  <mergeCells count="15">
    <mergeCell ref="B19:B22"/>
    <mergeCell ref="B23:B26"/>
    <mergeCell ref="B29:M29"/>
    <mergeCell ref="B30:B32"/>
    <mergeCell ref="C30:I30"/>
    <mergeCell ref="J30:K30"/>
    <mergeCell ref="C31:F31"/>
    <mergeCell ref="G31:I31"/>
    <mergeCell ref="J31:K31"/>
    <mergeCell ref="B2:L2"/>
    <mergeCell ref="R2:T2"/>
    <mergeCell ref="F3:G3"/>
    <mergeCell ref="K3:L3"/>
    <mergeCell ref="B11:B14"/>
    <mergeCell ref="B15:B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31"/>
  <sheetViews>
    <sheetView zoomScale="90" zoomScaleNormal="90" workbookViewId="0">
      <pane xSplit="2" ySplit="6" topLeftCell="H53" activePane="bottomRight" state="frozen"/>
      <selection pane="topRight" activeCell="C1" sqref="C1"/>
      <selection pane="bottomLeft" activeCell="A3" sqref="A3"/>
      <selection pane="bottomRight" activeCell="AF64" sqref="AF64"/>
    </sheetView>
  </sheetViews>
  <sheetFormatPr defaultRowHeight="15"/>
  <cols>
    <col min="1" max="1" width="4.5703125" customWidth="1"/>
    <col min="2" max="2" width="37" customWidth="1"/>
    <col min="3" max="11" width="5.7109375" customWidth="1"/>
    <col min="12" max="12" width="5" customWidth="1"/>
    <col min="13" max="20" width="5.7109375" customWidth="1"/>
    <col min="21" max="21" width="4.5703125" customWidth="1"/>
    <col min="22" max="22" width="5" customWidth="1"/>
    <col min="23" max="23" width="5.140625" customWidth="1"/>
    <col min="24" max="33" width="5.7109375" customWidth="1"/>
    <col min="34" max="34" width="7.42578125" customWidth="1"/>
    <col min="35" max="39" width="5.7109375" customWidth="1"/>
  </cols>
  <sheetData>
    <row r="1" spans="1:55" ht="15.75">
      <c r="A1" s="73" t="s">
        <v>46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</row>
    <row r="2" spans="1:55">
      <c r="A2" s="75" t="s">
        <v>47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4" t="s">
        <v>48</v>
      </c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</row>
    <row r="3" spans="1:55">
      <c r="A3" s="76"/>
      <c r="B3" s="77" t="s">
        <v>49</v>
      </c>
      <c r="C3" s="74" t="s">
        <v>50</v>
      </c>
      <c r="D3" s="78" t="s">
        <v>29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 t="s">
        <v>48</v>
      </c>
      <c r="AD3" s="74"/>
      <c r="AE3" s="74"/>
      <c r="AF3" s="74"/>
      <c r="AG3" s="74"/>
      <c r="AH3" s="74" t="s">
        <v>48</v>
      </c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</row>
    <row r="4" spans="1:55">
      <c r="A4" s="77"/>
      <c r="B4" s="77" t="s">
        <v>51</v>
      </c>
      <c r="C4" s="74" t="s">
        <v>50</v>
      </c>
      <c r="D4" s="78" t="s">
        <v>52</v>
      </c>
      <c r="E4" s="74"/>
      <c r="F4" s="74"/>
      <c r="G4" s="74"/>
      <c r="H4" s="74"/>
      <c r="I4" s="74"/>
      <c r="J4" s="74"/>
      <c r="K4" s="74"/>
      <c r="L4" s="74"/>
      <c r="M4" s="74" t="s">
        <v>48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 t="s">
        <v>48</v>
      </c>
      <c r="Z4" s="74"/>
      <c r="AA4" s="74"/>
      <c r="AB4" s="74"/>
      <c r="AC4" s="74"/>
      <c r="AD4" s="74"/>
      <c r="AE4" s="74"/>
      <c r="AF4" s="74"/>
      <c r="AG4" s="74" t="s">
        <v>48</v>
      </c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</row>
    <row r="5" spans="1:55">
      <c r="A5" s="77"/>
      <c r="B5" s="77" t="s">
        <v>53</v>
      </c>
      <c r="C5" s="74" t="s">
        <v>50</v>
      </c>
      <c r="D5" s="78" t="s">
        <v>54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</row>
    <row r="6" spans="1:55" s="81" customFormat="1" ht="12.75" customHeight="1">
      <c r="A6" s="79" t="s">
        <v>55</v>
      </c>
      <c r="B6" s="79" t="s">
        <v>56</v>
      </c>
      <c r="C6" s="79">
        <v>1</v>
      </c>
      <c r="D6" s="79">
        <v>2</v>
      </c>
      <c r="E6" s="80">
        <v>3</v>
      </c>
      <c r="F6" s="79">
        <v>4</v>
      </c>
      <c r="G6" s="80">
        <v>5</v>
      </c>
      <c r="H6" s="79">
        <v>6</v>
      </c>
      <c r="I6" s="79">
        <v>7</v>
      </c>
      <c r="J6" s="79">
        <v>8</v>
      </c>
      <c r="K6" s="79">
        <v>9</v>
      </c>
      <c r="L6" s="79">
        <v>10</v>
      </c>
      <c r="M6" s="79">
        <v>11</v>
      </c>
      <c r="N6" s="80">
        <v>12</v>
      </c>
      <c r="O6" s="79">
        <v>13</v>
      </c>
      <c r="P6" s="79">
        <v>14</v>
      </c>
      <c r="Q6" s="79">
        <v>15</v>
      </c>
      <c r="R6" s="79">
        <v>16</v>
      </c>
      <c r="S6" s="79">
        <v>17</v>
      </c>
      <c r="T6" s="79">
        <v>18</v>
      </c>
      <c r="U6" s="80">
        <v>19</v>
      </c>
      <c r="V6" s="79">
        <v>20</v>
      </c>
      <c r="W6" s="79">
        <v>21</v>
      </c>
      <c r="X6" s="79">
        <v>22</v>
      </c>
      <c r="Y6" s="79">
        <v>23</v>
      </c>
      <c r="Z6" s="79">
        <v>24</v>
      </c>
      <c r="AA6" s="79">
        <v>25</v>
      </c>
      <c r="AB6" s="80">
        <v>26</v>
      </c>
      <c r="AC6" s="79">
        <v>27</v>
      </c>
      <c r="AD6" s="79">
        <v>28</v>
      </c>
      <c r="AE6" s="79">
        <v>29</v>
      </c>
      <c r="AF6" s="79">
        <v>30</v>
      </c>
      <c r="AG6" s="79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</row>
    <row r="7" spans="1:55" s="81" customFormat="1" ht="12.95" customHeight="1">
      <c r="A7" s="82">
        <v>1</v>
      </c>
      <c r="B7" s="83" t="s">
        <v>57</v>
      </c>
      <c r="C7" s="84"/>
      <c r="D7" s="85" t="s">
        <v>58</v>
      </c>
      <c r="E7" s="84"/>
      <c r="F7" s="85" t="s">
        <v>58</v>
      </c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 t="s">
        <v>58</v>
      </c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6" t="s">
        <v>59</v>
      </c>
      <c r="AI7" s="87" t="s">
        <v>60</v>
      </c>
      <c r="AJ7" s="88" t="s">
        <v>58</v>
      </c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76"/>
      <c r="AW7" s="76"/>
      <c r="AX7" s="76"/>
      <c r="AY7" s="76"/>
      <c r="AZ7" s="76"/>
      <c r="BA7" s="76"/>
      <c r="BB7" s="76"/>
      <c r="BC7" s="76"/>
    </row>
    <row r="8" spans="1:55" s="81" customFormat="1" ht="12.95" customHeight="1">
      <c r="A8" s="82">
        <v>2</v>
      </c>
      <c r="B8" s="83" t="s">
        <v>61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 t="s">
        <v>58</v>
      </c>
      <c r="Y8" s="84"/>
      <c r="Z8" s="84"/>
      <c r="AA8" s="84"/>
      <c r="AB8" s="84"/>
      <c r="AC8" s="84"/>
      <c r="AD8" s="84"/>
      <c r="AE8" s="84" t="s">
        <v>60</v>
      </c>
      <c r="AF8" s="84"/>
      <c r="AG8" s="84"/>
      <c r="AH8" s="89">
        <f>COUNTIF(C7:AG117,"T")</f>
        <v>117</v>
      </c>
      <c r="AI8" s="89">
        <f>COUNTIF(C7:AG117,"TB")</f>
        <v>251</v>
      </c>
      <c r="AJ8" s="89">
        <f>COUNTIF(C7:AG117,"B")</f>
        <v>40</v>
      </c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76"/>
      <c r="AW8" s="76"/>
      <c r="AX8" s="76"/>
      <c r="AY8" s="76"/>
      <c r="AZ8" s="76"/>
      <c r="BA8" s="76"/>
      <c r="BB8" s="76"/>
      <c r="BC8" s="76"/>
    </row>
    <row r="9" spans="1:55" s="81" customFormat="1" ht="12.95" customHeight="1">
      <c r="A9" s="82">
        <v>3</v>
      </c>
      <c r="B9" s="83" t="s">
        <v>62</v>
      </c>
      <c r="C9" s="85" t="s">
        <v>59</v>
      </c>
      <c r="D9" s="84"/>
      <c r="E9" s="84"/>
      <c r="F9" s="84"/>
      <c r="G9" s="85"/>
      <c r="H9" s="85" t="s">
        <v>60</v>
      </c>
      <c r="I9" s="84"/>
      <c r="J9" s="84"/>
      <c r="K9" s="84"/>
      <c r="L9" s="85" t="s">
        <v>59</v>
      </c>
      <c r="M9" s="84"/>
      <c r="N9" s="84"/>
      <c r="O9" s="84"/>
      <c r="P9" s="84"/>
      <c r="Q9" s="84"/>
      <c r="R9" s="84"/>
      <c r="S9" s="84"/>
      <c r="T9" s="84"/>
      <c r="U9" s="84"/>
      <c r="V9" s="84"/>
      <c r="W9" s="84" t="s">
        <v>60</v>
      </c>
      <c r="X9" s="84"/>
      <c r="Y9" s="84"/>
      <c r="Z9" s="84"/>
      <c r="AA9" s="84"/>
      <c r="AB9" s="84"/>
      <c r="AC9" s="84"/>
      <c r="AD9" s="84"/>
      <c r="AE9" s="84" t="s">
        <v>60</v>
      </c>
      <c r="AF9" s="84"/>
      <c r="AG9" s="84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76"/>
      <c r="AW9" s="76"/>
      <c r="AX9" s="76"/>
      <c r="AY9" s="76"/>
      <c r="AZ9" s="76"/>
      <c r="BA9" s="76"/>
      <c r="BB9" s="76"/>
      <c r="BC9" s="76"/>
    </row>
    <row r="10" spans="1:55" s="81" customFormat="1" ht="12.95" customHeight="1">
      <c r="A10" s="82">
        <v>4</v>
      </c>
      <c r="B10" s="83" t="s">
        <v>63</v>
      </c>
      <c r="C10" s="84"/>
      <c r="D10" s="85" t="s">
        <v>60</v>
      </c>
      <c r="E10" s="84"/>
      <c r="F10" s="84"/>
      <c r="G10" s="90"/>
      <c r="H10" s="90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9" t="s">
        <v>59</v>
      </c>
      <c r="AI10" s="89" t="s">
        <v>58</v>
      </c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76"/>
      <c r="AW10" s="76"/>
      <c r="AX10" s="76"/>
      <c r="AY10" s="76"/>
      <c r="AZ10" s="76"/>
      <c r="BA10" s="76"/>
      <c r="BB10" s="76"/>
      <c r="BC10" s="76"/>
    </row>
    <row r="11" spans="1:55" s="81" customFormat="1" ht="12.95" customHeight="1">
      <c r="A11" s="82">
        <v>5</v>
      </c>
      <c r="B11" s="83" t="s">
        <v>64</v>
      </c>
      <c r="C11" s="85" t="s">
        <v>59</v>
      </c>
      <c r="D11" s="84"/>
      <c r="E11" s="84"/>
      <c r="F11" s="84"/>
      <c r="G11" s="90"/>
      <c r="H11" s="90"/>
      <c r="I11" s="84"/>
      <c r="J11" s="84"/>
      <c r="K11" s="84"/>
      <c r="L11" s="84"/>
      <c r="M11" s="84"/>
      <c r="N11" s="84"/>
      <c r="O11" s="84"/>
      <c r="P11" s="84" t="s">
        <v>59</v>
      </c>
      <c r="Q11" s="84"/>
      <c r="R11" s="84" t="s">
        <v>60</v>
      </c>
      <c r="S11" s="84"/>
      <c r="T11" s="84"/>
      <c r="U11" s="84"/>
      <c r="V11" s="84"/>
      <c r="W11" s="84" t="s">
        <v>60</v>
      </c>
      <c r="X11" s="84"/>
      <c r="Y11" s="84"/>
      <c r="Z11" s="84"/>
      <c r="AA11" s="84"/>
      <c r="AB11" s="84"/>
      <c r="AC11" s="84" t="s">
        <v>59</v>
      </c>
      <c r="AD11" s="84"/>
      <c r="AE11" s="84" t="s">
        <v>60</v>
      </c>
      <c r="AF11" s="84"/>
      <c r="AG11" s="84"/>
      <c r="AH11" s="89">
        <f>AH8+AI8+AH22+AI22</f>
        <v>381</v>
      </c>
      <c r="AI11" s="89">
        <f>AI8+AJ8+AI22+AJ22</f>
        <v>310</v>
      </c>
      <c r="AJ11" s="89"/>
      <c r="AK11" s="89"/>
      <c r="AL11" s="89"/>
      <c r="AM11" s="89">
        <f>+AH11/25</f>
        <v>15.24</v>
      </c>
      <c r="AN11" s="89"/>
      <c r="AO11" s="89"/>
      <c r="AP11" s="89"/>
      <c r="AQ11" s="89"/>
      <c r="AR11" s="89"/>
      <c r="AS11" s="89"/>
      <c r="AT11" s="89"/>
      <c r="AU11" s="89"/>
      <c r="AV11" s="76"/>
      <c r="AW11" s="76"/>
      <c r="AX11" s="76"/>
      <c r="AY11" s="76"/>
      <c r="AZ11" s="76"/>
      <c r="BA11" s="76"/>
      <c r="BB11" s="76"/>
      <c r="BC11" s="76"/>
    </row>
    <row r="12" spans="1:55" s="81" customFormat="1" ht="12.95" customHeight="1">
      <c r="A12" s="82">
        <v>6</v>
      </c>
      <c r="B12" s="83" t="s">
        <v>65</v>
      </c>
      <c r="C12" s="85" t="s">
        <v>59</v>
      </c>
      <c r="D12" s="84"/>
      <c r="E12" s="84"/>
      <c r="F12" s="84"/>
      <c r="G12" s="85"/>
      <c r="H12" s="85" t="s">
        <v>60</v>
      </c>
      <c r="I12" s="84"/>
      <c r="J12" s="84"/>
      <c r="K12" s="84"/>
      <c r="L12" s="84"/>
      <c r="M12" s="84"/>
      <c r="N12" s="84"/>
      <c r="O12" s="85" t="s">
        <v>59</v>
      </c>
      <c r="P12" s="85" t="s">
        <v>60</v>
      </c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76"/>
      <c r="AW12" s="76"/>
      <c r="AX12" s="76"/>
      <c r="AY12" s="76"/>
      <c r="AZ12" s="76"/>
      <c r="BA12" s="76"/>
      <c r="BB12" s="76"/>
      <c r="BC12" s="76"/>
    </row>
    <row r="13" spans="1:55" s="81" customFormat="1" ht="12.95" customHeight="1">
      <c r="A13" s="82">
        <v>7</v>
      </c>
      <c r="B13" s="83" t="s">
        <v>66</v>
      </c>
      <c r="C13" s="84"/>
      <c r="D13" s="85" t="s">
        <v>59</v>
      </c>
      <c r="E13" s="84"/>
      <c r="F13" s="84"/>
      <c r="G13" s="90"/>
      <c r="H13" s="90"/>
      <c r="I13" s="84"/>
      <c r="J13" s="84"/>
      <c r="K13" s="84"/>
      <c r="L13" s="85" t="s">
        <v>60</v>
      </c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91">
        <f>AI11/AH11</f>
        <v>0.81364829396325455</v>
      </c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76"/>
      <c r="AW13" s="76"/>
      <c r="AX13" s="76"/>
      <c r="AY13" s="76"/>
      <c r="AZ13" s="76"/>
      <c r="BA13" s="76"/>
      <c r="BB13" s="76"/>
      <c r="BC13" s="76"/>
    </row>
    <row r="14" spans="1:55" s="81" customFormat="1" ht="12.95" customHeight="1">
      <c r="A14" s="82">
        <v>8</v>
      </c>
      <c r="B14" s="83" t="s">
        <v>67</v>
      </c>
      <c r="C14" s="84"/>
      <c r="D14" s="84"/>
      <c r="E14" s="84"/>
      <c r="F14" s="85" t="s">
        <v>60</v>
      </c>
      <c r="G14" s="90"/>
      <c r="H14" s="90"/>
      <c r="I14" s="85" t="s">
        <v>60</v>
      </c>
      <c r="J14" s="85" t="s">
        <v>58</v>
      </c>
      <c r="K14" s="85" t="s">
        <v>58</v>
      </c>
      <c r="L14" s="85" t="s">
        <v>58</v>
      </c>
      <c r="M14" s="84"/>
      <c r="N14" s="84"/>
      <c r="O14" s="84"/>
      <c r="P14" s="84"/>
      <c r="Q14" s="84"/>
      <c r="R14" s="84"/>
      <c r="S14" s="84" t="s">
        <v>60</v>
      </c>
      <c r="T14" s="84" t="s">
        <v>59</v>
      </c>
      <c r="U14" s="84"/>
      <c r="V14" s="84" t="s">
        <v>60</v>
      </c>
      <c r="W14" s="84" t="s">
        <v>60</v>
      </c>
      <c r="X14" s="84" t="s">
        <v>60</v>
      </c>
      <c r="Y14" s="84" t="s">
        <v>60</v>
      </c>
      <c r="Z14" s="84"/>
      <c r="AA14" s="84" t="s">
        <v>60</v>
      </c>
      <c r="AB14" s="84"/>
      <c r="AC14" s="84" t="s">
        <v>60</v>
      </c>
      <c r="AD14" s="84" t="s">
        <v>60</v>
      </c>
      <c r="AE14" s="84" t="s">
        <v>60</v>
      </c>
      <c r="AF14" s="84" t="s">
        <v>60</v>
      </c>
      <c r="AG14" s="84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76"/>
      <c r="AW14" s="76"/>
      <c r="AX14" s="76"/>
      <c r="AY14" s="76"/>
      <c r="AZ14" s="76"/>
      <c r="BA14" s="76"/>
      <c r="BB14" s="76"/>
      <c r="BC14" s="76"/>
    </row>
    <row r="15" spans="1:55" s="81" customFormat="1" ht="12.95" customHeight="1">
      <c r="A15" s="82">
        <v>9</v>
      </c>
      <c r="B15" s="83" t="s">
        <v>68</v>
      </c>
      <c r="C15" s="84"/>
      <c r="D15" s="84"/>
      <c r="E15" s="84"/>
      <c r="F15" s="84"/>
      <c r="G15" s="90"/>
      <c r="H15" s="90"/>
      <c r="I15" s="85" t="s">
        <v>60</v>
      </c>
      <c r="J15" s="84"/>
      <c r="K15" s="84"/>
      <c r="L15" s="84"/>
      <c r="N15" s="84"/>
      <c r="O15" s="85" t="s">
        <v>60</v>
      </c>
      <c r="P15" s="84"/>
      <c r="Q15" s="84"/>
      <c r="R15" s="84"/>
      <c r="S15" s="84"/>
      <c r="T15" s="84"/>
      <c r="U15" s="84"/>
      <c r="V15" s="84"/>
      <c r="W15" s="84" t="s">
        <v>60</v>
      </c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76"/>
      <c r="AW15" s="76"/>
      <c r="AX15" s="76"/>
      <c r="AY15" s="76"/>
      <c r="AZ15" s="76"/>
      <c r="BA15" s="76"/>
      <c r="BB15" s="76"/>
      <c r="BC15" s="76"/>
    </row>
    <row r="16" spans="1:55" s="81" customFormat="1" ht="12.95" customHeight="1">
      <c r="A16" s="82">
        <v>10</v>
      </c>
      <c r="B16" s="83" t="s">
        <v>69</v>
      </c>
      <c r="C16" s="85" t="s">
        <v>59</v>
      </c>
      <c r="D16" s="84"/>
      <c r="E16" s="84"/>
      <c r="F16" s="84"/>
      <c r="G16" s="90"/>
      <c r="H16" s="90"/>
      <c r="I16" s="84"/>
      <c r="J16" s="84"/>
      <c r="K16" s="84"/>
      <c r="L16" s="84"/>
      <c r="M16" s="84"/>
      <c r="N16" s="84"/>
      <c r="O16" s="85" t="s">
        <v>60</v>
      </c>
      <c r="P16" s="84"/>
      <c r="Q16" s="84"/>
      <c r="R16" s="84"/>
      <c r="S16" s="84"/>
      <c r="T16" s="84"/>
      <c r="U16" s="84"/>
      <c r="V16" s="84" t="s">
        <v>59</v>
      </c>
      <c r="W16" s="84"/>
      <c r="X16" s="84"/>
      <c r="Y16" s="84"/>
      <c r="Z16" s="84"/>
      <c r="AA16" s="84"/>
      <c r="AB16" s="84"/>
      <c r="AC16" s="84" t="s">
        <v>59</v>
      </c>
      <c r="AD16" s="84"/>
      <c r="AE16" s="84"/>
      <c r="AF16" s="84" t="s">
        <v>59</v>
      </c>
      <c r="AG16" s="84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76"/>
      <c r="AW16" s="76"/>
      <c r="AX16" s="76"/>
      <c r="AY16" s="76"/>
      <c r="AZ16" s="76"/>
      <c r="BA16" s="76"/>
      <c r="BB16" s="76"/>
      <c r="BC16" s="76"/>
    </row>
    <row r="17" spans="1:55" s="81" customFormat="1" ht="12.95" customHeight="1">
      <c r="A17" s="82">
        <v>11</v>
      </c>
      <c r="B17" s="83" t="s">
        <v>70</v>
      </c>
      <c r="C17" s="84"/>
      <c r="D17" s="84"/>
      <c r="E17" s="84"/>
      <c r="F17" s="84"/>
      <c r="G17" s="90"/>
      <c r="H17" s="90"/>
      <c r="I17" s="84"/>
      <c r="J17" s="85" t="s">
        <v>60</v>
      </c>
      <c r="K17" s="85"/>
      <c r="L17" s="84"/>
      <c r="M17" s="84"/>
      <c r="N17" s="84"/>
      <c r="O17" s="84"/>
      <c r="P17" s="84"/>
      <c r="Q17" s="84"/>
      <c r="R17" s="84"/>
      <c r="S17" s="84" t="s">
        <v>60</v>
      </c>
      <c r="T17" s="84"/>
      <c r="U17" s="84"/>
      <c r="V17" s="84"/>
      <c r="W17" s="84"/>
      <c r="X17" s="84"/>
      <c r="Y17" s="84"/>
      <c r="Z17" s="84" t="s">
        <v>60</v>
      </c>
      <c r="AA17" s="84"/>
      <c r="AB17" s="84"/>
      <c r="AC17" s="84"/>
      <c r="AD17" s="84" t="s">
        <v>60</v>
      </c>
      <c r="AE17" s="84"/>
      <c r="AF17" s="84"/>
      <c r="AG17" s="84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76"/>
      <c r="AW17" s="76"/>
      <c r="AX17" s="76"/>
      <c r="AY17" s="76"/>
      <c r="AZ17" s="76"/>
      <c r="BA17" s="76"/>
      <c r="BB17" s="76"/>
      <c r="BC17" s="76"/>
    </row>
    <row r="18" spans="1:55" s="81" customFormat="1" ht="12.95" customHeight="1">
      <c r="A18" s="82">
        <v>12</v>
      </c>
      <c r="B18" s="83" t="s">
        <v>71</v>
      </c>
      <c r="C18" s="85" t="s">
        <v>59</v>
      </c>
      <c r="D18" s="85" t="s">
        <v>60</v>
      </c>
      <c r="E18" s="84"/>
      <c r="F18" s="85" t="s">
        <v>60</v>
      </c>
      <c r="G18" s="90"/>
      <c r="H18" s="90"/>
      <c r="I18" s="85" t="s">
        <v>59</v>
      </c>
      <c r="J18" s="85" t="s">
        <v>60</v>
      </c>
      <c r="K18" s="85" t="s">
        <v>60</v>
      </c>
      <c r="L18" s="84"/>
      <c r="M18" s="84"/>
      <c r="N18" s="84"/>
      <c r="O18" s="85" t="s">
        <v>60</v>
      </c>
      <c r="P18" s="84"/>
      <c r="Q18" s="84" t="s">
        <v>60</v>
      </c>
      <c r="R18" s="84"/>
      <c r="S18" s="84"/>
      <c r="T18" s="84" t="s">
        <v>59</v>
      </c>
      <c r="U18" s="84"/>
      <c r="V18" s="84" t="s">
        <v>60</v>
      </c>
      <c r="W18" s="84"/>
      <c r="X18" s="84"/>
      <c r="Y18" s="84" t="s">
        <v>59</v>
      </c>
      <c r="Z18" s="84"/>
      <c r="AA18" s="84"/>
      <c r="AB18" s="84"/>
      <c r="AC18" s="84" t="s">
        <v>60</v>
      </c>
      <c r="AD18" s="84"/>
      <c r="AE18" s="84" t="s">
        <v>60</v>
      </c>
      <c r="AF18" s="84"/>
      <c r="AG18" s="84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76"/>
      <c r="AW18" s="76"/>
      <c r="AX18" s="76"/>
      <c r="AY18" s="76"/>
      <c r="AZ18" s="76"/>
      <c r="BA18" s="76"/>
      <c r="BB18" s="76"/>
      <c r="BC18" s="76"/>
    </row>
    <row r="19" spans="1:55" s="81" customFormat="1" ht="12.95" customHeight="1">
      <c r="A19" s="82">
        <v>13</v>
      </c>
      <c r="B19" s="83" t="s">
        <v>72</v>
      </c>
      <c r="C19" s="84"/>
      <c r="D19" s="84"/>
      <c r="E19" s="84"/>
      <c r="F19" s="84"/>
      <c r="G19" s="85"/>
      <c r="H19" s="85" t="s">
        <v>60</v>
      </c>
      <c r="I19" s="84"/>
      <c r="J19" s="84"/>
      <c r="K19" s="84"/>
      <c r="L19" s="85" t="s">
        <v>60</v>
      </c>
      <c r="M19" s="84"/>
      <c r="N19" s="84"/>
      <c r="O19" s="85" t="s">
        <v>60</v>
      </c>
      <c r="P19" s="84" t="s">
        <v>60</v>
      </c>
      <c r="Q19" s="84"/>
      <c r="R19" s="84" t="s">
        <v>60</v>
      </c>
      <c r="S19" s="84" t="s">
        <v>60</v>
      </c>
      <c r="T19" s="84"/>
      <c r="U19" s="84"/>
      <c r="V19" s="84" t="s">
        <v>60</v>
      </c>
      <c r="W19" s="84"/>
      <c r="X19" s="84" t="s">
        <v>59</v>
      </c>
      <c r="Y19" s="84"/>
      <c r="Z19" s="84" t="s">
        <v>60</v>
      </c>
      <c r="AA19" s="84"/>
      <c r="AB19" s="84"/>
      <c r="AC19" s="84" t="s">
        <v>59</v>
      </c>
      <c r="AD19" s="84" t="s">
        <v>60</v>
      </c>
      <c r="AE19" s="84"/>
      <c r="AF19" s="84" t="s">
        <v>60</v>
      </c>
      <c r="AG19" s="84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76"/>
      <c r="AW19" s="76"/>
      <c r="AX19" s="76"/>
      <c r="AY19" s="76"/>
      <c r="AZ19" s="76"/>
      <c r="BA19" s="76"/>
      <c r="BB19" s="76"/>
      <c r="BC19" s="76"/>
    </row>
    <row r="20" spans="1:55" s="81" customFormat="1" ht="12.95" customHeight="1">
      <c r="A20" s="82">
        <v>14</v>
      </c>
      <c r="B20" s="83" t="s">
        <v>73</v>
      </c>
      <c r="C20" s="85" t="s">
        <v>59</v>
      </c>
      <c r="D20" s="84"/>
      <c r="E20" s="84"/>
      <c r="F20" s="84"/>
      <c r="G20" s="85"/>
      <c r="H20" s="85" t="s">
        <v>60</v>
      </c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76"/>
      <c r="AW20" s="76"/>
      <c r="AX20" s="76"/>
      <c r="AY20" s="76"/>
      <c r="AZ20" s="76"/>
      <c r="BA20" s="76"/>
      <c r="BB20" s="76"/>
      <c r="BC20" s="76"/>
    </row>
    <row r="21" spans="1:55" s="81" customFormat="1" ht="12.95" customHeight="1">
      <c r="A21" s="82">
        <v>15</v>
      </c>
      <c r="B21" s="83" t="s">
        <v>74</v>
      </c>
      <c r="C21" s="84"/>
      <c r="D21" s="85" t="s">
        <v>59</v>
      </c>
      <c r="E21" s="84"/>
      <c r="F21" s="84"/>
      <c r="G21" s="85"/>
      <c r="H21" s="85" t="s">
        <v>60</v>
      </c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 t="s">
        <v>59</v>
      </c>
      <c r="X21" s="84"/>
      <c r="Y21" s="84"/>
      <c r="Z21" s="84" t="s">
        <v>60</v>
      </c>
      <c r="AA21" s="84" t="s">
        <v>60</v>
      </c>
      <c r="AB21" s="84"/>
      <c r="AC21" s="84"/>
      <c r="AD21" s="84"/>
      <c r="AE21" s="84"/>
      <c r="AF21" s="84"/>
      <c r="AG21" s="84"/>
      <c r="AH21" s="86" t="s">
        <v>59</v>
      </c>
      <c r="AI21" s="87" t="s">
        <v>60</v>
      </c>
      <c r="AJ21" s="88" t="s">
        <v>58</v>
      </c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76"/>
      <c r="AW21" s="76"/>
      <c r="AX21" s="76"/>
      <c r="AY21" s="76"/>
      <c r="AZ21" s="76"/>
      <c r="BA21" s="76"/>
      <c r="BB21" s="76"/>
      <c r="BC21" s="76"/>
    </row>
    <row r="22" spans="1:55" s="81" customFormat="1" ht="12.95" customHeight="1">
      <c r="A22" s="82">
        <v>16</v>
      </c>
      <c r="B22" s="83" t="s">
        <v>75</v>
      </c>
      <c r="C22" s="84"/>
      <c r="D22" s="85" t="s">
        <v>59</v>
      </c>
      <c r="E22" s="84"/>
      <c r="F22" s="84"/>
      <c r="G22" s="90"/>
      <c r="H22" s="90"/>
      <c r="I22" s="84"/>
      <c r="J22" s="84"/>
      <c r="K22" s="84"/>
      <c r="L22" s="84"/>
      <c r="M22" s="84"/>
      <c r="N22" s="84"/>
      <c r="O22" s="85" t="s">
        <v>60</v>
      </c>
      <c r="P22" s="84"/>
      <c r="Q22" s="84"/>
      <c r="R22" s="84"/>
      <c r="S22" s="84"/>
      <c r="T22" s="84"/>
      <c r="U22" s="84"/>
      <c r="V22" s="84"/>
      <c r="W22" s="84"/>
      <c r="X22" s="84" t="s">
        <v>60</v>
      </c>
      <c r="Y22" s="84" t="s">
        <v>60</v>
      </c>
      <c r="Z22" s="84"/>
      <c r="AA22" s="84"/>
      <c r="AB22" s="84"/>
      <c r="AC22" s="84" t="s">
        <v>59</v>
      </c>
      <c r="AD22" s="84"/>
      <c r="AE22" s="84"/>
      <c r="AF22" s="84" t="s">
        <v>60</v>
      </c>
      <c r="AG22" s="84"/>
      <c r="AH22" s="89">
        <f>COUNTIF(C130:AG144,"T")</f>
        <v>1</v>
      </c>
      <c r="AI22" s="89">
        <f>COUNTIF(C130:AG144,"TB")</f>
        <v>12</v>
      </c>
      <c r="AJ22" s="89">
        <f>COUNTIF(C130:AG226,"B")</f>
        <v>7</v>
      </c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76"/>
      <c r="AW22" s="76"/>
      <c r="AX22" s="76"/>
      <c r="AY22" s="76"/>
      <c r="AZ22" s="76"/>
      <c r="BA22" s="76"/>
      <c r="BB22" s="76"/>
      <c r="BC22" s="76"/>
    </row>
    <row r="23" spans="1:55" s="81" customFormat="1" ht="12.95" customHeight="1">
      <c r="A23" s="82">
        <v>17</v>
      </c>
      <c r="B23" s="83" t="s">
        <v>76</v>
      </c>
      <c r="C23" s="84"/>
      <c r="D23" s="84"/>
      <c r="E23" s="84"/>
      <c r="F23" s="84"/>
      <c r="G23" s="90"/>
      <c r="H23" s="85" t="s">
        <v>59</v>
      </c>
      <c r="I23" s="84"/>
      <c r="J23" s="84"/>
      <c r="K23" s="84"/>
      <c r="L23" s="84"/>
      <c r="M23" s="84"/>
      <c r="N23" s="84"/>
      <c r="O23" s="85" t="s">
        <v>60</v>
      </c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76"/>
      <c r="AW23" s="76"/>
      <c r="AX23" s="76"/>
      <c r="AY23" s="76"/>
      <c r="AZ23" s="76"/>
      <c r="BA23" s="76"/>
      <c r="BB23" s="76"/>
      <c r="BC23" s="76"/>
    </row>
    <row r="24" spans="1:55" s="81" customFormat="1" ht="12.95" customHeight="1">
      <c r="A24" s="82">
        <v>18</v>
      </c>
      <c r="B24" s="83" t="s">
        <v>77</v>
      </c>
      <c r="C24" s="84"/>
      <c r="D24" s="84"/>
      <c r="E24" s="84"/>
      <c r="F24" s="84"/>
      <c r="G24" s="90"/>
      <c r="H24" s="90"/>
      <c r="I24" s="85" t="s">
        <v>59</v>
      </c>
      <c r="J24" s="84"/>
      <c r="K24" s="84"/>
      <c r="L24" s="85" t="s">
        <v>60</v>
      </c>
      <c r="M24" s="84"/>
      <c r="N24" s="84"/>
      <c r="O24" s="84"/>
      <c r="P24" s="84"/>
      <c r="Q24" s="84"/>
      <c r="R24" s="84"/>
      <c r="S24" s="84"/>
      <c r="T24" s="84"/>
      <c r="U24" s="84"/>
      <c r="V24" s="84" t="s">
        <v>60</v>
      </c>
      <c r="W24" s="84"/>
      <c r="X24" s="84"/>
      <c r="Y24" s="84"/>
      <c r="Z24" s="84"/>
      <c r="AA24" s="84"/>
      <c r="AB24" s="84"/>
      <c r="AC24" s="84" t="s">
        <v>60</v>
      </c>
      <c r="AD24" s="84"/>
      <c r="AE24" s="84"/>
      <c r="AF24" s="84"/>
      <c r="AG24" s="84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76"/>
      <c r="AW24" s="76"/>
      <c r="AX24" s="76"/>
      <c r="AY24" s="76"/>
      <c r="AZ24" s="76"/>
      <c r="BA24" s="76"/>
      <c r="BB24" s="76"/>
      <c r="BC24" s="76"/>
    </row>
    <row r="25" spans="1:55" s="81" customFormat="1" ht="12.95" customHeight="1">
      <c r="A25" s="82">
        <v>19</v>
      </c>
      <c r="B25" s="83" t="s">
        <v>78</v>
      </c>
      <c r="C25" s="85" t="s">
        <v>59</v>
      </c>
      <c r="D25" s="84"/>
      <c r="E25" s="84"/>
      <c r="F25" s="84"/>
      <c r="G25" s="90"/>
      <c r="H25" s="90"/>
      <c r="I25" s="84"/>
      <c r="J25" s="84"/>
      <c r="K25" s="84"/>
      <c r="L25" s="84"/>
      <c r="M25" s="84"/>
      <c r="N25" s="84"/>
      <c r="O25" s="84"/>
      <c r="P25" s="84" t="s">
        <v>60</v>
      </c>
      <c r="Q25" s="84"/>
      <c r="R25" s="84"/>
      <c r="S25" s="84"/>
      <c r="T25" s="84" t="s">
        <v>60</v>
      </c>
      <c r="U25" s="84"/>
      <c r="V25" s="84"/>
      <c r="W25" s="84"/>
      <c r="X25" s="84"/>
      <c r="Y25" s="84"/>
      <c r="Z25" s="84"/>
      <c r="AA25" s="84"/>
      <c r="AB25" s="84"/>
      <c r="AC25" s="84"/>
      <c r="AD25" s="84" t="s">
        <v>60</v>
      </c>
      <c r="AE25" s="84" t="s">
        <v>59</v>
      </c>
      <c r="AF25" s="84"/>
      <c r="AG25" s="84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76"/>
      <c r="AW25" s="76"/>
      <c r="AX25" s="76"/>
      <c r="AY25" s="76"/>
      <c r="AZ25" s="76"/>
      <c r="BA25" s="76"/>
      <c r="BB25" s="76"/>
      <c r="BC25" s="76"/>
    </row>
    <row r="26" spans="1:55" s="81" customFormat="1" ht="12.95" customHeight="1">
      <c r="A26" s="82">
        <v>20</v>
      </c>
      <c r="B26" s="83" t="s">
        <v>79</v>
      </c>
      <c r="C26" s="84"/>
      <c r="D26" s="84"/>
      <c r="E26" s="84"/>
      <c r="F26" s="84"/>
      <c r="G26" s="90"/>
      <c r="H26" s="90"/>
      <c r="I26" s="84"/>
      <c r="J26" s="84"/>
      <c r="K26" s="84"/>
      <c r="L26" s="84" t="s">
        <v>59</v>
      </c>
      <c r="M26" s="84"/>
      <c r="N26" s="84"/>
      <c r="O26" s="84"/>
      <c r="P26" s="84" t="s">
        <v>60</v>
      </c>
      <c r="Q26" s="84"/>
      <c r="R26" s="84"/>
      <c r="S26" s="84"/>
      <c r="T26" s="84" t="s">
        <v>60</v>
      </c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 t="s">
        <v>60</v>
      </c>
      <c r="AF26" s="84"/>
      <c r="AG26" s="84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76"/>
      <c r="AW26" s="76"/>
      <c r="AX26" s="76"/>
      <c r="AY26" s="76"/>
      <c r="AZ26" s="76"/>
      <c r="BA26" s="76"/>
      <c r="BB26" s="76"/>
      <c r="BC26" s="76"/>
    </row>
    <row r="27" spans="1:55" s="81" customFormat="1" ht="12.95" customHeight="1">
      <c r="A27" s="82">
        <v>21</v>
      </c>
      <c r="B27" s="83" t="s">
        <v>80</v>
      </c>
      <c r="C27" s="85" t="s">
        <v>59</v>
      </c>
      <c r="D27" s="84"/>
      <c r="E27" s="84"/>
      <c r="F27" s="84"/>
      <c r="G27" s="90"/>
      <c r="H27" s="90"/>
      <c r="I27" s="85" t="s">
        <v>59</v>
      </c>
      <c r="J27" s="85" t="s">
        <v>60</v>
      </c>
      <c r="K27" s="85"/>
      <c r="L27" s="84"/>
      <c r="M27" s="84"/>
      <c r="N27" s="84"/>
      <c r="O27" s="85" t="s">
        <v>60</v>
      </c>
      <c r="P27" s="84"/>
      <c r="Q27" s="84" t="s">
        <v>60</v>
      </c>
      <c r="R27" s="84"/>
      <c r="S27" s="84"/>
      <c r="T27" s="84"/>
      <c r="U27" s="84"/>
      <c r="V27" s="84" t="s">
        <v>59</v>
      </c>
      <c r="W27" s="84"/>
      <c r="X27" s="84" t="s">
        <v>60</v>
      </c>
      <c r="Y27" s="84"/>
      <c r="Z27" s="84"/>
      <c r="AA27" s="84"/>
      <c r="AB27" s="84"/>
      <c r="AC27" s="84" t="s">
        <v>60</v>
      </c>
      <c r="AD27" s="84"/>
      <c r="AE27" s="84"/>
      <c r="AF27" s="84"/>
      <c r="AG27" s="84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76"/>
      <c r="AW27" s="76"/>
      <c r="AX27" s="76"/>
      <c r="AY27" s="76"/>
      <c r="AZ27" s="76"/>
      <c r="BA27" s="76"/>
      <c r="BB27" s="76"/>
      <c r="BC27" s="76"/>
    </row>
    <row r="28" spans="1:55" s="81" customFormat="1" ht="12.95" customHeight="1">
      <c r="A28" s="82">
        <v>22</v>
      </c>
      <c r="B28" s="83" t="s">
        <v>81</v>
      </c>
      <c r="C28" s="84"/>
      <c r="D28" s="85" t="s">
        <v>59</v>
      </c>
      <c r="E28" s="84"/>
      <c r="F28" s="84"/>
      <c r="G28" s="90"/>
      <c r="H28" s="90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 t="s">
        <v>59</v>
      </c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76"/>
      <c r="AW28" s="76"/>
      <c r="AX28" s="76"/>
      <c r="AY28" s="76"/>
      <c r="AZ28" s="76"/>
      <c r="BA28" s="76"/>
      <c r="BB28" s="76"/>
      <c r="BC28" s="76"/>
    </row>
    <row r="29" spans="1:55" s="81" customFormat="1" ht="12.95" customHeight="1">
      <c r="A29" s="82">
        <v>23</v>
      </c>
      <c r="B29" s="83" t="s">
        <v>82</v>
      </c>
      <c r="C29" s="85"/>
      <c r="D29" s="84"/>
      <c r="E29" s="84"/>
      <c r="F29" s="85" t="s">
        <v>60</v>
      </c>
      <c r="G29" s="90"/>
      <c r="H29" s="90"/>
      <c r="I29" s="84"/>
      <c r="J29" s="84"/>
      <c r="K29" s="85" t="s">
        <v>60</v>
      </c>
      <c r="L29" s="84"/>
      <c r="M29" s="84"/>
      <c r="N29" s="84"/>
      <c r="O29" s="84"/>
      <c r="P29" s="84"/>
      <c r="Q29" s="84" t="s">
        <v>58</v>
      </c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76"/>
      <c r="AW29" s="76"/>
      <c r="AX29" s="76"/>
      <c r="AY29" s="76"/>
      <c r="AZ29" s="76"/>
      <c r="BA29" s="76"/>
      <c r="BB29" s="76"/>
      <c r="BC29" s="76"/>
    </row>
    <row r="30" spans="1:55" s="81" customFormat="1" ht="12.95" customHeight="1">
      <c r="A30" s="82">
        <v>24</v>
      </c>
      <c r="B30" s="83" t="s">
        <v>83</v>
      </c>
      <c r="C30" s="85" t="s">
        <v>60</v>
      </c>
      <c r="D30" s="84"/>
      <c r="E30" s="84"/>
      <c r="F30" s="84"/>
      <c r="G30" s="90"/>
      <c r="H30" s="90"/>
      <c r="I30" s="84"/>
      <c r="J30" s="84" t="s">
        <v>59</v>
      </c>
      <c r="K30" s="84"/>
      <c r="L30" s="84"/>
      <c r="M30" s="84"/>
      <c r="N30" s="84"/>
      <c r="O30" s="84"/>
      <c r="P30" s="84"/>
      <c r="Q30" s="84"/>
      <c r="R30" s="84"/>
      <c r="S30" s="84"/>
      <c r="T30" s="84" t="s">
        <v>59</v>
      </c>
      <c r="U30" s="84"/>
      <c r="V30" s="84" t="s">
        <v>59</v>
      </c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76"/>
      <c r="AW30" s="76"/>
      <c r="AX30" s="76"/>
      <c r="AY30" s="76"/>
      <c r="AZ30" s="76"/>
      <c r="BA30" s="76"/>
      <c r="BB30" s="76"/>
      <c r="BC30" s="76"/>
    </row>
    <row r="31" spans="1:55" s="81" customFormat="1" ht="12.95" customHeight="1">
      <c r="A31" s="82">
        <v>25</v>
      </c>
      <c r="B31" s="83" t="s">
        <v>84</v>
      </c>
      <c r="C31" s="84"/>
      <c r="D31" s="84"/>
      <c r="E31" s="84"/>
      <c r="F31" s="84"/>
      <c r="G31" s="90"/>
      <c r="H31" s="90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 t="s">
        <v>59</v>
      </c>
      <c r="Z31" s="84" t="s">
        <v>60</v>
      </c>
      <c r="AA31" s="84"/>
      <c r="AB31" s="84"/>
      <c r="AC31" s="84"/>
      <c r="AD31" s="84"/>
      <c r="AE31" s="84"/>
      <c r="AF31" s="84"/>
      <c r="AG31" s="84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76"/>
      <c r="AW31" s="76"/>
      <c r="AX31" s="76"/>
      <c r="AY31" s="76"/>
      <c r="AZ31" s="76"/>
      <c r="BA31" s="76"/>
      <c r="BB31" s="76"/>
      <c r="BC31" s="76"/>
    </row>
    <row r="32" spans="1:55" s="81" customFormat="1" ht="12.95" customHeight="1">
      <c r="A32" s="82">
        <v>26</v>
      </c>
      <c r="B32" s="83" t="s">
        <v>85</v>
      </c>
      <c r="C32" s="84"/>
      <c r="D32" s="85" t="s">
        <v>59</v>
      </c>
      <c r="E32" s="84"/>
      <c r="F32" s="84"/>
      <c r="G32" s="90"/>
      <c r="H32" s="85" t="s">
        <v>60</v>
      </c>
      <c r="I32" s="85" t="s">
        <v>60</v>
      </c>
      <c r="J32" s="85" t="s">
        <v>60</v>
      </c>
      <c r="K32" s="85" t="s">
        <v>60</v>
      </c>
      <c r="L32" s="84"/>
      <c r="M32" s="84"/>
      <c r="N32" s="84"/>
      <c r="O32" s="84"/>
      <c r="P32" s="84"/>
      <c r="Q32" s="84"/>
      <c r="R32" s="84"/>
      <c r="S32" s="84"/>
      <c r="T32" s="84" t="s">
        <v>59</v>
      </c>
      <c r="U32" s="84"/>
      <c r="V32" s="84" t="s">
        <v>60</v>
      </c>
      <c r="W32" s="84"/>
      <c r="X32" s="84"/>
      <c r="Y32" s="84"/>
      <c r="Z32" s="84"/>
      <c r="AA32" s="84"/>
      <c r="AB32" s="84"/>
      <c r="AC32" s="84"/>
      <c r="AD32" s="84" t="s">
        <v>59</v>
      </c>
      <c r="AE32" s="84"/>
      <c r="AF32" s="84"/>
      <c r="AG32" s="84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76"/>
      <c r="AW32" s="76"/>
      <c r="AX32" s="76"/>
      <c r="AY32" s="76"/>
      <c r="AZ32" s="76"/>
      <c r="BA32" s="76"/>
      <c r="BB32" s="76"/>
      <c r="BC32" s="76"/>
    </row>
    <row r="33" spans="1:55" s="81" customFormat="1" ht="12.95" customHeight="1">
      <c r="A33" s="82">
        <v>27</v>
      </c>
      <c r="B33" s="83" t="s">
        <v>86</v>
      </c>
      <c r="C33" s="84"/>
      <c r="D33" s="84"/>
      <c r="E33" s="84"/>
      <c r="F33" s="84"/>
      <c r="G33" s="90"/>
      <c r="H33" s="90"/>
      <c r="I33" s="84"/>
      <c r="J33" s="84"/>
      <c r="K33" s="84"/>
      <c r="L33" s="84"/>
      <c r="M33" s="84"/>
      <c r="N33" s="84"/>
      <c r="O33" s="85" t="s">
        <v>59</v>
      </c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 t="s">
        <v>59</v>
      </c>
      <c r="AB33" s="84"/>
      <c r="AC33" s="84"/>
      <c r="AD33" s="84"/>
      <c r="AE33" s="84"/>
      <c r="AF33" s="84"/>
      <c r="AG33" s="84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76"/>
      <c r="AW33" s="76"/>
      <c r="AX33" s="76"/>
      <c r="AY33" s="76"/>
      <c r="AZ33" s="76"/>
      <c r="BA33" s="76"/>
      <c r="BB33" s="76"/>
      <c r="BC33" s="76"/>
    </row>
    <row r="34" spans="1:55" s="81" customFormat="1" ht="12.95" customHeight="1">
      <c r="A34" s="82">
        <v>28</v>
      </c>
      <c r="B34" s="83" t="s">
        <v>87</v>
      </c>
      <c r="C34" s="84"/>
      <c r="D34" s="84"/>
      <c r="E34" s="84"/>
      <c r="F34" s="84"/>
      <c r="G34" s="90"/>
      <c r="H34" s="90"/>
      <c r="I34" s="85" t="s">
        <v>59</v>
      </c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 t="s">
        <v>59</v>
      </c>
      <c r="X34" s="84" t="s">
        <v>60</v>
      </c>
      <c r="Y34" s="84"/>
      <c r="Z34" s="84"/>
      <c r="AA34" s="84"/>
      <c r="AB34" s="84"/>
      <c r="AC34" s="84"/>
      <c r="AD34" s="84"/>
      <c r="AE34" s="84"/>
      <c r="AF34" s="84"/>
      <c r="AG34" s="84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76"/>
      <c r="AW34" s="76"/>
      <c r="AX34" s="76"/>
      <c r="AY34" s="76"/>
      <c r="AZ34" s="76"/>
      <c r="BA34" s="76"/>
      <c r="BB34" s="76"/>
      <c r="BC34" s="76"/>
    </row>
    <row r="35" spans="1:55" s="81" customFormat="1" ht="12.95" customHeight="1">
      <c r="A35" s="82">
        <v>29</v>
      </c>
      <c r="B35" s="83" t="s">
        <v>88</v>
      </c>
      <c r="C35" s="84"/>
      <c r="D35" s="85" t="s">
        <v>59</v>
      </c>
      <c r="E35" s="84"/>
      <c r="F35" s="85" t="s">
        <v>60</v>
      </c>
      <c r="G35" s="90"/>
      <c r="H35" s="90"/>
      <c r="I35" s="84"/>
      <c r="J35" s="84"/>
      <c r="K35" s="84"/>
      <c r="L35" s="84"/>
      <c r="M35" s="84"/>
      <c r="N35" s="84"/>
      <c r="O35" s="84"/>
      <c r="P35" s="84" t="s">
        <v>60</v>
      </c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 t="s">
        <v>60</v>
      </c>
      <c r="AE35" s="84"/>
      <c r="AF35" s="84"/>
      <c r="AG35" s="84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76"/>
      <c r="AW35" s="76"/>
      <c r="AX35" s="76"/>
      <c r="AY35" s="76"/>
      <c r="AZ35" s="76"/>
      <c r="BA35" s="76"/>
      <c r="BB35" s="76"/>
      <c r="BC35" s="76"/>
    </row>
    <row r="36" spans="1:55" s="81" customFormat="1" ht="12.95" customHeight="1">
      <c r="A36" s="82">
        <v>30</v>
      </c>
      <c r="B36" s="83" t="s">
        <v>89</v>
      </c>
      <c r="C36" s="84"/>
      <c r="D36" s="84"/>
      <c r="E36" s="84"/>
      <c r="F36" s="84"/>
      <c r="G36" s="90"/>
      <c r="H36" s="90"/>
      <c r="I36" s="85" t="s">
        <v>59</v>
      </c>
      <c r="J36" s="84"/>
      <c r="K36" s="84"/>
      <c r="L36" s="84"/>
      <c r="M36" s="84"/>
      <c r="N36" s="84"/>
      <c r="O36" s="85" t="s">
        <v>59</v>
      </c>
      <c r="P36" s="84"/>
      <c r="Q36" s="84"/>
      <c r="R36" s="84"/>
      <c r="S36" s="84"/>
      <c r="T36" s="84"/>
      <c r="U36" s="84"/>
      <c r="V36" s="84" t="s">
        <v>59</v>
      </c>
      <c r="W36" s="84"/>
      <c r="X36" s="84"/>
      <c r="Y36" s="84"/>
      <c r="Z36" s="84" t="s">
        <v>59</v>
      </c>
      <c r="AA36" s="84"/>
      <c r="AB36" s="84"/>
      <c r="AC36" s="84" t="s">
        <v>59</v>
      </c>
      <c r="AD36" s="84" t="s">
        <v>60</v>
      </c>
      <c r="AE36" s="84"/>
      <c r="AF36" s="84"/>
      <c r="AG36" s="84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76"/>
      <c r="AW36" s="76"/>
      <c r="AX36" s="76"/>
      <c r="AY36" s="76"/>
      <c r="AZ36" s="76"/>
      <c r="BA36" s="76"/>
      <c r="BB36" s="76"/>
      <c r="BC36" s="76"/>
    </row>
    <row r="37" spans="1:55" s="81" customFormat="1" ht="12.95" customHeight="1">
      <c r="A37" s="82">
        <v>31</v>
      </c>
      <c r="B37" s="83" t="s">
        <v>90</v>
      </c>
      <c r="C37" s="84"/>
      <c r="D37" s="84"/>
      <c r="E37" s="84"/>
      <c r="F37" s="84"/>
      <c r="G37" s="90"/>
      <c r="H37" s="90"/>
      <c r="I37" s="85" t="s">
        <v>60</v>
      </c>
      <c r="J37" s="84"/>
      <c r="K37" s="84"/>
      <c r="L37" s="85" t="s">
        <v>60</v>
      </c>
      <c r="M37" s="84"/>
      <c r="N37" s="84"/>
      <c r="O37" s="84"/>
      <c r="P37" s="84"/>
      <c r="Q37" s="84"/>
      <c r="R37" s="84"/>
      <c r="S37" s="84" t="s">
        <v>60</v>
      </c>
      <c r="T37" s="84"/>
      <c r="U37" s="84"/>
      <c r="V37" s="84"/>
      <c r="W37" s="84" t="s">
        <v>60</v>
      </c>
      <c r="X37" s="84"/>
      <c r="Y37" s="84" t="s">
        <v>60</v>
      </c>
      <c r="Z37" s="84"/>
      <c r="AA37" s="84" t="s">
        <v>60</v>
      </c>
      <c r="AB37" s="84"/>
      <c r="AC37" s="84"/>
      <c r="AD37" s="84" t="s">
        <v>59</v>
      </c>
      <c r="AE37" s="84"/>
      <c r="AF37" s="84"/>
      <c r="AG37" s="84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76"/>
      <c r="AW37" s="76"/>
      <c r="AX37" s="76"/>
      <c r="AY37" s="76"/>
      <c r="AZ37" s="76"/>
      <c r="BA37" s="76"/>
      <c r="BB37" s="76"/>
      <c r="BC37" s="76"/>
    </row>
    <row r="38" spans="1:55" s="81" customFormat="1" ht="12.95" customHeight="1">
      <c r="A38" s="82">
        <v>32</v>
      </c>
      <c r="B38" s="83" t="s">
        <v>91</v>
      </c>
      <c r="C38" s="84"/>
      <c r="D38" s="84"/>
      <c r="E38" s="84"/>
      <c r="F38" s="84"/>
      <c r="G38" s="90"/>
      <c r="H38" s="90"/>
      <c r="I38" s="85" t="s">
        <v>60</v>
      </c>
      <c r="J38" s="84"/>
      <c r="K38" s="84"/>
      <c r="L38" s="84"/>
      <c r="M38" s="84"/>
      <c r="N38" s="84"/>
      <c r="O38" s="84"/>
      <c r="P38" s="84"/>
      <c r="Q38" s="84" t="s">
        <v>58</v>
      </c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76"/>
      <c r="AW38" s="76"/>
      <c r="AX38" s="76"/>
      <c r="AY38" s="76"/>
      <c r="AZ38" s="76"/>
      <c r="BA38" s="76"/>
      <c r="BB38" s="76"/>
      <c r="BC38" s="76"/>
    </row>
    <row r="39" spans="1:55" s="81" customFormat="1" ht="12.95" customHeight="1">
      <c r="A39" s="82">
        <v>33</v>
      </c>
      <c r="B39" s="83" t="s">
        <v>92</v>
      </c>
      <c r="C39" s="84"/>
      <c r="D39" s="84"/>
      <c r="E39" s="84"/>
      <c r="F39" s="84"/>
      <c r="G39" s="90"/>
      <c r="H39" s="90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76"/>
      <c r="AW39" s="76"/>
      <c r="AX39" s="76"/>
      <c r="AY39" s="76"/>
      <c r="AZ39" s="76"/>
      <c r="BA39" s="76"/>
      <c r="BB39" s="76"/>
      <c r="BC39" s="76"/>
    </row>
    <row r="40" spans="1:55" s="81" customFormat="1" ht="12.95" customHeight="1">
      <c r="A40" s="82">
        <v>34</v>
      </c>
      <c r="B40" s="83" t="s">
        <v>93</v>
      </c>
      <c r="C40" s="84"/>
      <c r="D40" s="84"/>
      <c r="E40" s="84"/>
      <c r="F40" s="85" t="s">
        <v>60</v>
      </c>
      <c r="G40" s="90"/>
      <c r="H40" s="90"/>
      <c r="I40" s="84"/>
      <c r="J40" s="84"/>
      <c r="K40" s="84"/>
      <c r="L40" s="84"/>
      <c r="M40" s="84"/>
      <c r="N40" s="84"/>
      <c r="O40" s="85" t="s">
        <v>59</v>
      </c>
      <c r="P40" s="84"/>
      <c r="Q40" s="84"/>
      <c r="R40" s="84"/>
      <c r="S40" s="84"/>
      <c r="T40" s="84" t="s">
        <v>59</v>
      </c>
      <c r="U40" s="84"/>
      <c r="V40" s="84" t="s">
        <v>60</v>
      </c>
      <c r="W40" s="84"/>
      <c r="X40" s="84"/>
      <c r="Y40" s="84" t="s">
        <v>59</v>
      </c>
      <c r="Z40" s="84"/>
      <c r="AA40" s="84"/>
      <c r="AB40" s="84"/>
      <c r="AC40" s="84" t="s">
        <v>59</v>
      </c>
      <c r="AD40" s="84"/>
      <c r="AE40" s="84"/>
      <c r="AF40" s="84"/>
      <c r="AG40" s="84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76"/>
      <c r="AW40" s="76"/>
      <c r="AX40" s="76"/>
      <c r="AY40" s="76"/>
      <c r="AZ40" s="76"/>
      <c r="BA40" s="76"/>
      <c r="BB40" s="76"/>
      <c r="BC40" s="76"/>
    </row>
    <row r="41" spans="1:55" s="81" customFormat="1" ht="12.95" customHeight="1">
      <c r="A41" s="82">
        <v>35</v>
      </c>
      <c r="B41" s="83" t="s">
        <v>94</v>
      </c>
      <c r="C41" s="84"/>
      <c r="D41" s="85" t="s">
        <v>60</v>
      </c>
      <c r="E41" s="84"/>
      <c r="F41" s="84"/>
      <c r="G41" s="90"/>
      <c r="H41" s="90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 t="s">
        <v>60</v>
      </c>
      <c r="U41" s="84"/>
      <c r="V41" s="84"/>
      <c r="W41" s="84"/>
      <c r="X41" s="84"/>
      <c r="Y41" s="84"/>
      <c r="Z41" s="84"/>
      <c r="AA41" s="84" t="s">
        <v>60</v>
      </c>
      <c r="AB41" s="84"/>
      <c r="AC41" s="84"/>
      <c r="AD41" s="84"/>
      <c r="AE41" s="84"/>
      <c r="AF41" s="84"/>
      <c r="AG41" s="84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76"/>
      <c r="AW41" s="76"/>
      <c r="AX41" s="76"/>
      <c r="AY41" s="76"/>
      <c r="AZ41" s="76"/>
      <c r="BA41" s="76"/>
      <c r="BB41" s="76"/>
      <c r="BC41" s="76"/>
    </row>
    <row r="42" spans="1:55" s="81" customFormat="1" ht="12.95" customHeight="1">
      <c r="A42" s="82">
        <v>36</v>
      </c>
      <c r="B42" s="83" t="s">
        <v>95</v>
      </c>
      <c r="C42" s="84"/>
      <c r="D42" s="85" t="s">
        <v>60</v>
      </c>
      <c r="E42" s="84"/>
      <c r="F42" s="84"/>
      <c r="G42" s="90"/>
      <c r="H42" s="90"/>
      <c r="I42" s="84"/>
      <c r="J42" s="84"/>
      <c r="K42" s="84"/>
      <c r="L42" s="84" t="s">
        <v>59</v>
      </c>
      <c r="M42" s="84"/>
      <c r="N42" s="84"/>
      <c r="O42" s="85"/>
      <c r="P42" s="84"/>
      <c r="Q42" s="84"/>
      <c r="R42" s="84"/>
      <c r="S42" s="84"/>
      <c r="T42" s="84" t="s">
        <v>60</v>
      </c>
      <c r="U42" s="84"/>
      <c r="V42" s="84"/>
      <c r="W42" s="84"/>
      <c r="X42" s="84"/>
      <c r="Y42" s="84" t="s">
        <v>59</v>
      </c>
      <c r="Z42" s="84" t="s">
        <v>60</v>
      </c>
      <c r="AA42" s="84"/>
      <c r="AB42" s="84"/>
      <c r="AC42" s="84"/>
      <c r="AD42" s="84" t="s">
        <v>59</v>
      </c>
      <c r="AE42" s="84"/>
      <c r="AF42" s="84" t="s">
        <v>60</v>
      </c>
      <c r="AG42" s="84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76"/>
      <c r="AW42" s="76"/>
      <c r="AX42" s="76"/>
      <c r="AY42" s="76"/>
      <c r="AZ42" s="76"/>
      <c r="BA42" s="76"/>
      <c r="BB42" s="76"/>
      <c r="BC42" s="76"/>
    </row>
    <row r="43" spans="1:55" s="81" customFormat="1" ht="12.95" customHeight="1">
      <c r="A43" s="82">
        <v>37</v>
      </c>
      <c r="B43" s="83" t="s">
        <v>96</v>
      </c>
      <c r="C43" s="84"/>
      <c r="D43" s="85" t="s">
        <v>58</v>
      </c>
      <c r="E43" s="84"/>
      <c r="F43" s="85" t="s">
        <v>58</v>
      </c>
      <c r="G43" s="90"/>
      <c r="H43" s="90"/>
      <c r="I43" s="84"/>
      <c r="J43" s="84"/>
      <c r="K43" s="84"/>
      <c r="L43" s="84"/>
      <c r="M43" s="84"/>
      <c r="N43" s="84"/>
      <c r="O43" s="84"/>
      <c r="P43" s="84"/>
      <c r="Q43" s="84" t="s">
        <v>58</v>
      </c>
      <c r="R43" s="84"/>
      <c r="S43" s="84" t="s">
        <v>58</v>
      </c>
      <c r="T43" s="84"/>
      <c r="U43" s="84"/>
      <c r="V43" s="84" t="s">
        <v>58</v>
      </c>
      <c r="W43" s="84" t="s">
        <v>58</v>
      </c>
      <c r="X43" s="84"/>
      <c r="Y43" s="84" t="s">
        <v>58</v>
      </c>
      <c r="Z43" s="84"/>
      <c r="AA43" s="84"/>
      <c r="AB43" s="84"/>
      <c r="AC43" s="84"/>
      <c r="AD43" s="84" t="s">
        <v>59</v>
      </c>
      <c r="AE43" s="84"/>
      <c r="AF43" s="84" t="s">
        <v>60</v>
      </c>
      <c r="AG43" s="84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76"/>
      <c r="AW43" s="76"/>
      <c r="AX43" s="76"/>
      <c r="AY43" s="76"/>
      <c r="AZ43" s="76"/>
      <c r="BA43" s="76"/>
      <c r="BB43" s="76"/>
      <c r="BC43" s="76"/>
    </row>
    <row r="44" spans="1:55" s="81" customFormat="1" ht="12.95" customHeight="1">
      <c r="A44" s="82">
        <v>38</v>
      </c>
      <c r="B44" s="83" t="s">
        <v>97</v>
      </c>
      <c r="C44" s="85" t="s">
        <v>59</v>
      </c>
      <c r="D44" s="84"/>
      <c r="E44" s="84"/>
      <c r="F44" s="84"/>
      <c r="G44" s="90"/>
      <c r="H44" s="90"/>
      <c r="I44" s="84"/>
      <c r="J44" s="84"/>
      <c r="K44" s="85" t="s">
        <v>60</v>
      </c>
      <c r="L44" s="84"/>
      <c r="M44" s="84"/>
      <c r="N44" s="84"/>
      <c r="O44" s="85" t="s">
        <v>59</v>
      </c>
      <c r="P44" s="84" t="s">
        <v>60</v>
      </c>
      <c r="Q44" s="84"/>
      <c r="R44" s="84" t="s">
        <v>60</v>
      </c>
      <c r="S44" s="84" t="s">
        <v>60</v>
      </c>
      <c r="T44" s="84" t="s">
        <v>60</v>
      </c>
      <c r="U44" s="84"/>
      <c r="V44" s="84"/>
      <c r="W44" s="84" t="s">
        <v>60</v>
      </c>
      <c r="X44" s="84"/>
      <c r="Y44" s="84" t="s">
        <v>60</v>
      </c>
      <c r="Z44" s="84"/>
      <c r="AA44" s="84" t="s">
        <v>60</v>
      </c>
      <c r="AB44" s="84"/>
      <c r="AC44" s="84" t="s">
        <v>60</v>
      </c>
      <c r="AD44" s="84" t="s">
        <v>59</v>
      </c>
      <c r="AE44" s="84"/>
      <c r="AF44" s="84" t="s">
        <v>60</v>
      </c>
      <c r="AG44" s="84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76"/>
      <c r="AW44" s="76"/>
      <c r="AX44" s="76"/>
      <c r="AY44" s="76"/>
      <c r="AZ44" s="76"/>
      <c r="BA44" s="76"/>
      <c r="BB44" s="76"/>
      <c r="BC44" s="76"/>
    </row>
    <row r="45" spans="1:55" s="81" customFormat="1" ht="12.95" customHeight="1">
      <c r="A45" s="82">
        <v>39</v>
      </c>
      <c r="B45" s="83" t="s">
        <v>98</v>
      </c>
      <c r="C45" s="85" t="s">
        <v>59</v>
      </c>
      <c r="D45" s="85" t="s">
        <v>60</v>
      </c>
      <c r="E45" s="84"/>
      <c r="F45" s="84"/>
      <c r="G45" s="90"/>
      <c r="H45" s="90"/>
      <c r="I45" s="84"/>
      <c r="J45" s="84"/>
      <c r="K45" s="85" t="s">
        <v>60</v>
      </c>
      <c r="L45" s="84"/>
      <c r="M45" s="84"/>
      <c r="N45" s="84"/>
      <c r="O45" s="84"/>
      <c r="P45" s="84" t="s">
        <v>60</v>
      </c>
      <c r="Q45" s="84" t="s">
        <v>60</v>
      </c>
      <c r="R45" s="84"/>
      <c r="S45" s="84" t="s">
        <v>60</v>
      </c>
      <c r="T45" s="84" t="s">
        <v>60</v>
      </c>
      <c r="U45" s="84"/>
      <c r="V45" s="84"/>
      <c r="W45" s="84" t="s">
        <v>60</v>
      </c>
      <c r="X45" s="84"/>
      <c r="Y45" s="84"/>
      <c r="Z45" s="84" t="s">
        <v>60</v>
      </c>
      <c r="AA45" s="84"/>
      <c r="AB45" s="84"/>
      <c r="AC45" s="84" t="s">
        <v>59</v>
      </c>
      <c r="AD45" s="84"/>
      <c r="AE45" s="84" t="s">
        <v>60</v>
      </c>
      <c r="AF45" s="84"/>
      <c r="AG45" s="84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76"/>
      <c r="AW45" s="76"/>
      <c r="AX45" s="76"/>
      <c r="AY45" s="76"/>
      <c r="AZ45" s="76"/>
      <c r="BA45" s="76"/>
      <c r="BB45" s="76"/>
      <c r="BC45" s="76"/>
    </row>
    <row r="46" spans="1:55" s="81" customFormat="1" ht="12.95" customHeight="1">
      <c r="A46" s="82">
        <v>40</v>
      </c>
      <c r="B46" s="83" t="s">
        <v>99</v>
      </c>
      <c r="C46" s="84"/>
      <c r="D46" s="84"/>
      <c r="E46" s="84"/>
      <c r="F46" s="84"/>
      <c r="I46" s="84"/>
      <c r="J46" s="84"/>
      <c r="K46" s="84"/>
      <c r="L46" s="84"/>
      <c r="M46" s="84"/>
      <c r="N46" s="84"/>
      <c r="O46" s="85" t="s">
        <v>60</v>
      </c>
      <c r="P46" s="84"/>
      <c r="Q46" s="84"/>
      <c r="R46" s="84"/>
      <c r="S46" s="84"/>
      <c r="T46" s="84" t="s">
        <v>60</v>
      </c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76"/>
      <c r="AW46" s="76"/>
      <c r="AX46" s="76"/>
      <c r="AY46" s="76"/>
      <c r="AZ46" s="76"/>
      <c r="BA46" s="76"/>
      <c r="BB46" s="76"/>
      <c r="BC46" s="76"/>
    </row>
    <row r="47" spans="1:55" s="81" customFormat="1" ht="12.95" customHeight="1">
      <c r="A47" s="82">
        <v>41</v>
      </c>
      <c r="B47" s="83" t="s">
        <v>100</v>
      </c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 t="s">
        <v>60</v>
      </c>
      <c r="X47" s="84"/>
      <c r="Y47" s="84" t="s">
        <v>59</v>
      </c>
      <c r="Z47" s="84"/>
      <c r="AA47" s="84"/>
      <c r="AB47" s="84"/>
      <c r="AC47" s="84" t="s">
        <v>59</v>
      </c>
      <c r="AD47" s="84"/>
      <c r="AE47" s="84"/>
      <c r="AF47" s="84"/>
      <c r="AG47" s="84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76"/>
      <c r="AW47" s="76"/>
      <c r="AX47" s="76"/>
      <c r="AY47" s="76"/>
      <c r="AZ47" s="76"/>
      <c r="BA47" s="76"/>
      <c r="BB47" s="76"/>
      <c r="BC47" s="76"/>
    </row>
    <row r="48" spans="1:55" s="81" customFormat="1" ht="12.95" customHeight="1">
      <c r="A48" s="82">
        <v>42</v>
      </c>
      <c r="B48" s="83" t="s">
        <v>101</v>
      </c>
      <c r="C48" s="84"/>
      <c r="D48" s="85" t="s">
        <v>60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76"/>
      <c r="AW48" s="76"/>
      <c r="AX48" s="76"/>
      <c r="AY48" s="76"/>
      <c r="AZ48" s="76"/>
      <c r="BA48" s="76"/>
      <c r="BB48" s="76"/>
      <c r="BC48" s="76"/>
    </row>
    <row r="49" spans="1:55" s="81" customFormat="1" ht="12.95" customHeight="1">
      <c r="A49" s="82">
        <v>43</v>
      </c>
      <c r="B49" s="83" t="s">
        <v>102</v>
      </c>
      <c r="C49" s="84"/>
      <c r="D49" s="84"/>
      <c r="E49" s="84"/>
      <c r="F49" s="84"/>
      <c r="G49" s="84"/>
      <c r="H49" s="84"/>
      <c r="I49" s="85" t="s">
        <v>60</v>
      </c>
      <c r="J49" s="85" t="s">
        <v>60</v>
      </c>
      <c r="K49" s="84"/>
      <c r="L49" s="84"/>
      <c r="M49" s="84"/>
      <c r="N49" s="84"/>
      <c r="O49" s="84"/>
      <c r="P49" s="84"/>
      <c r="Q49" s="84" t="s">
        <v>60</v>
      </c>
      <c r="R49" s="84"/>
      <c r="S49" s="84"/>
      <c r="T49" s="84"/>
      <c r="U49" s="84"/>
      <c r="V49" s="84" t="s">
        <v>60</v>
      </c>
      <c r="W49" s="84"/>
      <c r="X49" s="84" t="s">
        <v>59</v>
      </c>
      <c r="Y49" s="84" t="s">
        <v>60</v>
      </c>
      <c r="Z49" s="84" t="s">
        <v>60</v>
      </c>
      <c r="AA49" s="84"/>
      <c r="AB49" s="84"/>
      <c r="AC49" s="84" t="s">
        <v>60</v>
      </c>
      <c r="AD49" s="84"/>
      <c r="AE49" s="84"/>
      <c r="AF49" s="84" t="s">
        <v>60</v>
      </c>
      <c r="AG49" s="84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76"/>
      <c r="AW49" s="76"/>
      <c r="AX49" s="76"/>
      <c r="AY49" s="76"/>
      <c r="AZ49" s="76"/>
      <c r="BA49" s="76"/>
      <c r="BB49" s="76"/>
      <c r="BC49" s="76"/>
    </row>
    <row r="50" spans="1:55" s="81" customFormat="1" ht="12.95" customHeight="1">
      <c r="A50" s="82">
        <v>44</v>
      </c>
      <c r="B50" s="83" t="s">
        <v>103</v>
      </c>
      <c r="C50" s="84"/>
      <c r="D50" s="84"/>
      <c r="E50" s="84"/>
      <c r="F50" s="85" t="s">
        <v>60</v>
      </c>
      <c r="G50" s="85"/>
      <c r="H50" s="85" t="s">
        <v>60</v>
      </c>
      <c r="I50" s="84"/>
      <c r="J50" s="84"/>
      <c r="K50" s="84"/>
      <c r="L50" s="84"/>
      <c r="M50" s="84"/>
      <c r="N50" s="84"/>
      <c r="O50" s="85" t="s">
        <v>60</v>
      </c>
      <c r="P50" s="84"/>
      <c r="Q50" s="84" t="s">
        <v>60</v>
      </c>
      <c r="R50" s="84"/>
      <c r="S50" s="84"/>
      <c r="T50" s="84" t="s">
        <v>59</v>
      </c>
      <c r="U50" s="84"/>
      <c r="V50" s="84"/>
      <c r="W50" s="84" t="s">
        <v>60</v>
      </c>
      <c r="X50" s="84" t="s">
        <v>60</v>
      </c>
      <c r="Y50" s="84"/>
      <c r="Z50" s="84" t="s">
        <v>59</v>
      </c>
      <c r="AA50" s="84"/>
      <c r="AB50" s="84"/>
      <c r="AC50" s="84" t="s">
        <v>60</v>
      </c>
      <c r="AD50" s="84"/>
      <c r="AE50" s="84"/>
      <c r="AF50" s="84" t="s">
        <v>60</v>
      </c>
      <c r="AG50" s="84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76"/>
      <c r="AW50" s="76"/>
      <c r="AX50" s="76"/>
      <c r="AY50" s="76"/>
      <c r="AZ50" s="76"/>
      <c r="BA50" s="76"/>
      <c r="BB50" s="76"/>
      <c r="BC50" s="76"/>
    </row>
    <row r="51" spans="1:55" s="81" customFormat="1" ht="12.95" customHeight="1">
      <c r="A51" s="82">
        <v>46</v>
      </c>
      <c r="B51" s="83" t="s">
        <v>104</v>
      </c>
      <c r="C51" s="84"/>
      <c r="D51" s="84"/>
      <c r="E51" s="84"/>
      <c r="F51" s="84"/>
      <c r="G51" s="84"/>
      <c r="H51" s="84"/>
      <c r="I51" s="84"/>
      <c r="J51" s="84"/>
      <c r="K51" s="85" t="s">
        <v>60</v>
      </c>
      <c r="L51" s="85" t="s">
        <v>60</v>
      </c>
      <c r="M51" s="84"/>
      <c r="N51" s="84"/>
      <c r="O51" s="84"/>
      <c r="P51" s="84" t="s">
        <v>60</v>
      </c>
      <c r="Q51" s="84"/>
      <c r="R51" s="84"/>
      <c r="S51" s="84" t="s">
        <v>60</v>
      </c>
      <c r="T51" s="84" t="s">
        <v>59</v>
      </c>
      <c r="U51" s="84"/>
      <c r="V51" s="84"/>
      <c r="W51" s="84"/>
      <c r="X51" s="84" t="s">
        <v>60</v>
      </c>
      <c r="Y51" s="84"/>
      <c r="Z51" s="84" t="s">
        <v>60</v>
      </c>
      <c r="AA51" s="84" t="s">
        <v>59</v>
      </c>
      <c r="AB51" s="84"/>
      <c r="AC51" s="84"/>
      <c r="AD51" s="84" t="s">
        <v>60</v>
      </c>
      <c r="AE51" s="84" t="s">
        <v>60</v>
      </c>
      <c r="AF51" s="84"/>
      <c r="AG51" s="84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76"/>
      <c r="AW51" s="76"/>
      <c r="AX51" s="76"/>
      <c r="AY51" s="76"/>
      <c r="AZ51" s="76"/>
      <c r="BA51" s="76"/>
      <c r="BB51" s="76"/>
      <c r="BC51" s="76"/>
    </row>
    <row r="52" spans="1:55" s="81" customFormat="1" ht="12.95" customHeight="1">
      <c r="A52" s="82">
        <v>47</v>
      </c>
      <c r="B52" s="83" t="s">
        <v>105</v>
      </c>
      <c r="C52" s="84"/>
      <c r="D52" s="84"/>
      <c r="E52" s="84"/>
      <c r="F52" s="84"/>
      <c r="G52" s="84"/>
      <c r="H52" s="85" t="s">
        <v>60</v>
      </c>
      <c r="I52" s="84"/>
      <c r="J52" s="84"/>
      <c r="K52" s="84"/>
      <c r="L52" s="84"/>
      <c r="M52" s="84"/>
      <c r="N52" s="84"/>
      <c r="O52" s="84"/>
      <c r="P52" s="84" t="s">
        <v>60</v>
      </c>
      <c r="Q52" s="84" t="s">
        <v>60</v>
      </c>
      <c r="R52" s="84" t="s">
        <v>60</v>
      </c>
      <c r="S52" s="84" t="s">
        <v>60</v>
      </c>
      <c r="T52" s="84" t="s">
        <v>60</v>
      </c>
      <c r="U52" s="84"/>
      <c r="V52" s="84" t="s">
        <v>60</v>
      </c>
      <c r="W52" s="84"/>
      <c r="X52" s="84"/>
      <c r="Y52" s="84" t="s">
        <v>60</v>
      </c>
      <c r="Z52" s="84"/>
      <c r="AA52" s="84"/>
      <c r="AB52" s="84"/>
      <c r="AC52" s="84" t="s">
        <v>60</v>
      </c>
      <c r="AD52" s="84" t="s">
        <v>60</v>
      </c>
      <c r="AE52" s="84"/>
      <c r="AF52" s="84" t="s">
        <v>60</v>
      </c>
      <c r="AG52" s="84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76"/>
      <c r="AW52" s="76"/>
      <c r="AX52" s="76"/>
      <c r="AY52" s="76"/>
      <c r="AZ52" s="76"/>
      <c r="BA52" s="76"/>
      <c r="BB52" s="76"/>
      <c r="BC52" s="76"/>
    </row>
    <row r="53" spans="1:55" s="81" customFormat="1" ht="12.95" customHeight="1">
      <c r="A53" s="82">
        <v>48</v>
      </c>
      <c r="B53" s="83" t="s">
        <v>106</v>
      </c>
      <c r="C53" s="84"/>
      <c r="D53" s="84"/>
      <c r="E53" s="84"/>
      <c r="F53" s="84"/>
      <c r="G53" s="84"/>
      <c r="H53" s="84"/>
      <c r="I53" s="84"/>
      <c r="J53" s="84"/>
      <c r="K53" s="85" t="s">
        <v>60</v>
      </c>
      <c r="L53" s="85" t="s">
        <v>60</v>
      </c>
      <c r="M53" s="84"/>
      <c r="N53" s="84"/>
      <c r="O53" s="85" t="s">
        <v>60</v>
      </c>
      <c r="P53" s="84"/>
      <c r="Q53" s="84" t="s">
        <v>60</v>
      </c>
      <c r="R53" s="84"/>
      <c r="S53" s="84" t="s">
        <v>60</v>
      </c>
      <c r="T53" s="84"/>
      <c r="U53" s="84"/>
      <c r="V53" s="84"/>
      <c r="W53" s="84" t="s">
        <v>60</v>
      </c>
      <c r="X53" s="84" t="s">
        <v>59</v>
      </c>
      <c r="Y53" s="84" t="s">
        <v>60</v>
      </c>
      <c r="Z53" s="84" t="s">
        <v>60</v>
      </c>
      <c r="AA53" s="84"/>
      <c r="AB53" s="84"/>
      <c r="AC53" s="84"/>
      <c r="AD53" s="84" t="s">
        <v>60</v>
      </c>
      <c r="AE53" s="84"/>
      <c r="AF53" s="84"/>
      <c r="AG53" s="84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76"/>
      <c r="AW53" s="76"/>
      <c r="AX53" s="76"/>
      <c r="AY53" s="76"/>
      <c r="AZ53" s="76"/>
      <c r="BA53" s="76"/>
      <c r="BB53" s="76"/>
      <c r="BC53" s="76"/>
    </row>
    <row r="54" spans="1:55" s="81" customFormat="1" ht="12.95" customHeight="1">
      <c r="A54" s="82">
        <v>49</v>
      </c>
      <c r="B54" s="83" t="s">
        <v>107</v>
      </c>
      <c r="C54" s="84"/>
      <c r="D54" s="84"/>
      <c r="E54" s="84"/>
      <c r="F54" s="84"/>
      <c r="G54" s="84"/>
      <c r="H54" s="84"/>
      <c r="I54" s="84"/>
      <c r="J54" s="85" t="s">
        <v>60</v>
      </c>
      <c r="K54" s="84"/>
      <c r="L54" s="84"/>
      <c r="M54" s="84"/>
      <c r="N54" s="84"/>
      <c r="O54" s="85" t="s">
        <v>59</v>
      </c>
      <c r="P54" s="84"/>
      <c r="Q54" s="84"/>
      <c r="R54" s="84"/>
      <c r="S54" s="84"/>
      <c r="T54" s="84"/>
      <c r="U54" s="84"/>
      <c r="V54" s="84"/>
      <c r="W54" s="84"/>
      <c r="X54" s="84" t="s">
        <v>59</v>
      </c>
      <c r="Y54" s="84"/>
      <c r="Z54" s="84"/>
      <c r="AA54" s="84" t="s">
        <v>59</v>
      </c>
      <c r="AB54" s="84"/>
      <c r="AC54" s="84" t="s">
        <v>60</v>
      </c>
      <c r="AD54" s="84"/>
      <c r="AE54" s="84"/>
      <c r="AF54" s="84"/>
      <c r="AG54" s="84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76"/>
      <c r="AW54" s="76"/>
      <c r="AX54" s="76"/>
      <c r="AY54" s="76"/>
      <c r="AZ54" s="76"/>
      <c r="BA54" s="76"/>
      <c r="BB54" s="76"/>
      <c r="BC54" s="76"/>
    </row>
    <row r="55" spans="1:55" s="81" customFormat="1" ht="12.95" customHeight="1">
      <c r="A55" s="82">
        <v>50</v>
      </c>
      <c r="B55" s="83" t="s">
        <v>108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 t="s">
        <v>58</v>
      </c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76"/>
      <c r="AW55" s="76"/>
      <c r="AX55" s="76"/>
      <c r="AY55" s="76"/>
      <c r="AZ55" s="76"/>
      <c r="BA55" s="76"/>
      <c r="BB55" s="76"/>
      <c r="BC55" s="76"/>
    </row>
    <row r="56" spans="1:55" s="81" customFormat="1" ht="12.95" customHeight="1">
      <c r="A56" s="82">
        <v>51</v>
      </c>
      <c r="B56" s="83" t="s">
        <v>109</v>
      </c>
      <c r="C56" s="84"/>
      <c r="D56" s="84"/>
      <c r="E56" s="84"/>
      <c r="F56" s="84"/>
      <c r="G56" s="84"/>
      <c r="H56" s="84"/>
      <c r="I56" s="84"/>
      <c r="J56" s="85" t="s">
        <v>60</v>
      </c>
      <c r="K56" s="84"/>
      <c r="L56" s="84"/>
      <c r="M56" s="84"/>
      <c r="N56" s="84"/>
      <c r="O56" s="85" t="s">
        <v>59</v>
      </c>
      <c r="P56" s="84" t="s">
        <v>60</v>
      </c>
      <c r="Q56" s="84"/>
      <c r="R56" s="84"/>
      <c r="S56" s="84"/>
      <c r="T56" s="84" t="s">
        <v>59</v>
      </c>
      <c r="U56" s="84"/>
      <c r="V56" s="84" t="s">
        <v>60</v>
      </c>
      <c r="W56" s="84"/>
      <c r="X56" s="84" t="s">
        <v>59</v>
      </c>
      <c r="Y56" s="84" t="s">
        <v>60</v>
      </c>
      <c r="Z56" s="84"/>
      <c r="AA56" s="84" t="s">
        <v>59</v>
      </c>
      <c r="AB56" s="84"/>
      <c r="AC56" s="84" t="s">
        <v>60</v>
      </c>
      <c r="AD56" s="84" t="s">
        <v>60</v>
      </c>
      <c r="AE56" s="84"/>
      <c r="AF56" s="84"/>
      <c r="AG56" s="84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76"/>
      <c r="AW56" s="76"/>
      <c r="AX56" s="76"/>
      <c r="AY56" s="76"/>
      <c r="AZ56" s="76"/>
      <c r="BA56" s="76"/>
      <c r="BB56" s="76"/>
      <c r="BC56" s="76"/>
    </row>
    <row r="57" spans="1:55" s="81" customFormat="1" ht="12.95" customHeight="1">
      <c r="A57" s="82">
        <v>52</v>
      </c>
      <c r="B57" s="83" t="s">
        <v>110</v>
      </c>
      <c r="C57" s="84"/>
      <c r="D57" s="84"/>
      <c r="E57" s="84"/>
      <c r="F57" s="84"/>
      <c r="G57" s="84"/>
      <c r="H57" s="84"/>
      <c r="I57" s="84"/>
      <c r="J57" s="85" t="s">
        <v>60</v>
      </c>
      <c r="K57" s="84"/>
      <c r="L57" s="84"/>
      <c r="M57" s="84"/>
      <c r="N57" s="84"/>
      <c r="O57" s="85" t="s">
        <v>60</v>
      </c>
      <c r="P57" s="84"/>
      <c r="Q57" s="84"/>
      <c r="R57" s="84" t="s">
        <v>60</v>
      </c>
      <c r="S57" s="84" t="s">
        <v>60</v>
      </c>
      <c r="T57" s="84"/>
      <c r="U57" s="84"/>
      <c r="V57" s="84"/>
      <c r="W57" s="84"/>
      <c r="X57" s="84" t="s">
        <v>60</v>
      </c>
      <c r="Y57" s="84"/>
      <c r="Z57" s="84"/>
      <c r="AA57" s="84"/>
      <c r="AB57" s="84"/>
      <c r="AC57" s="84" t="s">
        <v>60</v>
      </c>
      <c r="AD57" s="84"/>
      <c r="AE57" s="84"/>
      <c r="AF57" s="84"/>
      <c r="AG57" s="84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76"/>
      <c r="AW57" s="76"/>
      <c r="AX57" s="76"/>
      <c r="AY57" s="76"/>
      <c r="AZ57" s="76"/>
      <c r="BA57" s="76"/>
      <c r="BB57" s="76"/>
      <c r="BC57" s="76"/>
    </row>
    <row r="58" spans="1:55" s="81" customFormat="1" ht="12.95" customHeight="1">
      <c r="A58" s="82">
        <v>53</v>
      </c>
      <c r="B58" s="83" t="s">
        <v>111</v>
      </c>
      <c r="C58" s="84"/>
      <c r="D58" s="84"/>
      <c r="E58" s="84"/>
      <c r="F58" s="85" t="s">
        <v>58</v>
      </c>
      <c r="G58" s="85"/>
      <c r="H58" s="84"/>
      <c r="I58" s="84"/>
      <c r="J58" s="85" t="s">
        <v>60</v>
      </c>
      <c r="K58" s="84"/>
      <c r="L58" s="85" t="s">
        <v>60</v>
      </c>
      <c r="M58" s="84"/>
      <c r="N58" s="84"/>
      <c r="O58" s="84"/>
      <c r="P58" s="84"/>
      <c r="Q58" s="84"/>
      <c r="R58" s="84" t="s">
        <v>60</v>
      </c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 t="s">
        <v>60</v>
      </c>
      <c r="AD58" s="84"/>
      <c r="AE58" s="84"/>
      <c r="AF58" s="84"/>
      <c r="AG58" s="84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76"/>
      <c r="AW58" s="76"/>
      <c r="AX58" s="76"/>
      <c r="AY58" s="76"/>
      <c r="AZ58" s="76"/>
      <c r="BA58" s="76"/>
      <c r="BB58" s="76"/>
      <c r="BC58" s="76"/>
    </row>
    <row r="59" spans="1:55" s="81" customFormat="1" ht="12.95" customHeight="1">
      <c r="A59" s="82">
        <v>54</v>
      </c>
      <c r="B59" s="83" t="s">
        <v>112</v>
      </c>
      <c r="C59" s="84"/>
      <c r="D59" s="84"/>
      <c r="E59" s="84"/>
      <c r="F59" s="84"/>
      <c r="G59" s="84"/>
      <c r="H59" s="84"/>
      <c r="I59" s="84"/>
      <c r="J59" s="85" t="s">
        <v>60</v>
      </c>
      <c r="K59" s="84"/>
      <c r="L59" s="84"/>
      <c r="M59" s="84"/>
      <c r="N59" s="84"/>
      <c r="O59" s="84"/>
      <c r="P59" s="84"/>
      <c r="Q59" s="84" t="s">
        <v>60</v>
      </c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 t="s">
        <v>59</v>
      </c>
      <c r="AE59" s="84"/>
      <c r="AF59" s="84"/>
      <c r="AG59" s="84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76"/>
      <c r="AW59" s="76"/>
      <c r="AX59" s="76"/>
      <c r="AY59" s="76"/>
      <c r="AZ59" s="76"/>
      <c r="BA59" s="76"/>
      <c r="BB59" s="76"/>
      <c r="BC59" s="76"/>
    </row>
    <row r="60" spans="1:55" s="81" customFormat="1" ht="12.95" customHeight="1">
      <c r="A60" s="82">
        <v>55</v>
      </c>
      <c r="B60" s="83" t="s">
        <v>113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 t="s">
        <v>59</v>
      </c>
      <c r="S60" s="84" t="s">
        <v>60</v>
      </c>
      <c r="T60" s="84"/>
      <c r="U60" s="84"/>
      <c r="V60" s="84" t="s">
        <v>60</v>
      </c>
      <c r="W60" s="84"/>
      <c r="X60" s="84"/>
      <c r="Y60" s="84"/>
      <c r="Z60" s="84" t="s">
        <v>60</v>
      </c>
      <c r="AA60" s="84"/>
      <c r="AB60" s="84"/>
      <c r="AC60" s="84"/>
      <c r="AD60" s="84"/>
      <c r="AE60" s="84"/>
      <c r="AF60" s="84" t="s">
        <v>60</v>
      </c>
      <c r="AG60" s="84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76"/>
      <c r="AW60" s="76"/>
      <c r="AX60" s="76"/>
      <c r="AY60" s="76"/>
      <c r="AZ60" s="76"/>
      <c r="BA60" s="76"/>
      <c r="BB60" s="76"/>
      <c r="BC60" s="76"/>
    </row>
    <row r="61" spans="1:55" s="81" customFormat="1" ht="12.95" customHeight="1">
      <c r="A61" s="82">
        <v>56</v>
      </c>
      <c r="B61" s="83" t="s">
        <v>114</v>
      </c>
      <c r="C61" s="84"/>
      <c r="D61" s="84"/>
      <c r="E61" s="84"/>
      <c r="F61" s="84"/>
      <c r="G61" s="84"/>
      <c r="H61" s="84"/>
      <c r="I61" s="85" t="s">
        <v>60</v>
      </c>
      <c r="J61" s="85" t="s">
        <v>60</v>
      </c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 t="s">
        <v>60</v>
      </c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76"/>
      <c r="AW61" s="76"/>
      <c r="AX61" s="76"/>
      <c r="AY61" s="76"/>
      <c r="AZ61" s="76"/>
      <c r="BA61" s="76"/>
      <c r="BB61" s="76"/>
      <c r="BC61" s="76"/>
    </row>
    <row r="62" spans="1:55" s="81" customFormat="1" ht="12.95" customHeight="1">
      <c r="A62" s="82">
        <v>57</v>
      </c>
      <c r="B62" s="83" t="s">
        <v>115</v>
      </c>
      <c r="C62" s="84"/>
      <c r="D62" s="84"/>
      <c r="E62" s="84"/>
      <c r="F62" s="84"/>
      <c r="G62" s="84"/>
      <c r="H62" s="85" t="s">
        <v>60</v>
      </c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76"/>
      <c r="AW62" s="76"/>
      <c r="AX62" s="76"/>
      <c r="AY62" s="76"/>
      <c r="AZ62" s="76"/>
      <c r="BA62" s="76"/>
      <c r="BB62" s="76"/>
      <c r="BC62" s="76"/>
    </row>
    <row r="63" spans="1:55" s="81" customFormat="1" ht="12.95" customHeight="1">
      <c r="A63" s="82">
        <v>58</v>
      </c>
      <c r="B63" s="83" t="s">
        <v>116</v>
      </c>
      <c r="C63" s="84"/>
      <c r="D63" s="84"/>
      <c r="E63" s="84"/>
      <c r="F63" s="84"/>
      <c r="G63" s="84"/>
      <c r="H63" s="84"/>
      <c r="I63" s="85" t="s">
        <v>60</v>
      </c>
      <c r="J63" s="84"/>
      <c r="K63" s="84"/>
      <c r="L63" s="84"/>
      <c r="M63" s="84"/>
      <c r="N63" s="84"/>
      <c r="O63" s="84"/>
      <c r="P63" s="84"/>
      <c r="Q63" s="84"/>
      <c r="R63" s="84" t="s">
        <v>59</v>
      </c>
      <c r="S63" s="84"/>
      <c r="T63" s="84" t="s">
        <v>60</v>
      </c>
      <c r="U63" s="84"/>
      <c r="V63" s="84"/>
      <c r="W63" s="84"/>
      <c r="X63" s="84"/>
      <c r="Y63" s="84"/>
      <c r="Z63" s="84"/>
      <c r="AA63" s="84"/>
      <c r="AB63" s="84"/>
      <c r="AC63" s="84" t="s">
        <v>59</v>
      </c>
      <c r="AD63" s="84"/>
      <c r="AE63" s="84"/>
      <c r="AF63" s="84" t="s">
        <v>60</v>
      </c>
      <c r="AG63" s="84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76"/>
      <c r="AW63" s="76"/>
      <c r="AX63" s="76"/>
      <c r="AY63" s="76"/>
      <c r="AZ63" s="76"/>
      <c r="BA63" s="76"/>
      <c r="BB63" s="76"/>
      <c r="BC63" s="76"/>
    </row>
    <row r="64" spans="1:55" s="81" customFormat="1" ht="12.95" customHeight="1">
      <c r="A64" s="82">
        <v>59</v>
      </c>
      <c r="B64" s="83" t="s">
        <v>117</v>
      </c>
      <c r="C64" s="84"/>
      <c r="D64" s="84"/>
      <c r="E64" s="84"/>
      <c r="F64" s="85" t="s">
        <v>58</v>
      </c>
      <c r="G64" s="85"/>
      <c r="H64" s="85" t="s">
        <v>60</v>
      </c>
      <c r="I64" s="85" t="s">
        <v>58</v>
      </c>
      <c r="J64" s="85" t="s">
        <v>58</v>
      </c>
      <c r="K64" s="84"/>
      <c r="L64" s="85" t="s">
        <v>58</v>
      </c>
      <c r="M64" s="84"/>
      <c r="N64" s="84"/>
      <c r="O64" s="85" t="s">
        <v>58</v>
      </c>
      <c r="P64" s="85" t="s">
        <v>58</v>
      </c>
      <c r="Q64" s="84" t="s">
        <v>58</v>
      </c>
      <c r="R64" s="84"/>
      <c r="S64" s="84"/>
      <c r="T64" s="84" t="s">
        <v>58</v>
      </c>
      <c r="U64" s="84"/>
      <c r="V64" s="84"/>
      <c r="W64" s="84" t="s">
        <v>60</v>
      </c>
      <c r="X64" s="84" t="s">
        <v>60</v>
      </c>
      <c r="Y64" s="84"/>
      <c r="Z64" s="84" t="s">
        <v>60</v>
      </c>
      <c r="AA64" s="84" t="s">
        <v>59</v>
      </c>
      <c r="AB64" s="84"/>
      <c r="AC64" s="84"/>
      <c r="AD64" s="84"/>
      <c r="AE64" s="84" t="s">
        <v>60</v>
      </c>
      <c r="AF64" s="84"/>
      <c r="AG64" s="84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76"/>
      <c r="AW64" s="76"/>
      <c r="AX64" s="76"/>
      <c r="AY64" s="76"/>
      <c r="AZ64" s="76"/>
      <c r="BA64" s="76"/>
      <c r="BB64" s="76"/>
      <c r="BC64" s="76"/>
    </row>
    <row r="65" spans="1:55" s="81" customFormat="1" ht="12.95" customHeight="1">
      <c r="A65" s="82">
        <v>60</v>
      </c>
      <c r="B65" s="83" t="s">
        <v>118</v>
      </c>
      <c r="C65" s="84"/>
      <c r="D65" s="84"/>
      <c r="E65" s="84"/>
      <c r="F65" s="84"/>
      <c r="G65" s="84"/>
      <c r="H65" s="84"/>
      <c r="I65" s="84"/>
      <c r="J65" s="84"/>
      <c r="K65" s="85" t="s">
        <v>59</v>
      </c>
      <c r="L65" s="84"/>
      <c r="M65" s="84"/>
      <c r="N65" s="84"/>
      <c r="O65" s="84"/>
      <c r="P65" s="84" t="s">
        <v>60</v>
      </c>
      <c r="Q65" s="84"/>
      <c r="R65" s="84"/>
      <c r="S65" s="84"/>
      <c r="T65" s="84"/>
      <c r="U65" s="84"/>
      <c r="V65" s="84"/>
      <c r="W65" s="84"/>
      <c r="X65" s="84" t="s">
        <v>60</v>
      </c>
      <c r="Y65" s="84"/>
      <c r="Z65" s="84"/>
      <c r="AA65" s="84" t="s">
        <v>59</v>
      </c>
      <c r="AB65" s="84"/>
      <c r="AC65" s="84"/>
      <c r="AD65" s="84"/>
      <c r="AE65" s="84"/>
      <c r="AF65" s="84"/>
      <c r="AG65" s="84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76"/>
      <c r="AW65" s="76"/>
      <c r="AX65" s="76"/>
      <c r="AY65" s="76"/>
      <c r="AZ65" s="76"/>
      <c r="BA65" s="76"/>
      <c r="BB65" s="76"/>
      <c r="BC65" s="76"/>
    </row>
    <row r="66" spans="1:55" s="81" customFormat="1" ht="12.95" customHeight="1">
      <c r="A66" s="82">
        <v>61</v>
      </c>
      <c r="B66" s="83" t="s">
        <v>119</v>
      </c>
      <c r="C66" s="84"/>
      <c r="D66" s="84"/>
      <c r="E66" s="84"/>
      <c r="F66" s="84"/>
      <c r="G66" s="84"/>
      <c r="H66" s="84"/>
      <c r="I66" s="84"/>
      <c r="J66" s="84"/>
      <c r="K66" s="85" t="s">
        <v>59</v>
      </c>
      <c r="L66" s="84"/>
      <c r="M66" s="84"/>
      <c r="N66" s="84"/>
      <c r="O66" s="84"/>
      <c r="P66" s="84" t="s">
        <v>60</v>
      </c>
      <c r="Q66" s="84"/>
      <c r="R66" s="84"/>
      <c r="S66" s="84"/>
      <c r="T66" s="84" t="s">
        <v>59</v>
      </c>
      <c r="U66" s="84"/>
      <c r="V66" s="84" t="s">
        <v>60</v>
      </c>
      <c r="W66" s="84"/>
      <c r="X66" s="84" t="s">
        <v>60</v>
      </c>
      <c r="Y66" s="84" t="s">
        <v>60</v>
      </c>
      <c r="Z66" s="84" t="s">
        <v>60</v>
      </c>
      <c r="AA66" s="84"/>
      <c r="AB66" s="84"/>
      <c r="AC66" s="84"/>
      <c r="AD66" s="84"/>
      <c r="AE66" s="84"/>
      <c r="AF66" s="84"/>
      <c r="AG66" s="84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76"/>
      <c r="AW66" s="76"/>
      <c r="AX66" s="76"/>
      <c r="AY66" s="76"/>
      <c r="AZ66" s="76"/>
      <c r="BA66" s="76"/>
      <c r="BB66" s="76"/>
      <c r="BC66" s="76"/>
    </row>
    <row r="67" spans="1:55" s="81" customFormat="1" ht="12.95" customHeight="1">
      <c r="A67" s="82">
        <v>62</v>
      </c>
      <c r="B67" s="83" t="s">
        <v>120</v>
      </c>
      <c r="C67" s="84"/>
      <c r="D67" s="84"/>
      <c r="E67" s="84"/>
      <c r="F67" s="84"/>
      <c r="G67" s="84"/>
      <c r="H67" s="84"/>
      <c r="I67" s="84"/>
      <c r="J67" s="85" t="s">
        <v>60</v>
      </c>
      <c r="K67" s="84"/>
      <c r="L67" s="84"/>
      <c r="M67" s="84"/>
      <c r="N67" s="84"/>
      <c r="O67" s="85" t="s">
        <v>60</v>
      </c>
      <c r="P67" s="84"/>
      <c r="Q67" s="84"/>
      <c r="R67" s="84"/>
      <c r="S67" s="84"/>
      <c r="T67" s="84"/>
      <c r="U67" s="84"/>
      <c r="V67" s="84"/>
      <c r="W67" s="84"/>
      <c r="X67" s="84" t="s">
        <v>60</v>
      </c>
      <c r="Y67" s="84"/>
      <c r="Z67" s="84"/>
      <c r="AA67" s="84"/>
      <c r="AB67" s="84"/>
      <c r="AC67" s="84"/>
      <c r="AD67" s="84"/>
      <c r="AE67" s="84"/>
      <c r="AF67" s="84"/>
      <c r="AG67" s="84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76"/>
      <c r="AW67" s="76"/>
      <c r="AX67" s="76"/>
      <c r="AY67" s="76"/>
      <c r="AZ67" s="76"/>
      <c r="BA67" s="76"/>
      <c r="BB67" s="76"/>
      <c r="BC67" s="76"/>
    </row>
    <row r="68" spans="1:55" s="81" customFormat="1" ht="12.95" customHeight="1">
      <c r="A68" s="82">
        <v>63</v>
      </c>
      <c r="B68" s="83" t="s">
        <v>121</v>
      </c>
      <c r="C68" s="84"/>
      <c r="D68" s="84"/>
      <c r="E68" s="84"/>
      <c r="F68" s="84"/>
      <c r="G68" s="84"/>
      <c r="H68" s="84"/>
      <c r="I68" s="84"/>
      <c r="J68" s="84"/>
      <c r="K68" s="85" t="s">
        <v>59</v>
      </c>
      <c r="L68" s="84"/>
      <c r="M68" s="84"/>
      <c r="N68" s="84"/>
      <c r="O68" s="84"/>
      <c r="P68" s="84"/>
      <c r="Q68" s="84"/>
      <c r="R68" s="84"/>
      <c r="S68" s="84"/>
      <c r="T68" s="84" t="s">
        <v>59</v>
      </c>
      <c r="U68" s="84"/>
      <c r="V68" s="84"/>
      <c r="W68" s="84" t="s">
        <v>60</v>
      </c>
      <c r="X68" s="84"/>
      <c r="Y68" s="84"/>
      <c r="Z68" s="84" t="s">
        <v>59</v>
      </c>
      <c r="AA68" s="84"/>
      <c r="AB68" s="84"/>
      <c r="AC68" s="84"/>
      <c r="AD68" s="84" t="s">
        <v>59</v>
      </c>
      <c r="AE68" s="84"/>
      <c r="AF68" s="84"/>
      <c r="AG68" s="84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76"/>
      <c r="AW68" s="76"/>
      <c r="AX68" s="76"/>
      <c r="AY68" s="76"/>
      <c r="AZ68" s="76"/>
      <c r="BA68" s="76"/>
      <c r="BB68" s="76"/>
      <c r="BC68" s="76"/>
    </row>
    <row r="69" spans="1:55" s="81" customFormat="1" ht="12.95" customHeight="1">
      <c r="A69" s="82">
        <v>64</v>
      </c>
      <c r="B69" s="83" t="s">
        <v>122</v>
      </c>
      <c r="C69" s="84"/>
      <c r="D69" s="84"/>
      <c r="E69" s="84"/>
      <c r="F69" s="84"/>
      <c r="G69" s="84"/>
      <c r="H69" s="84"/>
      <c r="I69" s="84"/>
      <c r="J69" s="84"/>
      <c r="K69" s="85" t="s">
        <v>60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 t="s">
        <v>60</v>
      </c>
      <c r="W69" s="84"/>
      <c r="X69" s="84"/>
      <c r="Y69" s="84"/>
      <c r="Z69" s="84"/>
      <c r="AA69" s="84" t="s">
        <v>59</v>
      </c>
      <c r="AB69" s="84"/>
      <c r="AC69" s="84"/>
      <c r="AD69" s="84"/>
      <c r="AE69" s="84" t="s">
        <v>60</v>
      </c>
      <c r="AF69" s="84"/>
      <c r="AG69" s="84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76"/>
      <c r="AW69" s="76"/>
      <c r="AX69" s="76"/>
      <c r="AY69" s="76"/>
      <c r="AZ69" s="76"/>
      <c r="BA69" s="76"/>
      <c r="BB69" s="76"/>
      <c r="BC69" s="76"/>
    </row>
    <row r="70" spans="1:55" s="81" customFormat="1" ht="12.95" customHeight="1">
      <c r="A70" s="82">
        <v>65</v>
      </c>
      <c r="B70" s="83" t="s">
        <v>123</v>
      </c>
      <c r="C70" s="84"/>
      <c r="D70" s="84" t="s">
        <v>60</v>
      </c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76"/>
      <c r="AW70" s="76"/>
      <c r="AX70" s="76"/>
      <c r="AY70" s="76"/>
      <c r="AZ70" s="76"/>
      <c r="BA70" s="76"/>
      <c r="BB70" s="76"/>
      <c r="BC70" s="76"/>
    </row>
    <row r="71" spans="1:55" s="81" customFormat="1" ht="12.95" customHeight="1">
      <c r="A71" s="82">
        <v>66</v>
      </c>
      <c r="B71" s="83" t="s">
        <v>124</v>
      </c>
      <c r="C71" s="84"/>
      <c r="D71" s="84"/>
      <c r="E71" s="84"/>
      <c r="F71" s="84"/>
      <c r="G71" s="84"/>
      <c r="H71" s="84"/>
      <c r="I71" s="84"/>
      <c r="J71" s="84"/>
      <c r="K71" s="85" t="s">
        <v>60</v>
      </c>
      <c r="L71" s="84"/>
      <c r="M71" s="84"/>
      <c r="N71" s="84"/>
      <c r="O71" s="84"/>
      <c r="P71" s="84"/>
      <c r="Q71" s="84"/>
      <c r="R71" s="84"/>
      <c r="S71" s="84"/>
      <c r="T71" s="84" t="s">
        <v>59</v>
      </c>
      <c r="U71" s="84"/>
      <c r="V71" s="84"/>
      <c r="W71" s="84"/>
      <c r="X71" s="84"/>
      <c r="Y71" s="84" t="s">
        <v>59</v>
      </c>
      <c r="Z71" s="84"/>
      <c r="AA71" s="84"/>
      <c r="AB71" s="84"/>
      <c r="AC71" s="84" t="s">
        <v>59</v>
      </c>
      <c r="AD71" s="84"/>
      <c r="AE71" s="84"/>
      <c r="AF71" s="84" t="s">
        <v>60</v>
      </c>
      <c r="AG71" s="84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76"/>
      <c r="AW71" s="76"/>
      <c r="AX71" s="76"/>
      <c r="AY71" s="76"/>
      <c r="AZ71" s="76"/>
      <c r="BA71" s="76"/>
      <c r="BB71" s="76"/>
      <c r="BC71" s="76"/>
    </row>
    <row r="72" spans="1:55" s="81" customFormat="1" ht="12.95" customHeight="1">
      <c r="A72" s="82">
        <v>67</v>
      </c>
      <c r="B72" s="83" t="s">
        <v>125</v>
      </c>
      <c r="C72" s="84"/>
      <c r="D72" s="84"/>
      <c r="E72" s="84"/>
      <c r="F72" s="84"/>
      <c r="G72" s="84"/>
      <c r="H72" s="84"/>
      <c r="I72" s="84"/>
      <c r="J72" s="84"/>
      <c r="K72" s="85" t="s">
        <v>60</v>
      </c>
      <c r="L72" s="84"/>
      <c r="M72" s="84"/>
      <c r="N72" s="84"/>
      <c r="O72" s="84"/>
      <c r="P72" s="84"/>
      <c r="Q72" s="84"/>
      <c r="R72" s="84" t="s">
        <v>59</v>
      </c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 t="s">
        <v>60</v>
      </c>
      <c r="AG72" s="84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76"/>
      <c r="AW72" s="76"/>
      <c r="AX72" s="76"/>
      <c r="AY72" s="76"/>
      <c r="AZ72" s="76"/>
      <c r="BA72" s="76"/>
      <c r="BB72" s="76"/>
      <c r="BC72" s="76"/>
    </row>
    <row r="73" spans="1:55" s="81" customFormat="1" ht="12.95" customHeight="1">
      <c r="A73" s="82">
        <v>68</v>
      </c>
      <c r="B73" s="83" t="s">
        <v>126</v>
      </c>
      <c r="C73" s="84"/>
      <c r="D73" s="84"/>
      <c r="E73" s="84"/>
      <c r="F73" s="84"/>
      <c r="G73" s="84"/>
      <c r="H73" s="85" t="s">
        <v>58</v>
      </c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 t="s">
        <v>59</v>
      </c>
      <c r="AB73" s="84"/>
      <c r="AC73" s="84"/>
      <c r="AD73" s="84"/>
      <c r="AE73" s="84"/>
      <c r="AF73" s="84"/>
      <c r="AG73" s="84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76"/>
      <c r="AW73" s="76"/>
      <c r="AX73" s="76"/>
      <c r="AY73" s="76"/>
      <c r="AZ73" s="76"/>
      <c r="BA73" s="76"/>
      <c r="BB73" s="76"/>
      <c r="BC73" s="76"/>
    </row>
    <row r="74" spans="1:55" s="81" customFormat="1" ht="12.95" customHeight="1">
      <c r="A74" s="82">
        <v>69</v>
      </c>
      <c r="B74" s="83" t="s">
        <v>127</v>
      </c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 t="s">
        <v>58</v>
      </c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 t="s">
        <v>60</v>
      </c>
      <c r="AG74" s="84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76"/>
      <c r="AW74" s="76"/>
      <c r="AX74" s="76"/>
      <c r="AY74" s="76"/>
      <c r="AZ74" s="76"/>
      <c r="BA74" s="76"/>
      <c r="BB74" s="76"/>
      <c r="BC74" s="76"/>
    </row>
    <row r="75" spans="1:55" s="81" customFormat="1" ht="12.95" customHeight="1">
      <c r="A75" s="82">
        <v>70</v>
      </c>
      <c r="B75" s="83" t="s">
        <v>128</v>
      </c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 t="s">
        <v>58</v>
      </c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76"/>
      <c r="AW75" s="76"/>
      <c r="AX75" s="76"/>
      <c r="AY75" s="76"/>
      <c r="AZ75" s="76"/>
      <c r="BA75" s="76"/>
      <c r="BB75" s="76"/>
      <c r="BC75" s="76"/>
    </row>
    <row r="76" spans="1:55" s="81" customFormat="1" ht="12.95" customHeight="1">
      <c r="A76" s="82">
        <v>71</v>
      </c>
      <c r="B76" s="83" t="s">
        <v>129</v>
      </c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 t="s">
        <v>60</v>
      </c>
      <c r="Q76" s="84"/>
      <c r="R76" s="84"/>
      <c r="S76" s="84"/>
      <c r="T76" s="84"/>
      <c r="U76" s="84"/>
      <c r="V76" s="84"/>
      <c r="W76" s="84"/>
      <c r="X76" s="84"/>
      <c r="Y76" s="84" t="s">
        <v>59</v>
      </c>
      <c r="Z76" s="84"/>
      <c r="AA76" s="84"/>
      <c r="AB76" s="84"/>
      <c r="AC76" s="84" t="s">
        <v>59</v>
      </c>
      <c r="AD76" s="84"/>
      <c r="AE76" s="84"/>
      <c r="AF76" s="84"/>
      <c r="AG76" s="84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76"/>
      <c r="AW76" s="76"/>
      <c r="AX76" s="76"/>
      <c r="AY76" s="76"/>
      <c r="AZ76" s="76"/>
      <c r="BA76" s="76"/>
      <c r="BB76" s="76"/>
      <c r="BC76" s="76"/>
    </row>
    <row r="77" spans="1:55" s="81" customFormat="1" ht="12.95" customHeight="1">
      <c r="A77" s="82">
        <v>72</v>
      </c>
      <c r="B77" s="83" t="s">
        <v>130</v>
      </c>
      <c r="C77" s="84"/>
      <c r="D77" s="84"/>
      <c r="E77" s="84"/>
      <c r="F77" s="84"/>
      <c r="G77" s="84"/>
      <c r="H77" s="84"/>
      <c r="I77" s="84"/>
      <c r="J77" s="85" t="s">
        <v>60</v>
      </c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76"/>
      <c r="AW77" s="76"/>
      <c r="AX77" s="76"/>
      <c r="AY77" s="76"/>
      <c r="AZ77" s="76"/>
      <c r="BA77" s="76"/>
      <c r="BB77" s="76"/>
      <c r="BC77" s="76"/>
    </row>
    <row r="78" spans="1:55" s="81" customFormat="1" ht="12.95" customHeight="1">
      <c r="A78" s="82">
        <v>73</v>
      </c>
      <c r="B78" s="83" t="s">
        <v>131</v>
      </c>
      <c r="C78" s="84"/>
      <c r="D78" s="84"/>
      <c r="E78" s="84"/>
      <c r="F78" s="84"/>
      <c r="G78" s="84"/>
      <c r="H78" s="84"/>
      <c r="I78" s="84"/>
      <c r="J78" s="84"/>
      <c r="K78" s="85" t="s">
        <v>60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 t="s">
        <v>59</v>
      </c>
      <c r="Y78" s="84"/>
      <c r="Z78" s="84"/>
      <c r="AA78" s="84" t="s">
        <v>60</v>
      </c>
      <c r="AB78" s="84"/>
      <c r="AC78" s="84"/>
      <c r="AD78" s="84"/>
      <c r="AE78" s="84"/>
      <c r="AF78" s="84"/>
      <c r="AG78" s="84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76"/>
      <c r="AW78" s="76"/>
      <c r="AX78" s="76"/>
      <c r="AY78" s="76"/>
      <c r="AZ78" s="76"/>
      <c r="BA78" s="76"/>
      <c r="BB78" s="76"/>
      <c r="BC78" s="76"/>
    </row>
    <row r="79" spans="1:55" s="81" customFormat="1" ht="12.95" customHeight="1">
      <c r="A79" s="82">
        <v>74</v>
      </c>
      <c r="B79" s="83" t="s">
        <v>132</v>
      </c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 t="s">
        <v>60</v>
      </c>
      <c r="Q79" s="84"/>
      <c r="R79" s="84"/>
      <c r="S79" s="84"/>
      <c r="T79" s="84"/>
      <c r="U79" s="84"/>
      <c r="V79" s="84"/>
      <c r="W79" s="84"/>
      <c r="X79" s="84"/>
      <c r="Y79" s="84" t="s">
        <v>59</v>
      </c>
      <c r="Z79" s="84"/>
      <c r="AA79" s="84"/>
      <c r="AB79" s="84"/>
      <c r="AC79" s="84" t="s">
        <v>59</v>
      </c>
      <c r="AD79" s="84"/>
      <c r="AE79" s="84"/>
      <c r="AF79" s="84"/>
      <c r="AG79" s="84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76"/>
      <c r="AW79" s="76"/>
      <c r="AX79" s="76"/>
      <c r="AY79" s="76"/>
      <c r="AZ79" s="76"/>
      <c r="BA79" s="76"/>
      <c r="BB79" s="76"/>
      <c r="BC79" s="76"/>
    </row>
    <row r="80" spans="1:55" s="81" customFormat="1" ht="12.95" customHeight="1">
      <c r="A80" s="82">
        <v>75</v>
      </c>
      <c r="B80" s="83" t="s">
        <v>133</v>
      </c>
      <c r="C80" s="84"/>
      <c r="D80" s="84"/>
      <c r="E80" s="84"/>
      <c r="F80" s="84"/>
      <c r="G80" s="84"/>
      <c r="H80" s="84"/>
      <c r="I80" s="85" t="s">
        <v>58</v>
      </c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76"/>
      <c r="AW80" s="76"/>
      <c r="AX80" s="76"/>
      <c r="AY80" s="76"/>
      <c r="AZ80" s="76"/>
      <c r="BA80" s="76"/>
      <c r="BB80" s="76"/>
      <c r="BC80" s="76"/>
    </row>
    <row r="81" spans="1:55" s="81" customFormat="1" ht="12.95" customHeight="1">
      <c r="A81" s="82">
        <v>76</v>
      </c>
      <c r="B81" s="83" t="s">
        <v>134</v>
      </c>
      <c r="C81" s="84"/>
      <c r="D81" s="84"/>
      <c r="E81" s="84"/>
      <c r="F81" s="84"/>
      <c r="G81" s="84"/>
      <c r="H81" s="84"/>
      <c r="I81" s="84"/>
      <c r="J81" s="84"/>
      <c r="K81" s="85" t="s">
        <v>59</v>
      </c>
      <c r="L81" s="84"/>
      <c r="M81" s="84"/>
      <c r="N81" s="84"/>
      <c r="O81" s="84"/>
      <c r="P81" s="84"/>
      <c r="Q81" s="84"/>
      <c r="R81" s="84" t="s">
        <v>59</v>
      </c>
      <c r="S81" s="84" t="s">
        <v>60</v>
      </c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 t="s">
        <v>59</v>
      </c>
      <c r="AE81" s="84"/>
      <c r="AF81" s="84"/>
      <c r="AG81" s="84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76"/>
      <c r="AW81" s="76"/>
      <c r="AX81" s="76"/>
      <c r="AY81" s="76"/>
      <c r="AZ81" s="76"/>
      <c r="BA81" s="76"/>
      <c r="BB81" s="76"/>
      <c r="BC81" s="76"/>
    </row>
    <row r="82" spans="1:55" s="81" customFormat="1" ht="12.95" customHeight="1">
      <c r="A82" s="82">
        <v>77</v>
      </c>
      <c r="B82" s="83" t="s">
        <v>135</v>
      </c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 t="s">
        <v>60</v>
      </c>
      <c r="U82" s="84"/>
      <c r="V82" s="84"/>
      <c r="W82" s="84"/>
      <c r="X82" s="84"/>
      <c r="Y82" s="84"/>
      <c r="Z82" s="84"/>
      <c r="AA82" s="84"/>
      <c r="AB82" s="84"/>
      <c r="AC82" s="84" t="s">
        <v>59</v>
      </c>
      <c r="AD82" s="84"/>
      <c r="AE82" s="84"/>
      <c r="AF82" s="84"/>
      <c r="AG82" s="84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76"/>
      <c r="AW82" s="76"/>
      <c r="AX82" s="76"/>
      <c r="AY82" s="76"/>
      <c r="AZ82" s="76"/>
      <c r="BA82" s="76"/>
      <c r="BB82" s="76"/>
      <c r="BC82" s="76"/>
    </row>
    <row r="83" spans="1:55" s="81" customFormat="1" ht="12.95" customHeight="1">
      <c r="A83" s="82">
        <v>78</v>
      </c>
      <c r="B83" s="83" t="s">
        <v>136</v>
      </c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 t="s">
        <v>59</v>
      </c>
      <c r="U83" s="84"/>
      <c r="V83" s="92" t="s">
        <v>60</v>
      </c>
      <c r="W83" s="84"/>
      <c r="X83" s="84" t="s">
        <v>60</v>
      </c>
      <c r="Y83" s="84"/>
      <c r="Z83" s="84"/>
      <c r="AA83" s="84"/>
      <c r="AB83" s="84"/>
      <c r="AC83" s="84"/>
      <c r="AD83" s="84"/>
      <c r="AE83" s="84"/>
      <c r="AF83" s="84"/>
      <c r="AG83" s="84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76"/>
      <c r="AW83" s="76"/>
      <c r="AX83" s="76"/>
      <c r="AY83" s="76"/>
      <c r="AZ83" s="76"/>
      <c r="BA83" s="76"/>
      <c r="BB83" s="76"/>
      <c r="BC83" s="76"/>
    </row>
    <row r="84" spans="1:55" s="81" customFormat="1" ht="12.95" customHeight="1">
      <c r="A84" s="82">
        <v>79</v>
      </c>
      <c r="B84" s="83" t="s">
        <v>137</v>
      </c>
      <c r="C84" s="84"/>
      <c r="D84" s="84"/>
      <c r="E84" s="84"/>
      <c r="F84" s="84"/>
      <c r="G84" s="84"/>
      <c r="H84" s="84"/>
      <c r="I84" s="84"/>
      <c r="J84" s="84"/>
      <c r="K84" s="85" t="s">
        <v>60</v>
      </c>
      <c r="L84" s="84"/>
      <c r="M84" s="84"/>
      <c r="N84" s="84"/>
      <c r="O84" s="84"/>
      <c r="P84" s="84" t="s">
        <v>58</v>
      </c>
      <c r="Q84" s="84" t="s">
        <v>60</v>
      </c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76"/>
      <c r="AW84" s="76"/>
      <c r="AX84" s="76"/>
      <c r="AY84" s="76"/>
      <c r="AZ84" s="76"/>
      <c r="BA84" s="76"/>
      <c r="BB84" s="76"/>
      <c r="BC84" s="76"/>
    </row>
    <row r="85" spans="1:55" s="81" customFormat="1" ht="12.95" customHeight="1">
      <c r="A85" s="82">
        <v>80</v>
      </c>
      <c r="B85" s="83" t="s">
        <v>138</v>
      </c>
      <c r="C85" s="84"/>
      <c r="D85" s="84"/>
      <c r="E85" s="84"/>
      <c r="F85" s="84"/>
      <c r="G85" s="84"/>
      <c r="H85" s="84"/>
      <c r="I85" s="84"/>
      <c r="J85" s="84"/>
      <c r="K85" s="84"/>
      <c r="L85" s="84" t="s">
        <v>60</v>
      </c>
      <c r="M85" s="84"/>
      <c r="N85" s="84"/>
      <c r="O85" s="84" t="s">
        <v>60</v>
      </c>
      <c r="P85" s="84" t="s">
        <v>60</v>
      </c>
      <c r="Q85" s="84"/>
      <c r="R85" s="84" t="s">
        <v>60</v>
      </c>
      <c r="S85" s="84"/>
      <c r="T85" s="84"/>
      <c r="U85" s="84"/>
      <c r="V85" s="84"/>
      <c r="W85" s="84"/>
      <c r="X85" s="84" t="s">
        <v>59</v>
      </c>
      <c r="Y85" s="84"/>
      <c r="Z85" s="84"/>
      <c r="AA85" s="84"/>
      <c r="AB85" s="84"/>
      <c r="AC85" s="84"/>
      <c r="AD85" s="84"/>
      <c r="AE85" s="84"/>
      <c r="AF85" s="84"/>
      <c r="AG85" s="84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76"/>
      <c r="AW85" s="76"/>
      <c r="AX85" s="76"/>
      <c r="AY85" s="76"/>
      <c r="AZ85" s="76"/>
      <c r="BA85" s="76"/>
      <c r="BB85" s="76"/>
      <c r="BC85" s="76"/>
    </row>
    <row r="86" spans="1:55" s="81" customFormat="1" ht="12.95" customHeight="1">
      <c r="A86" s="82">
        <v>81</v>
      </c>
      <c r="B86" s="83" t="s">
        <v>139</v>
      </c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 t="s">
        <v>58</v>
      </c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76"/>
      <c r="AW86" s="76"/>
      <c r="AX86" s="76"/>
      <c r="AY86" s="76"/>
      <c r="AZ86" s="76"/>
      <c r="BA86" s="76"/>
      <c r="BB86" s="76"/>
      <c r="BC86" s="76"/>
    </row>
    <row r="87" spans="1:55" s="81" customFormat="1" ht="12.95" customHeight="1">
      <c r="A87" s="82">
        <v>82</v>
      </c>
      <c r="B87" s="83" t="s">
        <v>140</v>
      </c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 t="s">
        <v>58</v>
      </c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76"/>
      <c r="AW87" s="76"/>
      <c r="AX87" s="76"/>
      <c r="AY87" s="76"/>
      <c r="AZ87" s="76"/>
      <c r="BA87" s="76"/>
      <c r="BB87" s="76"/>
      <c r="BC87" s="76"/>
    </row>
    <row r="88" spans="1:55" s="81" customFormat="1" ht="12.95" customHeight="1">
      <c r="A88" s="82">
        <v>83</v>
      </c>
      <c r="B88" s="83" t="s">
        <v>141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 t="s">
        <v>58</v>
      </c>
      <c r="Q88" s="84"/>
      <c r="R88" s="84"/>
      <c r="S88" s="84"/>
      <c r="T88" s="84" t="s">
        <v>59</v>
      </c>
      <c r="U88" s="84"/>
      <c r="V88" s="84"/>
      <c r="W88" s="84" t="s">
        <v>60</v>
      </c>
      <c r="X88" s="84"/>
      <c r="Y88" s="84"/>
      <c r="Z88" s="84"/>
      <c r="AA88" s="84"/>
      <c r="AB88" s="84"/>
      <c r="AC88" s="84" t="s">
        <v>59</v>
      </c>
      <c r="AD88" s="84"/>
      <c r="AE88" s="84" t="s">
        <v>60</v>
      </c>
      <c r="AF88" s="84"/>
      <c r="AG88" s="84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76"/>
      <c r="AW88" s="76"/>
      <c r="AX88" s="76"/>
      <c r="AY88" s="76"/>
      <c r="AZ88" s="76"/>
      <c r="BA88" s="76"/>
      <c r="BB88" s="76"/>
      <c r="BC88" s="76"/>
    </row>
    <row r="89" spans="1:55" s="81" customFormat="1" ht="12.95" customHeight="1">
      <c r="A89" s="82">
        <v>84</v>
      </c>
      <c r="B89" s="83" t="s">
        <v>142</v>
      </c>
      <c r="C89" s="84"/>
      <c r="D89" s="84"/>
      <c r="E89" s="84"/>
      <c r="F89" s="84"/>
      <c r="G89" s="84"/>
      <c r="H89" s="84"/>
      <c r="I89" s="84"/>
      <c r="J89" s="84"/>
      <c r="K89" s="84"/>
      <c r="L89" s="84" t="s">
        <v>58</v>
      </c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 t="s">
        <v>60</v>
      </c>
      <c r="AB89" s="84"/>
      <c r="AC89" s="84"/>
      <c r="AD89" s="84"/>
      <c r="AE89" s="84"/>
      <c r="AF89" s="84"/>
      <c r="AG89" s="84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76"/>
      <c r="AW89" s="76"/>
      <c r="AX89" s="76"/>
      <c r="AY89" s="76"/>
      <c r="AZ89" s="76"/>
      <c r="BA89" s="76"/>
      <c r="BB89" s="76"/>
      <c r="BC89" s="76"/>
    </row>
    <row r="90" spans="1:55" s="81" customFormat="1" ht="12.95" customHeight="1">
      <c r="A90" s="82">
        <v>85</v>
      </c>
      <c r="B90" s="83" t="s">
        <v>143</v>
      </c>
      <c r="C90" s="84"/>
      <c r="D90" s="84"/>
      <c r="E90" s="84"/>
      <c r="F90" s="84"/>
      <c r="G90" s="84"/>
      <c r="H90" s="85" t="s">
        <v>60</v>
      </c>
      <c r="I90" s="84"/>
      <c r="J90" s="84"/>
      <c r="K90" s="85" t="s">
        <v>58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 t="s">
        <v>59</v>
      </c>
      <c r="AA90" s="84"/>
      <c r="AB90" s="84"/>
      <c r="AC90" s="84"/>
      <c r="AD90" s="84"/>
      <c r="AE90" s="84"/>
      <c r="AF90" s="84"/>
      <c r="AG90" s="84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76"/>
      <c r="AW90" s="76"/>
      <c r="AX90" s="76"/>
      <c r="AY90" s="76"/>
      <c r="AZ90" s="76"/>
      <c r="BA90" s="76"/>
      <c r="BB90" s="76"/>
      <c r="BC90" s="76"/>
    </row>
    <row r="91" spans="1:55" s="81" customFormat="1" ht="12.95" customHeight="1">
      <c r="A91" s="82">
        <v>86</v>
      </c>
      <c r="B91" s="83" t="s">
        <v>144</v>
      </c>
      <c r="C91" s="84"/>
      <c r="D91" s="84" t="s">
        <v>58</v>
      </c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76"/>
      <c r="AW91" s="76"/>
      <c r="AX91" s="76"/>
      <c r="AY91" s="76"/>
      <c r="AZ91" s="76"/>
      <c r="BA91" s="76"/>
      <c r="BB91" s="76"/>
      <c r="BC91" s="76"/>
    </row>
    <row r="92" spans="1:55" s="81" customFormat="1" ht="12.95" customHeight="1">
      <c r="A92" s="82">
        <v>87</v>
      </c>
      <c r="B92" s="83" t="s">
        <v>145</v>
      </c>
      <c r="C92" s="84"/>
      <c r="D92" s="84"/>
      <c r="E92" s="84"/>
      <c r="F92" s="84"/>
      <c r="G92" s="84"/>
      <c r="H92" s="84"/>
      <c r="I92" s="85" t="s">
        <v>58</v>
      </c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76"/>
      <c r="AW92" s="76"/>
      <c r="AX92" s="76"/>
      <c r="AY92" s="76"/>
      <c r="AZ92" s="76"/>
      <c r="BA92" s="76"/>
      <c r="BB92" s="76"/>
      <c r="BC92" s="76"/>
    </row>
    <row r="93" spans="1:55" s="81" customFormat="1" ht="12.95" customHeight="1">
      <c r="A93" s="82">
        <v>88</v>
      </c>
      <c r="B93" s="83" t="s">
        <v>146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 t="s">
        <v>59</v>
      </c>
      <c r="Z93" s="84"/>
      <c r="AA93" s="84"/>
      <c r="AB93" s="84"/>
      <c r="AC93" s="84"/>
      <c r="AD93" s="84"/>
      <c r="AE93" s="84"/>
      <c r="AF93" s="84"/>
      <c r="AG93" s="84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76"/>
      <c r="AW93" s="76"/>
      <c r="AX93" s="76"/>
      <c r="AY93" s="76"/>
      <c r="AZ93" s="76"/>
      <c r="BA93" s="76"/>
      <c r="BB93" s="76"/>
      <c r="BC93" s="76"/>
    </row>
    <row r="94" spans="1:55" s="81" customFormat="1" ht="12.95" customHeight="1">
      <c r="A94" s="82">
        <v>89</v>
      </c>
      <c r="B94" s="83" t="s">
        <v>147</v>
      </c>
      <c r="C94" s="84"/>
      <c r="D94" s="84"/>
      <c r="E94" s="84"/>
      <c r="F94" s="84"/>
      <c r="G94" s="84"/>
      <c r="H94" s="85" t="s">
        <v>60</v>
      </c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76"/>
      <c r="AW94" s="76"/>
      <c r="AX94" s="76"/>
      <c r="AY94" s="76"/>
      <c r="AZ94" s="76"/>
      <c r="BA94" s="76"/>
      <c r="BB94" s="76"/>
      <c r="BC94" s="76"/>
    </row>
    <row r="95" spans="1:55" s="81" customFormat="1" ht="12.95" customHeight="1">
      <c r="A95" s="82">
        <v>90</v>
      </c>
      <c r="B95" s="83" t="s">
        <v>148</v>
      </c>
      <c r="C95" s="84"/>
      <c r="D95" s="84"/>
      <c r="E95" s="84"/>
      <c r="F95" s="85" t="s">
        <v>58</v>
      </c>
      <c r="G95" s="84"/>
      <c r="H95" s="84"/>
      <c r="I95" s="84"/>
      <c r="J95" s="84"/>
      <c r="K95" s="84"/>
      <c r="L95" s="84"/>
      <c r="M95" s="84"/>
      <c r="N95" s="84"/>
      <c r="O95" s="84"/>
      <c r="P95" s="84" t="s">
        <v>60</v>
      </c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76"/>
      <c r="AW95" s="76"/>
      <c r="AX95" s="76"/>
      <c r="AY95" s="76"/>
      <c r="AZ95" s="76"/>
      <c r="BA95" s="76"/>
      <c r="BB95" s="76"/>
      <c r="BC95" s="76"/>
    </row>
    <row r="96" spans="1:55" s="81" customFormat="1" ht="12.95" customHeight="1">
      <c r="A96" s="82">
        <v>91</v>
      </c>
      <c r="B96" s="83" t="s">
        <v>149</v>
      </c>
      <c r="C96" s="84"/>
      <c r="D96" s="84"/>
      <c r="E96" s="84"/>
      <c r="F96" s="84"/>
      <c r="G96" s="84"/>
      <c r="H96" s="84"/>
      <c r="I96" s="85" t="s">
        <v>60</v>
      </c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76"/>
      <c r="AW96" s="76"/>
      <c r="AX96" s="76"/>
      <c r="AY96" s="76"/>
      <c r="AZ96" s="76"/>
      <c r="BA96" s="76"/>
      <c r="BB96" s="76"/>
      <c r="BC96" s="76"/>
    </row>
    <row r="97" spans="1:55" s="81" customFormat="1" ht="12.95" customHeight="1">
      <c r="A97" s="82">
        <v>92</v>
      </c>
      <c r="B97" s="83" t="s">
        <v>150</v>
      </c>
      <c r="C97" s="84"/>
      <c r="D97" s="84" t="s">
        <v>60</v>
      </c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 t="s">
        <v>59</v>
      </c>
      <c r="Q97" s="84"/>
      <c r="R97" s="84"/>
      <c r="S97" s="84"/>
      <c r="T97" s="84"/>
      <c r="U97" s="84"/>
      <c r="V97" s="84"/>
      <c r="W97" s="84"/>
      <c r="X97" s="84"/>
      <c r="Y97" s="84" t="s">
        <v>59</v>
      </c>
      <c r="Z97" s="84"/>
      <c r="AA97" s="84" t="s">
        <v>59</v>
      </c>
      <c r="AB97" s="84"/>
      <c r="AC97" s="84"/>
      <c r="AD97" s="84"/>
      <c r="AE97" s="84"/>
      <c r="AF97" s="84"/>
      <c r="AG97" s="84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89"/>
      <c r="AU97" s="89"/>
      <c r="AV97" s="76"/>
      <c r="AW97" s="76"/>
      <c r="AX97" s="76"/>
      <c r="AY97" s="76"/>
      <c r="AZ97" s="76"/>
      <c r="BA97" s="76"/>
      <c r="BB97" s="76"/>
      <c r="BC97" s="76"/>
    </row>
    <row r="98" spans="1:55" s="81" customFormat="1" ht="12.95" hidden="1" customHeight="1">
      <c r="A98" s="82">
        <v>93</v>
      </c>
      <c r="B98" s="83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76"/>
      <c r="AW98" s="76"/>
      <c r="AX98" s="76"/>
      <c r="AY98" s="76"/>
      <c r="AZ98" s="76"/>
      <c r="BA98" s="76"/>
      <c r="BB98" s="76"/>
      <c r="BC98" s="76"/>
    </row>
    <row r="99" spans="1:55" s="81" customFormat="1" ht="12.95" hidden="1" customHeight="1">
      <c r="A99" s="82">
        <v>94</v>
      </c>
      <c r="B99" s="83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76"/>
      <c r="AW99" s="76"/>
      <c r="AX99" s="76"/>
      <c r="AY99" s="76"/>
      <c r="AZ99" s="76"/>
      <c r="BA99" s="76"/>
      <c r="BB99" s="76"/>
      <c r="BC99" s="76"/>
    </row>
    <row r="100" spans="1:55" s="81" customFormat="1" ht="12.95" hidden="1" customHeight="1">
      <c r="A100" s="82">
        <v>95</v>
      </c>
      <c r="B100" s="83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76"/>
      <c r="AW100" s="76"/>
      <c r="AX100" s="76"/>
      <c r="AY100" s="76"/>
      <c r="AZ100" s="76"/>
      <c r="BA100" s="76"/>
      <c r="BB100" s="76"/>
      <c r="BC100" s="76"/>
    </row>
    <row r="101" spans="1:55" s="81" customFormat="1" ht="12.95" hidden="1" customHeight="1">
      <c r="A101" s="82">
        <v>96</v>
      </c>
      <c r="B101" s="83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76"/>
      <c r="AW101" s="76"/>
      <c r="AX101" s="76"/>
      <c r="AY101" s="76"/>
      <c r="AZ101" s="76"/>
      <c r="BA101" s="76"/>
      <c r="BB101" s="76"/>
      <c r="BC101" s="76"/>
    </row>
    <row r="102" spans="1:55" s="81" customFormat="1" ht="12.95" hidden="1" customHeight="1">
      <c r="A102" s="82">
        <v>97</v>
      </c>
      <c r="B102" s="83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76"/>
      <c r="AW102" s="76"/>
      <c r="AX102" s="76"/>
      <c r="AY102" s="76"/>
      <c r="AZ102" s="76"/>
      <c r="BA102" s="76"/>
      <c r="BB102" s="76"/>
      <c r="BC102" s="76"/>
    </row>
    <row r="103" spans="1:55" s="81" customFormat="1" ht="12.95" hidden="1" customHeight="1">
      <c r="A103" s="82">
        <v>98</v>
      </c>
      <c r="B103" s="83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76"/>
      <c r="AW103" s="76"/>
      <c r="AX103" s="76"/>
      <c r="AY103" s="76"/>
      <c r="AZ103" s="76"/>
      <c r="BA103" s="76"/>
      <c r="BB103" s="76"/>
      <c r="BC103" s="76"/>
    </row>
    <row r="104" spans="1:55" s="81" customFormat="1" ht="12.95" hidden="1" customHeight="1">
      <c r="A104" s="82">
        <v>99</v>
      </c>
      <c r="B104" s="83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9" t="s">
        <v>48</v>
      </c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76"/>
      <c r="AW104" s="76"/>
      <c r="AX104" s="76"/>
      <c r="AY104" s="76"/>
      <c r="AZ104" s="76"/>
      <c r="BA104" s="76"/>
      <c r="BB104" s="76"/>
      <c r="BC104" s="76"/>
    </row>
    <row r="105" spans="1:55" s="81" customFormat="1" ht="12.95" hidden="1" customHeight="1">
      <c r="A105" s="82">
        <v>100</v>
      </c>
      <c r="B105" s="83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76"/>
      <c r="AW105" s="76"/>
      <c r="AX105" s="76"/>
      <c r="AY105" s="76"/>
      <c r="AZ105" s="76"/>
      <c r="BA105" s="76"/>
      <c r="BB105" s="76"/>
      <c r="BC105" s="76"/>
    </row>
    <row r="106" spans="1:55" s="81" customFormat="1" ht="12.95" hidden="1" customHeight="1">
      <c r="A106" s="82">
        <v>101</v>
      </c>
      <c r="B106" s="83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  <c r="AT106" s="89"/>
      <c r="AU106" s="89"/>
      <c r="AV106" s="76"/>
      <c r="AW106" s="76"/>
      <c r="AX106" s="76"/>
      <c r="AY106" s="76"/>
      <c r="AZ106" s="76"/>
      <c r="BA106" s="76"/>
      <c r="BB106" s="76"/>
      <c r="BC106" s="76"/>
    </row>
    <row r="107" spans="1:55" s="81" customFormat="1" ht="12.95" hidden="1" customHeight="1">
      <c r="A107" s="82">
        <v>102</v>
      </c>
      <c r="B107" s="83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76"/>
      <c r="AW107" s="76"/>
      <c r="AX107" s="76"/>
      <c r="AY107" s="76"/>
      <c r="AZ107" s="76"/>
      <c r="BA107" s="76"/>
      <c r="BB107" s="76"/>
      <c r="BC107" s="76"/>
    </row>
    <row r="108" spans="1:55" s="81" customFormat="1" ht="12.95" hidden="1" customHeight="1">
      <c r="A108" s="82">
        <v>103</v>
      </c>
      <c r="B108" s="83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76"/>
      <c r="AW108" s="76"/>
      <c r="AX108" s="76"/>
      <c r="AY108" s="76"/>
      <c r="AZ108" s="76"/>
      <c r="BA108" s="76"/>
      <c r="BB108" s="76"/>
      <c r="BC108" s="76"/>
    </row>
    <row r="109" spans="1:55" s="81" customFormat="1" ht="12.95" hidden="1" customHeight="1">
      <c r="A109" s="82">
        <v>104</v>
      </c>
      <c r="B109" s="83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76"/>
      <c r="AW109" s="76"/>
      <c r="AX109" s="76"/>
      <c r="AY109" s="76"/>
      <c r="AZ109" s="76"/>
      <c r="BA109" s="76"/>
      <c r="BB109" s="76"/>
      <c r="BC109" s="76"/>
    </row>
    <row r="110" spans="1:55" s="81" customFormat="1" ht="12.95" hidden="1" customHeight="1">
      <c r="A110" s="82">
        <v>105</v>
      </c>
      <c r="B110" s="83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76"/>
      <c r="AW110" s="76"/>
      <c r="AX110" s="76"/>
      <c r="AY110" s="76"/>
      <c r="AZ110" s="76"/>
      <c r="BA110" s="76"/>
      <c r="BB110" s="76"/>
      <c r="BC110" s="76"/>
    </row>
    <row r="111" spans="1:55" s="81" customFormat="1" ht="12.95" hidden="1" customHeight="1">
      <c r="A111" s="82">
        <v>106</v>
      </c>
      <c r="B111" s="83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76"/>
      <c r="AW111" s="76"/>
      <c r="AX111" s="76"/>
      <c r="AY111" s="76"/>
      <c r="AZ111" s="76"/>
      <c r="BA111" s="76"/>
      <c r="BB111" s="76"/>
      <c r="BC111" s="76"/>
    </row>
    <row r="112" spans="1:55" s="81" customFormat="1" ht="12.95" hidden="1" customHeight="1">
      <c r="A112" s="82">
        <v>107</v>
      </c>
      <c r="B112" s="83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76"/>
      <c r="AW112" s="76"/>
      <c r="AX112" s="76"/>
      <c r="AY112" s="76"/>
      <c r="AZ112" s="76"/>
      <c r="BA112" s="76"/>
      <c r="BB112" s="76"/>
      <c r="BC112" s="76"/>
    </row>
    <row r="113" spans="1:55" s="81" customFormat="1" ht="12.95" hidden="1" customHeight="1">
      <c r="A113" s="82">
        <v>108</v>
      </c>
      <c r="B113" s="83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76"/>
      <c r="AW113" s="76"/>
      <c r="AX113" s="76"/>
      <c r="AY113" s="76"/>
      <c r="AZ113" s="76"/>
      <c r="BA113" s="76"/>
      <c r="BB113" s="76"/>
      <c r="BC113" s="76"/>
    </row>
    <row r="114" spans="1:55" s="81" customFormat="1" ht="12.95" hidden="1" customHeight="1">
      <c r="A114" s="82">
        <v>109</v>
      </c>
      <c r="B114" s="83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76"/>
      <c r="AW114" s="76"/>
      <c r="AX114" s="76"/>
      <c r="AY114" s="76"/>
      <c r="AZ114" s="76"/>
      <c r="BA114" s="76"/>
      <c r="BB114" s="76"/>
      <c r="BC114" s="76"/>
    </row>
    <row r="115" spans="1:55" s="81" customFormat="1" ht="12.95" hidden="1" customHeight="1">
      <c r="A115" s="82">
        <v>110</v>
      </c>
      <c r="B115" s="83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76"/>
      <c r="AW115" s="76"/>
      <c r="AX115" s="76"/>
      <c r="AY115" s="76"/>
      <c r="AZ115" s="76"/>
      <c r="BA115" s="76"/>
      <c r="BB115" s="76"/>
      <c r="BC115" s="76"/>
    </row>
    <row r="116" spans="1:55" s="81" customFormat="1" ht="12.95" hidden="1" customHeight="1">
      <c r="A116" s="82">
        <v>111</v>
      </c>
      <c r="B116" s="83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76"/>
      <c r="AW116" s="76"/>
      <c r="AX116" s="76"/>
      <c r="AY116" s="76"/>
      <c r="AZ116" s="76"/>
      <c r="BA116" s="76"/>
      <c r="BB116" s="76"/>
      <c r="BC116" s="76"/>
    </row>
    <row r="117" spans="1:55" s="81" customFormat="1" ht="12.95" customHeight="1">
      <c r="A117" s="82">
        <v>93</v>
      </c>
      <c r="B117" s="83" t="s">
        <v>151</v>
      </c>
      <c r="C117" s="84"/>
      <c r="D117" s="84"/>
      <c r="E117" s="84"/>
      <c r="F117" s="84"/>
      <c r="G117" s="84"/>
      <c r="H117" s="85" t="s">
        <v>60</v>
      </c>
      <c r="I117" s="84"/>
      <c r="J117" s="84"/>
      <c r="K117" s="84"/>
      <c r="L117" s="84"/>
      <c r="M117" s="84"/>
      <c r="N117" s="84"/>
      <c r="O117" s="84"/>
      <c r="P117" s="84"/>
      <c r="Q117" s="84"/>
      <c r="R117" s="84" t="s">
        <v>58</v>
      </c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76"/>
      <c r="AW117" s="76"/>
      <c r="AX117" s="76"/>
      <c r="AY117" s="76"/>
      <c r="AZ117" s="76"/>
      <c r="BA117" s="76"/>
      <c r="BB117" s="76"/>
      <c r="BC117" s="76"/>
    </row>
    <row r="118" spans="1:55" s="81" customFormat="1" ht="15" customHeight="1">
      <c r="A118" s="93"/>
      <c r="B118" s="94" t="s">
        <v>152</v>
      </c>
      <c r="C118" s="84">
        <f t="shared" ref="C118:AG118" si="0">COUNTA(C7:C117)</f>
        <v>11</v>
      </c>
      <c r="D118" s="84">
        <f t="shared" si="0"/>
        <v>17</v>
      </c>
      <c r="E118" s="84">
        <f t="shared" si="0"/>
        <v>0</v>
      </c>
      <c r="F118" s="84">
        <f t="shared" si="0"/>
        <v>11</v>
      </c>
      <c r="G118" s="84">
        <f t="shared" si="0"/>
        <v>0</v>
      </c>
      <c r="H118" s="84">
        <f t="shared" si="0"/>
        <v>15</v>
      </c>
      <c r="I118" s="84">
        <f t="shared" si="0"/>
        <v>17</v>
      </c>
      <c r="J118" s="84">
        <f t="shared" si="0"/>
        <v>16</v>
      </c>
      <c r="K118" s="84">
        <f t="shared" si="0"/>
        <v>18</v>
      </c>
      <c r="L118" s="84">
        <f t="shared" si="0"/>
        <v>14</v>
      </c>
      <c r="M118" s="84">
        <f t="shared" si="0"/>
        <v>0</v>
      </c>
      <c r="N118" s="84">
        <f t="shared" si="0"/>
        <v>0</v>
      </c>
      <c r="O118" s="84">
        <f t="shared" si="0"/>
        <v>21</v>
      </c>
      <c r="P118" s="84">
        <f t="shared" si="0"/>
        <v>24</v>
      </c>
      <c r="Q118" s="84">
        <f t="shared" si="0"/>
        <v>13</v>
      </c>
      <c r="R118" s="84">
        <f t="shared" si="0"/>
        <v>14</v>
      </c>
      <c r="S118" s="84">
        <f t="shared" si="0"/>
        <v>14</v>
      </c>
      <c r="T118" s="84">
        <f t="shared" si="0"/>
        <v>24</v>
      </c>
      <c r="U118" s="84">
        <f t="shared" si="0"/>
        <v>0</v>
      </c>
      <c r="V118" s="84">
        <f t="shared" si="0"/>
        <v>18</v>
      </c>
      <c r="W118" s="84">
        <f t="shared" si="0"/>
        <v>18</v>
      </c>
      <c r="X118" s="84">
        <f t="shared" si="0"/>
        <v>20</v>
      </c>
      <c r="Y118" s="84">
        <f t="shared" si="0"/>
        <v>20</v>
      </c>
      <c r="Z118" s="84">
        <f t="shared" si="0"/>
        <v>16</v>
      </c>
      <c r="AA118" s="84">
        <f t="shared" si="0"/>
        <v>16</v>
      </c>
      <c r="AB118" s="84">
        <f t="shared" si="0"/>
        <v>0</v>
      </c>
      <c r="AC118" s="84">
        <f t="shared" si="0"/>
        <v>26</v>
      </c>
      <c r="AD118" s="84">
        <f t="shared" si="0"/>
        <v>18</v>
      </c>
      <c r="AE118" s="84">
        <f t="shared" si="0"/>
        <v>12</v>
      </c>
      <c r="AF118" s="84">
        <f t="shared" si="0"/>
        <v>15</v>
      </c>
      <c r="AG118" s="84">
        <f t="shared" si="0"/>
        <v>0</v>
      </c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76"/>
      <c r="AW118" s="76"/>
      <c r="AX118" s="76"/>
      <c r="AY118" s="76"/>
      <c r="AZ118" s="76"/>
      <c r="BA118" s="76"/>
      <c r="BB118" s="76"/>
      <c r="BC118" s="76"/>
    </row>
    <row r="119" spans="1:55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</row>
    <row r="120" spans="1:55">
      <c r="A120" s="85" t="s">
        <v>60</v>
      </c>
      <c r="B120" s="95" t="s">
        <v>153</v>
      </c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 t="s">
        <v>48</v>
      </c>
      <c r="X120" s="74"/>
      <c r="Y120" s="74"/>
      <c r="Z120" s="74" t="s">
        <v>48</v>
      </c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</row>
    <row r="121" spans="1:55">
      <c r="A121" s="85" t="s">
        <v>59</v>
      </c>
      <c r="B121" s="95" t="s">
        <v>154</v>
      </c>
      <c r="C121" s="74"/>
      <c r="D121" s="74"/>
      <c r="E121" s="74"/>
      <c r="F121" s="74"/>
      <c r="G121" s="74"/>
      <c r="H121" s="74"/>
      <c r="I121" s="74"/>
      <c r="J121" s="74"/>
      <c r="K121" s="74"/>
      <c r="L121" s="74" t="s">
        <v>48</v>
      </c>
      <c r="M121" s="74"/>
      <c r="N121" s="74"/>
      <c r="O121" s="74" t="s">
        <v>48</v>
      </c>
      <c r="P121" s="74"/>
      <c r="Q121" s="74" t="s">
        <v>48</v>
      </c>
      <c r="R121" s="74"/>
      <c r="S121" s="74"/>
      <c r="T121" s="74"/>
      <c r="U121" s="74"/>
      <c r="V121" s="74"/>
      <c r="W121" s="74"/>
      <c r="X121" s="74" t="s">
        <v>48</v>
      </c>
      <c r="Y121" s="74"/>
      <c r="Z121" s="74"/>
      <c r="AA121" s="74" t="s">
        <v>48</v>
      </c>
      <c r="AB121" s="74"/>
      <c r="AC121" s="74"/>
      <c r="AD121" s="74"/>
      <c r="AE121" s="74"/>
      <c r="AF121" s="74"/>
      <c r="AG121" s="74"/>
      <c r="AH121" s="74"/>
      <c r="AI121" s="74" t="s">
        <v>48</v>
      </c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</row>
    <row r="122" spans="1:55">
      <c r="A122" s="85" t="s">
        <v>58</v>
      </c>
      <c r="B122" s="95" t="s">
        <v>155</v>
      </c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</row>
    <row r="123" spans="1:55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 t="s">
        <v>48</v>
      </c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 t="s">
        <v>48</v>
      </c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</row>
    <row r="124" spans="1:55" ht="15.75">
      <c r="A124" s="73" t="s">
        <v>46</v>
      </c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</row>
    <row r="125" spans="1:55">
      <c r="A125" s="75" t="s">
        <v>48</v>
      </c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</row>
    <row r="126" spans="1:55">
      <c r="A126" s="76"/>
      <c r="B126" s="77" t="s">
        <v>49</v>
      </c>
      <c r="C126" s="74" t="s">
        <v>50</v>
      </c>
      <c r="D126" s="78" t="s">
        <v>29</v>
      </c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</row>
    <row r="127" spans="1:55">
      <c r="A127" s="77"/>
      <c r="B127" s="77" t="s">
        <v>51</v>
      </c>
      <c r="C127" s="74" t="s">
        <v>50</v>
      </c>
      <c r="D127" s="78" t="s">
        <v>52</v>
      </c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 t="s">
        <v>48</v>
      </c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</row>
    <row r="128" spans="1:55">
      <c r="A128" s="77"/>
      <c r="B128" s="77" t="s">
        <v>53</v>
      </c>
      <c r="C128" s="74" t="s">
        <v>50</v>
      </c>
      <c r="D128" s="78" t="s">
        <v>156</v>
      </c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</row>
    <row r="129" spans="1:55">
      <c r="A129" s="79" t="s">
        <v>55</v>
      </c>
      <c r="B129" s="79" t="s">
        <v>56</v>
      </c>
      <c r="C129" s="79">
        <v>1</v>
      </c>
      <c r="D129" s="79">
        <v>2</v>
      </c>
      <c r="E129" s="79">
        <v>3</v>
      </c>
      <c r="F129" s="79">
        <v>4</v>
      </c>
      <c r="G129" s="79">
        <v>5</v>
      </c>
      <c r="H129" s="79">
        <v>6</v>
      </c>
      <c r="I129" s="79">
        <v>7</v>
      </c>
      <c r="J129" s="79">
        <v>8</v>
      </c>
      <c r="K129" s="79">
        <v>9</v>
      </c>
      <c r="L129" s="79">
        <v>10</v>
      </c>
      <c r="M129" s="79">
        <v>11</v>
      </c>
      <c r="N129" s="79">
        <v>12</v>
      </c>
      <c r="O129" s="79">
        <v>13</v>
      </c>
      <c r="P129" s="79">
        <v>14</v>
      </c>
      <c r="Q129" s="79">
        <v>15</v>
      </c>
      <c r="R129" s="79">
        <v>16</v>
      </c>
      <c r="S129" s="79">
        <v>17</v>
      </c>
      <c r="T129" s="79">
        <v>18</v>
      </c>
      <c r="U129" s="79">
        <v>19</v>
      </c>
      <c r="V129" s="79">
        <v>20</v>
      </c>
      <c r="W129" s="79">
        <v>21</v>
      </c>
      <c r="X129" s="79">
        <v>22</v>
      </c>
      <c r="Y129" s="79">
        <v>23</v>
      </c>
      <c r="Z129" s="79">
        <v>24</v>
      </c>
      <c r="AA129" s="79">
        <v>25</v>
      </c>
      <c r="AB129" s="79">
        <v>26</v>
      </c>
      <c r="AC129" s="79">
        <v>27</v>
      </c>
      <c r="AD129" s="79">
        <v>28</v>
      </c>
      <c r="AE129" s="79">
        <v>29</v>
      </c>
      <c r="AF129" s="79"/>
      <c r="AG129" s="79">
        <v>30</v>
      </c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</row>
    <row r="130" spans="1:55">
      <c r="A130" s="82">
        <v>1</v>
      </c>
      <c r="B130" s="83" t="s">
        <v>157</v>
      </c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 t="s">
        <v>60</v>
      </c>
      <c r="Z130" s="84"/>
      <c r="AA130" s="84"/>
      <c r="AB130" s="84"/>
      <c r="AC130" s="84"/>
      <c r="AD130" s="84"/>
      <c r="AE130" s="84"/>
      <c r="AF130" s="84"/>
      <c r="AG130" s="8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</row>
    <row r="131" spans="1:55">
      <c r="A131" s="82">
        <v>2</v>
      </c>
      <c r="B131" s="83" t="s">
        <v>158</v>
      </c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74"/>
      <c r="AI131" s="74" t="s">
        <v>48</v>
      </c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</row>
    <row r="132" spans="1:55">
      <c r="A132" s="82">
        <v>3</v>
      </c>
      <c r="B132" s="83" t="s">
        <v>159</v>
      </c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 t="s">
        <v>59</v>
      </c>
      <c r="Q132" s="84"/>
      <c r="R132" s="84"/>
      <c r="S132" s="84" t="s">
        <v>60</v>
      </c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</row>
    <row r="133" spans="1:55">
      <c r="A133" s="82">
        <v>4</v>
      </c>
      <c r="B133" s="83" t="s">
        <v>160</v>
      </c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 t="s">
        <v>60</v>
      </c>
      <c r="Q133" s="84"/>
      <c r="R133" s="84"/>
      <c r="S133" s="84"/>
      <c r="T133" s="84"/>
      <c r="U133" s="84"/>
      <c r="V133" s="84"/>
      <c r="W133" s="84" t="s">
        <v>60</v>
      </c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</row>
    <row r="134" spans="1:55">
      <c r="A134" s="82">
        <v>5</v>
      </c>
      <c r="B134" s="83" t="s">
        <v>161</v>
      </c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</row>
    <row r="135" spans="1:55">
      <c r="A135" s="82">
        <v>6</v>
      </c>
      <c r="B135" s="83" t="s">
        <v>162</v>
      </c>
      <c r="C135" s="85" t="s">
        <v>60</v>
      </c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</row>
    <row r="136" spans="1:55" ht="20.25" customHeight="1">
      <c r="A136" s="82">
        <v>7</v>
      </c>
      <c r="B136" s="83" t="s">
        <v>163</v>
      </c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</row>
    <row r="137" spans="1:55" ht="15" customHeight="1">
      <c r="A137" s="82">
        <v>8</v>
      </c>
      <c r="B137" s="83" t="s">
        <v>164</v>
      </c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 t="s">
        <v>60</v>
      </c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</row>
    <row r="138" spans="1:55">
      <c r="A138" s="82">
        <v>9</v>
      </c>
      <c r="B138" s="83" t="s">
        <v>165</v>
      </c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 t="s">
        <v>60</v>
      </c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</row>
    <row r="139" spans="1:55">
      <c r="A139" s="82">
        <v>10</v>
      </c>
      <c r="B139" s="83" t="s">
        <v>76</v>
      </c>
      <c r="C139" s="84"/>
      <c r="D139" s="84"/>
      <c r="E139" s="84"/>
      <c r="F139" s="84"/>
      <c r="G139" s="84"/>
      <c r="H139" s="84"/>
      <c r="I139" s="84"/>
      <c r="J139" s="84"/>
      <c r="K139" s="85" t="s">
        <v>60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</row>
    <row r="140" spans="1:55">
      <c r="A140" s="82">
        <v>11</v>
      </c>
      <c r="B140" s="83" t="s">
        <v>166</v>
      </c>
      <c r="C140" s="84"/>
      <c r="D140" s="84"/>
      <c r="E140" s="84"/>
      <c r="F140" s="84"/>
      <c r="G140" s="84"/>
      <c r="H140" s="84"/>
      <c r="I140" s="84"/>
      <c r="J140" s="84" t="s">
        <v>60</v>
      </c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</row>
    <row r="141" spans="1:55">
      <c r="A141" s="82">
        <v>12</v>
      </c>
      <c r="B141" s="83" t="s">
        <v>167</v>
      </c>
      <c r="C141" s="84"/>
      <c r="D141" s="84" t="s">
        <v>58</v>
      </c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</row>
    <row r="142" spans="1:55">
      <c r="A142" s="82">
        <v>13</v>
      </c>
      <c r="B142" s="83" t="s">
        <v>168</v>
      </c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 t="s">
        <v>60</v>
      </c>
      <c r="X142" s="84"/>
      <c r="Y142" s="84"/>
      <c r="Z142" s="84"/>
      <c r="AA142" s="84"/>
      <c r="AB142" s="84"/>
      <c r="AC142" s="84"/>
      <c r="AD142" s="84"/>
      <c r="AE142" s="84" t="s">
        <v>60</v>
      </c>
      <c r="AF142" s="84"/>
      <c r="AG142" s="8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</row>
    <row r="143" spans="1:55">
      <c r="A143" s="82">
        <v>14</v>
      </c>
      <c r="B143" s="83" t="s">
        <v>78</v>
      </c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</row>
    <row r="144" spans="1:55">
      <c r="A144" s="82">
        <v>15</v>
      </c>
      <c r="B144" s="83" t="s">
        <v>169</v>
      </c>
      <c r="C144" s="84"/>
      <c r="D144" s="85" t="s">
        <v>60</v>
      </c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 t="s">
        <v>48</v>
      </c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</row>
    <row r="145" spans="1:55">
      <c r="A145" s="82">
        <v>16</v>
      </c>
      <c r="B145" s="83" t="s">
        <v>170</v>
      </c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 t="s">
        <v>58</v>
      </c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</row>
    <row r="146" spans="1:55">
      <c r="A146" s="82">
        <v>17</v>
      </c>
      <c r="B146" s="83" t="s">
        <v>171</v>
      </c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 t="s">
        <v>60</v>
      </c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</row>
    <row r="147" spans="1:55">
      <c r="A147" s="82">
        <v>18</v>
      </c>
      <c r="B147" s="83" t="s">
        <v>172</v>
      </c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</row>
    <row r="148" spans="1:55">
      <c r="A148" s="82">
        <v>19</v>
      </c>
      <c r="B148" s="83" t="s">
        <v>173</v>
      </c>
      <c r="C148" s="84"/>
      <c r="D148" s="84"/>
      <c r="E148" s="84"/>
      <c r="F148" s="84"/>
      <c r="G148" s="84"/>
      <c r="H148" s="84"/>
      <c r="I148" s="84"/>
      <c r="J148" s="84"/>
      <c r="K148" s="85" t="s">
        <v>58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 t="s">
        <v>58</v>
      </c>
      <c r="W148" s="84"/>
      <c r="X148" s="84"/>
      <c r="Y148" s="84"/>
      <c r="Z148" s="84"/>
      <c r="AA148" s="84"/>
      <c r="AB148" s="84"/>
      <c r="AC148" s="84" t="s">
        <v>58</v>
      </c>
      <c r="AD148" s="84"/>
      <c r="AE148" s="84"/>
      <c r="AF148" s="84"/>
      <c r="AG148" s="8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</row>
    <row r="149" spans="1:55">
      <c r="A149" s="82">
        <v>20</v>
      </c>
      <c r="B149" s="83" t="s">
        <v>174</v>
      </c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</row>
    <row r="150" spans="1:55">
      <c r="A150" s="82">
        <v>21</v>
      </c>
      <c r="B150" s="83" t="s">
        <v>175</v>
      </c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</row>
    <row r="151" spans="1:55">
      <c r="A151" s="82">
        <v>22</v>
      </c>
      <c r="B151" s="83" t="s">
        <v>176</v>
      </c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</row>
    <row r="152" spans="1:55">
      <c r="A152" s="82">
        <v>23</v>
      </c>
      <c r="B152" s="83" t="s">
        <v>91</v>
      </c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</row>
    <row r="153" spans="1:55">
      <c r="A153" s="82">
        <v>24</v>
      </c>
      <c r="B153" s="83" t="s">
        <v>177</v>
      </c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</row>
    <row r="154" spans="1:55">
      <c r="A154" s="82">
        <v>25</v>
      </c>
      <c r="B154" s="83" t="s">
        <v>178</v>
      </c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</row>
    <row r="155" spans="1:55">
      <c r="A155" s="82">
        <v>26</v>
      </c>
      <c r="B155" s="83" t="s">
        <v>179</v>
      </c>
      <c r="C155" s="84"/>
      <c r="D155" s="84"/>
      <c r="E155" s="84"/>
      <c r="F155" s="84"/>
      <c r="G155" s="84"/>
      <c r="H155" s="84"/>
      <c r="I155" s="85" t="s">
        <v>58</v>
      </c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</row>
    <row r="156" spans="1:55">
      <c r="A156" s="82">
        <v>27</v>
      </c>
      <c r="B156" s="83" t="s">
        <v>180</v>
      </c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 t="s">
        <v>60</v>
      </c>
      <c r="Y156" s="84"/>
      <c r="Z156" s="84"/>
      <c r="AA156" s="84"/>
      <c r="AB156" s="84"/>
      <c r="AC156" s="84"/>
      <c r="AD156" s="84"/>
      <c r="AE156" s="84"/>
      <c r="AF156" s="84"/>
      <c r="AG156" s="8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</row>
    <row r="157" spans="1:55">
      <c r="A157" s="82">
        <v>28</v>
      </c>
      <c r="B157" s="83" t="s">
        <v>181</v>
      </c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</row>
    <row r="158" spans="1:55">
      <c r="A158" s="82">
        <v>29</v>
      </c>
      <c r="B158" s="83" t="s">
        <v>94</v>
      </c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</row>
    <row r="159" spans="1:55">
      <c r="A159" s="82">
        <v>30</v>
      </c>
      <c r="B159" s="83" t="s">
        <v>182</v>
      </c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</row>
    <row r="160" spans="1:55">
      <c r="A160" s="82">
        <v>31</v>
      </c>
      <c r="B160" s="83" t="s">
        <v>183</v>
      </c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 t="s">
        <v>60</v>
      </c>
      <c r="AA160" s="84"/>
      <c r="AB160" s="84"/>
      <c r="AC160" s="84"/>
      <c r="AD160" s="84"/>
      <c r="AE160" s="84"/>
      <c r="AF160" s="84"/>
      <c r="AG160" s="8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</row>
    <row r="161" spans="1:55">
      <c r="A161" s="82">
        <v>32</v>
      </c>
      <c r="B161" s="83" t="s">
        <v>184</v>
      </c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</row>
    <row r="162" spans="1:55">
      <c r="A162" s="82">
        <v>33</v>
      </c>
      <c r="B162" s="83" t="s">
        <v>185</v>
      </c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 t="s">
        <v>60</v>
      </c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</row>
    <row r="163" spans="1:55">
      <c r="A163" s="82">
        <v>34</v>
      </c>
      <c r="B163" s="83" t="s">
        <v>186</v>
      </c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</row>
    <row r="164" spans="1:55">
      <c r="A164" s="82">
        <v>35</v>
      </c>
      <c r="B164" s="83" t="s">
        <v>187</v>
      </c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</row>
    <row r="165" spans="1:55">
      <c r="A165" s="82">
        <v>36</v>
      </c>
      <c r="B165" s="83" t="s">
        <v>188</v>
      </c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</row>
    <row r="166" spans="1:55">
      <c r="A166" s="82">
        <v>37</v>
      </c>
      <c r="B166" s="83" t="s">
        <v>189</v>
      </c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 t="s">
        <v>60</v>
      </c>
      <c r="AB166" s="84"/>
      <c r="AC166" s="84"/>
      <c r="AD166" s="84"/>
      <c r="AE166" s="84"/>
      <c r="AF166" s="84"/>
      <c r="AG166" s="8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</row>
    <row r="167" spans="1:55">
      <c r="A167" s="82">
        <v>38</v>
      </c>
      <c r="B167" s="83" t="s">
        <v>96</v>
      </c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</row>
    <row r="168" spans="1:55">
      <c r="A168" s="82">
        <v>39</v>
      </c>
      <c r="B168" s="83" t="s">
        <v>97</v>
      </c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</row>
    <row r="169" spans="1:55">
      <c r="A169" s="82">
        <v>40</v>
      </c>
      <c r="B169" s="83" t="s">
        <v>98</v>
      </c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</row>
    <row r="170" spans="1:55">
      <c r="A170" s="82">
        <v>41</v>
      </c>
      <c r="B170" s="83" t="s">
        <v>100</v>
      </c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</row>
    <row r="171" spans="1:55">
      <c r="A171" s="82">
        <v>42</v>
      </c>
      <c r="B171" s="83" t="s">
        <v>135</v>
      </c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</row>
    <row r="172" spans="1:55">
      <c r="A172" s="82">
        <v>43</v>
      </c>
      <c r="B172" s="83" t="s">
        <v>116</v>
      </c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</row>
    <row r="173" spans="1:55">
      <c r="A173" s="82">
        <v>44</v>
      </c>
      <c r="B173" s="83" t="s">
        <v>130</v>
      </c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</row>
    <row r="174" spans="1:55">
      <c r="A174" s="82">
        <v>45</v>
      </c>
      <c r="B174" s="83" t="s">
        <v>190</v>
      </c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</row>
    <row r="175" spans="1:55">
      <c r="A175" s="82">
        <v>46</v>
      </c>
      <c r="B175" s="83" t="s">
        <v>119</v>
      </c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</row>
    <row r="176" spans="1:55">
      <c r="A176" s="82">
        <v>47</v>
      </c>
      <c r="B176" s="83" t="s">
        <v>104</v>
      </c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</row>
    <row r="177" spans="1:55">
      <c r="A177" s="82">
        <v>48</v>
      </c>
      <c r="B177" s="83" t="s">
        <v>191</v>
      </c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</row>
    <row r="178" spans="1:55">
      <c r="A178" s="82">
        <v>49</v>
      </c>
      <c r="B178" s="83" t="s">
        <v>105</v>
      </c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</row>
    <row r="179" spans="1:55">
      <c r="A179" s="82">
        <v>50</v>
      </c>
      <c r="B179" s="83" t="s">
        <v>192</v>
      </c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</row>
    <row r="180" spans="1:55">
      <c r="A180" s="82">
        <v>51</v>
      </c>
      <c r="B180" s="83" t="s">
        <v>118</v>
      </c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</row>
    <row r="181" spans="1:55">
      <c r="A181" s="82">
        <v>52</v>
      </c>
      <c r="B181" s="83" t="s">
        <v>102</v>
      </c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</row>
    <row r="182" spans="1:55">
      <c r="A182" s="82">
        <v>53</v>
      </c>
      <c r="B182" s="83" t="s">
        <v>134</v>
      </c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</row>
    <row r="183" spans="1:55">
      <c r="A183" s="82">
        <v>54</v>
      </c>
      <c r="B183" s="83" t="s">
        <v>193</v>
      </c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</row>
    <row r="184" spans="1:55">
      <c r="A184" s="82">
        <v>55</v>
      </c>
      <c r="B184" s="83" t="s">
        <v>194</v>
      </c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</row>
    <row r="185" spans="1:55">
      <c r="A185" s="82">
        <v>56</v>
      </c>
      <c r="B185" s="83" t="s">
        <v>149</v>
      </c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</row>
    <row r="186" spans="1:55">
      <c r="A186" s="82">
        <v>57</v>
      </c>
      <c r="B186" s="83" t="s">
        <v>114</v>
      </c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</row>
    <row r="187" spans="1:55">
      <c r="A187" s="82">
        <v>58</v>
      </c>
      <c r="B187" s="83" t="s">
        <v>195</v>
      </c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 t="s">
        <v>60</v>
      </c>
      <c r="AF187" s="84"/>
      <c r="AG187" s="8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</row>
    <row r="188" spans="1:55">
      <c r="A188" s="82">
        <v>59</v>
      </c>
      <c r="B188" s="83" t="s">
        <v>146</v>
      </c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</row>
    <row r="189" spans="1:55">
      <c r="A189" s="82">
        <v>60</v>
      </c>
      <c r="B189" s="83" t="s">
        <v>120</v>
      </c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</row>
    <row r="190" spans="1:55">
      <c r="A190" s="82">
        <v>61</v>
      </c>
      <c r="B190" s="83" t="s">
        <v>110</v>
      </c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</row>
    <row r="191" spans="1:55">
      <c r="A191" s="82">
        <v>62</v>
      </c>
      <c r="B191" s="83" t="s">
        <v>144</v>
      </c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</row>
    <row r="192" spans="1:55">
      <c r="A192" s="82">
        <v>63</v>
      </c>
      <c r="B192" s="83" t="s">
        <v>126</v>
      </c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</row>
    <row r="193" spans="1:55">
      <c r="A193" s="82">
        <v>64</v>
      </c>
      <c r="B193" s="83" t="s">
        <v>196</v>
      </c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</row>
    <row r="194" spans="1:55">
      <c r="A194" s="82">
        <v>65</v>
      </c>
      <c r="B194" s="83" t="s">
        <v>125</v>
      </c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</row>
    <row r="195" spans="1:55">
      <c r="A195" s="82">
        <v>66</v>
      </c>
      <c r="B195" s="83" t="s">
        <v>197</v>
      </c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 t="s">
        <v>60</v>
      </c>
      <c r="Y195" s="84"/>
      <c r="Z195" s="84"/>
      <c r="AA195" s="84"/>
      <c r="AB195" s="84"/>
      <c r="AC195" s="84"/>
      <c r="AD195" s="84"/>
      <c r="AE195" s="84"/>
      <c r="AF195" s="84"/>
      <c r="AG195" s="8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</row>
    <row r="196" spans="1:55">
      <c r="A196" s="82">
        <v>67</v>
      </c>
      <c r="B196" s="83" t="s">
        <v>128</v>
      </c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</row>
    <row r="197" spans="1:55">
      <c r="A197" s="82">
        <v>68</v>
      </c>
      <c r="B197" s="83" t="s">
        <v>112</v>
      </c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</row>
    <row r="198" spans="1:55">
      <c r="A198" s="82">
        <v>69</v>
      </c>
      <c r="B198" s="83" t="s">
        <v>148</v>
      </c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</row>
    <row r="199" spans="1:55">
      <c r="A199" s="82">
        <v>70</v>
      </c>
      <c r="B199" s="83" t="s">
        <v>137</v>
      </c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</row>
    <row r="200" spans="1:55">
      <c r="A200" s="82">
        <v>71</v>
      </c>
      <c r="B200" s="83" t="s">
        <v>143</v>
      </c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</row>
    <row r="201" spans="1:55">
      <c r="A201" s="82">
        <v>72</v>
      </c>
      <c r="B201" s="83" t="s">
        <v>198</v>
      </c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 t="s">
        <v>60</v>
      </c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</row>
    <row r="202" spans="1:55">
      <c r="A202" s="82">
        <v>73</v>
      </c>
      <c r="B202" s="83" t="s">
        <v>199</v>
      </c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</row>
    <row r="203" spans="1:55">
      <c r="A203" s="82">
        <v>74</v>
      </c>
      <c r="B203" s="83" t="s">
        <v>200</v>
      </c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 t="s">
        <v>60</v>
      </c>
      <c r="W203" s="84" t="s">
        <v>58</v>
      </c>
      <c r="X203" s="84"/>
      <c r="Y203" s="84"/>
      <c r="Z203" s="84"/>
      <c r="AA203" s="84"/>
      <c r="AB203" s="84"/>
      <c r="AC203" s="84"/>
      <c r="AD203" s="84"/>
      <c r="AE203" s="84" t="s">
        <v>60</v>
      </c>
      <c r="AF203" s="84"/>
      <c r="AG203" s="8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</row>
    <row r="204" spans="1:55">
      <c r="A204" s="82">
        <v>75</v>
      </c>
      <c r="B204" s="83" t="s">
        <v>142</v>
      </c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</row>
    <row r="205" spans="1:55">
      <c r="A205" s="82">
        <v>76</v>
      </c>
      <c r="B205" s="83" t="s">
        <v>201</v>
      </c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 t="s">
        <v>60</v>
      </c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</row>
    <row r="206" spans="1:55">
      <c r="A206" s="82">
        <v>77</v>
      </c>
      <c r="B206" s="83" t="s">
        <v>202</v>
      </c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</row>
    <row r="207" spans="1:55">
      <c r="A207" s="82">
        <v>78</v>
      </c>
      <c r="B207" s="83" t="s">
        <v>140</v>
      </c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</row>
    <row r="208" spans="1:55">
      <c r="A208" s="82">
        <v>79</v>
      </c>
      <c r="B208" s="83" t="s">
        <v>106</v>
      </c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</row>
    <row r="209" spans="1:55">
      <c r="A209" s="82">
        <v>80</v>
      </c>
      <c r="B209" s="83" t="s">
        <v>117</v>
      </c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</row>
    <row r="210" spans="1:55">
      <c r="A210" s="82">
        <v>81</v>
      </c>
      <c r="B210" s="83" t="s">
        <v>138</v>
      </c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</row>
    <row r="211" spans="1:55">
      <c r="A211" s="82">
        <v>82</v>
      </c>
      <c r="B211" s="83" t="s">
        <v>203</v>
      </c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</row>
    <row r="212" spans="1:55">
      <c r="A212" s="82">
        <v>83</v>
      </c>
      <c r="B212" s="83" t="s">
        <v>113</v>
      </c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</row>
    <row r="213" spans="1:55">
      <c r="A213" s="82">
        <v>84</v>
      </c>
      <c r="B213" s="83" t="s">
        <v>103</v>
      </c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</row>
    <row r="214" spans="1:55">
      <c r="A214" s="82">
        <v>85</v>
      </c>
      <c r="B214" s="83" t="s">
        <v>150</v>
      </c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</row>
    <row r="215" spans="1:55">
      <c r="A215" s="82">
        <v>86</v>
      </c>
      <c r="B215" s="83" t="s">
        <v>204</v>
      </c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</row>
    <row r="216" spans="1:55">
      <c r="A216" s="82">
        <v>87</v>
      </c>
      <c r="B216" s="83" t="s">
        <v>205</v>
      </c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</row>
    <row r="217" spans="1:55">
      <c r="A217" s="82">
        <v>88</v>
      </c>
      <c r="B217" s="83" t="s">
        <v>122</v>
      </c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</row>
    <row r="218" spans="1:55">
      <c r="A218" s="82">
        <v>89</v>
      </c>
      <c r="B218" s="83" t="s">
        <v>206</v>
      </c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</row>
    <row r="219" spans="1:55">
      <c r="A219" s="82">
        <v>90</v>
      </c>
      <c r="B219" s="83" t="s">
        <v>111</v>
      </c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</row>
    <row r="220" spans="1:55">
      <c r="A220" s="82">
        <v>91</v>
      </c>
      <c r="B220" s="83" t="s">
        <v>207</v>
      </c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</row>
    <row r="221" spans="1:55">
      <c r="A221" s="82">
        <v>92</v>
      </c>
      <c r="B221" s="83" t="s">
        <v>131</v>
      </c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</row>
    <row r="222" spans="1:55">
      <c r="A222" s="82">
        <v>93</v>
      </c>
      <c r="B222" s="83" t="s">
        <v>127</v>
      </c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</row>
    <row r="223" spans="1:55">
      <c r="A223" s="82">
        <v>94</v>
      </c>
      <c r="B223" s="83" t="s">
        <v>208</v>
      </c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</row>
    <row r="224" spans="1:55">
      <c r="A224" s="82">
        <v>95</v>
      </c>
      <c r="B224" s="83" t="s">
        <v>139</v>
      </c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</row>
    <row r="225" spans="1:55">
      <c r="A225" s="82">
        <v>96</v>
      </c>
      <c r="B225" s="83" t="s">
        <v>209</v>
      </c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</row>
    <row r="226" spans="1:55">
      <c r="A226" s="82">
        <v>97</v>
      </c>
      <c r="B226" s="83" t="s">
        <v>129</v>
      </c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</row>
    <row r="227" spans="1:55">
      <c r="A227" s="82">
        <v>98</v>
      </c>
      <c r="B227" s="83" t="s">
        <v>210</v>
      </c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</row>
    <row r="228" spans="1:55">
      <c r="A228" s="82">
        <v>99</v>
      </c>
      <c r="B228" s="83" t="s">
        <v>211</v>
      </c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 t="s">
        <v>60</v>
      </c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</row>
    <row r="229" spans="1:55">
      <c r="A229" s="82">
        <v>100</v>
      </c>
      <c r="B229" s="96" t="s">
        <v>212</v>
      </c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 t="s">
        <v>60</v>
      </c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</row>
    <row r="230" spans="1:55">
      <c r="A230" s="82">
        <v>101</v>
      </c>
      <c r="B230" s="96" t="s">
        <v>213</v>
      </c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 t="s">
        <v>60</v>
      </c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</row>
    <row r="231" spans="1:55">
      <c r="A231" s="82"/>
      <c r="B231" s="94" t="s">
        <v>152</v>
      </c>
      <c r="C231" s="84">
        <f t="shared" ref="C231:AE231" si="1">COUNTA(C130:C226)</f>
        <v>1</v>
      </c>
      <c r="D231" s="84">
        <f t="shared" si="1"/>
        <v>2</v>
      </c>
      <c r="E231" s="84">
        <f t="shared" si="1"/>
        <v>0</v>
      </c>
      <c r="F231" s="84">
        <f t="shared" si="1"/>
        <v>0</v>
      </c>
      <c r="G231" s="84">
        <f t="shared" si="1"/>
        <v>0</v>
      </c>
      <c r="H231" s="84">
        <f t="shared" si="1"/>
        <v>0</v>
      </c>
      <c r="I231" s="84">
        <f t="shared" si="1"/>
        <v>1</v>
      </c>
      <c r="J231" s="84">
        <f t="shared" si="1"/>
        <v>1</v>
      </c>
      <c r="K231" s="84">
        <f t="shared" si="1"/>
        <v>2</v>
      </c>
      <c r="L231" s="84">
        <f t="shared" si="1"/>
        <v>0</v>
      </c>
      <c r="M231" s="84">
        <f t="shared" si="1"/>
        <v>0</v>
      </c>
      <c r="N231" s="84">
        <f t="shared" si="1"/>
        <v>0</v>
      </c>
      <c r="O231" s="84">
        <f t="shared" si="1"/>
        <v>0</v>
      </c>
      <c r="P231" s="84">
        <f t="shared" si="1"/>
        <v>2</v>
      </c>
      <c r="Q231" s="84">
        <f t="shared" si="1"/>
        <v>1</v>
      </c>
      <c r="R231" s="84">
        <f t="shared" si="1"/>
        <v>0</v>
      </c>
      <c r="S231" s="84">
        <f t="shared" si="1"/>
        <v>2</v>
      </c>
      <c r="T231" s="84">
        <f t="shared" si="1"/>
        <v>1</v>
      </c>
      <c r="U231" s="84">
        <f t="shared" si="1"/>
        <v>0</v>
      </c>
      <c r="V231" s="84">
        <f t="shared" si="1"/>
        <v>4</v>
      </c>
      <c r="W231" s="84">
        <f t="shared" si="1"/>
        <v>6</v>
      </c>
      <c r="X231" s="84">
        <f t="shared" si="1"/>
        <v>2</v>
      </c>
      <c r="Y231" s="84">
        <f t="shared" si="1"/>
        <v>1</v>
      </c>
      <c r="Z231" s="84">
        <f t="shared" si="1"/>
        <v>1</v>
      </c>
      <c r="AA231" s="84">
        <f t="shared" si="1"/>
        <v>1</v>
      </c>
      <c r="AB231" s="84">
        <f t="shared" si="1"/>
        <v>0</v>
      </c>
      <c r="AC231" s="84">
        <f t="shared" si="1"/>
        <v>1</v>
      </c>
      <c r="AD231" s="84">
        <f t="shared" si="1"/>
        <v>0</v>
      </c>
      <c r="AE231" s="84">
        <f t="shared" si="1"/>
        <v>3</v>
      </c>
      <c r="AF231" s="84"/>
      <c r="AG231" s="84">
        <f>COUNTA(AG130:AG226)</f>
        <v>0</v>
      </c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</row>
    <row r="232" spans="1:55">
      <c r="A232" s="82"/>
      <c r="B232" s="97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  <c r="AF232" s="98"/>
      <c r="AG232" s="98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</row>
    <row r="233" spans="1:55">
      <c r="A233" s="85" t="s">
        <v>60</v>
      </c>
      <c r="B233" s="95" t="s">
        <v>153</v>
      </c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 t="s">
        <v>48</v>
      </c>
      <c r="N233" s="74"/>
      <c r="O233" s="74"/>
      <c r="P233" s="74"/>
      <c r="Q233" s="74"/>
      <c r="R233" s="74"/>
      <c r="S233" s="74"/>
      <c r="T233" s="74"/>
      <c r="U233" s="74"/>
      <c r="V233" s="74" t="s">
        <v>48</v>
      </c>
      <c r="W233" s="74"/>
      <c r="X233" s="74"/>
      <c r="Y233" s="74" t="s">
        <v>48</v>
      </c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</row>
    <row r="234" spans="1:55">
      <c r="A234" s="85" t="s">
        <v>59</v>
      </c>
      <c r="B234" s="95" t="s">
        <v>154</v>
      </c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 t="s">
        <v>48</v>
      </c>
      <c r="Q234" s="74"/>
      <c r="R234" s="74"/>
      <c r="S234" s="74"/>
      <c r="T234" s="74"/>
      <c r="U234" s="74"/>
      <c r="V234" s="74"/>
      <c r="W234" s="74"/>
      <c r="X234" s="74" t="s">
        <v>48</v>
      </c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</row>
    <row r="235" spans="1:55">
      <c r="A235" s="85" t="s">
        <v>58</v>
      </c>
      <c r="B235" s="95" t="s">
        <v>155</v>
      </c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 t="s">
        <v>48</v>
      </c>
      <c r="P235" s="74"/>
      <c r="Q235" s="74"/>
      <c r="R235" s="74" t="s">
        <v>48</v>
      </c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</row>
    <row r="236" spans="1:55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 t="s">
        <v>48</v>
      </c>
      <c r="O236" s="74"/>
      <c r="P236" s="74" t="s">
        <v>48</v>
      </c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</row>
    <row r="237" spans="1:55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 t="s">
        <v>48</v>
      </c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</row>
    <row r="238" spans="1:55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 t="s">
        <v>48</v>
      </c>
      <c r="T238" s="74"/>
      <c r="U238" s="74"/>
      <c r="V238" s="74"/>
      <c r="W238" s="74" t="s">
        <v>48</v>
      </c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</row>
    <row r="239" spans="1:55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</row>
    <row r="240" spans="1:55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 t="s">
        <v>48</v>
      </c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</row>
    <row r="241" spans="1:55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</row>
    <row r="242" spans="1:55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 t="s">
        <v>48</v>
      </c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</row>
    <row r="243" spans="1:55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 t="s">
        <v>48</v>
      </c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</row>
    <row r="244" spans="1:55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</row>
    <row r="245" spans="1:5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</row>
    <row r="246" spans="1:55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</row>
    <row r="247" spans="1:55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 t="s">
        <v>48</v>
      </c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</row>
    <row r="248" spans="1:55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</row>
    <row r="249" spans="1:55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</row>
    <row r="250" spans="1:55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</row>
    <row r="251" spans="1:55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</row>
    <row r="252" spans="1:55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</row>
    <row r="253" spans="1:55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</row>
    <row r="254" spans="1:55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</row>
    <row r="255" spans="1: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</row>
    <row r="256" spans="1:55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</row>
    <row r="257" spans="1:55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</row>
    <row r="258" spans="1:55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</row>
    <row r="259" spans="1:55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</row>
    <row r="260" spans="1:55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</row>
    <row r="261" spans="1:55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</row>
    <row r="262" spans="1:55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</row>
    <row r="263" spans="1:55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</row>
    <row r="264" spans="1:55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</row>
    <row r="265" spans="1:5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</row>
    <row r="266" spans="1:55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</row>
    <row r="267" spans="1:55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</row>
    <row r="268" spans="1:55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</row>
    <row r="269" spans="1:55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</row>
    <row r="270" spans="1:55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</row>
    <row r="271" spans="1:55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</row>
    <row r="272" spans="1:55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</row>
    <row r="273" spans="1:55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</row>
    <row r="274" spans="1:55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</row>
    <row r="275" spans="1:5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</row>
    <row r="276" spans="1:55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</row>
    <row r="277" spans="1:55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</row>
    <row r="278" spans="1:55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</row>
    <row r="279" spans="1:55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</row>
    <row r="280" spans="1:55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</row>
    <row r="281" spans="1:55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</row>
    <row r="282" spans="1:55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</row>
    <row r="283" spans="1:55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</row>
    <row r="284" spans="1:55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</row>
    <row r="285" spans="1:5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</row>
    <row r="286" spans="1:55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</row>
    <row r="287" spans="1:55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</row>
    <row r="288" spans="1:55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</row>
    <row r="289" spans="1:55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</row>
    <row r="290" spans="1:55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</row>
    <row r="291" spans="1:55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</row>
    <row r="292" spans="1:55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</row>
    <row r="293" spans="1:55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</row>
    <row r="294" spans="1:55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</row>
    <row r="295" spans="1:5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</row>
    <row r="296" spans="1:55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</row>
    <row r="297" spans="1:55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</row>
    <row r="298" spans="1:55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</row>
    <row r="299" spans="1:55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</row>
    <row r="300" spans="1:55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</row>
    <row r="301" spans="1:55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</row>
    <row r="302" spans="1:55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</row>
    <row r="303" spans="1:55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</row>
    <row r="304" spans="1:55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</row>
    <row r="305" spans="1:5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</row>
    <row r="306" spans="1:55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</row>
    <row r="307" spans="1:55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</row>
    <row r="308" spans="1:55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</row>
    <row r="309" spans="1:55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</row>
    <row r="310" spans="1:55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</row>
    <row r="311" spans="1:55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</row>
    <row r="312" spans="1:55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</row>
    <row r="313" spans="1:55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</row>
    <row r="314" spans="1:55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</row>
    <row r="315" spans="1:5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</row>
    <row r="316" spans="1:55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</row>
    <row r="317" spans="1:55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</row>
    <row r="318" spans="1:55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</row>
    <row r="319" spans="1:55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</row>
    <row r="320" spans="1:55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</row>
    <row r="321" spans="1:55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</row>
    <row r="322" spans="1:55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</row>
    <row r="323" spans="1:55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</row>
    <row r="324" spans="1:55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</row>
    <row r="325" spans="1:5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</row>
    <row r="326" spans="1:55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</row>
    <row r="327" spans="1:55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</row>
    <row r="328" spans="1:55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</row>
    <row r="329" spans="1:55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</row>
    <row r="330" spans="1:55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</row>
    <row r="331" spans="1:55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</row>
  </sheetData>
  <mergeCells count="4">
    <mergeCell ref="A1:AG1"/>
    <mergeCell ref="A2:AG2"/>
    <mergeCell ref="A124:AG124"/>
    <mergeCell ref="A125:AG125"/>
  </mergeCells>
  <conditionalFormatting sqref="L7:AB7 C59 N48:AB49 C61 N60:AB60 C63:C64 N62:AB62 C67 N65:AB66 N68:AB69 K75:AB75 N74:AB74 K77:AB77 C79:C80 N78:AB78 C85 C90 N86:AB87 N91:AB91 C92:C94 O92:AB93 C97:C98 N95:AB96 C100:C103 N99:AB99 K70:AB70 N76:AB76 K88:K89 C72:C73 C117:G117 C105:C116 E105:AB116 E72:E73 E100:AB103 E97:AB98 E94:G94 E90:G90 E85:K85 E79:AB79 E67 E61 E59 E47:G47 E46:F46 C46:C47 C26 K24 J15:L15 E10:F10 I10:AB10 C10 E17:F17 I17 C17 E19:F19 I19 C19 E13:F13 I13:K13 C13:C15 E21:F24 I21:I23 C21:C24 I26 C28 E26:F28 I43:AB43 C31:C43 E15:F15 E14 E36:F39 E35 E41:F42 E40 E63:E64 G59:I59 G61:H61 G63:H63 G67:I67 G72:J72 E30:F34 E29 I47:AB47 I90:J90 I94:AB94 I117:AB117 I39:AB39 I33:N33 K61:AB61 J63:AB63 G73 I73:AB73 E80:H80 J80:AB80 I28:I31 I35:AB35 J34:AB34 J36:N36 E43 L17:AB17 L27:N27 L32:AB32 K28:AB28 K22:M23 K19 K21:AB21 K59:AB59 K64 K67:N67 L71:AB72 K30:AB31 L29:AB29 L90:AB90 M19:N19 M24:AB24 J38:AB38 J37:K37 M37:AB37 M64:N64 N15 P15:AB15 P19:AB19 P27:AB27 I46:N46 P46:AB46 N51:AB52 N50 P50:AB50 N55:AB55 N53:N54 P53:AB54 N58:AB58 N56:N57 P56:AB57 Q64:AB64 P67:AB67 P33:AB33 P36:AB36 I41:AB41 I40:N40 P40:AB40 I42:N42 P42:AB42 N45:AB45 N44 P44:AB44 M85:AB85 M88:AB89 K26:AB26 C130:AG134 C138:I138 K138:M138 C142:M143 N138:AG144 C149:AG154 N81:AB84 E83:M83 C83:D84 AD19:AG19 AD15:AG15 AD24:AG24 AD21:AG21 AD17:AG17 AD10:AG10 AD105:AG117 AD26:AG103 AD7:AG7">
    <cfRule type="containsText" dxfId="944" priority="943" operator="containsText" text="B">
      <formula>NOT(ISERROR(SEARCH("B",C7)))</formula>
    </cfRule>
    <cfRule type="containsText" dxfId="943" priority="944" operator="containsText" text="TB">
      <formula>NOT(ISERROR(SEARCH("TB",C7)))</formula>
    </cfRule>
    <cfRule type="containsText" dxfId="942" priority="945" operator="containsText" text="T">
      <formula>NOT(ISERROR(SEARCH("T",C7)))</formula>
    </cfRule>
  </conditionalFormatting>
  <conditionalFormatting sqref="L7:AB7 C59 N48:AB49 C61 N60:AB60 C63:C64 N62:AB62 C67 N65:AB66 N68:AB69 K75:AB75 N74:AB74 K77:AB77 C79:C80 N78:AB78 C85 C90 N86:AB87 N91:AB91 C92:C94 O92:AB93 C97:C98 N95:AB96 C100:C103 N99:AB99 K70:AB70 N76:AB76 K88:K89 C72:C73 C105:C116 E105:AB116 E72:E73 E100:AB103 E97:AB98 E94:G94 E90:G90 E85:K85 E79:AB79 E67 E61 E59 C117:G117 E47:G47 E46:F46 C46:C47 C26 K24 J15:L15 E10:F10 I10:AB10 C10 E17:F17 I17 C17 E19:F19 I19 C19 E13:F13 I13:K13 C13:C15 E21:F24 I21:I23 C21:C24 I26 C28 E26:F28 I43:AB43 C31:C43 E15:F15 E14 E36:F39 E35 E41:F42 E40 E63:E64 G59:I59 G61:H61 G63:H63 G67:I67 G72:J72 E30:F34 E29 I47:AB47 I90:J90 I94:AB94 I117:AB117 I39:AB39 I33:N33 K61:AB61 J63:AB63 G73 I73:AB73 E80:H80 J80:AB80 I28:I31 I35:AB35 J34:AB34 J36:N36 E43 L17:AB17 L27:N27 L32:AB32 K28:AB28 K22:M23 K19 K21:AB21 K59:AB59 K64 K67:N67 L71:AB72 K30:AB31 L29:AB29 L90:AB90 M19:N19 M24:AB24 J38:AB38 J37:K37 M37:AB37 M64:N64 N15 P15:AB15 P19:AB19 P27:AB27 I46:N46 P46:AB46 N51:AB52 N50 P50:AB50 N55:AB55 N53:N54 P53:AB54 N58:AB58 N56:N57 P56:AB57 Q64:AB64 P67:AB67 P33:AB33 P36:AB36 I41:AB41 I40:N40 P40:AB40 I42:N42 P42:AB42 N45:AB45 N44 P44:AB44 M85:AB85 M88:AB89 K26:AB26 C130:AG134 C138:I138 K138:M138 C142:M143 N138:AG144 C149:AG154 N81:AB84 E83:M83 C83:D84 AD19:AG19 AD15:AG15 AD24:AG24 AD21:AG21 AD17:AG17 AD10:AG10 AD105:AG117 AD26:AG103 AD7:AG7">
    <cfRule type="containsText" dxfId="941" priority="942" operator="containsText" text="TB">
      <formula>NOT(ISERROR(SEARCH("TB",C7)))</formula>
    </cfRule>
  </conditionalFormatting>
  <conditionalFormatting sqref="A120:A122">
    <cfRule type="containsText" dxfId="940" priority="939" operator="containsText" text="B">
      <formula>NOT(ISERROR(SEARCH("B",A120)))</formula>
    </cfRule>
    <cfRule type="containsText" dxfId="939" priority="940" operator="containsText" text="TB">
      <formula>NOT(ISERROR(SEARCH("TB",A120)))</formula>
    </cfRule>
    <cfRule type="containsText" dxfId="938" priority="941" operator="containsText" text="T">
      <formula>NOT(ISERROR(SEARCH("T",A120)))</formula>
    </cfRule>
  </conditionalFormatting>
  <conditionalFormatting sqref="A120:A122">
    <cfRule type="containsText" dxfId="937" priority="938" operator="containsText" text="TB">
      <formula>NOT(ISERROR(SEARCH("TB",A120)))</formula>
    </cfRule>
  </conditionalFormatting>
  <conditionalFormatting sqref="C145:AG147 C136:AG137 D135:AG135 C156:AG230 C155:H155 J155:AG155 C148:J148 L148:AG148">
    <cfRule type="containsText" dxfId="936" priority="935" operator="containsText" text="B">
      <formula>NOT(ISERROR(SEARCH("B",C135)))</formula>
    </cfRule>
    <cfRule type="containsText" dxfId="935" priority="936" operator="containsText" text="TB">
      <formula>NOT(ISERROR(SEARCH("TB",C135)))</formula>
    </cfRule>
    <cfRule type="containsText" dxfId="934" priority="937" operator="containsText" text="T">
      <formula>NOT(ISERROR(SEARCH("T",C135)))</formula>
    </cfRule>
  </conditionalFormatting>
  <conditionalFormatting sqref="C145:AG147 C136:AG137 D135:AG135 C156:AG232 C155:H155 J155:AG155 C148:J148 L148:AG148">
    <cfRule type="containsText" dxfId="933" priority="934" operator="containsText" text="TB">
      <formula>NOT(ISERROR(SEARCH("TB",C135)))</formula>
    </cfRule>
  </conditionalFormatting>
  <conditionalFormatting sqref="A233:A235">
    <cfRule type="containsText" dxfId="932" priority="931" operator="containsText" text="B">
      <formula>NOT(ISERROR(SEARCH("B",A233)))</formula>
    </cfRule>
    <cfRule type="containsText" dxfId="931" priority="932" operator="containsText" text="TB">
      <formula>NOT(ISERROR(SEARCH("TB",A233)))</formula>
    </cfRule>
    <cfRule type="containsText" dxfId="930" priority="933" operator="containsText" text="T">
      <formula>NOT(ISERROR(SEARCH("T",A233)))</formula>
    </cfRule>
  </conditionalFormatting>
  <conditionalFormatting sqref="A233:A235">
    <cfRule type="containsText" dxfId="929" priority="930" operator="containsText" text="TB">
      <formula>NOT(ISERROR(SEARCH("TB",A233)))</formula>
    </cfRule>
  </conditionalFormatting>
  <conditionalFormatting sqref="C8 L20:AB20 N25:AB25 E8:G8 E9:F9 E11:F12 I11:AB11 E16:F16 I16:N16 E18 I8:AB8 L18:N18 I9:K9 M9:AB9 M13:AB14 I12:N12 Q12:AB12 P16:AB16 P18:AB18 N22:N23 P22:AB23 AD22:AG23 AD18:AG18 AD16:AG16 AD8:AG9 AD11:AG14 AD25:AG25 AD20:AG20">
    <cfRule type="containsText" dxfId="928" priority="927" operator="containsText" text="B">
      <formula>NOT(ISERROR(SEARCH("B",C8)))</formula>
    </cfRule>
    <cfRule type="containsText" dxfId="927" priority="928" operator="containsText" text="TB">
      <formula>NOT(ISERROR(SEARCH("TB",C8)))</formula>
    </cfRule>
    <cfRule type="containsText" dxfId="926" priority="929" operator="containsText" text="T">
      <formula>NOT(ISERROR(SEARCH("T",C8)))</formula>
    </cfRule>
  </conditionalFormatting>
  <conditionalFormatting sqref="C8 L20:AB20 N25:AB25 E8:G8 E9:F9 E11:F12 I11:AB11 E16:F16 I16:N16 E18 I8:AB8 L18:N18 I9:K9 M9:AB9 M13:AB14 I12:N12 Q12:AB12 P16:AB16 P18:AB18 N22:N23 P22:AB23 AD22:AG23 AD18:AG18 AD16:AG16 AD8:AG9 AD11:AG14 AD25:AG25 AD20:AG20">
    <cfRule type="containsText" dxfId="925" priority="926" operator="containsText" text="TB">
      <formula>NOT(ISERROR(SEARCH("TB",C8)))</formula>
    </cfRule>
  </conditionalFormatting>
  <conditionalFormatting sqref="C7 E7 G7 I7:K7">
    <cfRule type="containsText" dxfId="924" priority="923" operator="containsText" text="B">
      <formula>NOT(ISERROR(SEARCH("B",C7)))</formula>
    </cfRule>
    <cfRule type="containsText" dxfId="923" priority="924" operator="containsText" text="TB">
      <formula>NOT(ISERROR(SEARCH("TB",C7)))</formula>
    </cfRule>
    <cfRule type="containsText" dxfId="922" priority="925" operator="containsText" text="T">
      <formula>NOT(ISERROR(SEARCH("T",C7)))</formula>
    </cfRule>
  </conditionalFormatting>
  <conditionalFormatting sqref="C7 E7 G7 I7:K7">
    <cfRule type="containsText" dxfId="921" priority="922" operator="containsText" text="TB">
      <formula>NOT(ISERROR(SEARCH("TB",C7)))</formula>
    </cfRule>
  </conditionalFormatting>
  <conditionalFormatting sqref="E20:F20 I20 K20">
    <cfRule type="containsText" dxfId="920" priority="919" operator="containsText" text="B">
      <formula>NOT(ISERROR(SEARCH("B",E20)))</formula>
    </cfRule>
    <cfRule type="containsText" dxfId="919" priority="920" operator="containsText" text="TB">
      <formula>NOT(ISERROR(SEARCH("TB",E20)))</formula>
    </cfRule>
    <cfRule type="containsText" dxfId="918" priority="921" operator="containsText" text="T">
      <formula>NOT(ISERROR(SEARCH("T",E20)))</formula>
    </cfRule>
  </conditionalFormatting>
  <conditionalFormatting sqref="E20:F20 I20 K20">
    <cfRule type="containsText" dxfId="917" priority="918" operator="containsText" text="TB">
      <formula>NOT(ISERROR(SEARCH("TB",E20)))</formula>
    </cfRule>
  </conditionalFormatting>
  <conditionalFormatting sqref="E25:F25 I25 K25:M25">
    <cfRule type="containsText" dxfId="916" priority="915" operator="containsText" text="B">
      <formula>NOT(ISERROR(SEARCH("B",E25)))</formula>
    </cfRule>
    <cfRule type="containsText" dxfId="915" priority="916" operator="containsText" text="TB">
      <formula>NOT(ISERROR(SEARCH("TB",E25)))</formula>
    </cfRule>
    <cfRule type="containsText" dxfId="914" priority="917" operator="containsText" text="T">
      <formula>NOT(ISERROR(SEARCH("T",E25)))</formula>
    </cfRule>
  </conditionalFormatting>
  <conditionalFormatting sqref="E25:F25 I25 K25:M25">
    <cfRule type="containsText" dxfId="913" priority="914" operator="containsText" text="TB">
      <formula>NOT(ISERROR(SEARCH("TB",E25)))</formula>
    </cfRule>
  </conditionalFormatting>
  <conditionalFormatting sqref="E44:F45 I44:J45 L44:M45">
    <cfRule type="containsText" dxfId="912" priority="911" operator="containsText" text="B">
      <formula>NOT(ISERROR(SEARCH("B",E44)))</formula>
    </cfRule>
    <cfRule type="containsText" dxfId="911" priority="912" operator="containsText" text="TB">
      <formula>NOT(ISERROR(SEARCH("TB",E44)))</formula>
    </cfRule>
    <cfRule type="containsText" dxfId="910" priority="913" operator="containsText" text="T">
      <formula>NOT(ISERROR(SEARCH("T",E44)))</formula>
    </cfRule>
  </conditionalFormatting>
  <conditionalFormatting sqref="E44:F45 I44:J45 L44:M45">
    <cfRule type="containsText" dxfId="909" priority="910" operator="containsText" text="TB">
      <formula>NOT(ISERROR(SEARCH("TB",E44)))</formula>
    </cfRule>
  </conditionalFormatting>
  <conditionalFormatting sqref="C48:C50 E48:G49 E50 I48:M48 I50:M50 K49:M49">
    <cfRule type="containsText" dxfId="908" priority="907" operator="containsText" text="B">
      <formula>NOT(ISERROR(SEARCH("B",C48)))</formula>
    </cfRule>
    <cfRule type="containsText" dxfId="907" priority="908" operator="containsText" text="TB">
      <formula>NOT(ISERROR(SEARCH("TB",C48)))</formula>
    </cfRule>
    <cfRule type="containsText" dxfId="906" priority="909" operator="containsText" text="T">
      <formula>NOT(ISERROR(SEARCH("T",C48)))</formula>
    </cfRule>
  </conditionalFormatting>
  <conditionalFormatting sqref="C48:C50 E48:G49 E50 I48:M48 I50:M50 K49:M49">
    <cfRule type="containsText" dxfId="905" priority="906" operator="containsText" text="TB">
      <formula>NOT(ISERROR(SEARCH("TB",C48)))</formula>
    </cfRule>
  </conditionalFormatting>
  <conditionalFormatting sqref="C51:C53 E51:J51 E53:J53 E52:G52 I52:M52 M51 M53">
    <cfRule type="containsText" dxfId="904" priority="903" operator="containsText" text="B">
      <formula>NOT(ISERROR(SEARCH("B",C51)))</formula>
    </cfRule>
    <cfRule type="containsText" dxfId="903" priority="904" operator="containsText" text="TB">
      <formula>NOT(ISERROR(SEARCH("TB",C51)))</formula>
    </cfRule>
    <cfRule type="containsText" dxfId="902" priority="905" operator="containsText" text="T">
      <formula>NOT(ISERROR(SEARCH("T",C51)))</formula>
    </cfRule>
  </conditionalFormatting>
  <conditionalFormatting sqref="C51:C53 E51:J51 E53:J53 E52:G52 I52:M52 M51 M53">
    <cfRule type="containsText" dxfId="901" priority="902" operator="containsText" text="TB">
      <formula>NOT(ISERROR(SEARCH("TB",C51)))</formula>
    </cfRule>
  </conditionalFormatting>
  <conditionalFormatting sqref="C54:C55 E55:M55 E54:I54 K54:M54">
    <cfRule type="containsText" dxfId="900" priority="899" operator="containsText" text="B">
      <formula>NOT(ISERROR(SEARCH("B",C54)))</formula>
    </cfRule>
    <cfRule type="containsText" dxfId="899" priority="900" operator="containsText" text="TB">
      <formula>NOT(ISERROR(SEARCH("TB",C54)))</formula>
    </cfRule>
    <cfRule type="containsText" dxfId="898" priority="901" operator="containsText" text="T">
      <formula>NOT(ISERROR(SEARCH("T",C54)))</formula>
    </cfRule>
  </conditionalFormatting>
  <conditionalFormatting sqref="C54:C55 E55:M55 E54:I54 K54:M54">
    <cfRule type="containsText" dxfId="897" priority="898" operator="containsText" text="TB">
      <formula>NOT(ISERROR(SEARCH("TB",C54)))</formula>
    </cfRule>
  </conditionalFormatting>
  <conditionalFormatting sqref="C56:C58 E58 H58:I58 E56:I57 K56:M57 K58 M58">
    <cfRule type="containsText" dxfId="896" priority="895" operator="containsText" text="B">
      <formula>NOT(ISERROR(SEARCH("B",C56)))</formula>
    </cfRule>
    <cfRule type="containsText" dxfId="895" priority="896" operator="containsText" text="TB">
      <formula>NOT(ISERROR(SEARCH("TB",C56)))</formula>
    </cfRule>
    <cfRule type="containsText" dxfId="894" priority="897" operator="containsText" text="T">
      <formula>NOT(ISERROR(SEARCH("T",C56)))</formula>
    </cfRule>
  </conditionalFormatting>
  <conditionalFormatting sqref="C56:C58 E58 H58:I58 E56:I57 K56:M57 K58 M58">
    <cfRule type="containsText" dxfId="893" priority="894" operator="containsText" text="TB">
      <formula>NOT(ISERROR(SEARCH("TB",C56)))</formula>
    </cfRule>
  </conditionalFormatting>
  <conditionalFormatting sqref="C60 E60 G60:M60">
    <cfRule type="containsText" dxfId="892" priority="891" operator="containsText" text="B">
      <formula>NOT(ISERROR(SEARCH("B",C60)))</formula>
    </cfRule>
    <cfRule type="containsText" dxfId="891" priority="892" operator="containsText" text="TB">
      <formula>NOT(ISERROR(SEARCH("TB",C60)))</formula>
    </cfRule>
    <cfRule type="containsText" dxfId="890" priority="893" operator="containsText" text="T">
      <formula>NOT(ISERROR(SEARCH("T",C60)))</formula>
    </cfRule>
  </conditionalFormatting>
  <conditionalFormatting sqref="C60 E60 G60:M60">
    <cfRule type="containsText" dxfId="889" priority="890" operator="containsText" text="TB">
      <formula>NOT(ISERROR(SEARCH("TB",C60)))</formula>
    </cfRule>
  </conditionalFormatting>
  <conditionalFormatting sqref="C62 E62 G62 I62:M62">
    <cfRule type="containsText" dxfId="888" priority="887" operator="containsText" text="B">
      <formula>NOT(ISERROR(SEARCH("B",C62)))</formula>
    </cfRule>
    <cfRule type="containsText" dxfId="887" priority="888" operator="containsText" text="TB">
      <formula>NOT(ISERROR(SEARCH("TB",C62)))</formula>
    </cfRule>
    <cfRule type="containsText" dxfId="886" priority="889" operator="containsText" text="T">
      <formula>NOT(ISERROR(SEARCH("T",C62)))</formula>
    </cfRule>
  </conditionalFormatting>
  <conditionalFormatting sqref="C62 E62 G62 I62:M62">
    <cfRule type="containsText" dxfId="885" priority="886" operator="containsText" text="TB">
      <formula>NOT(ISERROR(SEARCH("TB",C62)))</formula>
    </cfRule>
  </conditionalFormatting>
  <conditionalFormatting sqref="C65 E65 G65:J65 L65:M65">
    <cfRule type="containsText" dxfId="884" priority="883" operator="containsText" text="B">
      <formula>NOT(ISERROR(SEARCH("B",C65)))</formula>
    </cfRule>
    <cfRule type="containsText" dxfId="883" priority="884" operator="containsText" text="TB">
      <formula>NOT(ISERROR(SEARCH("TB",C65)))</formula>
    </cfRule>
    <cfRule type="containsText" dxfId="882" priority="885" operator="containsText" text="T">
      <formula>NOT(ISERROR(SEARCH("T",C65)))</formula>
    </cfRule>
  </conditionalFormatting>
  <conditionalFormatting sqref="C65 E65 G65:J65 L65:M65">
    <cfRule type="containsText" dxfId="881" priority="882" operator="containsText" text="TB">
      <formula>NOT(ISERROR(SEARCH("TB",C65)))</formula>
    </cfRule>
  </conditionalFormatting>
  <conditionalFormatting sqref="C66 E66 G66:J66 L66:M66">
    <cfRule type="containsText" dxfId="880" priority="879" operator="containsText" text="B">
      <formula>NOT(ISERROR(SEARCH("B",C66)))</formula>
    </cfRule>
    <cfRule type="containsText" dxfId="879" priority="880" operator="containsText" text="TB">
      <formula>NOT(ISERROR(SEARCH("TB",C66)))</formula>
    </cfRule>
    <cfRule type="containsText" dxfId="878" priority="881" operator="containsText" text="T">
      <formula>NOT(ISERROR(SEARCH("T",C66)))</formula>
    </cfRule>
  </conditionalFormatting>
  <conditionalFormatting sqref="C66 E66 G66:J66 L66:M66">
    <cfRule type="containsText" dxfId="877" priority="878" operator="containsText" text="TB">
      <formula>NOT(ISERROR(SEARCH("TB",C66)))</formula>
    </cfRule>
  </conditionalFormatting>
  <conditionalFormatting sqref="C68:C69 E68:E69 G68:J69 L68:M69">
    <cfRule type="containsText" dxfId="876" priority="875" operator="containsText" text="B">
      <formula>NOT(ISERROR(SEARCH("B",C68)))</formula>
    </cfRule>
    <cfRule type="containsText" dxfId="875" priority="876" operator="containsText" text="TB">
      <formula>NOT(ISERROR(SEARCH("TB",C68)))</formula>
    </cfRule>
    <cfRule type="containsText" dxfId="874" priority="877" operator="containsText" text="T">
      <formula>NOT(ISERROR(SEARCH("T",C68)))</formula>
    </cfRule>
  </conditionalFormatting>
  <conditionalFormatting sqref="C68:C69 E68:E69 G68:J69 L68:M69">
    <cfRule type="containsText" dxfId="873" priority="874" operator="containsText" text="TB">
      <formula>NOT(ISERROR(SEARCH("TB",C68)))</formula>
    </cfRule>
  </conditionalFormatting>
  <conditionalFormatting sqref="C74 E74:M74">
    <cfRule type="containsText" dxfId="872" priority="871" operator="containsText" text="B">
      <formula>NOT(ISERROR(SEARCH("B",C74)))</formula>
    </cfRule>
    <cfRule type="containsText" dxfId="871" priority="872" operator="containsText" text="TB">
      <formula>NOT(ISERROR(SEARCH("TB",C74)))</formula>
    </cfRule>
    <cfRule type="containsText" dxfId="870" priority="873" operator="containsText" text="T">
      <formula>NOT(ISERROR(SEARCH("T",C74)))</formula>
    </cfRule>
  </conditionalFormatting>
  <conditionalFormatting sqref="C74 E74:M74">
    <cfRule type="containsText" dxfId="869" priority="870" operator="containsText" text="TB">
      <formula>NOT(ISERROR(SEARCH("TB",C74)))</formula>
    </cfRule>
  </conditionalFormatting>
  <conditionalFormatting sqref="C78 E78:J78 L78:M78">
    <cfRule type="containsText" dxfId="868" priority="867" operator="containsText" text="B">
      <formula>NOT(ISERROR(SEARCH("B",C78)))</formula>
    </cfRule>
    <cfRule type="containsText" dxfId="867" priority="868" operator="containsText" text="TB">
      <formula>NOT(ISERROR(SEARCH("TB",C78)))</formula>
    </cfRule>
    <cfRule type="containsText" dxfId="866" priority="869" operator="containsText" text="T">
      <formula>NOT(ISERROR(SEARCH("T",C78)))</formula>
    </cfRule>
  </conditionalFormatting>
  <conditionalFormatting sqref="C78 E78:J78 L78:M78">
    <cfRule type="containsText" dxfId="865" priority="866" operator="containsText" text="TB">
      <formula>NOT(ISERROR(SEARCH("TB",C78)))</formula>
    </cfRule>
  </conditionalFormatting>
  <conditionalFormatting sqref="C81:C82 E82:M82 E81:J81 L81:M81">
    <cfRule type="containsText" dxfId="864" priority="863" operator="containsText" text="B">
      <formula>NOT(ISERROR(SEARCH("B",C81)))</formula>
    </cfRule>
    <cfRule type="containsText" dxfId="863" priority="864" operator="containsText" text="TB">
      <formula>NOT(ISERROR(SEARCH("TB",C81)))</formula>
    </cfRule>
    <cfRule type="containsText" dxfId="862" priority="865" operator="containsText" text="T">
      <formula>NOT(ISERROR(SEARCH("T",C81)))</formula>
    </cfRule>
  </conditionalFormatting>
  <conditionalFormatting sqref="C81:C82 E82:M82 E81:J81 L81:M81">
    <cfRule type="containsText" dxfId="861" priority="862" operator="containsText" text="TB">
      <formula>NOT(ISERROR(SEARCH("TB",C81)))</formula>
    </cfRule>
  </conditionalFormatting>
  <conditionalFormatting sqref="E84:J84 L84:M84">
    <cfRule type="containsText" dxfId="860" priority="859" operator="containsText" text="B">
      <formula>NOT(ISERROR(SEARCH("B",E84)))</formula>
    </cfRule>
    <cfRule type="containsText" dxfId="859" priority="860" operator="containsText" text="TB">
      <formula>NOT(ISERROR(SEARCH("TB",E84)))</formula>
    </cfRule>
    <cfRule type="containsText" dxfId="858" priority="861" operator="containsText" text="T">
      <formula>NOT(ISERROR(SEARCH("T",E84)))</formula>
    </cfRule>
  </conditionalFormatting>
  <conditionalFormatting sqref="E84:J84 L84:M84">
    <cfRule type="containsText" dxfId="857" priority="858" operator="containsText" text="TB">
      <formula>NOT(ISERROR(SEARCH("TB",E84)))</formula>
    </cfRule>
  </conditionalFormatting>
  <conditionalFormatting sqref="C86:C87 E86:K87 M86:M87">
    <cfRule type="containsText" dxfId="856" priority="855" operator="containsText" text="B">
      <formula>NOT(ISERROR(SEARCH("B",C86)))</formula>
    </cfRule>
    <cfRule type="containsText" dxfId="855" priority="856" operator="containsText" text="TB">
      <formula>NOT(ISERROR(SEARCH("TB",C86)))</formula>
    </cfRule>
    <cfRule type="containsText" dxfId="854" priority="857" operator="containsText" text="T">
      <formula>NOT(ISERROR(SEARCH("T",C86)))</formula>
    </cfRule>
  </conditionalFormatting>
  <conditionalFormatting sqref="C86:C87 E86:K87 M86:M87">
    <cfRule type="containsText" dxfId="853" priority="854" operator="containsText" text="TB">
      <formula>NOT(ISERROR(SEARCH("TB",C86)))</formula>
    </cfRule>
  </conditionalFormatting>
  <conditionalFormatting sqref="C91 E91:M91">
    <cfRule type="containsText" dxfId="852" priority="851" operator="containsText" text="B">
      <formula>NOT(ISERROR(SEARCH("B",C91)))</formula>
    </cfRule>
    <cfRule type="containsText" dxfId="851" priority="852" operator="containsText" text="TB">
      <formula>NOT(ISERROR(SEARCH("TB",C91)))</formula>
    </cfRule>
    <cfRule type="containsText" dxfId="850" priority="853" operator="containsText" text="T">
      <formula>NOT(ISERROR(SEARCH("T",C91)))</formula>
    </cfRule>
  </conditionalFormatting>
  <conditionalFormatting sqref="C91 E91:M91">
    <cfRule type="containsText" dxfId="849" priority="850" operator="containsText" text="TB">
      <formula>NOT(ISERROR(SEARCH("TB",C91)))</formula>
    </cfRule>
  </conditionalFormatting>
  <conditionalFormatting sqref="E93:N93 E92:H92 J92:N92">
    <cfRule type="containsText" dxfId="848" priority="847" operator="containsText" text="B">
      <formula>NOT(ISERROR(SEARCH("B",E92)))</formula>
    </cfRule>
    <cfRule type="containsText" dxfId="847" priority="848" operator="containsText" text="TB">
      <formula>NOT(ISERROR(SEARCH("TB",E92)))</formula>
    </cfRule>
    <cfRule type="containsText" dxfId="846" priority="849" operator="containsText" text="T">
      <formula>NOT(ISERROR(SEARCH("T",E92)))</formula>
    </cfRule>
  </conditionalFormatting>
  <conditionalFormatting sqref="E93:N93 E92:H92 J92:N92">
    <cfRule type="containsText" dxfId="845" priority="846" operator="containsText" text="TB">
      <formula>NOT(ISERROR(SEARCH("TB",E92)))</formula>
    </cfRule>
  </conditionalFormatting>
  <conditionalFormatting sqref="C95:C96 E96:H96 E95 G95:M95 J96:M96">
    <cfRule type="containsText" dxfId="844" priority="843" operator="containsText" text="B">
      <formula>NOT(ISERROR(SEARCH("B",C95)))</formula>
    </cfRule>
    <cfRule type="containsText" dxfId="843" priority="844" operator="containsText" text="TB">
      <formula>NOT(ISERROR(SEARCH("TB",C95)))</formula>
    </cfRule>
    <cfRule type="containsText" dxfId="842" priority="845" operator="containsText" text="T">
      <formula>NOT(ISERROR(SEARCH("T",C95)))</formula>
    </cfRule>
  </conditionalFormatting>
  <conditionalFormatting sqref="C95:C96 E96:H96 E95 G95:M95 J96:M96">
    <cfRule type="containsText" dxfId="841" priority="842" operator="containsText" text="TB">
      <formula>NOT(ISERROR(SEARCH("TB",C95)))</formula>
    </cfRule>
  </conditionalFormatting>
  <conditionalFormatting sqref="C99 E99:M99">
    <cfRule type="containsText" dxfId="840" priority="839" operator="containsText" text="B">
      <formula>NOT(ISERROR(SEARCH("B",C99)))</formula>
    </cfRule>
    <cfRule type="containsText" dxfId="839" priority="840" operator="containsText" text="TB">
      <formula>NOT(ISERROR(SEARCH("TB",C99)))</formula>
    </cfRule>
    <cfRule type="containsText" dxfId="838" priority="841" operator="containsText" text="T">
      <formula>NOT(ISERROR(SEARCH("T",C99)))</formula>
    </cfRule>
  </conditionalFormatting>
  <conditionalFormatting sqref="C99 E99:M99">
    <cfRule type="containsText" dxfId="837" priority="838" operator="containsText" text="TB">
      <formula>NOT(ISERROR(SEARCH("TB",C99)))</formula>
    </cfRule>
  </conditionalFormatting>
  <conditionalFormatting sqref="C70:C71 E70:E71 G70:J71">
    <cfRule type="containsText" dxfId="836" priority="835" operator="containsText" text="B">
      <formula>NOT(ISERROR(SEARCH("B",C70)))</formula>
    </cfRule>
    <cfRule type="containsText" dxfId="835" priority="836" operator="containsText" text="TB">
      <formula>NOT(ISERROR(SEARCH("TB",C70)))</formula>
    </cfRule>
    <cfRule type="containsText" dxfId="834" priority="837" operator="containsText" text="T">
      <formula>NOT(ISERROR(SEARCH("T",C70)))</formula>
    </cfRule>
  </conditionalFormatting>
  <conditionalFormatting sqref="C70:C71 E70:E71 G70:J71">
    <cfRule type="containsText" dxfId="833" priority="834" operator="containsText" text="TB">
      <formula>NOT(ISERROR(SEARCH("TB",C70)))</formula>
    </cfRule>
  </conditionalFormatting>
  <conditionalFormatting sqref="C75 E75:J75">
    <cfRule type="containsText" dxfId="832" priority="831" operator="containsText" text="B">
      <formula>NOT(ISERROR(SEARCH("B",C75)))</formula>
    </cfRule>
    <cfRule type="containsText" dxfId="831" priority="832" operator="containsText" text="TB">
      <formula>NOT(ISERROR(SEARCH("TB",C75)))</formula>
    </cfRule>
    <cfRule type="containsText" dxfId="830" priority="833" operator="containsText" text="T">
      <formula>NOT(ISERROR(SEARCH("T",C75)))</formula>
    </cfRule>
  </conditionalFormatting>
  <conditionalFormatting sqref="C75 E75:J75">
    <cfRule type="containsText" dxfId="829" priority="830" operator="containsText" text="TB">
      <formula>NOT(ISERROR(SEARCH("TB",C75)))</formula>
    </cfRule>
  </conditionalFormatting>
  <conditionalFormatting sqref="C76 E76:M76">
    <cfRule type="containsText" dxfId="828" priority="827" operator="containsText" text="B">
      <formula>NOT(ISERROR(SEARCH("B",C76)))</formula>
    </cfRule>
    <cfRule type="containsText" dxfId="827" priority="828" operator="containsText" text="TB">
      <formula>NOT(ISERROR(SEARCH("TB",C76)))</formula>
    </cfRule>
    <cfRule type="containsText" dxfId="826" priority="829" operator="containsText" text="T">
      <formula>NOT(ISERROR(SEARCH("T",C76)))</formula>
    </cfRule>
  </conditionalFormatting>
  <conditionalFormatting sqref="C76 E76:M76">
    <cfRule type="containsText" dxfId="825" priority="826" operator="containsText" text="TB">
      <formula>NOT(ISERROR(SEARCH("TB",C76)))</formula>
    </cfRule>
  </conditionalFormatting>
  <conditionalFormatting sqref="C77 E77:I77">
    <cfRule type="containsText" dxfId="824" priority="823" operator="containsText" text="B">
      <formula>NOT(ISERROR(SEARCH("B",C77)))</formula>
    </cfRule>
    <cfRule type="containsText" dxfId="823" priority="824" operator="containsText" text="TB">
      <formula>NOT(ISERROR(SEARCH("TB",C77)))</formula>
    </cfRule>
    <cfRule type="containsText" dxfId="822" priority="825" operator="containsText" text="T">
      <formula>NOT(ISERROR(SEARCH("T",C77)))</formula>
    </cfRule>
  </conditionalFormatting>
  <conditionalFormatting sqref="C77 E77:I77">
    <cfRule type="containsText" dxfId="821" priority="822" operator="containsText" text="TB">
      <formula>NOT(ISERROR(SEARCH("TB",C77)))</formula>
    </cfRule>
  </conditionalFormatting>
  <conditionalFormatting sqref="C88:C89 E88:J89">
    <cfRule type="containsText" dxfId="820" priority="819" operator="containsText" text="B">
      <formula>NOT(ISERROR(SEARCH("B",C88)))</formula>
    </cfRule>
    <cfRule type="containsText" dxfId="819" priority="820" operator="containsText" text="TB">
      <formula>NOT(ISERROR(SEARCH("TB",C88)))</formula>
    </cfRule>
    <cfRule type="containsText" dxfId="818" priority="821" operator="containsText" text="T">
      <formula>NOT(ISERROR(SEARCH("T",C88)))</formula>
    </cfRule>
  </conditionalFormatting>
  <conditionalFormatting sqref="C88:C89 E88:J89">
    <cfRule type="containsText" dxfId="817" priority="818" operator="containsText" text="TB">
      <formula>NOT(ISERROR(SEARCH("TB",C88)))</formula>
    </cfRule>
  </conditionalFormatting>
  <conditionalFormatting sqref="C141:J141 L141:M141 C140:M140 C144 E144:M144 C139:J139 L139:M139">
    <cfRule type="containsText" dxfId="816" priority="815" operator="containsText" text="B">
      <formula>NOT(ISERROR(SEARCH("B",C139)))</formula>
    </cfRule>
    <cfRule type="containsText" dxfId="815" priority="816" operator="containsText" text="TB">
      <formula>NOT(ISERROR(SEARCH("TB",C139)))</formula>
    </cfRule>
    <cfRule type="containsText" dxfId="814" priority="817" operator="containsText" text="T">
      <formula>NOT(ISERROR(SEARCH("T",C139)))</formula>
    </cfRule>
  </conditionalFormatting>
  <conditionalFormatting sqref="C141:J141 L141:M141 C140:M140 C144 E144:M144 C139:J139 L139:M139">
    <cfRule type="containsText" dxfId="813" priority="814" operator="containsText" text="TB">
      <formula>NOT(ISERROR(SEARCH("TB",C139)))</formula>
    </cfRule>
  </conditionalFormatting>
  <conditionalFormatting sqref="J138">
    <cfRule type="containsText" dxfId="812" priority="811" operator="containsText" text="B">
      <formula>NOT(ISERROR(SEARCH("B",J138)))</formula>
    </cfRule>
    <cfRule type="containsText" dxfId="811" priority="812" operator="containsText" text="TB">
      <formula>NOT(ISERROR(SEARCH("TB",J138)))</formula>
    </cfRule>
    <cfRule type="containsText" dxfId="810" priority="813" operator="containsText" text="T">
      <formula>NOT(ISERROR(SEARCH("T",J138)))</formula>
    </cfRule>
  </conditionalFormatting>
  <conditionalFormatting sqref="J138">
    <cfRule type="containsText" dxfId="809" priority="810" operator="containsText" text="TB">
      <formula>NOT(ISERROR(SEARCH("TB",J138)))</formula>
    </cfRule>
  </conditionalFormatting>
  <conditionalFormatting sqref="K141">
    <cfRule type="containsText" dxfId="808" priority="807" operator="containsText" text="B">
      <formula>NOT(ISERROR(SEARCH("B",K141)))</formula>
    </cfRule>
    <cfRule type="containsText" dxfId="807" priority="808" operator="containsText" text="TB">
      <formula>NOT(ISERROR(SEARCH("TB",K141)))</formula>
    </cfRule>
    <cfRule type="containsText" dxfId="806" priority="809" operator="containsText" text="T">
      <formula>NOT(ISERROR(SEARCH("T",K141)))</formula>
    </cfRule>
  </conditionalFormatting>
  <conditionalFormatting sqref="K141">
    <cfRule type="containsText" dxfId="805" priority="806" operator="containsText" text="TB">
      <formula>NOT(ISERROR(SEARCH("TB",K141)))</formula>
    </cfRule>
  </conditionalFormatting>
  <conditionalFormatting sqref="C104 E104:AB104 AD104:AG104">
    <cfRule type="containsText" dxfId="804" priority="803" operator="containsText" text="B">
      <formula>NOT(ISERROR(SEARCH("B",C104)))</formula>
    </cfRule>
    <cfRule type="containsText" dxfId="803" priority="804" operator="containsText" text="TB">
      <formula>NOT(ISERROR(SEARCH("TB",C104)))</formula>
    </cfRule>
    <cfRule type="containsText" dxfId="802" priority="805" operator="containsText" text="T">
      <formula>NOT(ISERROR(SEARCH("T",C104)))</formula>
    </cfRule>
  </conditionalFormatting>
  <conditionalFormatting sqref="C104 E104:AB104 AD104:AG104">
    <cfRule type="containsText" dxfId="801" priority="802" operator="containsText" text="TB">
      <formula>NOT(ISERROR(SEARCH("TB",C104)))</formula>
    </cfRule>
  </conditionalFormatting>
  <conditionalFormatting sqref="D27 D29:D31 D36:D37 D40 D46:D47 D59 D61 D63:D64 D67 D79:D80 D85 D90 D92:D94 D97:D98 D100:D103 D72:D73 D105:D116">
    <cfRule type="containsText" dxfId="800" priority="799" operator="containsText" text="B">
      <formula>NOT(ISERROR(SEARCH("B",D27)))</formula>
    </cfRule>
    <cfRule type="containsText" dxfId="799" priority="800" operator="containsText" text="TB">
      <formula>NOT(ISERROR(SEARCH("TB",D27)))</formula>
    </cfRule>
    <cfRule type="containsText" dxfId="798" priority="801" operator="containsText" text="T">
      <formula>NOT(ISERROR(SEARCH("T",D27)))</formula>
    </cfRule>
  </conditionalFormatting>
  <conditionalFormatting sqref="D27 D29:D31 D36:D37 D40 D46:D47 D59 D61 D63:D64 D67 D79:D80 D85 D90 D92:D94 D97:D98 D100:D103 D72:D73 D105:D116">
    <cfRule type="containsText" dxfId="797" priority="798" operator="containsText" text="TB">
      <formula>NOT(ISERROR(SEARCH("TB",D27)))</formula>
    </cfRule>
  </conditionalFormatting>
  <conditionalFormatting sqref="D8:D9 D15:D17 D24 D26 D19 D11:D12">
    <cfRule type="containsText" dxfId="796" priority="795" operator="containsText" text="B">
      <formula>NOT(ISERROR(SEARCH("B",D8)))</formula>
    </cfRule>
    <cfRule type="containsText" dxfId="795" priority="796" operator="containsText" text="TB">
      <formula>NOT(ISERROR(SEARCH("TB",D8)))</formula>
    </cfRule>
    <cfRule type="containsText" dxfId="794" priority="797" operator="containsText" text="T">
      <formula>NOT(ISERROR(SEARCH("T",D8)))</formula>
    </cfRule>
  </conditionalFormatting>
  <conditionalFormatting sqref="D8:D9 D15:D17 D24 D26 D19 D11:D12">
    <cfRule type="containsText" dxfId="793" priority="794" operator="containsText" text="TB">
      <formula>NOT(ISERROR(SEARCH("TB",D8)))</formula>
    </cfRule>
  </conditionalFormatting>
  <conditionalFormatting sqref="D14">
    <cfRule type="containsText" dxfId="792" priority="791" operator="containsText" text="B">
      <formula>NOT(ISERROR(SEARCH("B",D14)))</formula>
    </cfRule>
    <cfRule type="containsText" dxfId="791" priority="792" operator="containsText" text="TB">
      <formula>NOT(ISERROR(SEARCH("TB",D14)))</formula>
    </cfRule>
    <cfRule type="containsText" dxfId="790" priority="793" operator="containsText" text="T">
      <formula>NOT(ISERROR(SEARCH("T",D14)))</formula>
    </cfRule>
  </conditionalFormatting>
  <conditionalFormatting sqref="D14">
    <cfRule type="containsText" dxfId="789" priority="790" operator="containsText" text="TB">
      <formula>NOT(ISERROR(SEARCH("TB",D14)))</formula>
    </cfRule>
  </conditionalFormatting>
  <conditionalFormatting sqref="D20">
    <cfRule type="containsText" dxfId="788" priority="787" operator="containsText" text="B">
      <formula>NOT(ISERROR(SEARCH("B",D20)))</formula>
    </cfRule>
    <cfRule type="containsText" dxfId="787" priority="788" operator="containsText" text="TB">
      <formula>NOT(ISERROR(SEARCH("TB",D20)))</formula>
    </cfRule>
    <cfRule type="containsText" dxfId="786" priority="789" operator="containsText" text="T">
      <formula>NOT(ISERROR(SEARCH("T",D20)))</formula>
    </cfRule>
  </conditionalFormatting>
  <conditionalFormatting sqref="D20">
    <cfRule type="containsText" dxfId="785" priority="786" operator="containsText" text="TB">
      <formula>NOT(ISERROR(SEARCH("TB",D20)))</formula>
    </cfRule>
  </conditionalFormatting>
  <conditionalFormatting sqref="D23">
    <cfRule type="containsText" dxfId="784" priority="783" operator="containsText" text="B">
      <formula>NOT(ISERROR(SEARCH("B",D23)))</formula>
    </cfRule>
    <cfRule type="containsText" dxfId="783" priority="784" operator="containsText" text="TB">
      <formula>NOT(ISERROR(SEARCH("TB",D23)))</formula>
    </cfRule>
    <cfRule type="containsText" dxfId="782" priority="785" operator="containsText" text="T">
      <formula>NOT(ISERROR(SEARCH("T",D23)))</formula>
    </cfRule>
  </conditionalFormatting>
  <conditionalFormatting sqref="D23">
    <cfRule type="containsText" dxfId="781" priority="782" operator="containsText" text="TB">
      <formula>NOT(ISERROR(SEARCH("TB",D23)))</formula>
    </cfRule>
  </conditionalFormatting>
  <conditionalFormatting sqref="D25">
    <cfRule type="containsText" dxfId="780" priority="779" operator="containsText" text="B">
      <formula>NOT(ISERROR(SEARCH("B",D25)))</formula>
    </cfRule>
    <cfRule type="containsText" dxfId="779" priority="780" operator="containsText" text="TB">
      <formula>NOT(ISERROR(SEARCH("TB",D25)))</formula>
    </cfRule>
    <cfRule type="containsText" dxfId="778" priority="781" operator="containsText" text="T">
      <formula>NOT(ISERROR(SEARCH("T",D25)))</formula>
    </cfRule>
  </conditionalFormatting>
  <conditionalFormatting sqref="D25">
    <cfRule type="containsText" dxfId="777" priority="778" operator="containsText" text="TB">
      <formula>NOT(ISERROR(SEARCH("TB",D25)))</formula>
    </cfRule>
  </conditionalFormatting>
  <conditionalFormatting sqref="D33:D34">
    <cfRule type="containsText" dxfId="776" priority="775" operator="containsText" text="B">
      <formula>NOT(ISERROR(SEARCH("B",D33)))</formula>
    </cfRule>
    <cfRule type="containsText" dxfId="775" priority="776" operator="containsText" text="TB">
      <formula>NOT(ISERROR(SEARCH("TB",D33)))</formula>
    </cfRule>
    <cfRule type="containsText" dxfId="774" priority="777" operator="containsText" text="T">
      <formula>NOT(ISERROR(SEARCH("T",D33)))</formula>
    </cfRule>
  </conditionalFormatting>
  <conditionalFormatting sqref="D33:D34">
    <cfRule type="containsText" dxfId="773" priority="774" operator="containsText" text="TB">
      <formula>NOT(ISERROR(SEARCH("TB",D33)))</formula>
    </cfRule>
  </conditionalFormatting>
  <conditionalFormatting sqref="D38:D39">
    <cfRule type="containsText" dxfId="772" priority="771" operator="containsText" text="B">
      <formula>NOT(ISERROR(SEARCH("B",D38)))</formula>
    </cfRule>
    <cfRule type="containsText" dxfId="771" priority="772" operator="containsText" text="TB">
      <formula>NOT(ISERROR(SEARCH("TB",D38)))</formula>
    </cfRule>
    <cfRule type="containsText" dxfId="770" priority="773" operator="containsText" text="T">
      <formula>NOT(ISERROR(SEARCH("T",D38)))</formula>
    </cfRule>
  </conditionalFormatting>
  <conditionalFormatting sqref="D38:D39">
    <cfRule type="containsText" dxfId="769" priority="770" operator="containsText" text="TB">
      <formula>NOT(ISERROR(SEARCH("TB",D38)))</formula>
    </cfRule>
  </conditionalFormatting>
  <conditionalFormatting sqref="D44">
    <cfRule type="containsText" dxfId="768" priority="767" operator="containsText" text="B">
      <formula>NOT(ISERROR(SEARCH("B",D44)))</formula>
    </cfRule>
    <cfRule type="containsText" dxfId="767" priority="768" operator="containsText" text="TB">
      <formula>NOT(ISERROR(SEARCH("TB",D44)))</formula>
    </cfRule>
    <cfRule type="containsText" dxfId="766" priority="769" operator="containsText" text="T">
      <formula>NOT(ISERROR(SEARCH("T",D44)))</formula>
    </cfRule>
  </conditionalFormatting>
  <conditionalFormatting sqref="D44">
    <cfRule type="containsText" dxfId="765" priority="766" operator="containsText" text="TB">
      <formula>NOT(ISERROR(SEARCH("TB",D44)))</formula>
    </cfRule>
  </conditionalFormatting>
  <conditionalFormatting sqref="D49:D50">
    <cfRule type="containsText" dxfId="764" priority="763" operator="containsText" text="B">
      <formula>NOT(ISERROR(SEARCH("B",D49)))</formula>
    </cfRule>
    <cfRule type="containsText" dxfId="763" priority="764" operator="containsText" text="TB">
      <formula>NOT(ISERROR(SEARCH("TB",D49)))</formula>
    </cfRule>
    <cfRule type="containsText" dxfId="762" priority="765" operator="containsText" text="T">
      <formula>NOT(ISERROR(SEARCH("T",D49)))</formula>
    </cfRule>
  </conditionalFormatting>
  <conditionalFormatting sqref="D49:D50">
    <cfRule type="containsText" dxfId="761" priority="762" operator="containsText" text="TB">
      <formula>NOT(ISERROR(SEARCH("TB",D49)))</formula>
    </cfRule>
  </conditionalFormatting>
  <conditionalFormatting sqref="D51:D53">
    <cfRule type="containsText" dxfId="760" priority="759" operator="containsText" text="B">
      <formula>NOT(ISERROR(SEARCH("B",D51)))</formula>
    </cfRule>
    <cfRule type="containsText" dxfId="759" priority="760" operator="containsText" text="TB">
      <formula>NOT(ISERROR(SEARCH("TB",D51)))</formula>
    </cfRule>
    <cfRule type="containsText" dxfId="758" priority="761" operator="containsText" text="T">
      <formula>NOT(ISERROR(SEARCH("T",D51)))</formula>
    </cfRule>
  </conditionalFormatting>
  <conditionalFormatting sqref="D51:D53">
    <cfRule type="containsText" dxfId="757" priority="758" operator="containsText" text="TB">
      <formula>NOT(ISERROR(SEARCH("TB",D51)))</formula>
    </cfRule>
  </conditionalFormatting>
  <conditionalFormatting sqref="D54:D55">
    <cfRule type="containsText" dxfId="756" priority="755" operator="containsText" text="B">
      <formula>NOT(ISERROR(SEARCH("B",D54)))</formula>
    </cfRule>
    <cfRule type="containsText" dxfId="755" priority="756" operator="containsText" text="TB">
      <formula>NOT(ISERROR(SEARCH("TB",D54)))</formula>
    </cfRule>
    <cfRule type="containsText" dxfId="754" priority="757" operator="containsText" text="T">
      <formula>NOT(ISERROR(SEARCH("T",D54)))</formula>
    </cfRule>
  </conditionalFormatting>
  <conditionalFormatting sqref="D54:D55">
    <cfRule type="containsText" dxfId="753" priority="754" operator="containsText" text="TB">
      <formula>NOT(ISERROR(SEARCH("TB",D54)))</formula>
    </cfRule>
  </conditionalFormatting>
  <conditionalFormatting sqref="D56:D58">
    <cfRule type="containsText" dxfId="752" priority="751" operator="containsText" text="B">
      <formula>NOT(ISERROR(SEARCH("B",D56)))</formula>
    </cfRule>
    <cfRule type="containsText" dxfId="751" priority="752" operator="containsText" text="TB">
      <formula>NOT(ISERROR(SEARCH("TB",D56)))</formula>
    </cfRule>
    <cfRule type="containsText" dxfId="750" priority="753" operator="containsText" text="T">
      <formula>NOT(ISERROR(SEARCH("T",D56)))</formula>
    </cfRule>
  </conditionalFormatting>
  <conditionalFormatting sqref="D56:D58">
    <cfRule type="containsText" dxfId="749" priority="750" operator="containsText" text="TB">
      <formula>NOT(ISERROR(SEARCH("TB",D56)))</formula>
    </cfRule>
  </conditionalFormatting>
  <conditionalFormatting sqref="D60">
    <cfRule type="containsText" dxfId="748" priority="747" operator="containsText" text="B">
      <formula>NOT(ISERROR(SEARCH("B",D60)))</formula>
    </cfRule>
    <cfRule type="containsText" dxfId="747" priority="748" operator="containsText" text="TB">
      <formula>NOT(ISERROR(SEARCH("TB",D60)))</formula>
    </cfRule>
    <cfRule type="containsText" dxfId="746" priority="749" operator="containsText" text="T">
      <formula>NOT(ISERROR(SEARCH("T",D60)))</formula>
    </cfRule>
  </conditionalFormatting>
  <conditionalFormatting sqref="D60">
    <cfRule type="containsText" dxfId="745" priority="746" operator="containsText" text="TB">
      <formula>NOT(ISERROR(SEARCH("TB",D60)))</formula>
    </cfRule>
  </conditionalFormatting>
  <conditionalFormatting sqref="D62">
    <cfRule type="containsText" dxfId="744" priority="743" operator="containsText" text="B">
      <formula>NOT(ISERROR(SEARCH("B",D62)))</formula>
    </cfRule>
    <cfRule type="containsText" dxfId="743" priority="744" operator="containsText" text="TB">
      <formula>NOT(ISERROR(SEARCH("TB",D62)))</formula>
    </cfRule>
    <cfRule type="containsText" dxfId="742" priority="745" operator="containsText" text="T">
      <formula>NOT(ISERROR(SEARCH("T",D62)))</formula>
    </cfRule>
  </conditionalFormatting>
  <conditionalFormatting sqref="D62">
    <cfRule type="containsText" dxfId="741" priority="742" operator="containsText" text="TB">
      <formula>NOT(ISERROR(SEARCH("TB",D62)))</formula>
    </cfRule>
  </conditionalFormatting>
  <conditionalFormatting sqref="D65">
    <cfRule type="containsText" dxfId="740" priority="739" operator="containsText" text="B">
      <formula>NOT(ISERROR(SEARCH("B",D65)))</formula>
    </cfRule>
    <cfRule type="containsText" dxfId="739" priority="740" operator="containsText" text="TB">
      <formula>NOT(ISERROR(SEARCH("TB",D65)))</formula>
    </cfRule>
    <cfRule type="containsText" dxfId="738" priority="741" operator="containsText" text="T">
      <formula>NOT(ISERROR(SEARCH("T",D65)))</formula>
    </cfRule>
  </conditionalFormatting>
  <conditionalFormatting sqref="D65">
    <cfRule type="containsText" dxfId="737" priority="738" operator="containsText" text="TB">
      <formula>NOT(ISERROR(SEARCH("TB",D65)))</formula>
    </cfRule>
  </conditionalFormatting>
  <conditionalFormatting sqref="D66">
    <cfRule type="containsText" dxfId="736" priority="735" operator="containsText" text="B">
      <formula>NOT(ISERROR(SEARCH("B",D66)))</formula>
    </cfRule>
    <cfRule type="containsText" dxfId="735" priority="736" operator="containsText" text="TB">
      <formula>NOT(ISERROR(SEARCH("TB",D66)))</formula>
    </cfRule>
    <cfRule type="containsText" dxfId="734" priority="737" operator="containsText" text="T">
      <formula>NOT(ISERROR(SEARCH("T",D66)))</formula>
    </cfRule>
  </conditionalFormatting>
  <conditionalFormatting sqref="D66">
    <cfRule type="containsText" dxfId="733" priority="734" operator="containsText" text="TB">
      <formula>NOT(ISERROR(SEARCH("TB",D66)))</formula>
    </cfRule>
  </conditionalFormatting>
  <conditionalFormatting sqref="D68:D69">
    <cfRule type="containsText" dxfId="732" priority="731" operator="containsText" text="B">
      <formula>NOT(ISERROR(SEARCH("B",D68)))</formula>
    </cfRule>
    <cfRule type="containsText" dxfId="731" priority="732" operator="containsText" text="TB">
      <formula>NOT(ISERROR(SEARCH("TB",D68)))</formula>
    </cfRule>
    <cfRule type="containsText" dxfId="730" priority="733" operator="containsText" text="T">
      <formula>NOT(ISERROR(SEARCH("T",D68)))</formula>
    </cfRule>
  </conditionalFormatting>
  <conditionalFormatting sqref="D68:D69">
    <cfRule type="containsText" dxfId="729" priority="730" operator="containsText" text="TB">
      <formula>NOT(ISERROR(SEARCH("TB",D68)))</formula>
    </cfRule>
  </conditionalFormatting>
  <conditionalFormatting sqref="D74">
    <cfRule type="containsText" dxfId="728" priority="727" operator="containsText" text="B">
      <formula>NOT(ISERROR(SEARCH("B",D74)))</formula>
    </cfRule>
    <cfRule type="containsText" dxfId="727" priority="728" operator="containsText" text="TB">
      <formula>NOT(ISERROR(SEARCH("TB",D74)))</formula>
    </cfRule>
    <cfRule type="containsText" dxfId="726" priority="729" operator="containsText" text="T">
      <formula>NOT(ISERROR(SEARCH("T",D74)))</formula>
    </cfRule>
  </conditionalFormatting>
  <conditionalFormatting sqref="D74">
    <cfRule type="containsText" dxfId="725" priority="726" operator="containsText" text="TB">
      <formula>NOT(ISERROR(SEARCH("TB",D74)))</formula>
    </cfRule>
  </conditionalFormatting>
  <conditionalFormatting sqref="D78">
    <cfRule type="containsText" dxfId="724" priority="723" operator="containsText" text="B">
      <formula>NOT(ISERROR(SEARCH("B",D78)))</formula>
    </cfRule>
    <cfRule type="containsText" dxfId="723" priority="724" operator="containsText" text="TB">
      <formula>NOT(ISERROR(SEARCH("TB",D78)))</formula>
    </cfRule>
    <cfRule type="containsText" dxfId="722" priority="725" operator="containsText" text="T">
      <formula>NOT(ISERROR(SEARCH("T",D78)))</formula>
    </cfRule>
  </conditionalFormatting>
  <conditionalFormatting sqref="D78">
    <cfRule type="containsText" dxfId="721" priority="722" operator="containsText" text="TB">
      <formula>NOT(ISERROR(SEARCH("TB",D78)))</formula>
    </cfRule>
  </conditionalFormatting>
  <conditionalFormatting sqref="D81:D82">
    <cfRule type="containsText" dxfId="720" priority="719" operator="containsText" text="B">
      <formula>NOT(ISERROR(SEARCH("B",D81)))</formula>
    </cfRule>
    <cfRule type="containsText" dxfId="719" priority="720" operator="containsText" text="TB">
      <formula>NOT(ISERROR(SEARCH("TB",D81)))</formula>
    </cfRule>
    <cfRule type="containsText" dxfId="718" priority="721" operator="containsText" text="T">
      <formula>NOT(ISERROR(SEARCH("T",D81)))</formula>
    </cfRule>
  </conditionalFormatting>
  <conditionalFormatting sqref="D81:D82">
    <cfRule type="containsText" dxfId="717" priority="718" operator="containsText" text="TB">
      <formula>NOT(ISERROR(SEARCH("TB",D81)))</formula>
    </cfRule>
  </conditionalFormatting>
  <conditionalFormatting sqref="D86:D87">
    <cfRule type="containsText" dxfId="716" priority="715" operator="containsText" text="B">
      <formula>NOT(ISERROR(SEARCH("B",D86)))</formula>
    </cfRule>
    <cfRule type="containsText" dxfId="715" priority="716" operator="containsText" text="TB">
      <formula>NOT(ISERROR(SEARCH("TB",D86)))</formula>
    </cfRule>
    <cfRule type="containsText" dxfId="714" priority="717" operator="containsText" text="T">
      <formula>NOT(ISERROR(SEARCH("T",D86)))</formula>
    </cfRule>
  </conditionalFormatting>
  <conditionalFormatting sqref="D86:D87">
    <cfRule type="containsText" dxfId="713" priority="714" operator="containsText" text="TB">
      <formula>NOT(ISERROR(SEARCH("TB",D86)))</formula>
    </cfRule>
  </conditionalFormatting>
  <conditionalFormatting sqref="D91">
    <cfRule type="containsText" dxfId="712" priority="711" operator="containsText" text="B">
      <formula>NOT(ISERROR(SEARCH("B",D91)))</formula>
    </cfRule>
    <cfRule type="containsText" dxfId="711" priority="712" operator="containsText" text="TB">
      <formula>NOT(ISERROR(SEARCH("TB",D91)))</formula>
    </cfRule>
    <cfRule type="containsText" dxfId="710" priority="713" operator="containsText" text="T">
      <formula>NOT(ISERROR(SEARCH("T",D91)))</formula>
    </cfRule>
  </conditionalFormatting>
  <conditionalFormatting sqref="D91">
    <cfRule type="containsText" dxfId="709" priority="710" operator="containsText" text="TB">
      <formula>NOT(ISERROR(SEARCH("TB",D91)))</formula>
    </cfRule>
  </conditionalFormatting>
  <conditionalFormatting sqref="D95:D96">
    <cfRule type="containsText" dxfId="708" priority="707" operator="containsText" text="B">
      <formula>NOT(ISERROR(SEARCH("B",D95)))</formula>
    </cfRule>
    <cfRule type="containsText" dxfId="707" priority="708" operator="containsText" text="TB">
      <formula>NOT(ISERROR(SEARCH("TB",D95)))</formula>
    </cfRule>
    <cfRule type="containsText" dxfId="706" priority="709" operator="containsText" text="T">
      <formula>NOT(ISERROR(SEARCH("T",D95)))</formula>
    </cfRule>
  </conditionalFormatting>
  <conditionalFormatting sqref="D95:D96">
    <cfRule type="containsText" dxfId="705" priority="706" operator="containsText" text="TB">
      <formula>NOT(ISERROR(SEARCH("TB",D95)))</formula>
    </cfRule>
  </conditionalFormatting>
  <conditionalFormatting sqref="D99">
    <cfRule type="containsText" dxfId="704" priority="703" operator="containsText" text="B">
      <formula>NOT(ISERROR(SEARCH("B",D99)))</formula>
    </cfRule>
    <cfRule type="containsText" dxfId="703" priority="704" operator="containsText" text="TB">
      <formula>NOT(ISERROR(SEARCH("TB",D99)))</formula>
    </cfRule>
    <cfRule type="containsText" dxfId="702" priority="705" operator="containsText" text="T">
      <formula>NOT(ISERROR(SEARCH("T",D99)))</formula>
    </cfRule>
  </conditionalFormatting>
  <conditionalFormatting sqref="D99">
    <cfRule type="containsText" dxfId="701" priority="702" operator="containsText" text="TB">
      <formula>NOT(ISERROR(SEARCH("TB",D99)))</formula>
    </cfRule>
  </conditionalFormatting>
  <conditionalFormatting sqref="D70:D71">
    <cfRule type="containsText" dxfId="700" priority="699" operator="containsText" text="B">
      <formula>NOT(ISERROR(SEARCH("B",D70)))</formula>
    </cfRule>
    <cfRule type="containsText" dxfId="699" priority="700" operator="containsText" text="TB">
      <formula>NOT(ISERROR(SEARCH("TB",D70)))</formula>
    </cfRule>
    <cfRule type="containsText" dxfId="698" priority="701" operator="containsText" text="T">
      <formula>NOT(ISERROR(SEARCH("T",D70)))</formula>
    </cfRule>
  </conditionalFormatting>
  <conditionalFormatting sqref="D70:D71">
    <cfRule type="containsText" dxfId="697" priority="698" operator="containsText" text="TB">
      <formula>NOT(ISERROR(SEARCH("TB",D70)))</formula>
    </cfRule>
  </conditionalFormatting>
  <conditionalFormatting sqref="D75">
    <cfRule type="containsText" dxfId="696" priority="695" operator="containsText" text="B">
      <formula>NOT(ISERROR(SEARCH("B",D75)))</formula>
    </cfRule>
    <cfRule type="containsText" dxfId="695" priority="696" operator="containsText" text="TB">
      <formula>NOT(ISERROR(SEARCH("TB",D75)))</formula>
    </cfRule>
    <cfRule type="containsText" dxfId="694" priority="697" operator="containsText" text="T">
      <formula>NOT(ISERROR(SEARCH("T",D75)))</formula>
    </cfRule>
  </conditionalFormatting>
  <conditionalFormatting sqref="D75">
    <cfRule type="containsText" dxfId="693" priority="694" operator="containsText" text="TB">
      <formula>NOT(ISERROR(SEARCH("TB",D75)))</formula>
    </cfRule>
  </conditionalFormatting>
  <conditionalFormatting sqref="D76">
    <cfRule type="containsText" dxfId="692" priority="691" operator="containsText" text="B">
      <formula>NOT(ISERROR(SEARCH("B",D76)))</formula>
    </cfRule>
    <cfRule type="containsText" dxfId="691" priority="692" operator="containsText" text="TB">
      <formula>NOT(ISERROR(SEARCH("TB",D76)))</formula>
    </cfRule>
    <cfRule type="containsText" dxfId="690" priority="693" operator="containsText" text="T">
      <formula>NOT(ISERROR(SEARCH("T",D76)))</formula>
    </cfRule>
  </conditionalFormatting>
  <conditionalFormatting sqref="D76">
    <cfRule type="containsText" dxfId="689" priority="690" operator="containsText" text="TB">
      <formula>NOT(ISERROR(SEARCH("TB",D76)))</formula>
    </cfRule>
  </conditionalFormatting>
  <conditionalFormatting sqref="D77">
    <cfRule type="containsText" dxfId="688" priority="687" operator="containsText" text="B">
      <formula>NOT(ISERROR(SEARCH("B",D77)))</formula>
    </cfRule>
    <cfRule type="containsText" dxfId="687" priority="688" operator="containsText" text="TB">
      <formula>NOT(ISERROR(SEARCH("TB",D77)))</formula>
    </cfRule>
    <cfRule type="containsText" dxfId="686" priority="689" operator="containsText" text="T">
      <formula>NOT(ISERROR(SEARCH("T",D77)))</formula>
    </cfRule>
  </conditionalFormatting>
  <conditionalFormatting sqref="D77">
    <cfRule type="containsText" dxfId="685" priority="686" operator="containsText" text="TB">
      <formula>NOT(ISERROR(SEARCH("TB",D77)))</formula>
    </cfRule>
  </conditionalFormatting>
  <conditionalFormatting sqref="D88:D89">
    <cfRule type="containsText" dxfId="684" priority="683" operator="containsText" text="B">
      <formula>NOT(ISERROR(SEARCH("B",D88)))</formula>
    </cfRule>
    <cfRule type="containsText" dxfId="683" priority="684" operator="containsText" text="TB">
      <formula>NOT(ISERROR(SEARCH("TB",D88)))</formula>
    </cfRule>
    <cfRule type="containsText" dxfId="682" priority="685" operator="containsText" text="T">
      <formula>NOT(ISERROR(SEARCH("T",D88)))</formula>
    </cfRule>
  </conditionalFormatting>
  <conditionalFormatting sqref="D88:D89">
    <cfRule type="containsText" dxfId="681" priority="682" operator="containsText" text="TB">
      <formula>NOT(ISERROR(SEARCH("TB",D88)))</formula>
    </cfRule>
  </conditionalFormatting>
  <conditionalFormatting sqref="D104">
    <cfRule type="containsText" dxfId="680" priority="679" operator="containsText" text="B">
      <formula>NOT(ISERROR(SEARCH("B",D104)))</formula>
    </cfRule>
    <cfRule type="containsText" dxfId="679" priority="680" operator="containsText" text="TB">
      <formula>NOT(ISERROR(SEARCH("TB",D104)))</formula>
    </cfRule>
    <cfRule type="containsText" dxfId="678" priority="681" operator="containsText" text="T">
      <formula>NOT(ISERROR(SEARCH("T",D104)))</formula>
    </cfRule>
  </conditionalFormatting>
  <conditionalFormatting sqref="D104">
    <cfRule type="containsText" dxfId="677" priority="678" operator="containsText" text="TB">
      <formula>NOT(ISERROR(SEARCH("TB",D104)))</formula>
    </cfRule>
  </conditionalFormatting>
  <conditionalFormatting sqref="C118:AG118">
    <cfRule type="containsText" dxfId="676" priority="677" operator="containsText" text="TB">
      <formula>NOT(ISERROR(SEARCH("TB",C118)))</formula>
    </cfRule>
  </conditionalFormatting>
  <conditionalFormatting sqref="C135">
    <cfRule type="containsText" dxfId="675" priority="674" operator="containsText" text="B">
      <formula>NOT(ISERROR(SEARCH("B",C135)))</formula>
    </cfRule>
    <cfRule type="containsText" dxfId="674" priority="675" operator="containsText" text="TB">
      <formula>NOT(ISERROR(SEARCH("TB",C135)))</formula>
    </cfRule>
    <cfRule type="containsText" dxfId="673" priority="676" operator="containsText" text="T">
      <formula>NOT(ISERROR(SEARCH("T",C135)))</formula>
    </cfRule>
  </conditionalFormatting>
  <conditionalFormatting sqref="C135">
    <cfRule type="containsText" dxfId="672" priority="673" operator="containsText" text="TB">
      <formula>NOT(ISERROR(SEARCH("TB",C135)))</formula>
    </cfRule>
  </conditionalFormatting>
  <conditionalFormatting sqref="C9">
    <cfRule type="containsText" dxfId="671" priority="670" operator="containsText" text="B">
      <formula>NOT(ISERROR(SEARCH("B",C9)))</formula>
    </cfRule>
    <cfRule type="containsText" dxfId="670" priority="671" operator="containsText" text="TB">
      <formula>NOT(ISERROR(SEARCH("TB",C9)))</formula>
    </cfRule>
    <cfRule type="containsText" dxfId="669" priority="672" operator="containsText" text="T">
      <formula>NOT(ISERROR(SEARCH("T",C9)))</formula>
    </cfRule>
  </conditionalFormatting>
  <conditionalFormatting sqref="C9">
    <cfRule type="containsText" dxfId="668" priority="669" operator="containsText" text="TB">
      <formula>NOT(ISERROR(SEARCH("TB",C9)))</formula>
    </cfRule>
  </conditionalFormatting>
  <conditionalFormatting sqref="C11">
    <cfRule type="containsText" dxfId="667" priority="666" operator="containsText" text="B">
      <formula>NOT(ISERROR(SEARCH("B",C11)))</formula>
    </cfRule>
    <cfRule type="containsText" dxfId="666" priority="667" operator="containsText" text="TB">
      <formula>NOT(ISERROR(SEARCH("TB",C11)))</formula>
    </cfRule>
    <cfRule type="containsText" dxfId="665" priority="668" operator="containsText" text="T">
      <formula>NOT(ISERROR(SEARCH("T",C11)))</formula>
    </cfRule>
  </conditionalFormatting>
  <conditionalFormatting sqref="C11">
    <cfRule type="containsText" dxfId="664" priority="665" operator="containsText" text="TB">
      <formula>NOT(ISERROR(SEARCH("TB",C11)))</formula>
    </cfRule>
  </conditionalFormatting>
  <conditionalFormatting sqref="C12">
    <cfRule type="containsText" dxfId="663" priority="662" operator="containsText" text="B">
      <formula>NOT(ISERROR(SEARCH("B",C12)))</formula>
    </cfRule>
    <cfRule type="containsText" dxfId="662" priority="663" operator="containsText" text="TB">
      <formula>NOT(ISERROR(SEARCH("TB",C12)))</formula>
    </cfRule>
    <cfRule type="containsText" dxfId="661" priority="664" operator="containsText" text="T">
      <formula>NOT(ISERROR(SEARCH("T",C12)))</formula>
    </cfRule>
  </conditionalFormatting>
  <conditionalFormatting sqref="C12">
    <cfRule type="containsText" dxfId="660" priority="661" operator="containsText" text="TB">
      <formula>NOT(ISERROR(SEARCH("TB",C12)))</formula>
    </cfRule>
  </conditionalFormatting>
  <conditionalFormatting sqref="C16">
    <cfRule type="containsText" dxfId="659" priority="658" operator="containsText" text="B">
      <formula>NOT(ISERROR(SEARCH("B",C16)))</formula>
    </cfRule>
    <cfRule type="containsText" dxfId="658" priority="659" operator="containsText" text="TB">
      <formula>NOT(ISERROR(SEARCH("TB",C16)))</formula>
    </cfRule>
    <cfRule type="containsText" dxfId="657" priority="660" operator="containsText" text="T">
      <formula>NOT(ISERROR(SEARCH("T",C16)))</formula>
    </cfRule>
  </conditionalFormatting>
  <conditionalFormatting sqref="C16">
    <cfRule type="containsText" dxfId="656" priority="657" operator="containsText" text="TB">
      <formula>NOT(ISERROR(SEARCH("TB",C16)))</formula>
    </cfRule>
  </conditionalFormatting>
  <conditionalFormatting sqref="C18">
    <cfRule type="containsText" dxfId="655" priority="654" operator="containsText" text="B">
      <formula>NOT(ISERROR(SEARCH("B",C18)))</formula>
    </cfRule>
    <cfRule type="containsText" dxfId="654" priority="655" operator="containsText" text="TB">
      <formula>NOT(ISERROR(SEARCH("TB",C18)))</formula>
    </cfRule>
    <cfRule type="containsText" dxfId="653" priority="656" operator="containsText" text="T">
      <formula>NOT(ISERROR(SEARCH("T",C18)))</formula>
    </cfRule>
  </conditionalFormatting>
  <conditionalFormatting sqref="C18">
    <cfRule type="containsText" dxfId="652" priority="653" operator="containsText" text="TB">
      <formula>NOT(ISERROR(SEARCH("TB",C18)))</formula>
    </cfRule>
  </conditionalFormatting>
  <conditionalFormatting sqref="C20">
    <cfRule type="containsText" dxfId="651" priority="650" operator="containsText" text="B">
      <formula>NOT(ISERROR(SEARCH("B",C20)))</formula>
    </cfRule>
    <cfRule type="containsText" dxfId="650" priority="651" operator="containsText" text="TB">
      <formula>NOT(ISERROR(SEARCH("TB",C20)))</formula>
    </cfRule>
    <cfRule type="containsText" dxfId="649" priority="652" operator="containsText" text="T">
      <formula>NOT(ISERROR(SEARCH("T",C20)))</formula>
    </cfRule>
  </conditionalFormatting>
  <conditionalFormatting sqref="C20">
    <cfRule type="containsText" dxfId="648" priority="649" operator="containsText" text="TB">
      <formula>NOT(ISERROR(SEARCH("TB",C20)))</formula>
    </cfRule>
  </conditionalFormatting>
  <conditionalFormatting sqref="C25">
    <cfRule type="containsText" dxfId="647" priority="646" operator="containsText" text="B">
      <formula>NOT(ISERROR(SEARCH("B",C25)))</formula>
    </cfRule>
    <cfRule type="containsText" dxfId="646" priority="647" operator="containsText" text="TB">
      <formula>NOT(ISERROR(SEARCH("TB",C25)))</formula>
    </cfRule>
    <cfRule type="containsText" dxfId="645" priority="648" operator="containsText" text="T">
      <formula>NOT(ISERROR(SEARCH("T",C25)))</formula>
    </cfRule>
  </conditionalFormatting>
  <conditionalFormatting sqref="C25">
    <cfRule type="containsText" dxfId="644" priority="645" operator="containsText" text="TB">
      <formula>NOT(ISERROR(SEARCH("TB",C25)))</formula>
    </cfRule>
  </conditionalFormatting>
  <conditionalFormatting sqref="C27">
    <cfRule type="containsText" dxfId="643" priority="642" operator="containsText" text="B">
      <formula>NOT(ISERROR(SEARCH("B",C27)))</formula>
    </cfRule>
    <cfRule type="containsText" dxfId="642" priority="643" operator="containsText" text="TB">
      <formula>NOT(ISERROR(SEARCH("TB",C27)))</formula>
    </cfRule>
    <cfRule type="containsText" dxfId="641" priority="644" operator="containsText" text="T">
      <formula>NOT(ISERROR(SEARCH("T",C27)))</formula>
    </cfRule>
  </conditionalFormatting>
  <conditionalFormatting sqref="C27">
    <cfRule type="containsText" dxfId="640" priority="641" operator="containsText" text="TB">
      <formula>NOT(ISERROR(SEARCH("TB",C27)))</formula>
    </cfRule>
  </conditionalFormatting>
  <conditionalFormatting sqref="C29">
    <cfRule type="containsText" dxfId="639" priority="638" operator="containsText" text="B">
      <formula>NOT(ISERROR(SEARCH("B",C29)))</formula>
    </cfRule>
    <cfRule type="containsText" dxfId="638" priority="639" operator="containsText" text="TB">
      <formula>NOT(ISERROR(SEARCH("TB",C29)))</formula>
    </cfRule>
    <cfRule type="containsText" dxfId="637" priority="640" operator="containsText" text="T">
      <formula>NOT(ISERROR(SEARCH("T",C29)))</formula>
    </cfRule>
  </conditionalFormatting>
  <conditionalFormatting sqref="C29">
    <cfRule type="containsText" dxfId="636" priority="637" operator="containsText" text="TB">
      <formula>NOT(ISERROR(SEARCH("TB",C29)))</formula>
    </cfRule>
  </conditionalFormatting>
  <conditionalFormatting sqref="C44">
    <cfRule type="containsText" dxfId="635" priority="634" operator="containsText" text="B">
      <formula>NOT(ISERROR(SEARCH("B",C44)))</formula>
    </cfRule>
    <cfRule type="containsText" dxfId="634" priority="635" operator="containsText" text="TB">
      <formula>NOT(ISERROR(SEARCH("TB",C44)))</formula>
    </cfRule>
    <cfRule type="containsText" dxfId="633" priority="636" operator="containsText" text="T">
      <formula>NOT(ISERROR(SEARCH("T",C44)))</formula>
    </cfRule>
  </conditionalFormatting>
  <conditionalFormatting sqref="C44">
    <cfRule type="containsText" dxfId="632" priority="633" operator="containsText" text="TB">
      <formula>NOT(ISERROR(SEARCH("TB",C44)))</formula>
    </cfRule>
  </conditionalFormatting>
  <conditionalFormatting sqref="C45">
    <cfRule type="containsText" dxfId="631" priority="630" operator="containsText" text="B">
      <formula>NOT(ISERROR(SEARCH("B",C45)))</formula>
    </cfRule>
    <cfRule type="containsText" dxfId="630" priority="631" operator="containsText" text="TB">
      <formula>NOT(ISERROR(SEARCH("TB",C45)))</formula>
    </cfRule>
    <cfRule type="containsText" dxfId="629" priority="632" operator="containsText" text="T">
      <formula>NOT(ISERROR(SEARCH("T",C45)))</formula>
    </cfRule>
  </conditionalFormatting>
  <conditionalFormatting sqref="C45">
    <cfRule type="containsText" dxfId="628" priority="629" operator="containsText" text="TB">
      <formula>NOT(ISERROR(SEARCH("TB",C45)))</formula>
    </cfRule>
  </conditionalFormatting>
  <conditionalFormatting sqref="D7">
    <cfRule type="containsText" dxfId="627" priority="626" operator="containsText" text="B">
      <formula>NOT(ISERROR(SEARCH("B",D7)))</formula>
    </cfRule>
    <cfRule type="containsText" dxfId="626" priority="627" operator="containsText" text="TB">
      <formula>NOT(ISERROR(SEARCH("TB",D7)))</formula>
    </cfRule>
    <cfRule type="containsText" dxfId="625" priority="628" operator="containsText" text="T">
      <formula>NOT(ISERROR(SEARCH("T",D7)))</formula>
    </cfRule>
  </conditionalFormatting>
  <conditionalFormatting sqref="D7">
    <cfRule type="containsText" dxfId="624" priority="625" operator="containsText" text="TB">
      <formula>NOT(ISERROR(SEARCH("TB",D7)))</formula>
    </cfRule>
  </conditionalFormatting>
  <conditionalFormatting sqref="D18">
    <cfRule type="containsText" dxfId="623" priority="622" operator="containsText" text="B">
      <formula>NOT(ISERROR(SEARCH("B",D18)))</formula>
    </cfRule>
    <cfRule type="containsText" dxfId="622" priority="623" operator="containsText" text="TB">
      <formula>NOT(ISERROR(SEARCH("TB",D18)))</formula>
    </cfRule>
    <cfRule type="containsText" dxfId="621" priority="624" operator="containsText" text="T">
      <formula>NOT(ISERROR(SEARCH("T",D18)))</formula>
    </cfRule>
  </conditionalFormatting>
  <conditionalFormatting sqref="D18">
    <cfRule type="containsText" dxfId="620" priority="621" operator="containsText" text="TB">
      <formula>NOT(ISERROR(SEARCH("TB",D18)))</formula>
    </cfRule>
  </conditionalFormatting>
  <conditionalFormatting sqref="D48">
    <cfRule type="containsText" dxfId="619" priority="618" operator="containsText" text="B">
      <formula>NOT(ISERROR(SEARCH("B",D48)))</formula>
    </cfRule>
    <cfRule type="containsText" dxfId="618" priority="619" operator="containsText" text="TB">
      <formula>NOT(ISERROR(SEARCH("TB",D48)))</formula>
    </cfRule>
    <cfRule type="containsText" dxfId="617" priority="620" operator="containsText" text="T">
      <formula>NOT(ISERROR(SEARCH("T",D48)))</formula>
    </cfRule>
  </conditionalFormatting>
  <conditionalFormatting sqref="D48">
    <cfRule type="containsText" dxfId="616" priority="617" operator="containsText" text="TB">
      <formula>NOT(ISERROR(SEARCH("TB",D48)))</formula>
    </cfRule>
  </conditionalFormatting>
  <conditionalFormatting sqref="D45">
    <cfRule type="containsText" dxfId="615" priority="614" operator="containsText" text="B">
      <formula>NOT(ISERROR(SEARCH("B",D45)))</formula>
    </cfRule>
    <cfRule type="containsText" dxfId="614" priority="615" operator="containsText" text="TB">
      <formula>NOT(ISERROR(SEARCH("TB",D45)))</formula>
    </cfRule>
    <cfRule type="containsText" dxfId="613" priority="616" operator="containsText" text="T">
      <formula>NOT(ISERROR(SEARCH("T",D45)))</formula>
    </cfRule>
  </conditionalFormatting>
  <conditionalFormatting sqref="D45">
    <cfRule type="containsText" dxfId="612" priority="613" operator="containsText" text="TB">
      <formula>NOT(ISERROR(SEARCH("TB",D45)))</formula>
    </cfRule>
  </conditionalFormatting>
  <conditionalFormatting sqref="D42">
    <cfRule type="containsText" dxfId="611" priority="610" operator="containsText" text="B">
      <formula>NOT(ISERROR(SEARCH("B",D42)))</formula>
    </cfRule>
    <cfRule type="containsText" dxfId="610" priority="611" operator="containsText" text="TB">
      <formula>NOT(ISERROR(SEARCH("TB",D42)))</formula>
    </cfRule>
    <cfRule type="containsText" dxfId="609" priority="612" operator="containsText" text="T">
      <formula>NOT(ISERROR(SEARCH("T",D42)))</formula>
    </cfRule>
  </conditionalFormatting>
  <conditionalFormatting sqref="D42">
    <cfRule type="containsText" dxfId="608" priority="609" operator="containsText" text="TB">
      <formula>NOT(ISERROR(SEARCH("TB",D42)))</formula>
    </cfRule>
  </conditionalFormatting>
  <conditionalFormatting sqref="D144">
    <cfRule type="containsText" dxfId="607" priority="606" operator="containsText" text="B">
      <formula>NOT(ISERROR(SEARCH("B",D144)))</formula>
    </cfRule>
    <cfRule type="containsText" dxfId="606" priority="607" operator="containsText" text="TB">
      <formula>NOT(ISERROR(SEARCH("TB",D144)))</formula>
    </cfRule>
    <cfRule type="containsText" dxfId="605" priority="608" operator="containsText" text="T">
      <formula>NOT(ISERROR(SEARCH("T",D144)))</formula>
    </cfRule>
  </conditionalFormatting>
  <conditionalFormatting sqref="D144">
    <cfRule type="containsText" dxfId="604" priority="605" operator="containsText" text="TB">
      <formula>NOT(ISERROR(SEARCH("TB",D144)))</formula>
    </cfRule>
  </conditionalFormatting>
  <conditionalFormatting sqref="D13">
    <cfRule type="containsText" dxfId="603" priority="602" operator="containsText" text="B">
      <formula>NOT(ISERROR(SEARCH("B",D13)))</formula>
    </cfRule>
    <cfRule type="containsText" dxfId="602" priority="603" operator="containsText" text="TB">
      <formula>NOT(ISERROR(SEARCH("TB",D13)))</formula>
    </cfRule>
    <cfRule type="containsText" dxfId="601" priority="604" operator="containsText" text="T">
      <formula>NOT(ISERROR(SEARCH("T",D13)))</formula>
    </cfRule>
  </conditionalFormatting>
  <conditionalFormatting sqref="D13">
    <cfRule type="containsText" dxfId="600" priority="601" operator="containsText" text="TB">
      <formula>NOT(ISERROR(SEARCH("TB",D13)))</formula>
    </cfRule>
  </conditionalFormatting>
  <conditionalFormatting sqref="D41">
    <cfRule type="containsText" dxfId="599" priority="598" operator="containsText" text="B">
      <formula>NOT(ISERROR(SEARCH("B",D41)))</formula>
    </cfRule>
    <cfRule type="containsText" dxfId="598" priority="599" operator="containsText" text="TB">
      <formula>NOT(ISERROR(SEARCH("TB",D41)))</formula>
    </cfRule>
    <cfRule type="containsText" dxfId="597" priority="600" operator="containsText" text="T">
      <formula>NOT(ISERROR(SEARCH("T",D41)))</formula>
    </cfRule>
  </conditionalFormatting>
  <conditionalFormatting sqref="D41">
    <cfRule type="containsText" dxfId="596" priority="597" operator="containsText" text="TB">
      <formula>NOT(ISERROR(SEARCH("TB",D41)))</formula>
    </cfRule>
  </conditionalFormatting>
  <conditionalFormatting sqref="D10">
    <cfRule type="containsText" dxfId="595" priority="594" operator="containsText" text="B">
      <formula>NOT(ISERROR(SEARCH("B",D10)))</formula>
    </cfRule>
    <cfRule type="containsText" dxfId="594" priority="595" operator="containsText" text="TB">
      <formula>NOT(ISERROR(SEARCH("TB",D10)))</formula>
    </cfRule>
    <cfRule type="containsText" dxfId="593" priority="596" operator="containsText" text="T">
      <formula>NOT(ISERROR(SEARCH("T",D10)))</formula>
    </cfRule>
  </conditionalFormatting>
  <conditionalFormatting sqref="D10">
    <cfRule type="containsText" dxfId="592" priority="593" operator="containsText" text="TB">
      <formula>NOT(ISERROR(SEARCH("TB",D10)))</formula>
    </cfRule>
  </conditionalFormatting>
  <conditionalFormatting sqref="D35">
    <cfRule type="containsText" dxfId="591" priority="590" operator="containsText" text="B">
      <formula>NOT(ISERROR(SEARCH("B",D35)))</formula>
    </cfRule>
    <cfRule type="containsText" dxfId="590" priority="591" operator="containsText" text="TB">
      <formula>NOT(ISERROR(SEARCH("TB",D35)))</formula>
    </cfRule>
    <cfRule type="containsText" dxfId="589" priority="592" operator="containsText" text="T">
      <formula>NOT(ISERROR(SEARCH("T",D35)))</formula>
    </cfRule>
  </conditionalFormatting>
  <conditionalFormatting sqref="D35">
    <cfRule type="containsText" dxfId="588" priority="589" operator="containsText" text="TB">
      <formula>NOT(ISERROR(SEARCH("TB",D35)))</formula>
    </cfRule>
  </conditionalFormatting>
  <conditionalFormatting sqref="D32">
    <cfRule type="containsText" dxfId="587" priority="586" operator="containsText" text="B">
      <formula>NOT(ISERROR(SEARCH("B",D32)))</formula>
    </cfRule>
    <cfRule type="containsText" dxfId="586" priority="587" operator="containsText" text="TB">
      <formula>NOT(ISERROR(SEARCH("TB",D32)))</formula>
    </cfRule>
    <cfRule type="containsText" dxfId="585" priority="588" operator="containsText" text="T">
      <formula>NOT(ISERROR(SEARCH("T",D32)))</formula>
    </cfRule>
  </conditionalFormatting>
  <conditionalFormatting sqref="D32">
    <cfRule type="containsText" dxfId="584" priority="585" operator="containsText" text="TB">
      <formula>NOT(ISERROR(SEARCH("TB",D32)))</formula>
    </cfRule>
  </conditionalFormatting>
  <conditionalFormatting sqref="D21">
    <cfRule type="containsText" dxfId="583" priority="582" operator="containsText" text="B">
      <formula>NOT(ISERROR(SEARCH("B",D21)))</formula>
    </cfRule>
    <cfRule type="containsText" dxfId="582" priority="583" operator="containsText" text="TB">
      <formula>NOT(ISERROR(SEARCH("TB",D21)))</formula>
    </cfRule>
    <cfRule type="containsText" dxfId="581" priority="584" operator="containsText" text="T">
      <formula>NOT(ISERROR(SEARCH("T",D21)))</formula>
    </cfRule>
  </conditionalFormatting>
  <conditionalFormatting sqref="D21">
    <cfRule type="containsText" dxfId="580" priority="581" operator="containsText" text="TB">
      <formula>NOT(ISERROR(SEARCH("TB",D21)))</formula>
    </cfRule>
  </conditionalFormatting>
  <conditionalFormatting sqref="D22">
    <cfRule type="containsText" dxfId="579" priority="578" operator="containsText" text="B">
      <formula>NOT(ISERROR(SEARCH("B",D22)))</formula>
    </cfRule>
    <cfRule type="containsText" dxfId="578" priority="579" operator="containsText" text="TB">
      <formula>NOT(ISERROR(SEARCH("TB",D22)))</formula>
    </cfRule>
    <cfRule type="containsText" dxfId="577" priority="580" operator="containsText" text="T">
      <formula>NOT(ISERROR(SEARCH("T",D22)))</formula>
    </cfRule>
  </conditionalFormatting>
  <conditionalFormatting sqref="D22">
    <cfRule type="containsText" dxfId="576" priority="577" operator="containsText" text="TB">
      <formula>NOT(ISERROR(SEARCH("TB",D22)))</formula>
    </cfRule>
  </conditionalFormatting>
  <conditionalFormatting sqref="D28">
    <cfRule type="containsText" dxfId="575" priority="574" operator="containsText" text="B">
      <formula>NOT(ISERROR(SEARCH("B",D28)))</formula>
    </cfRule>
    <cfRule type="containsText" dxfId="574" priority="575" operator="containsText" text="TB">
      <formula>NOT(ISERROR(SEARCH("TB",D28)))</formula>
    </cfRule>
    <cfRule type="containsText" dxfId="573" priority="576" operator="containsText" text="T">
      <formula>NOT(ISERROR(SEARCH("T",D28)))</formula>
    </cfRule>
  </conditionalFormatting>
  <conditionalFormatting sqref="D28">
    <cfRule type="containsText" dxfId="572" priority="573" operator="containsText" text="TB">
      <formula>NOT(ISERROR(SEARCH("TB",D28)))</formula>
    </cfRule>
  </conditionalFormatting>
  <conditionalFormatting sqref="F7">
    <cfRule type="containsText" dxfId="571" priority="570" operator="containsText" text="B">
      <formula>NOT(ISERROR(SEARCH("B",F7)))</formula>
    </cfRule>
    <cfRule type="containsText" dxfId="570" priority="571" operator="containsText" text="TB">
      <formula>NOT(ISERROR(SEARCH("TB",F7)))</formula>
    </cfRule>
    <cfRule type="containsText" dxfId="569" priority="572" operator="containsText" text="T">
      <formula>NOT(ISERROR(SEARCH("T",F7)))</formula>
    </cfRule>
  </conditionalFormatting>
  <conditionalFormatting sqref="F7">
    <cfRule type="containsText" dxfId="568" priority="569" operator="containsText" text="TB">
      <formula>NOT(ISERROR(SEARCH("TB",F7)))</formula>
    </cfRule>
  </conditionalFormatting>
  <conditionalFormatting sqref="F14">
    <cfRule type="containsText" dxfId="567" priority="566" operator="containsText" text="B">
      <formula>NOT(ISERROR(SEARCH("B",F14)))</formula>
    </cfRule>
    <cfRule type="containsText" dxfId="566" priority="567" operator="containsText" text="TB">
      <formula>NOT(ISERROR(SEARCH("TB",F14)))</formula>
    </cfRule>
    <cfRule type="containsText" dxfId="565" priority="568" operator="containsText" text="T">
      <formula>NOT(ISERROR(SEARCH("T",F14)))</formula>
    </cfRule>
  </conditionalFormatting>
  <conditionalFormatting sqref="F14">
    <cfRule type="containsText" dxfId="564" priority="565" operator="containsText" text="TB">
      <formula>NOT(ISERROR(SEARCH("TB",F14)))</formula>
    </cfRule>
  </conditionalFormatting>
  <conditionalFormatting sqref="F18">
    <cfRule type="containsText" dxfId="563" priority="562" operator="containsText" text="B">
      <formula>NOT(ISERROR(SEARCH("B",F18)))</formula>
    </cfRule>
    <cfRule type="containsText" dxfId="562" priority="563" operator="containsText" text="TB">
      <formula>NOT(ISERROR(SEARCH("TB",F18)))</formula>
    </cfRule>
    <cfRule type="containsText" dxfId="561" priority="564" operator="containsText" text="T">
      <formula>NOT(ISERROR(SEARCH("T",F18)))</formula>
    </cfRule>
  </conditionalFormatting>
  <conditionalFormatting sqref="F18">
    <cfRule type="containsText" dxfId="560" priority="561" operator="containsText" text="TB">
      <formula>NOT(ISERROR(SEARCH("TB",F18)))</formula>
    </cfRule>
  </conditionalFormatting>
  <conditionalFormatting sqref="F35">
    <cfRule type="containsText" dxfId="559" priority="558" operator="containsText" text="B">
      <formula>NOT(ISERROR(SEARCH("B",F35)))</formula>
    </cfRule>
    <cfRule type="containsText" dxfId="558" priority="559" operator="containsText" text="TB">
      <formula>NOT(ISERROR(SEARCH("TB",F35)))</formula>
    </cfRule>
    <cfRule type="containsText" dxfId="557" priority="560" operator="containsText" text="T">
      <formula>NOT(ISERROR(SEARCH("T",F35)))</formula>
    </cfRule>
  </conditionalFormatting>
  <conditionalFormatting sqref="F35">
    <cfRule type="containsText" dxfId="556" priority="557" operator="containsText" text="TB">
      <formula>NOT(ISERROR(SEARCH("TB",F35)))</formula>
    </cfRule>
  </conditionalFormatting>
  <conditionalFormatting sqref="F40">
    <cfRule type="containsText" dxfId="555" priority="554" operator="containsText" text="B">
      <formula>NOT(ISERROR(SEARCH("B",F40)))</formula>
    </cfRule>
    <cfRule type="containsText" dxfId="554" priority="555" operator="containsText" text="TB">
      <formula>NOT(ISERROR(SEARCH("TB",F40)))</formula>
    </cfRule>
    <cfRule type="containsText" dxfId="553" priority="556" operator="containsText" text="T">
      <formula>NOT(ISERROR(SEARCH("T",F40)))</formula>
    </cfRule>
  </conditionalFormatting>
  <conditionalFormatting sqref="F40">
    <cfRule type="containsText" dxfId="552" priority="553" operator="containsText" text="TB">
      <formula>NOT(ISERROR(SEARCH("TB",F40)))</formula>
    </cfRule>
  </conditionalFormatting>
  <conditionalFormatting sqref="D43">
    <cfRule type="containsText" dxfId="551" priority="550" operator="containsText" text="B">
      <formula>NOT(ISERROR(SEARCH("B",D43)))</formula>
    </cfRule>
    <cfRule type="containsText" dxfId="550" priority="551" operator="containsText" text="TB">
      <formula>NOT(ISERROR(SEARCH("TB",D43)))</formula>
    </cfRule>
    <cfRule type="containsText" dxfId="549" priority="552" operator="containsText" text="T">
      <formula>NOT(ISERROR(SEARCH("T",D43)))</formula>
    </cfRule>
  </conditionalFormatting>
  <conditionalFormatting sqref="D43">
    <cfRule type="containsText" dxfId="548" priority="549" operator="containsText" text="TB">
      <formula>NOT(ISERROR(SEARCH("TB",D43)))</formula>
    </cfRule>
  </conditionalFormatting>
  <conditionalFormatting sqref="F50">
    <cfRule type="containsText" dxfId="547" priority="546" operator="containsText" text="B">
      <formula>NOT(ISERROR(SEARCH("B",F50)))</formula>
    </cfRule>
    <cfRule type="containsText" dxfId="546" priority="547" operator="containsText" text="TB">
      <formula>NOT(ISERROR(SEARCH("TB",F50)))</formula>
    </cfRule>
    <cfRule type="containsText" dxfId="545" priority="548" operator="containsText" text="T">
      <formula>NOT(ISERROR(SEARCH("T",F50)))</formula>
    </cfRule>
  </conditionalFormatting>
  <conditionalFormatting sqref="F50">
    <cfRule type="containsText" dxfId="544" priority="545" operator="containsText" text="TB">
      <formula>NOT(ISERROR(SEARCH("TB",F50)))</formula>
    </cfRule>
  </conditionalFormatting>
  <conditionalFormatting sqref="G58">
    <cfRule type="containsText" dxfId="543" priority="542" operator="containsText" text="B">
      <formula>NOT(ISERROR(SEARCH("B",G58)))</formula>
    </cfRule>
    <cfRule type="containsText" dxfId="542" priority="543" operator="containsText" text="TB">
      <formula>NOT(ISERROR(SEARCH("TB",G58)))</formula>
    </cfRule>
    <cfRule type="containsText" dxfId="541" priority="544" operator="containsText" text="T">
      <formula>NOT(ISERROR(SEARCH("T",G58)))</formula>
    </cfRule>
  </conditionalFormatting>
  <conditionalFormatting sqref="G58">
    <cfRule type="containsText" dxfId="540" priority="541" operator="containsText" text="TB">
      <formula>NOT(ISERROR(SEARCH("TB",G58)))</formula>
    </cfRule>
  </conditionalFormatting>
  <conditionalFormatting sqref="G64">
    <cfRule type="containsText" dxfId="539" priority="538" operator="containsText" text="B">
      <formula>NOT(ISERROR(SEARCH("B",G64)))</formula>
    </cfRule>
    <cfRule type="containsText" dxfId="538" priority="539" operator="containsText" text="TB">
      <formula>NOT(ISERROR(SEARCH("TB",G64)))</formula>
    </cfRule>
    <cfRule type="containsText" dxfId="537" priority="540" operator="containsText" text="T">
      <formula>NOT(ISERROR(SEARCH("T",G64)))</formula>
    </cfRule>
  </conditionalFormatting>
  <conditionalFormatting sqref="G64">
    <cfRule type="containsText" dxfId="536" priority="537" operator="containsText" text="TB">
      <formula>NOT(ISERROR(SEARCH("TB",G64)))</formula>
    </cfRule>
  </conditionalFormatting>
  <conditionalFormatting sqref="F95">
    <cfRule type="containsText" dxfId="535" priority="534" operator="containsText" text="B">
      <formula>NOT(ISERROR(SEARCH("B",F95)))</formula>
    </cfRule>
    <cfRule type="containsText" dxfId="534" priority="535" operator="containsText" text="TB">
      <formula>NOT(ISERROR(SEARCH("TB",F95)))</formula>
    </cfRule>
    <cfRule type="containsText" dxfId="533" priority="536" operator="containsText" text="T">
      <formula>NOT(ISERROR(SEARCH("T",F95)))</formula>
    </cfRule>
  </conditionalFormatting>
  <conditionalFormatting sqref="F95">
    <cfRule type="containsText" dxfId="532" priority="533" operator="containsText" text="TB">
      <formula>NOT(ISERROR(SEARCH("TB",F95)))</formula>
    </cfRule>
  </conditionalFormatting>
  <conditionalFormatting sqref="F59 F61 F63 F67 F72:F73">
    <cfRule type="containsText" dxfId="531" priority="530" operator="containsText" text="B">
      <formula>NOT(ISERROR(SEARCH("B",F59)))</formula>
    </cfRule>
    <cfRule type="containsText" dxfId="530" priority="531" operator="containsText" text="TB">
      <formula>NOT(ISERROR(SEARCH("TB",F59)))</formula>
    </cfRule>
    <cfRule type="containsText" dxfId="529" priority="532" operator="containsText" text="T">
      <formula>NOT(ISERROR(SEARCH("T",F59)))</formula>
    </cfRule>
  </conditionalFormatting>
  <conditionalFormatting sqref="F59 F61 F63 F67 F72:F73">
    <cfRule type="containsText" dxfId="528" priority="529" operator="containsText" text="TB">
      <formula>NOT(ISERROR(SEARCH("TB",F59)))</formula>
    </cfRule>
  </conditionalFormatting>
  <conditionalFormatting sqref="F60">
    <cfRule type="containsText" dxfId="527" priority="526" operator="containsText" text="B">
      <formula>NOT(ISERROR(SEARCH("B",F60)))</formula>
    </cfRule>
    <cfRule type="containsText" dxfId="526" priority="527" operator="containsText" text="TB">
      <formula>NOT(ISERROR(SEARCH("TB",F60)))</formula>
    </cfRule>
    <cfRule type="containsText" dxfId="525" priority="528" operator="containsText" text="T">
      <formula>NOT(ISERROR(SEARCH("T",F60)))</formula>
    </cfRule>
  </conditionalFormatting>
  <conditionalFormatting sqref="F60">
    <cfRule type="containsText" dxfId="524" priority="525" operator="containsText" text="TB">
      <formula>NOT(ISERROR(SEARCH("TB",F60)))</formula>
    </cfRule>
  </conditionalFormatting>
  <conditionalFormatting sqref="F62">
    <cfRule type="containsText" dxfId="523" priority="522" operator="containsText" text="B">
      <formula>NOT(ISERROR(SEARCH("B",F62)))</formula>
    </cfRule>
    <cfRule type="containsText" dxfId="522" priority="523" operator="containsText" text="TB">
      <formula>NOT(ISERROR(SEARCH("TB",F62)))</formula>
    </cfRule>
    <cfRule type="containsText" dxfId="521" priority="524" operator="containsText" text="T">
      <formula>NOT(ISERROR(SEARCH("T",F62)))</formula>
    </cfRule>
  </conditionalFormatting>
  <conditionalFormatting sqref="F62">
    <cfRule type="containsText" dxfId="520" priority="521" operator="containsText" text="TB">
      <formula>NOT(ISERROR(SEARCH("TB",F62)))</formula>
    </cfRule>
  </conditionalFormatting>
  <conditionalFormatting sqref="F65">
    <cfRule type="containsText" dxfId="519" priority="518" operator="containsText" text="B">
      <formula>NOT(ISERROR(SEARCH("B",F65)))</formula>
    </cfRule>
    <cfRule type="containsText" dxfId="518" priority="519" operator="containsText" text="TB">
      <formula>NOT(ISERROR(SEARCH("TB",F65)))</formula>
    </cfRule>
    <cfRule type="containsText" dxfId="517" priority="520" operator="containsText" text="T">
      <formula>NOT(ISERROR(SEARCH("T",F65)))</formula>
    </cfRule>
  </conditionalFormatting>
  <conditionalFormatting sqref="F65">
    <cfRule type="containsText" dxfId="516" priority="517" operator="containsText" text="TB">
      <formula>NOT(ISERROR(SEARCH("TB",F65)))</formula>
    </cfRule>
  </conditionalFormatting>
  <conditionalFormatting sqref="F66">
    <cfRule type="containsText" dxfId="515" priority="514" operator="containsText" text="B">
      <formula>NOT(ISERROR(SEARCH("B",F66)))</formula>
    </cfRule>
    <cfRule type="containsText" dxfId="514" priority="515" operator="containsText" text="TB">
      <formula>NOT(ISERROR(SEARCH("TB",F66)))</formula>
    </cfRule>
    <cfRule type="containsText" dxfId="513" priority="516" operator="containsText" text="T">
      <formula>NOT(ISERROR(SEARCH("T",F66)))</formula>
    </cfRule>
  </conditionalFormatting>
  <conditionalFormatting sqref="F66">
    <cfRule type="containsText" dxfId="512" priority="513" operator="containsText" text="TB">
      <formula>NOT(ISERROR(SEARCH("TB",F66)))</formula>
    </cfRule>
  </conditionalFormatting>
  <conditionalFormatting sqref="F68:F69">
    <cfRule type="containsText" dxfId="511" priority="510" operator="containsText" text="B">
      <formula>NOT(ISERROR(SEARCH("B",F68)))</formula>
    </cfRule>
    <cfRule type="containsText" dxfId="510" priority="511" operator="containsText" text="TB">
      <formula>NOT(ISERROR(SEARCH("TB",F68)))</formula>
    </cfRule>
    <cfRule type="containsText" dxfId="509" priority="512" operator="containsText" text="T">
      <formula>NOT(ISERROR(SEARCH("T",F68)))</formula>
    </cfRule>
  </conditionalFormatting>
  <conditionalFormatting sqref="F68:F69">
    <cfRule type="containsText" dxfId="508" priority="509" operator="containsText" text="TB">
      <formula>NOT(ISERROR(SEARCH("TB",F68)))</formula>
    </cfRule>
  </conditionalFormatting>
  <conditionalFormatting sqref="F70:F71">
    <cfRule type="containsText" dxfId="507" priority="506" operator="containsText" text="B">
      <formula>NOT(ISERROR(SEARCH("B",F70)))</formula>
    </cfRule>
    <cfRule type="containsText" dxfId="506" priority="507" operator="containsText" text="TB">
      <formula>NOT(ISERROR(SEARCH("TB",F70)))</formula>
    </cfRule>
    <cfRule type="containsText" dxfId="505" priority="508" operator="containsText" text="T">
      <formula>NOT(ISERROR(SEARCH("T",F70)))</formula>
    </cfRule>
  </conditionalFormatting>
  <conditionalFormatting sqref="F70:F71">
    <cfRule type="containsText" dxfId="504" priority="505" operator="containsText" text="TB">
      <formula>NOT(ISERROR(SEARCH("TB",F70)))</formula>
    </cfRule>
  </conditionalFormatting>
  <conditionalFormatting sqref="F58">
    <cfRule type="containsText" dxfId="503" priority="502" operator="containsText" text="B">
      <formula>NOT(ISERROR(SEARCH("B",F58)))</formula>
    </cfRule>
    <cfRule type="containsText" dxfId="502" priority="503" operator="containsText" text="TB">
      <formula>NOT(ISERROR(SEARCH("TB",F58)))</formula>
    </cfRule>
    <cfRule type="containsText" dxfId="501" priority="504" operator="containsText" text="T">
      <formula>NOT(ISERROR(SEARCH("T",F58)))</formula>
    </cfRule>
  </conditionalFormatting>
  <conditionalFormatting sqref="F58">
    <cfRule type="containsText" dxfId="500" priority="501" operator="containsText" text="TB">
      <formula>NOT(ISERROR(SEARCH("TB",F58)))</formula>
    </cfRule>
  </conditionalFormatting>
  <conditionalFormatting sqref="F64">
    <cfRule type="containsText" dxfId="499" priority="498" operator="containsText" text="B">
      <formula>NOT(ISERROR(SEARCH("B",F64)))</formula>
    </cfRule>
    <cfRule type="containsText" dxfId="498" priority="499" operator="containsText" text="TB">
      <formula>NOT(ISERROR(SEARCH("TB",F64)))</formula>
    </cfRule>
    <cfRule type="containsText" dxfId="497" priority="500" operator="containsText" text="T">
      <formula>NOT(ISERROR(SEARCH("T",F64)))</formula>
    </cfRule>
  </conditionalFormatting>
  <conditionalFormatting sqref="F64">
    <cfRule type="containsText" dxfId="496" priority="497" operator="containsText" text="TB">
      <formula>NOT(ISERROR(SEARCH("TB",F64)))</formula>
    </cfRule>
  </conditionalFormatting>
  <conditionalFormatting sqref="F29">
    <cfRule type="containsText" dxfId="495" priority="494" operator="containsText" text="B">
      <formula>NOT(ISERROR(SEARCH("B",F29)))</formula>
    </cfRule>
    <cfRule type="containsText" dxfId="494" priority="495" operator="containsText" text="TB">
      <formula>NOT(ISERROR(SEARCH("TB",F29)))</formula>
    </cfRule>
    <cfRule type="containsText" dxfId="493" priority="496" operator="containsText" text="T">
      <formula>NOT(ISERROR(SEARCH("T",F29)))</formula>
    </cfRule>
  </conditionalFormatting>
  <conditionalFormatting sqref="F29">
    <cfRule type="containsText" dxfId="492" priority="493" operator="containsText" text="TB">
      <formula>NOT(ISERROR(SEARCH("TB",F29)))</formula>
    </cfRule>
  </conditionalFormatting>
  <conditionalFormatting sqref="C30">
    <cfRule type="containsText" dxfId="491" priority="490" operator="containsText" text="B">
      <formula>NOT(ISERROR(SEARCH("B",C30)))</formula>
    </cfRule>
    <cfRule type="containsText" dxfId="490" priority="491" operator="containsText" text="TB">
      <formula>NOT(ISERROR(SEARCH("TB",C30)))</formula>
    </cfRule>
    <cfRule type="containsText" dxfId="489" priority="492" operator="containsText" text="T">
      <formula>NOT(ISERROR(SEARCH("T",C30)))</formula>
    </cfRule>
  </conditionalFormatting>
  <conditionalFormatting sqref="C30">
    <cfRule type="containsText" dxfId="488" priority="489" operator="containsText" text="TB">
      <formula>NOT(ISERROR(SEARCH("TB",C30)))</formula>
    </cfRule>
  </conditionalFormatting>
  <conditionalFormatting sqref="G9">
    <cfRule type="containsText" dxfId="487" priority="486" operator="containsText" text="B">
      <formula>NOT(ISERROR(SEARCH("B",G9)))</formula>
    </cfRule>
    <cfRule type="containsText" dxfId="486" priority="487" operator="containsText" text="TB">
      <formula>NOT(ISERROR(SEARCH("TB",G9)))</formula>
    </cfRule>
    <cfRule type="containsText" dxfId="485" priority="488" operator="containsText" text="T">
      <formula>NOT(ISERROR(SEARCH("T",G9)))</formula>
    </cfRule>
  </conditionalFormatting>
  <conditionalFormatting sqref="G9">
    <cfRule type="containsText" dxfId="484" priority="485" operator="containsText" text="TB">
      <formula>NOT(ISERROR(SEARCH("TB",G9)))</formula>
    </cfRule>
  </conditionalFormatting>
  <conditionalFormatting sqref="G12">
    <cfRule type="containsText" dxfId="483" priority="482" operator="containsText" text="B">
      <formula>NOT(ISERROR(SEARCH("B",G12)))</formula>
    </cfRule>
    <cfRule type="containsText" dxfId="482" priority="483" operator="containsText" text="TB">
      <formula>NOT(ISERROR(SEARCH("TB",G12)))</formula>
    </cfRule>
    <cfRule type="containsText" dxfId="481" priority="484" operator="containsText" text="T">
      <formula>NOT(ISERROR(SEARCH("T",G12)))</formula>
    </cfRule>
  </conditionalFormatting>
  <conditionalFormatting sqref="G12">
    <cfRule type="containsText" dxfId="480" priority="481" operator="containsText" text="TB">
      <formula>NOT(ISERROR(SEARCH("TB",G12)))</formula>
    </cfRule>
  </conditionalFormatting>
  <conditionalFormatting sqref="G19">
    <cfRule type="containsText" dxfId="479" priority="478" operator="containsText" text="B">
      <formula>NOT(ISERROR(SEARCH("B",G19)))</formula>
    </cfRule>
    <cfRule type="containsText" dxfId="478" priority="479" operator="containsText" text="TB">
      <formula>NOT(ISERROR(SEARCH("TB",G19)))</formula>
    </cfRule>
    <cfRule type="containsText" dxfId="477" priority="480" operator="containsText" text="T">
      <formula>NOT(ISERROR(SEARCH("T",G19)))</formula>
    </cfRule>
  </conditionalFormatting>
  <conditionalFormatting sqref="G19">
    <cfRule type="containsText" dxfId="476" priority="477" operator="containsText" text="TB">
      <formula>NOT(ISERROR(SEARCH("TB",G19)))</formula>
    </cfRule>
  </conditionalFormatting>
  <conditionalFormatting sqref="G20">
    <cfRule type="containsText" dxfId="475" priority="474" operator="containsText" text="B">
      <formula>NOT(ISERROR(SEARCH("B",G20)))</formula>
    </cfRule>
    <cfRule type="containsText" dxfId="474" priority="475" operator="containsText" text="TB">
      <formula>NOT(ISERROR(SEARCH("TB",G20)))</formula>
    </cfRule>
    <cfRule type="containsText" dxfId="473" priority="476" operator="containsText" text="T">
      <formula>NOT(ISERROR(SEARCH("T",G20)))</formula>
    </cfRule>
  </conditionalFormatting>
  <conditionalFormatting sqref="G20">
    <cfRule type="containsText" dxfId="472" priority="473" operator="containsText" text="TB">
      <formula>NOT(ISERROR(SEARCH("TB",G20)))</formula>
    </cfRule>
  </conditionalFormatting>
  <conditionalFormatting sqref="G21">
    <cfRule type="containsText" dxfId="471" priority="470" operator="containsText" text="B">
      <formula>NOT(ISERROR(SEARCH("B",G21)))</formula>
    </cfRule>
    <cfRule type="containsText" dxfId="470" priority="471" operator="containsText" text="TB">
      <formula>NOT(ISERROR(SEARCH("TB",G21)))</formula>
    </cfRule>
    <cfRule type="containsText" dxfId="469" priority="472" operator="containsText" text="T">
      <formula>NOT(ISERROR(SEARCH("T",G21)))</formula>
    </cfRule>
  </conditionalFormatting>
  <conditionalFormatting sqref="G21">
    <cfRule type="containsText" dxfId="468" priority="469" operator="containsText" text="TB">
      <formula>NOT(ISERROR(SEARCH("TB",G21)))</formula>
    </cfRule>
  </conditionalFormatting>
  <conditionalFormatting sqref="G50">
    <cfRule type="containsText" dxfId="467" priority="466" operator="containsText" text="B">
      <formula>NOT(ISERROR(SEARCH("B",G50)))</formula>
    </cfRule>
    <cfRule type="containsText" dxfId="466" priority="467" operator="containsText" text="TB">
      <formula>NOT(ISERROR(SEARCH("TB",G50)))</formula>
    </cfRule>
    <cfRule type="containsText" dxfId="465" priority="468" operator="containsText" text="T">
      <formula>NOT(ISERROR(SEARCH("T",G50)))</formula>
    </cfRule>
  </conditionalFormatting>
  <conditionalFormatting sqref="G50">
    <cfRule type="containsText" dxfId="464" priority="465" operator="containsText" text="TB">
      <formula>NOT(ISERROR(SEARCH("TB",G50)))</formula>
    </cfRule>
  </conditionalFormatting>
  <conditionalFormatting sqref="H47">
    <cfRule type="containsText" dxfId="463" priority="462" operator="containsText" text="B">
      <formula>NOT(ISERROR(SEARCH("B",H47)))</formula>
    </cfRule>
    <cfRule type="containsText" dxfId="462" priority="463" operator="containsText" text="TB">
      <formula>NOT(ISERROR(SEARCH("TB",H47)))</formula>
    </cfRule>
    <cfRule type="containsText" dxfId="461" priority="464" operator="containsText" text="T">
      <formula>NOT(ISERROR(SEARCH("T",H47)))</formula>
    </cfRule>
  </conditionalFormatting>
  <conditionalFormatting sqref="H47">
    <cfRule type="containsText" dxfId="460" priority="461" operator="containsText" text="TB">
      <formula>NOT(ISERROR(SEARCH("TB",H47)))</formula>
    </cfRule>
  </conditionalFormatting>
  <conditionalFormatting sqref="H8">
    <cfRule type="containsText" dxfId="459" priority="458" operator="containsText" text="B">
      <formula>NOT(ISERROR(SEARCH("B",H8)))</formula>
    </cfRule>
    <cfRule type="containsText" dxfId="458" priority="459" operator="containsText" text="TB">
      <formula>NOT(ISERROR(SEARCH("TB",H8)))</formula>
    </cfRule>
    <cfRule type="containsText" dxfId="457" priority="460" operator="containsText" text="T">
      <formula>NOT(ISERROR(SEARCH("T",H8)))</formula>
    </cfRule>
  </conditionalFormatting>
  <conditionalFormatting sqref="H8">
    <cfRule type="containsText" dxfId="456" priority="457" operator="containsText" text="TB">
      <formula>NOT(ISERROR(SEARCH("TB",H8)))</formula>
    </cfRule>
  </conditionalFormatting>
  <conditionalFormatting sqref="H7">
    <cfRule type="containsText" dxfId="455" priority="454" operator="containsText" text="B">
      <formula>NOT(ISERROR(SEARCH("B",H7)))</formula>
    </cfRule>
    <cfRule type="containsText" dxfId="454" priority="455" operator="containsText" text="TB">
      <formula>NOT(ISERROR(SEARCH("TB",H7)))</formula>
    </cfRule>
    <cfRule type="containsText" dxfId="453" priority="456" operator="containsText" text="T">
      <formula>NOT(ISERROR(SEARCH("T",H7)))</formula>
    </cfRule>
  </conditionalFormatting>
  <conditionalFormatting sqref="H7">
    <cfRule type="containsText" dxfId="452" priority="453" operator="containsText" text="TB">
      <formula>NOT(ISERROR(SEARCH("TB",H7)))</formula>
    </cfRule>
  </conditionalFormatting>
  <conditionalFormatting sqref="H48:H49">
    <cfRule type="containsText" dxfId="451" priority="450" operator="containsText" text="B">
      <formula>NOT(ISERROR(SEARCH("B",H48)))</formula>
    </cfRule>
    <cfRule type="containsText" dxfId="450" priority="451" operator="containsText" text="TB">
      <formula>NOT(ISERROR(SEARCH("TB",H48)))</formula>
    </cfRule>
    <cfRule type="containsText" dxfId="449" priority="452" operator="containsText" text="T">
      <formula>NOT(ISERROR(SEARCH("T",H48)))</formula>
    </cfRule>
  </conditionalFormatting>
  <conditionalFormatting sqref="H48:H49">
    <cfRule type="containsText" dxfId="448" priority="449" operator="containsText" text="TB">
      <formula>NOT(ISERROR(SEARCH("TB",H48)))</formula>
    </cfRule>
  </conditionalFormatting>
  <conditionalFormatting sqref="H9">
    <cfRule type="containsText" dxfId="447" priority="446" operator="containsText" text="B">
      <formula>NOT(ISERROR(SEARCH("B",H9)))</formula>
    </cfRule>
    <cfRule type="containsText" dxfId="446" priority="447" operator="containsText" text="TB">
      <formula>NOT(ISERROR(SEARCH("TB",H9)))</formula>
    </cfRule>
    <cfRule type="containsText" dxfId="445" priority="448" operator="containsText" text="T">
      <formula>NOT(ISERROR(SEARCH("T",H9)))</formula>
    </cfRule>
  </conditionalFormatting>
  <conditionalFormatting sqref="H9">
    <cfRule type="containsText" dxfId="444" priority="445" operator="containsText" text="TB">
      <formula>NOT(ISERROR(SEARCH("TB",H9)))</formula>
    </cfRule>
  </conditionalFormatting>
  <conditionalFormatting sqref="H12">
    <cfRule type="containsText" dxfId="443" priority="442" operator="containsText" text="B">
      <formula>NOT(ISERROR(SEARCH("B",H12)))</formula>
    </cfRule>
    <cfRule type="containsText" dxfId="442" priority="443" operator="containsText" text="TB">
      <formula>NOT(ISERROR(SEARCH("TB",H12)))</formula>
    </cfRule>
    <cfRule type="containsText" dxfId="441" priority="444" operator="containsText" text="T">
      <formula>NOT(ISERROR(SEARCH("T",H12)))</formula>
    </cfRule>
  </conditionalFormatting>
  <conditionalFormatting sqref="H12">
    <cfRule type="containsText" dxfId="440" priority="441" operator="containsText" text="TB">
      <formula>NOT(ISERROR(SEARCH("TB",H12)))</formula>
    </cfRule>
  </conditionalFormatting>
  <conditionalFormatting sqref="H19">
    <cfRule type="containsText" dxfId="439" priority="438" operator="containsText" text="B">
      <formula>NOT(ISERROR(SEARCH("B",H19)))</formula>
    </cfRule>
    <cfRule type="containsText" dxfId="438" priority="439" operator="containsText" text="TB">
      <formula>NOT(ISERROR(SEARCH("TB",H19)))</formula>
    </cfRule>
    <cfRule type="containsText" dxfId="437" priority="440" operator="containsText" text="T">
      <formula>NOT(ISERROR(SEARCH("T",H19)))</formula>
    </cfRule>
  </conditionalFormatting>
  <conditionalFormatting sqref="H19">
    <cfRule type="containsText" dxfId="436" priority="437" operator="containsText" text="TB">
      <formula>NOT(ISERROR(SEARCH("TB",H19)))</formula>
    </cfRule>
  </conditionalFormatting>
  <conditionalFormatting sqref="H20">
    <cfRule type="containsText" dxfId="435" priority="434" operator="containsText" text="B">
      <formula>NOT(ISERROR(SEARCH("B",H20)))</formula>
    </cfRule>
    <cfRule type="containsText" dxfId="434" priority="435" operator="containsText" text="TB">
      <formula>NOT(ISERROR(SEARCH("TB",H20)))</formula>
    </cfRule>
    <cfRule type="containsText" dxfId="433" priority="436" operator="containsText" text="T">
      <formula>NOT(ISERROR(SEARCH("T",H20)))</formula>
    </cfRule>
  </conditionalFormatting>
  <conditionalFormatting sqref="H20">
    <cfRule type="containsText" dxfId="432" priority="433" operator="containsText" text="TB">
      <formula>NOT(ISERROR(SEARCH("TB",H20)))</formula>
    </cfRule>
  </conditionalFormatting>
  <conditionalFormatting sqref="H21">
    <cfRule type="containsText" dxfId="431" priority="430" operator="containsText" text="B">
      <formula>NOT(ISERROR(SEARCH("B",H21)))</formula>
    </cfRule>
    <cfRule type="containsText" dxfId="430" priority="431" operator="containsText" text="TB">
      <formula>NOT(ISERROR(SEARCH("TB",H21)))</formula>
    </cfRule>
    <cfRule type="containsText" dxfId="429" priority="432" operator="containsText" text="T">
      <formula>NOT(ISERROR(SEARCH("T",H21)))</formula>
    </cfRule>
  </conditionalFormatting>
  <conditionalFormatting sqref="H21">
    <cfRule type="containsText" dxfId="428" priority="429" operator="containsText" text="TB">
      <formula>NOT(ISERROR(SEARCH("TB",H21)))</formula>
    </cfRule>
  </conditionalFormatting>
  <conditionalFormatting sqref="H50">
    <cfRule type="containsText" dxfId="427" priority="426" operator="containsText" text="B">
      <formula>NOT(ISERROR(SEARCH("B",H50)))</formula>
    </cfRule>
    <cfRule type="containsText" dxfId="426" priority="427" operator="containsText" text="TB">
      <formula>NOT(ISERROR(SEARCH("TB",H50)))</formula>
    </cfRule>
    <cfRule type="containsText" dxfId="425" priority="428" operator="containsText" text="T">
      <formula>NOT(ISERROR(SEARCH("T",H50)))</formula>
    </cfRule>
  </conditionalFormatting>
  <conditionalFormatting sqref="H50">
    <cfRule type="containsText" dxfId="424" priority="425" operator="containsText" text="TB">
      <formula>NOT(ISERROR(SEARCH("TB",H50)))</formula>
    </cfRule>
  </conditionalFormatting>
  <conditionalFormatting sqref="H52">
    <cfRule type="containsText" dxfId="423" priority="422" operator="containsText" text="B">
      <formula>NOT(ISERROR(SEARCH("B",H52)))</formula>
    </cfRule>
    <cfRule type="containsText" dxfId="422" priority="423" operator="containsText" text="TB">
      <formula>NOT(ISERROR(SEARCH("TB",H52)))</formula>
    </cfRule>
    <cfRule type="containsText" dxfId="421" priority="424" operator="containsText" text="T">
      <formula>NOT(ISERROR(SEARCH("T",H52)))</formula>
    </cfRule>
  </conditionalFormatting>
  <conditionalFormatting sqref="H52">
    <cfRule type="containsText" dxfId="420" priority="421" operator="containsText" text="TB">
      <formula>NOT(ISERROR(SEARCH("TB",H52)))</formula>
    </cfRule>
  </conditionalFormatting>
  <conditionalFormatting sqref="H64">
    <cfRule type="containsText" dxfId="419" priority="418" operator="containsText" text="B">
      <formula>NOT(ISERROR(SEARCH("B",H64)))</formula>
    </cfRule>
    <cfRule type="containsText" dxfId="418" priority="419" operator="containsText" text="TB">
      <formula>NOT(ISERROR(SEARCH("TB",H64)))</formula>
    </cfRule>
    <cfRule type="containsText" dxfId="417" priority="420" operator="containsText" text="T">
      <formula>NOT(ISERROR(SEARCH("T",H64)))</formula>
    </cfRule>
  </conditionalFormatting>
  <conditionalFormatting sqref="H64">
    <cfRule type="containsText" dxfId="416" priority="417" operator="containsText" text="TB">
      <formula>NOT(ISERROR(SEARCH("TB",H64)))</formula>
    </cfRule>
  </conditionalFormatting>
  <conditionalFormatting sqref="H90">
    <cfRule type="containsText" dxfId="415" priority="414" operator="containsText" text="B">
      <formula>NOT(ISERROR(SEARCH("B",H90)))</formula>
    </cfRule>
    <cfRule type="containsText" dxfId="414" priority="415" operator="containsText" text="TB">
      <formula>NOT(ISERROR(SEARCH("TB",H90)))</formula>
    </cfRule>
    <cfRule type="containsText" dxfId="413" priority="416" operator="containsText" text="T">
      <formula>NOT(ISERROR(SEARCH("T",H90)))</formula>
    </cfRule>
  </conditionalFormatting>
  <conditionalFormatting sqref="H90">
    <cfRule type="containsText" dxfId="412" priority="413" operator="containsText" text="TB">
      <formula>NOT(ISERROR(SEARCH("TB",H90)))</formula>
    </cfRule>
  </conditionalFormatting>
  <conditionalFormatting sqref="H94">
    <cfRule type="containsText" dxfId="411" priority="410" operator="containsText" text="B">
      <formula>NOT(ISERROR(SEARCH("B",H94)))</formula>
    </cfRule>
    <cfRule type="containsText" dxfId="410" priority="411" operator="containsText" text="TB">
      <formula>NOT(ISERROR(SEARCH("TB",H94)))</formula>
    </cfRule>
    <cfRule type="containsText" dxfId="409" priority="412" operator="containsText" text="T">
      <formula>NOT(ISERROR(SEARCH("T",H94)))</formula>
    </cfRule>
  </conditionalFormatting>
  <conditionalFormatting sqref="H94">
    <cfRule type="containsText" dxfId="408" priority="409" operator="containsText" text="TB">
      <formula>NOT(ISERROR(SEARCH("TB",H94)))</formula>
    </cfRule>
  </conditionalFormatting>
  <conditionalFormatting sqref="H117">
    <cfRule type="containsText" dxfId="407" priority="406" operator="containsText" text="B">
      <formula>NOT(ISERROR(SEARCH("B",H117)))</formula>
    </cfRule>
    <cfRule type="containsText" dxfId="406" priority="407" operator="containsText" text="TB">
      <formula>NOT(ISERROR(SEARCH("TB",H117)))</formula>
    </cfRule>
    <cfRule type="containsText" dxfId="405" priority="408" operator="containsText" text="T">
      <formula>NOT(ISERROR(SEARCH("T",H117)))</formula>
    </cfRule>
  </conditionalFormatting>
  <conditionalFormatting sqref="H117">
    <cfRule type="containsText" dxfId="404" priority="405" operator="containsText" text="TB">
      <formula>NOT(ISERROR(SEARCH("TB",H117)))</formula>
    </cfRule>
  </conditionalFormatting>
  <conditionalFormatting sqref="H23">
    <cfRule type="containsText" dxfId="403" priority="402" operator="containsText" text="B">
      <formula>NOT(ISERROR(SEARCH("B",H23)))</formula>
    </cfRule>
    <cfRule type="containsText" dxfId="402" priority="403" operator="containsText" text="TB">
      <formula>NOT(ISERROR(SEARCH("TB",H23)))</formula>
    </cfRule>
    <cfRule type="containsText" dxfId="401" priority="404" operator="containsText" text="T">
      <formula>NOT(ISERROR(SEARCH("T",H23)))</formula>
    </cfRule>
  </conditionalFormatting>
  <conditionalFormatting sqref="H23">
    <cfRule type="containsText" dxfId="400" priority="401" operator="containsText" text="TB">
      <formula>NOT(ISERROR(SEARCH("TB",H23)))</formula>
    </cfRule>
  </conditionalFormatting>
  <conditionalFormatting sqref="H32">
    <cfRule type="containsText" dxfId="399" priority="398" operator="containsText" text="B">
      <formula>NOT(ISERROR(SEARCH("B",H32)))</formula>
    </cfRule>
    <cfRule type="containsText" dxfId="398" priority="399" operator="containsText" text="TB">
      <formula>NOT(ISERROR(SEARCH("TB",H32)))</formula>
    </cfRule>
    <cfRule type="containsText" dxfId="397" priority="400" operator="containsText" text="T">
      <formula>NOT(ISERROR(SEARCH("T",H32)))</formula>
    </cfRule>
  </conditionalFormatting>
  <conditionalFormatting sqref="H32">
    <cfRule type="containsText" dxfId="396" priority="397" operator="containsText" text="TB">
      <formula>NOT(ISERROR(SEARCH("TB",H32)))</formula>
    </cfRule>
  </conditionalFormatting>
  <conditionalFormatting sqref="H62">
    <cfRule type="containsText" dxfId="395" priority="394" operator="containsText" text="B">
      <formula>NOT(ISERROR(SEARCH("B",H62)))</formula>
    </cfRule>
    <cfRule type="containsText" dxfId="394" priority="395" operator="containsText" text="TB">
      <formula>NOT(ISERROR(SEARCH("TB",H62)))</formula>
    </cfRule>
    <cfRule type="containsText" dxfId="393" priority="396" operator="containsText" text="T">
      <formula>NOT(ISERROR(SEARCH("T",H62)))</formula>
    </cfRule>
  </conditionalFormatting>
  <conditionalFormatting sqref="H62">
    <cfRule type="containsText" dxfId="392" priority="393" operator="containsText" text="TB">
      <formula>NOT(ISERROR(SEARCH("TB",H62)))</formula>
    </cfRule>
  </conditionalFormatting>
  <conditionalFormatting sqref="I14">
    <cfRule type="containsText" dxfId="391" priority="390" operator="containsText" text="B">
      <formula>NOT(ISERROR(SEARCH("B",I14)))</formula>
    </cfRule>
    <cfRule type="containsText" dxfId="390" priority="391" operator="containsText" text="TB">
      <formula>NOT(ISERROR(SEARCH("TB",I14)))</formula>
    </cfRule>
    <cfRule type="containsText" dxfId="389" priority="392" operator="containsText" text="T">
      <formula>NOT(ISERROR(SEARCH("T",I14)))</formula>
    </cfRule>
  </conditionalFormatting>
  <conditionalFormatting sqref="I14">
    <cfRule type="containsText" dxfId="388" priority="389" operator="containsText" text="TB">
      <formula>NOT(ISERROR(SEARCH("TB",I14)))</formula>
    </cfRule>
  </conditionalFormatting>
  <conditionalFormatting sqref="I15">
    <cfRule type="containsText" dxfId="387" priority="386" operator="containsText" text="B">
      <formula>NOT(ISERROR(SEARCH("B",I15)))</formula>
    </cfRule>
    <cfRule type="containsText" dxfId="386" priority="387" operator="containsText" text="TB">
      <formula>NOT(ISERROR(SEARCH("TB",I15)))</formula>
    </cfRule>
    <cfRule type="containsText" dxfId="385" priority="388" operator="containsText" text="T">
      <formula>NOT(ISERROR(SEARCH("T",I15)))</formula>
    </cfRule>
  </conditionalFormatting>
  <conditionalFormatting sqref="I15">
    <cfRule type="containsText" dxfId="384" priority="385" operator="containsText" text="TB">
      <formula>NOT(ISERROR(SEARCH("TB",I15)))</formula>
    </cfRule>
  </conditionalFormatting>
  <conditionalFormatting sqref="I49">
    <cfRule type="containsText" dxfId="383" priority="382" operator="containsText" text="B">
      <formula>NOT(ISERROR(SEARCH("B",I49)))</formula>
    </cfRule>
    <cfRule type="containsText" dxfId="382" priority="383" operator="containsText" text="TB">
      <formula>NOT(ISERROR(SEARCH("TB",I49)))</formula>
    </cfRule>
    <cfRule type="containsText" dxfId="381" priority="384" operator="containsText" text="T">
      <formula>NOT(ISERROR(SEARCH("T",I49)))</formula>
    </cfRule>
  </conditionalFormatting>
  <conditionalFormatting sqref="I49">
    <cfRule type="containsText" dxfId="380" priority="381" operator="containsText" text="TB">
      <formula>NOT(ISERROR(SEARCH("TB",I49)))</formula>
    </cfRule>
  </conditionalFormatting>
  <conditionalFormatting sqref="I37">
    <cfRule type="containsText" dxfId="379" priority="378" operator="containsText" text="B">
      <formula>NOT(ISERROR(SEARCH("B",I37)))</formula>
    </cfRule>
    <cfRule type="containsText" dxfId="378" priority="379" operator="containsText" text="TB">
      <formula>NOT(ISERROR(SEARCH("TB",I37)))</formula>
    </cfRule>
    <cfRule type="containsText" dxfId="377" priority="380" operator="containsText" text="T">
      <formula>NOT(ISERROR(SEARCH("T",I37)))</formula>
    </cfRule>
  </conditionalFormatting>
  <conditionalFormatting sqref="I37">
    <cfRule type="containsText" dxfId="376" priority="377" operator="containsText" text="TB">
      <formula>NOT(ISERROR(SEARCH("TB",I37)))</formula>
    </cfRule>
  </conditionalFormatting>
  <conditionalFormatting sqref="I32">
    <cfRule type="containsText" dxfId="375" priority="374" operator="containsText" text="B">
      <formula>NOT(ISERROR(SEARCH("B",I32)))</formula>
    </cfRule>
    <cfRule type="containsText" dxfId="374" priority="375" operator="containsText" text="TB">
      <formula>NOT(ISERROR(SEARCH("TB",I32)))</formula>
    </cfRule>
    <cfRule type="containsText" dxfId="373" priority="376" operator="containsText" text="T">
      <formula>NOT(ISERROR(SEARCH("T",I32)))</formula>
    </cfRule>
  </conditionalFormatting>
  <conditionalFormatting sqref="I32">
    <cfRule type="containsText" dxfId="372" priority="373" operator="containsText" text="TB">
      <formula>NOT(ISERROR(SEARCH("TB",I32)))</formula>
    </cfRule>
  </conditionalFormatting>
  <conditionalFormatting sqref="I61">
    <cfRule type="containsText" dxfId="371" priority="370" operator="containsText" text="B">
      <formula>NOT(ISERROR(SEARCH("B",I61)))</formula>
    </cfRule>
    <cfRule type="containsText" dxfId="370" priority="371" operator="containsText" text="TB">
      <formula>NOT(ISERROR(SEARCH("TB",I61)))</formula>
    </cfRule>
    <cfRule type="containsText" dxfId="369" priority="372" operator="containsText" text="T">
      <formula>NOT(ISERROR(SEARCH("T",I61)))</formula>
    </cfRule>
  </conditionalFormatting>
  <conditionalFormatting sqref="I61">
    <cfRule type="containsText" dxfId="368" priority="369" operator="containsText" text="TB">
      <formula>NOT(ISERROR(SEARCH("TB",I61)))</formula>
    </cfRule>
  </conditionalFormatting>
  <conditionalFormatting sqref="I63">
    <cfRule type="containsText" dxfId="367" priority="366" operator="containsText" text="B">
      <formula>NOT(ISERROR(SEARCH("B",I63)))</formula>
    </cfRule>
    <cfRule type="containsText" dxfId="366" priority="367" operator="containsText" text="TB">
      <formula>NOT(ISERROR(SEARCH("TB",I63)))</formula>
    </cfRule>
    <cfRule type="containsText" dxfId="365" priority="368" operator="containsText" text="T">
      <formula>NOT(ISERROR(SEARCH("T",I63)))</formula>
    </cfRule>
  </conditionalFormatting>
  <conditionalFormatting sqref="I63">
    <cfRule type="containsText" dxfId="364" priority="365" operator="containsText" text="TB">
      <formula>NOT(ISERROR(SEARCH("TB",I63)))</formula>
    </cfRule>
  </conditionalFormatting>
  <conditionalFormatting sqref="I64">
    <cfRule type="containsText" dxfId="363" priority="362" operator="containsText" text="B">
      <formula>NOT(ISERROR(SEARCH("B",I64)))</formula>
    </cfRule>
    <cfRule type="containsText" dxfId="362" priority="363" operator="containsText" text="TB">
      <formula>NOT(ISERROR(SEARCH("TB",I64)))</formula>
    </cfRule>
    <cfRule type="containsText" dxfId="361" priority="364" operator="containsText" text="T">
      <formula>NOT(ISERROR(SEARCH("T",I64)))</formula>
    </cfRule>
  </conditionalFormatting>
  <conditionalFormatting sqref="I64">
    <cfRule type="containsText" dxfId="360" priority="361" operator="containsText" text="TB">
      <formula>NOT(ISERROR(SEARCH("TB",I64)))</formula>
    </cfRule>
  </conditionalFormatting>
  <conditionalFormatting sqref="H73">
    <cfRule type="containsText" dxfId="359" priority="358" operator="containsText" text="B">
      <formula>NOT(ISERROR(SEARCH("B",H73)))</formula>
    </cfRule>
    <cfRule type="containsText" dxfId="358" priority="359" operator="containsText" text="TB">
      <formula>NOT(ISERROR(SEARCH("TB",H73)))</formula>
    </cfRule>
    <cfRule type="containsText" dxfId="357" priority="360" operator="containsText" text="T">
      <formula>NOT(ISERROR(SEARCH("T",H73)))</formula>
    </cfRule>
  </conditionalFormatting>
  <conditionalFormatting sqref="H73">
    <cfRule type="containsText" dxfId="356" priority="357" operator="containsText" text="TB">
      <formula>NOT(ISERROR(SEARCH("TB",H73)))</formula>
    </cfRule>
  </conditionalFormatting>
  <conditionalFormatting sqref="I80">
    <cfRule type="containsText" dxfId="355" priority="354" operator="containsText" text="B">
      <formula>NOT(ISERROR(SEARCH("B",I80)))</formula>
    </cfRule>
    <cfRule type="containsText" dxfId="354" priority="355" operator="containsText" text="TB">
      <formula>NOT(ISERROR(SEARCH("TB",I80)))</formula>
    </cfRule>
    <cfRule type="containsText" dxfId="353" priority="356" operator="containsText" text="T">
      <formula>NOT(ISERROR(SEARCH("T",I80)))</formula>
    </cfRule>
  </conditionalFormatting>
  <conditionalFormatting sqref="I80">
    <cfRule type="containsText" dxfId="352" priority="353" operator="containsText" text="TB">
      <formula>NOT(ISERROR(SEARCH("TB",I80)))</formula>
    </cfRule>
  </conditionalFormatting>
  <conditionalFormatting sqref="I92">
    <cfRule type="containsText" dxfId="351" priority="350" operator="containsText" text="B">
      <formula>NOT(ISERROR(SEARCH("B",I92)))</formula>
    </cfRule>
    <cfRule type="containsText" dxfId="350" priority="351" operator="containsText" text="TB">
      <formula>NOT(ISERROR(SEARCH("TB",I92)))</formula>
    </cfRule>
    <cfRule type="containsText" dxfId="349" priority="352" operator="containsText" text="T">
      <formula>NOT(ISERROR(SEARCH("T",I92)))</formula>
    </cfRule>
  </conditionalFormatting>
  <conditionalFormatting sqref="I92">
    <cfRule type="containsText" dxfId="348" priority="349" operator="containsText" text="TB">
      <formula>NOT(ISERROR(SEARCH("TB",I92)))</formula>
    </cfRule>
  </conditionalFormatting>
  <conditionalFormatting sqref="I155">
    <cfRule type="containsText" dxfId="347" priority="346" operator="containsText" text="B">
      <formula>NOT(ISERROR(SEARCH("B",I155)))</formula>
    </cfRule>
    <cfRule type="containsText" dxfId="346" priority="347" operator="containsText" text="TB">
      <formula>NOT(ISERROR(SEARCH("TB",I155)))</formula>
    </cfRule>
    <cfRule type="containsText" dxfId="345" priority="348" operator="containsText" text="T">
      <formula>NOT(ISERROR(SEARCH("T",I155)))</formula>
    </cfRule>
  </conditionalFormatting>
  <conditionalFormatting sqref="I155">
    <cfRule type="containsText" dxfId="344" priority="345" operator="containsText" text="TB">
      <formula>NOT(ISERROR(SEARCH("TB",I155)))</formula>
    </cfRule>
  </conditionalFormatting>
  <conditionalFormatting sqref="I18">
    <cfRule type="containsText" dxfId="343" priority="342" operator="containsText" text="B">
      <formula>NOT(ISERROR(SEARCH("B",I18)))</formula>
    </cfRule>
    <cfRule type="containsText" dxfId="342" priority="343" operator="containsText" text="TB">
      <formula>NOT(ISERROR(SEARCH("TB",I18)))</formula>
    </cfRule>
    <cfRule type="containsText" dxfId="341" priority="344" operator="containsText" text="T">
      <formula>NOT(ISERROR(SEARCH("T",I18)))</formula>
    </cfRule>
  </conditionalFormatting>
  <conditionalFormatting sqref="I18">
    <cfRule type="containsText" dxfId="340" priority="341" operator="containsText" text="TB">
      <formula>NOT(ISERROR(SEARCH("TB",I18)))</formula>
    </cfRule>
  </conditionalFormatting>
  <conditionalFormatting sqref="I24">
    <cfRule type="containsText" dxfId="339" priority="338" operator="containsText" text="B">
      <formula>NOT(ISERROR(SEARCH("B",I24)))</formula>
    </cfRule>
    <cfRule type="containsText" dxfId="338" priority="339" operator="containsText" text="TB">
      <formula>NOT(ISERROR(SEARCH("TB",I24)))</formula>
    </cfRule>
    <cfRule type="containsText" dxfId="337" priority="340" operator="containsText" text="T">
      <formula>NOT(ISERROR(SEARCH("T",I24)))</formula>
    </cfRule>
  </conditionalFormatting>
  <conditionalFormatting sqref="I24">
    <cfRule type="containsText" dxfId="336" priority="337" operator="containsText" text="TB">
      <formula>NOT(ISERROR(SEARCH("TB",I24)))</formula>
    </cfRule>
  </conditionalFormatting>
  <conditionalFormatting sqref="I27">
    <cfRule type="containsText" dxfId="335" priority="334" operator="containsText" text="B">
      <formula>NOT(ISERROR(SEARCH("B",I27)))</formula>
    </cfRule>
    <cfRule type="containsText" dxfId="334" priority="335" operator="containsText" text="TB">
      <formula>NOT(ISERROR(SEARCH("TB",I27)))</formula>
    </cfRule>
    <cfRule type="containsText" dxfId="333" priority="336" operator="containsText" text="T">
      <formula>NOT(ISERROR(SEARCH("T",I27)))</formula>
    </cfRule>
  </conditionalFormatting>
  <conditionalFormatting sqref="I27">
    <cfRule type="containsText" dxfId="332" priority="333" operator="containsText" text="TB">
      <formula>NOT(ISERROR(SEARCH("TB",I27)))</formula>
    </cfRule>
  </conditionalFormatting>
  <conditionalFormatting sqref="I34">
    <cfRule type="containsText" dxfId="331" priority="330" operator="containsText" text="B">
      <formula>NOT(ISERROR(SEARCH("B",I34)))</formula>
    </cfRule>
    <cfRule type="containsText" dxfId="330" priority="331" operator="containsText" text="TB">
      <formula>NOT(ISERROR(SEARCH("TB",I34)))</formula>
    </cfRule>
    <cfRule type="containsText" dxfId="329" priority="332" operator="containsText" text="T">
      <formula>NOT(ISERROR(SEARCH("T",I34)))</formula>
    </cfRule>
  </conditionalFormatting>
  <conditionalFormatting sqref="I34">
    <cfRule type="containsText" dxfId="328" priority="329" operator="containsText" text="TB">
      <formula>NOT(ISERROR(SEARCH("TB",I34)))</formula>
    </cfRule>
  </conditionalFormatting>
  <conditionalFormatting sqref="I36">
    <cfRule type="containsText" dxfId="327" priority="326" operator="containsText" text="B">
      <formula>NOT(ISERROR(SEARCH("B",I36)))</formula>
    </cfRule>
    <cfRule type="containsText" dxfId="326" priority="327" operator="containsText" text="TB">
      <formula>NOT(ISERROR(SEARCH("TB",I36)))</formula>
    </cfRule>
    <cfRule type="containsText" dxfId="325" priority="328" operator="containsText" text="T">
      <formula>NOT(ISERROR(SEARCH("T",I36)))</formula>
    </cfRule>
  </conditionalFormatting>
  <conditionalFormatting sqref="I36">
    <cfRule type="containsText" dxfId="324" priority="325" operator="containsText" text="TB">
      <formula>NOT(ISERROR(SEARCH("TB",I36)))</formula>
    </cfRule>
  </conditionalFormatting>
  <conditionalFormatting sqref="I38">
    <cfRule type="containsText" dxfId="323" priority="322" operator="containsText" text="B">
      <formula>NOT(ISERROR(SEARCH("B",I38)))</formula>
    </cfRule>
    <cfRule type="containsText" dxfId="322" priority="323" operator="containsText" text="TB">
      <formula>NOT(ISERROR(SEARCH("TB",I38)))</formula>
    </cfRule>
    <cfRule type="containsText" dxfId="321" priority="324" operator="containsText" text="T">
      <formula>NOT(ISERROR(SEARCH("T",I38)))</formula>
    </cfRule>
  </conditionalFormatting>
  <conditionalFormatting sqref="I38">
    <cfRule type="containsText" dxfId="320" priority="321" operator="containsText" text="TB">
      <formula>NOT(ISERROR(SEARCH("TB",I38)))</formula>
    </cfRule>
  </conditionalFormatting>
  <conditionalFormatting sqref="F43">
    <cfRule type="containsText" dxfId="319" priority="318" operator="containsText" text="B">
      <formula>NOT(ISERROR(SEARCH("B",F43)))</formula>
    </cfRule>
    <cfRule type="containsText" dxfId="318" priority="319" operator="containsText" text="TB">
      <formula>NOT(ISERROR(SEARCH("TB",F43)))</formula>
    </cfRule>
    <cfRule type="containsText" dxfId="317" priority="320" operator="containsText" text="T">
      <formula>NOT(ISERROR(SEARCH("T",F43)))</formula>
    </cfRule>
  </conditionalFormatting>
  <conditionalFormatting sqref="F43">
    <cfRule type="containsText" dxfId="316" priority="317" operator="containsText" text="TB">
      <formula>NOT(ISERROR(SEARCH("TB",F43)))</formula>
    </cfRule>
  </conditionalFormatting>
  <conditionalFormatting sqref="K17">
    <cfRule type="containsText" dxfId="315" priority="314" operator="containsText" text="B">
      <formula>NOT(ISERROR(SEARCH("B",K17)))</formula>
    </cfRule>
    <cfRule type="containsText" dxfId="314" priority="315" operator="containsText" text="TB">
      <formula>NOT(ISERROR(SEARCH("TB",K17)))</formula>
    </cfRule>
    <cfRule type="containsText" dxfId="313" priority="316" operator="containsText" text="T">
      <formula>NOT(ISERROR(SEARCH("T",K17)))</formula>
    </cfRule>
  </conditionalFormatting>
  <conditionalFormatting sqref="K17">
    <cfRule type="containsText" dxfId="312" priority="313" operator="containsText" text="TB">
      <formula>NOT(ISERROR(SEARCH("TB",K17)))</formula>
    </cfRule>
  </conditionalFormatting>
  <conditionalFormatting sqref="K27">
    <cfRule type="containsText" dxfId="311" priority="310" operator="containsText" text="B">
      <formula>NOT(ISERROR(SEARCH("B",K27)))</formula>
    </cfRule>
    <cfRule type="containsText" dxfId="310" priority="311" operator="containsText" text="TB">
      <formula>NOT(ISERROR(SEARCH("TB",K27)))</formula>
    </cfRule>
    <cfRule type="containsText" dxfId="309" priority="312" operator="containsText" text="T">
      <formula>NOT(ISERROR(SEARCH("T",K27)))</formula>
    </cfRule>
  </conditionalFormatting>
  <conditionalFormatting sqref="K27">
    <cfRule type="containsText" dxfId="308" priority="309" operator="containsText" text="TB">
      <formula>NOT(ISERROR(SEARCH("TB",K27)))</formula>
    </cfRule>
  </conditionalFormatting>
  <conditionalFormatting sqref="J14">
    <cfRule type="containsText" dxfId="307" priority="306" operator="containsText" text="B">
      <formula>NOT(ISERROR(SEARCH("B",J14)))</formula>
    </cfRule>
    <cfRule type="containsText" dxfId="306" priority="307" operator="containsText" text="TB">
      <formula>NOT(ISERROR(SEARCH("TB",J14)))</formula>
    </cfRule>
    <cfRule type="containsText" dxfId="305" priority="308" operator="containsText" text="T">
      <formula>NOT(ISERROR(SEARCH("T",J14)))</formula>
    </cfRule>
  </conditionalFormatting>
  <conditionalFormatting sqref="J14">
    <cfRule type="containsText" dxfId="304" priority="305" operator="containsText" text="TB">
      <formula>NOT(ISERROR(SEARCH("TB",J14)))</formula>
    </cfRule>
  </conditionalFormatting>
  <conditionalFormatting sqref="J28:J31 J26 J19 J21:J24">
    <cfRule type="containsText" dxfId="303" priority="302" operator="containsText" text="B">
      <formula>NOT(ISERROR(SEARCH("B",J19)))</formula>
    </cfRule>
    <cfRule type="containsText" dxfId="302" priority="303" operator="containsText" text="TB">
      <formula>NOT(ISERROR(SEARCH("TB",J19)))</formula>
    </cfRule>
    <cfRule type="containsText" dxfId="301" priority="304" operator="containsText" text="T">
      <formula>NOT(ISERROR(SEARCH("T",J19)))</formula>
    </cfRule>
  </conditionalFormatting>
  <conditionalFormatting sqref="J28:J31 J26 J19 J21:J24">
    <cfRule type="containsText" dxfId="300" priority="301" operator="containsText" text="TB">
      <formula>NOT(ISERROR(SEARCH("TB",J19)))</formula>
    </cfRule>
  </conditionalFormatting>
  <conditionalFormatting sqref="J20">
    <cfRule type="containsText" dxfId="299" priority="298" operator="containsText" text="B">
      <formula>NOT(ISERROR(SEARCH("B",J20)))</formula>
    </cfRule>
    <cfRule type="containsText" dxfId="298" priority="299" operator="containsText" text="TB">
      <formula>NOT(ISERROR(SEARCH("TB",J20)))</formula>
    </cfRule>
    <cfRule type="containsText" dxfId="297" priority="300" operator="containsText" text="T">
      <formula>NOT(ISERROR(SEARCH("T",J20)))</formula>
    </cfRule>
  </conditionalFormatting>
  <conditionalFormatting sqref="J20">
    <cfRule type="containsText" dxfId="296" priority="297" operator="containsText" text="TB">
      <formula>NOT(ISERROR(SEARCH("TB",J20)))</formula>
    </cfRule>
  </conditionalFormatting>
  <conditionalFormatting sqref="J25">
    <cfRule type="containsText" dxfId="295" priority="294" operator="containsText" text="B">
      <formula>NOT(ISERROR(SEARCH("B",J25)))</formula>
    </cfRule>
    <cfRule type="containsText" dxfId="294" priority="295" operator="containsText" text="TB">
      <formula>NOT(ISERROR(SEARCH("TB",J25)))</formula>
    </cfRule>
    <cfRule type="containsText" dxfId="293" priority="296" operator="containsText" text="T">
      <formula>NOT(ISERROR(SEARCH("T",J25)))</formula>
    </cfRule>
  </conditionalFormatting>
  <conditionalFormatting sqref="J25">
    <cfRule type="containsText" dxfId="292" priority="293" operator="containsText" text="TB">
      <formula>NOT(ISERROR(SEARCH("TB",J25)))</formula>
    </cfRule>
  </conditionalFormatting>
  <conditionalFormatting sqref="J17">
    <cfRule type="containsText" dxfId="291" priority="290" operator="containsText" text="B">
      <formula>NOT(ISERROR(SEARCH("B",J17)))</formula>
    </cfRule>
    <cfRule type="containsText" dxfId="290" priority="291" operator="containsText" text="TB">
      <formula>NOT(ISERROR(SEARCH("TB",J17)))</formula>
    </cfRule>
    <cfRule type="containsText" dxfId="289" priority="292" operator="containsText" text="T">
      <formula>NOT(ISERROR(SEARCH("T",J17)))</formula>
    </cfRule>
  </conditionalFormatting>
  <conditionalFormatting sqref="J17">
    <cfRule type="containsText" dxfId="288" priority="289" operator="containsText" text="TB">
      <formula>NOT(ISERROR(SEARCH("TB",J17)))</formula>
    </cfRule>
  </conditionalFormatting>
  <conditionalFormatting sqref="J18">
    <cfRule type="containsText" dxfId="287" priority="286" operator="containsText" text="B">
      <formula>NOT(ISERROR(SEARCH("B",J18)))</formula>
    </cfRule>
    <cfRule type="containsText" dxfId="286" priority="287" operator="containsText" text="TB">
      <formula>NOT(ISERROR(SEARCH("TB",J18)))</formula>
    </cfRule>
    <cfRule type="containsText" dxfId="285" priority="288" operator="containsText" text="T">
      <formula>NOT(ISERROR(SEARCH("T",J18)))</formula>
    </cfRule>
  </conditionalFormatting>
  <conditionalFormatting sqref="J18">
    <cfRule type="containsText" dxfId="284" priority="285" operator="containsText" text="TB">
      <formula>NOT(ISERROR(SEARCH("TB",J18)))</formula>
    </cfRule>
  </conditionalFormatting>
  <conditionalFormatting sqref="J27">
    <cfRule type="containsText" dxfId="283" priority="282" operator="containsText" text="B">
      <formula>NOT(ISERROR(SEARCH("B",J27)))</formula>
    </cfRule>
    <cfRule type="containsText" dxfId="282" priority="283" operator="containsText" text="TB">
      <formula>NOT(ISERROR(SEARCH("TB",J27)))</formula>
    </cfRule>
    <cfRule type="containsText" dxfId="281" priority="284" operator="containsText" text="T">
      <formula>NOT(ISERROR(SEARCH("T",J27)))</formula>
    </cfRule>
  </conditionalFormatting>
  <conditionalFormatting sqref="J27">
    <cfRule type="containsText" dxfId="280" priority="281" operator="containsText" text="TB">
      <formula>NOT(ISERROR(SEARCH("TB",J27)))</formula>
    </cfRule>
  </conditionalFormatting>
  <conditionalFormatting sqref="J32">
    <cfRule type="containsText" dxfId="279" priority="278" operator="containsText" text="B">
      <formula>NOT(ISERROR(SEARCH("B",J32)))</formula>
    </cfRule>
    <cfRule type="containsText" dxfId="278" priority="279" operator="containsText" text="TB">
      <formula>NOT(ISERROR(SEARCH("TB",J32)))</formula>
    </cfRule>
    <cfRule type="containsText" dxfId="277" priority="280" operator="containsText" text="T">
      <formula>NOT(ISERROR(SEARCH("T",J32)))</formula>
    </cfRule>
  </conditionalFormatting>
  <conditionalFormatting sqref="J32">
    <cfRule type="containsText" dxfId="276" priority="277" operator="containsText" text="TB">
      <formula>NOT(ISERROR(SEARCH("TB",J32)))</formula>
    </cfRule>
  </conditionalFormatting>
  <conditionalFormatting sqref="J49">
    <cfRule type="containsText" dxfId="275" priority="274" operator="containsText" text="B">
      <formula>NOT(ISERROR(SEARCH("B",J49)))</formula>
    </cfRule>
    <cfRule type="containsText" dxfId="274" priority="275" operator="containsText" text="TB">
      <formula>NOT(ISERROR(SEARCH("TB",J49)))</formula>
    </cfRule>
    <cfRule type="containsText" dxfId="273" priority="276" operator="containsText" text="T">
      <formula>NOT(ISERROR(SEARCH("T",J49)))</formula>
    </cfRule>
  </conditionalFormatting>
  <conditionalFormatting sqref="J49">
    <cfRule type="containsText" dxfId="272" priority="273" operator="containsText" text="TB">
      <formula>NOT(ISERROR(SEARCH("TB",J49)))</formula>
    </cfRule>
  </conditionalFormatting>
  <conditionalFormatting sqref="J54">
    <cfRule type="containsText" dxfId="271" priority="270" operator="containsText" text="B">
      <formula>NOT(ISERROR(SEARCH("B",J54)))</formula>
    </cfRule>
    <cfRule type="containsText" dxfId="270" priority="271" operator="containsText" text="TB">
      <formula>NOT(ISERROR(SEARCH("TB",J54)))</formula>
    </cfRule>
    <cfRule type="containsText" dxfId="269" priority="272" operator="containsText" text="T">
      <formula>NOT(ISERROR(SEARCH("T",J54)))</formula>
    </cfRule>
  </conditionalFormatting>
  <conditionalFormatting sqref="J54">
    <cfRule type="containsText" dxfId="268" priority="269" operator="containsText" text="TB">
      <formula>NOT(ISERROR(SEARCH("TB",J54)))</formula>
    </cfRule>
  </conditionalFormatting>
  <conditionalFormatting sqref="J56">
    <cfRule type="containsText" dxfId="267" priority="266" operator="containsText" text="B">
      <formula>NOT(ISERROR(SEARCH("B",J56)))</formula>
    </cfRule>
    <cfRule type="containsText" dxfId="266" priority="267" operator="containsText" text="TB">
      <formula>NOT(ISERROR(SEARCH("TB",J56)))</formula>
    </cfRule>
    <cfRule type="containsText" dxfId="265" priority="268" operator="containsText" text="T">
      <formula>NOT(ISERROR(SEARCH("T",J56)))</formula>
    </cfRule>
  </conditionalFormatting>
  <conditionalFormatting sqref="J56">
    <cfRule type="containsText" dxfId="264" priority="265" operator="containsText" text="TB">
      <formula>NOT(ISERROR(SEARCH("TB",J56)))</formula>
    </cfRule>
  </conditionalFormatting>
  <conditionalFormatting sqref="J57">
    <cfRule type="containsText" dxfId="263" priority="262" operator="containsText" text="B">
      <formula>NOT(ISERROR(SEARCH("B",J57)))</formula>
    </cfRule>
    <cfRule type="containsText" dxfId="262" priority="263" operator="containsText" text="TB">
      <formula>NOT(ISERROR(SEARCH("TB",J57)))</formula>
    </cfRule>
    <cfRule type="containsText" dxfId="261" priority="264" operator="containsText" text="T">
      <formula>NOT(ISERROR(SEARCH("T",J57)))</formula>
    </cfRule>
  </conditionalFormatting>
  <conditionalFormatting sqref="J57">
    <cfRule type="containsText" dxfId="260" priority="261" operator="containsText" text="TB">
      <formula>NOT(ISERROR(SEARCH("TB",J57)))</formula>
    </cfRule>
  </conditionalFormatting>
  <conditionalFormatting sqref="J58">
    <cfRule type="containsText" dxfId="259" priority="258" operator="containsText" text="B">
      <formula>NOT(ISERROR(SEARCH("B",J58)))</formula>
    </cfRule>
    <cfRule type="containsText" dxfId="258" priority="259" operator="containsText" text="TB">
      <formula>NOT(ISERROR(SEARCH("TB",J58)))</formula>
    </cfRule>
    <cfRule type="containsText" dxfId="257" priority="260" operator="containsText" text="T">
      <formula>NOT(ISERROR(SEARCH("T",J58)))</formula>
    </cfRule>
  </conditionalFormatting>
  <conditionalFormatting sqref="J58">
    <cfRule type="containsText" dxfId="256" priority="257" operator="containsText" text="TB">
      <formula>NOT(ISERROR(SEARCH("TB",J58)))</formula>
    </cfRule>
  </conditionalFormatting>
  <conditionalFormatting sqref="J59">
    <cfRule type="containsText" dxfId="255" priority="254" operator="containsText" text="B">
      <formula>NOT(ISERROR(SEARCH("B",J59)))</formula>
    </cfRule>
    <cfRule type="containsText" dxfId="254" priority="255" operator="containsText" text="TB">
      <formula>NOT(ISERROR(SEARCH("TB",J59)))</formula>
    </cfRule>
    <cfRule type="containsText" dxfId="253" priority="256" operator="containsText" text="T">
      <formula>NOT(ISERROR(SEARCH("T",J59)))</formula>
    </cfRule>
  </conditionalFormatting>
  <conditionalFormatting sqref="J59">
    <cfRule type="containsText" dxfId="252" priority="253" operator="containsText" text="TB">
      <formula>NOT(ISERROR(SEARCH("TB",J59)))</formula>
    </cfRule>
  </conditionalFormatting>
  <conditionalFormatting sqref="J61">
    <cfRule type="containsText" dxfId="251" priority="250" operator="containsText" text="B">
      <formula>NOT(ISERROR(SEARCH("B",J61)))</formula>
    </cfRule>
    <cfRule type="containsText" dxfId="250" priority="251" operator="containsText" text="TB">
      <formula>NOT(ISERROR(SEARCH("TB",J61)))</formula>
    </cfRule>
    <cfRule type="containsText" dxfId="249" priority="252" operator="containsText" text="T">
      <formula>NOT(ISERROR(SEARCH("T",J61)))</formula>
    </cfRule>
  </conditionalFormatting>
  <conditionalFormatting sqref="J61">
    <cfRule type="containsText" dxfId="248" priority="249" operator="containsText" text="TB">
      <formula>NOT(ISERROR(SEARCH("TB",J61)))</formula>
    </cfRule>
  </conditionalFormatting>
  <conditionalFormatting sqref="J64">
    <cfRule type="containsText" dxfId="247" priority="246" operator="containsText" text="B">
      <formula>NOT(ISERROR(SEARCH("B",J64)))</formula>
    </cfRule>
    <cfRule type="containsText" dxfId="246" priority="247" operator="containsText" text="TB">
      <formula>NOT(ISERROR(SEARCH("TB",J64)))</formula>
    </cfRule>
    <cfRule type="containsText" dxfId="245" priority="248" operator="containsText" text="T">
      <formula>NOT(ISERROR(SEARCH("T",J64)))</formula>
    </cfRule>
  </conditionalFormatting>
  <conditionalFormatting sqref="J64">
    <cfRule type="containsText" dxfId="244" priority="245" operator="containsText" text="TB">
      <formula>NOT(ISERROR(SEARCH("TB",J64)))</formula>
    </cfRule>
  </conditionalFormatting>
  <conditionalFormatting sqref="J67">
    <cfRule type="containsText" dxfId="243" priority="242" operator="containsText" text="B">
      <formula>NOT(ISERROR(SEARCH("B",J67)))</formula>
    </cfRule>
    <cfRule type="containsText" dxfId="242" priority="243" operator="containsText" text="TB">
      <formula>NOT(ISERROR(SEARCH("TB",J67)))</formula>
    </cfRule>
    <cfRule type="containsText" dxfId="241" priority="244" operator="containsText" text="T">
      <formula>NOT(ISERROR(SEARCH("T",J67)))</formula>
    </cfRule>
  </conditionalFormatting>
  <conditionalFormatting sqref="J67">
    <cfRule type="containsText" dxfId="240" priority="241" operator="containsText" text="TB">
      <formula>NOT(ISERROR(SEARCH("TB",J67)))</formula>
    </cfRule>
  </conditionalFormatting>
  <conditionalFormatting sqref="J77">
    <cfRule type="containsText" dxfId="239" priority="238" operator="containsText" text="B">
      <formula>NOT(ISERROR(SEARCH("B",J77)))</formula>
    </cfRule>
    <cfRule type="containsText" dxfId="238" priority="239" operator="containsText" text="TB">
      <formula>NOT(ISERROR(SEARCH("TB",J77)))</formula>
    </cfRule>
    <cfRule type="containsText" dxfId="237" priority="240" operator="containsText" text="T">
      <formula>NOT(ISERROR(SEARCH("T",J77)))</formula>
    </cfRule>
  </conditionalFormatting>
  <conditionalFormatting sqref="J77">
    <cfRule type="containsText" dxfId="236" priority="237" operator="containsText" text="TB">
      <formula>NOT(ISERROR(SEARCH("TB",J77)))</formula>
    </cfRule>
  </conditionalFormatting>
  <conditionalFormatting sqref="I96">
    <cfRule type="containsText" dxfId="235" priority="234" operator="containsText" text="B">
      <formula>NOT(ISERROR(SEARCH("B",I96)))</formula>
    </cfRule>
    <cfRule type="containsText" dxfId="234" priority="235" operator="containsText" text="TB">
      <formula>NOT(ISERROR(SEARCH("TB",I96)))</formula>
    </cfRule>
    <cfRule type="containsText" dxfId="233" priority="236" operator="containsText" text="T">
      <formula>NOT(ISERROR(SEARCH("T",I96)))</formula>
    </cfRule>
  </conditionalFormatting>
  <conditionalFormatting sqref="I96">
    <cfRule type="containsText" dxfId="232" priority="233" operator="containsText" text="TB">
      <formula>NOT(ISERROR(SEARCH("TB",I96)))</formula>
    </cfRule>
  </conditionalFormatting>
  <conditionalFormatting sqref="K139">
    <cfRule type="containsText" dxfId="231" priority="230" operator="containsText" text="B">
      <formula>NOT(ISERROR(SEARCH("B",K139)))</formula>
    </cfRule>
    <cfRule type="containsText" dxfId="230" priority="231" operator="containsText" text="TB">
      <formula>NOT(ISERROR(SEARCH("TB",K139)))</formula>
    </cfRule>
    <cfRule type="containsText" dxfId="229" priority="232" operator="containsText" text="T">
      <formula>NOT(ISERROR(SEARCH("T",K139)))</formula>
    </cfRule>
  </conditionalFormatting>
  <conditionalFormatting sqref="K139">
    <cfRule type="containsText" dxfId="228" priority="229" operator="containsText" text="TB">
      <formula>NOT(ISERROR(SEARCH("TB",K139)))</formula>
    </cfRule>
  </conditionalFormatting>
  <conditionalFormatting sqref="K14">
    <cfRule type="containsText" dxfId="227" priority="226" operator="containsText" text="B">
      <formula>NOT(ISERROR(SEARCH("B",K14)))</formula>
    </cfRule>
    <cfRule type="containsText" dxfId="226" priority="227" operator="containsText" text="TB">
      <formula>NOT(ISERROR(SEARCH("TB",K14)))</formula>
    </cfRule>
    <cfRule type="containsText" dxfId="225" priority="228" operator="containsText" text="T">
      <formula>NOT(ISERROR(SEARCH("T",K14)))</formula>
    </cfRule>
  </conditionalFormatting>
  <conditionalFormatting sqref="K14">
    <cfRule type="containsText" dxfId="224" priority="225" operator="containsText" text="TB">
      <formula>NOT(ISERROR(SEARCH("TB",K14)))</formula>
    </cfRule>
  </conditionalFormatting>
  <conditionalFormatting sqref="K18">
    <cfRule type="containsText" dxfId="223" priority="222" operator="containsText" text="B">
      <formula>NOT(ISERROR(SEARCH("B",K18)))</formula>
    </cfRule>
    <cfRule type="containsText" dxfId="222" priority="223" operator="containsText" text="TB">
      <formula>NOT(ISERROR(SEARCH("TB",K18)))</formula>
    </cfRule>
    <cfRule type="containsText" dxfId="221" priority="224" operator="containsText" text="T">
      <formula>NOT(ISERROR(SEARCH("T",K18)))</formula>
    </cfRule>
  </conditionalFormatting>
  <conditionalFormatting sqref="K18">
    <cfRule type="containsText" dxfId="220" priority="221" operator="containsText" text="TB">
      <formula>NOT(ISERROR(SEARCH("TB",K18)))</formula>
    </cfRule>
  </conditionalFormatting>
  <conditionalFormatting sqref="K44">
    <cfRule type="containsText" dxfId="219" priority="218" operator="containsText" text="B">
      <formula>NOT(ISERROR(SEARCH("B",K44)))</formula>
    </cfRule>
    <cfRule type="containsText" dxfId="218" priority="219" operator="containsText" text="TB">
      <formula>NOT(ISERROR(SEARCH("TB",K44)))</formula>
    </cfRule>
    <cfRule type="containsText" dxfId="217" priority="220" operator="containsText" text="T">
      <formula>NOT(ISERROR(SEARCH("T",K44)))</formula>
    </cfRule>
  </conditionalFormatting>
  <conditionalFormatting sqref="K44">
    <cfRule type="containsText" dxfId="216" priority="217" operator="containsText" text="TB">
      <formula>NOT(ISERROR(SEARCH("TB",K44)))</formula>
    </cfRule>
  </conditionalFormatting>
  <conditionalFormatting sqref="K51">
    <cfRule type="containsText" dxfId="215" priority="214" operator="containsText" text="B">
      <formula>NOT(ISERROR(SEARCH("B",K51)))</formula>
    </cfRule>
    <cfRule type="containsText" dxfId="214" priority="215" operator="containsText" text="TB">
      <formula>NOT(ISERROR(SEARCH("TB",K51)))</formula>
    </cfRule>
    <cfRule type="containsText" dxfId="213" priority="216" operator="containsText" text="T">
      <formula>NOT(ISERROR(SEARCH("T",K51)))</formula>
    </cfRule>
  </conditionalFormatting>
  <conditionalFormatting sqref="K51">
    <cfRule type="containsText" dxfId="212" priority="213" operator="containsText" text="TB">
      <formula>NOT(ISERROR(SEARCH("TB",K51)))</formula>
    </cfRule>
  </conditionalFormatting>
  <conditionalFormatting sqref="K53">
    <cfRule type="containsText" dxfId="211" priority="210" operator="containsText" text="B">
      <formula>NOT(ISERROR(SEARCH("B",K53)))</formula>
    </cfRule>
    <cfRule type="containsText" dxfId="210" priority="211" operator="containsText" text="TB">
      <formula>NOT(ISERROR(SEARCH("TB",K53)))</formula>
    </cfRule>
    <cfRule type="containsText" dxfId="209" priority="212" operator="containsText" text="T">
      <formula>NOT(ISERROR(SEARCH("T",K53)))</formula>
    </cfRule>
  </conditionalFormatting>
  <conditionalFormatting sqref="K53">
    <cfRule type="containsText" dxfId="208" priority="209" operator="containsText" text="TB">
      <formula>NOT(ISERROR(SEARCH("TB",K53)))</formula>
    </cfRule>
  </conditionalFormatting>
  <conditionalFormatting sqref="K65">
    <cfRule type="containsText" dxfId="207" priority="206" operator="containsText" text="B">
      <formula>NOT(ISERROR(SEARCH("B",K65)))</formula>
    </cfRule>
    <cfRule type="containsText" dxfId="206" priority="207" operator="containsText" text="TB">
      <formula>NOT(ISERROR(SEARCH("TB",K65)))</formula>
    </cfRule>
    <cfRule type="containsText" dxfId="205" priority="208" operator="containsText" text="T">
      <formula>NOT(ISERROR(SEARCH("T",K65)))</formula>
    </cfRule>
  </conditionalFormatting>
  <conditionalFormatting sqref="K65">
    <cfRule type="containsText" dxfId="204" priority="205" operator="containsText" text="TB">
      <formula>NOT(ISERROR(SEARCH("TB",K65)))</formula>
    </cfRule>
  </conditionalFormatting>
  <conditionalFormatting sqref="K66">
    <cfRule type="containsText" dxfId="203" priority="202" operator="containsText" text="B">
      <formula>NOT(ISERROR(SEARCH("B",K66)))</formula>
    </cfRule>
    <cfRule type="containsText" dxfId="202" priority="203" operator="containsText" text="TB">
      <formula>NOT(ISERROR(SEARCH("TB",K66)))</formula>
    </cfRule>
    <cfRule type="containsText" dxfId="201" priority="204" operator="containsText" text="T">
      <formula>NOT(ISERROR(SEARCH("T",K66)))</formula>
    </cfRule>
  </conditionalFormatting>
  <conditionalFormatting sqref="K66">
    <cfRule type="containsText" dxfId="200" priority="201" operator="containsText" text="TB">
      <formula>NOT(ISERROR(SEARCH("TB",K66)))</formula>
    </cfRule>
  </conditionalFormatting>
  <conditionalFormatting sqref="K68">
    <cfRule type="containsText" dxfId="199" priority="198" operator="containsText" text="B">
      <formula>NOT(ISERROR(SEARCH("B",K68)))</formula>
    </cfRule>
    <cfRule type="containsText" dxfId="198" priority="199" operator="containsText" text="TB">
      <formula>NOT(ISERROR(SEARCH("TB",K68)))</formula>
    </cfRule>
    <cfRule type="containsText" dxfId="197" priority="200" operator="containsText" text="T">
      <formula>NOT(ISERROR(SEARCH("T",K68)))</formula>
    </cfRule>
  </conditionalFormatting>
  <conditionalFormatting sqref="K68">
    <cfRule type="containsText" dxfId="196" priority="197" operator="containsText" text="TB">
      <formula>NOT(ISERROR(SEARCH("TB",K68)))</formula>
    </cfRule>
  </conditionalFormatting>
  <conditionalFormatting sqref="K71">
    <cfRule type="containsText" dxfId="195" priority="194" operator="containsText" text="B">
      <formula>NOT(ISERROR(SEARCH("B",K71)))</formula>
    </cfRule>
    <cfRule type="containsText" dxfId="194" priority="195" operator="containsText" text="TB">
      <formula>NOT(ISERROR(SEARCH("TB",K71)))</formula>
    </cfRule>
    <cfRule type="containsText" dxfId="193" priority="196" operator="containsText" text="T">
      <formula>NOT(ISERROR(SEARCH("T",K71)))</formula>
    </cfRule>
  </conditionalFormatting>
  <conditionalFormatting sqref="K71">
    <cfRule type="containsText" dxfId="192" priority="193" operator="containsText" text="TB">
      <formula>NOT(ISERROR(SEARCH("TB",K71)))</formula>
    </cfRule>
  </conditionalFormatting>
  <conditionalFormatting sqref="K81">
    <cfRule type="containsText" dxfId="191" priority="190" operator="containsText" text="B">
      <formula>NOT(ISERROR(SEARCH("B",K81)))</formula>
    </cfRule>
    <cfRule type="containsText" dxfId="190" priority="191" operator="containsText" text="TB">
      <formula>NOT(ISERROR(SEARCH("TB",K81)))</formula>
    </cfRule>
    <cfRule type="containsText" dxfId="189" priority="192" operator="containsText" text="T">
      <formula>NOT(ISERROR(SEARCH("T",K81)))</formula>
    </cfRule>
  </conditionalFormatting>
  <conditionalFormatting sqref="K81">
    <cfRule type="containsText" dxfId="188" priority="189" operator="containsText" text="TB">
      <formula>NOT(ISERROR(SEARCH("TB",K81)))</formula>
    </cfRule>
  </conditionalFormatting>
  <conditionalFormatting sqref="K84">
    <cfRule type="containsText" dxfId="187" priority="186" operator="containsText" text="B">
      <formula>NOT(ISERROR(SEARCH("B",K84)))</formula>
    </cfRule>
    <cfRule type="containsText" dxfId="186" priority="187" operator="containsText" text="TB">
      <formula>NOT(ISERROR(SEARCH("TB",K84)))</formula>
    </cfRule>
    <cfRule type="containsText" dxfId="185" priority="188" operator="containsText" text="T">
      <formula>NOT(ISERROR(SEARCH("T",K84)))</formula>
    </cfRule>
  </conditionalFormatting>
  <conditionalFormatting sqref="K84">
    <cfRule type="containsText" dxfId="184" priority="185" operator="containsText" text="TB">
      <formula>NOT(ISERROR(SEARCH("TB",K84)))</formula>
    </cfRule>
  </conditionalFormatting>
  <conditionalFormatting sqref="K45">
    <cfRule type="containsText" dxfId="183" priority="182" operator="containsText" text="B">
      <formula>NOT(ISERROR(SEARCH("B",K45)))</formula>
    </cfRule>
    <cfRule type="containsText" dxfId="182" priority="183" operator="containsText" text="TB">
      <formula>NOT(ISERROR(SEARCH("TB",K45)))</formula>
    </cfRule>
    <cfRule type="containsText" dxfId="181" priority="184" operator="containsText" text="T">
      <formula>NOT(ISERROR(SEARCH("T",K45)))</formula>
    </cfRule>
  </conditionalFormatting>
  <conditionalFormatting sqref="K45">
    <cfRule type="containsText" dxfId="180" priority="181" operator="containsText" text="TB">
      <formula>NOT(ISERROR(SEARCH("TB",K45)))</formula>
    </cfRule>
  </conditionalFormatting>
  <conditionalFormatting sqref="K69">
    <cfRule type="containsText" dxfId="179" priority="178" operator="containsText" text="B">
      <formula>NOT(ISERROR(SEARCH("B",K69)))</formula>
    </cfRule>
    <cfRule type="containsText" dxfId="178" priority="179" operator="containsText" text="TB">
      <formula>NOT(ISERROR(SEARCH("TB",K69)))</formula>
    </cfRule>
    <cfRule type="containsText" dxfId="177" priority="180" operator="containsText" text="T">
      <formula>NOT(ISERROR(SEARCH("T",K69)))</formula>
    </cfRule>
  </conditionalFormatting>
  <conditionalFormatting sqref="K69">
    <cfRule type="containsText" dxfId="176" priority="177" operator="containsText" text="TB">
      <formula>NOT(ISERROR(SEARCH("TB",K69)))</formula>
    </cfRule>
  </conditionalFormatting>
  <conditionalFormatting sqref="K32">
    <cfRule type="containsText" dxfId="175" priority="174" operator="containsText" text="B">
      <formula>NOT(ISERROR(SEARCH("B",K32)))</formula>
    </cfRule>
    <cfRule type="containsText" dxfId="174" priority="175" operator="containsText" text="TB">
      <formula>NOT(ISERROR(SEARCH("TB",K32)))</formula>
    </cfRule>
    <cfRule type="containsText" dxfId="173" priority="176" operator="containsText" text="T">
      <formula>NOT(ISERROR(SEARCH("T",K32)))</formula>
    </cfRule>
  </conditionalFormatting>
  <conditionalFormatting sqref="K32">
    <cfRule type="containsText" dxfId="172" priority="173" operator="containsText" text="TB">
      <formula>NOT(ISERROR(SEARCH("TB",K32)))</formula>
    </cfRule>
  </conditionalFormatting>
  <conditionalFormatting sqref="K29">
    <cfRule type="containsText" dxfId="171" priority="170" operator="containsText" text="B">
      <formula>NOT(ISERROR(SEARCH("B",K29)))</formula>
    </cfRule>
    <cfRule type="containsText" dxfId="170" priority="171" operator="containsText" text="TB">
      <formula>NOT(ISERROR(SEARCH("TB",K29)))</formula>
    </cfRule>
    <cfRule type="containsText" dxfId="169" priority="172" operator="containsText" text="T">
      <formula>NOT(ISERROR(SEARCH("T",K29)))</formula>
    </cfRule>
  </conditionalFormatting>
  <conditionalFormatting sqref="K29">
    <cfRule type="containsText" dxfId="168" priority="169" operator="containsText" text="TB">
      <formula>NOT(ISERROR(SEARCH("TB",K29)))</formula>
    </cfRule>
  </conditionalFormatting>
  <conditionalFormatting sqref="K72">
    <cfRule type="containsText" dxfId="167" priority="166" operator="containsText" text="B">
      <formula>NOT(ISERROR(SEARCH("B",K72)))</formula>
    </cfRule>
    <cfRule type="containsText" dxfId="166" priority="167" operator="containsText" text="TB">
      <formula>NOT(ISERROR(SEARCH("TB",K72)))</formula>
    </cfRule>
    <cfRule type="containsText" dxfId="165" priority="168" operator="containsText" text="T">
      <formula>NOT(ISERROR(SEARCH("T",K72)))</formula>
    </cfRule>
  </conditionalFormatting>
  <conditionalFormatting sqref="K72">
    <cfRule type="containsText" dxfId="164" priority="165" operator="containsText" text="TB">
      <formula>NOT(ISERROR(SEARCH("TB",K72)))</formula>
    </cfRule>
  </conditionalFormatting>
  <conditionalFormatting sqref="K148">
    <cfRule type="containsText" dxfId="163" priority="162" operator="containsText" text="B">
      <formula>NOT(ISERROR(SEARCH("B",K148)))</formula>
    </cfRule>
    <cfRule type="containsText" dxfId="162" priority="163" operator="containsText" text="TB">
      <formula>NOT(ISERROR(SEARCH("TB",K148)))</formula>
    </cfRule>
    <cfRule type="containsText" dxfId="161" priority="164" operator="containsText" text="T">
      <formula>NOT(ISERROR(SEARCH("T",K148)))</formula>
    </cfRule>
  </conditionalFormatting>
  <conditionalFormatting sqref="K148">
    <cfRule type="containsText" dxfId="160" priority="161" operator="containsText" text="TB">
      <formula>NOT(ISERROR(SEARCH("TB",K148)))</formula>
    </cfRule>
  </conditionalFormatting>
  <conditionalFormatting sqref="K90">
    <cfRule type="containsText" dxfId="159" priority="158" operator="containsText" text="B">
      <formula>NOT(ISERROR(SEARCH("B",K90)))</formula>
    </cfRule>
    <cfRule type="containsText" dxfId="158" priority="159" operator="containsText" text="TB">
      <formula>NOT(ISERROR(SEARCH("TB",K90)))</formula>
    </cfRule>
    <cfRule type="containsText" dxfId="157" priority="160" operator="containsText" text="T">
      <formula>NOT(ISERROR(SEARCH("T",K90)))</formula>
    </cfRule>
  </conditionalFormatting>
  <conditionalFormatting sqref="K90">
    <cfRule type="containsText" dxfId="156" priority="157" operator="containsText" text="TB">
      <formula>NOT(ISERROR(SEARCH("TB",K90)))</formula>
    </cfRule>
  </conditionalFormatting>
  <conditionalFormatting sqref="L9">
    <cfRule type="containsText" dxfId="155" priority="154" operator="containsText" text="B">
      <formula>NOT(ISERROR(SEARCH("B",L9)))</formula>
    </cfRule>
    <cfRule type="containsText" dxfId="154" priority="155" operator="containsText" text="TB">
      <formula>NOT(ISERROR(SEARCH("TB",L9)))</formula>
    </cfRule>
    <cfRule type="containsText" dxfId="153" priority="156" operator="containsText" text="T">
      <formula>NOT(ISERROR(SEARCH("T",L9)))</formula>
    </cfRule>
  </conditionalFormatting>
  <conditionalFormatting sqref="L9">
    <cfRule type="containsText" dxfId="152" priority="153" operator="containsText" text="TB">
      <formula>NOT(ISERROR(SEARCH("TB",L9)))</formula>
    </cfRule>
  </conditionalFormatting>
  <conditionalFormatting sqref="L14">
    <cfRule type="containsText" dxfId="151" priority="150" operator="containsText" text="B">
      <formula>NOT(ISERROR(SEARCH("B",L14)))</formula>
    </cfRule>
    <cfRule type="containsText" dxfId="150" priority="151" operator="containsText" text="TB">
      <formula>NOT(ISERROR(SEARCH("TB",L14)))</formula>
    </cfRule>
    <cfRule type="containsText" dxfId="149" priority="152" operator="containsText" text="T">
      <formula>NOT(ISERROR(SEARCH("T",L14)))</formula>
    </cfRule>
  </conditionalFormatting>
  <conditionalFormatting sqref="L14">
    <cfRule type="containsText" dxfId="148" priority="149" operator="containsText" text="TB">
      <formula>NOT(ISERROR(SEARCH("TB",L14)))</formula>
    </cfRule>
  </conditionalFormatting>
  <conditionalFormatting sqref="L19">
    <cfRule type="containsText" dxfId="147" priority="146" operator="containsText" text="B">
      <formula>NOT(ISERROR(SEARCH("B",L19)))</formula>
    </cfRule>
    <cfRule type="containsText" dxfId="146" priority="147" operator="containsText" text="TB">
      <formula>NOT(ISERROR(SEARCH("TB",L19)))</formula>
    </cfRule>
    <cfRule type="containsText" dxfId="145" priority="148" operator="containsText" text="T">
      <formula>NOT(ISERROR(SEARCH("T",L19)))</formula>
    </cfRule>
  </conditionalFormatting>
  <conditionalFormatting sqref="L19">
    <cfRule type="containsText" dxfId="144" priority="145" operator="containsText" text="TB">
      <formula>NOT(ISERROR(SEARCH("TB",L19)))</formula>
    </cfRule>
  </conditionalFormatting>
  <conditionalFormatting sqref="L24">
    <cfRule type="containsText" dxfId="143" priority="142" operator="containsText" text="B">
      <formula>NOT(ISERROR(SEARCH("B",L24)))</formula>
    </cfRule>
    <cfRule type="containsText" dxfId="142" priority="143" operator="containsText" text="TB">
      <formula>NOT(ISERROR(SEARCH("TB",L24)))</formula>
    </cfRule>
    <cfRule type="containsText" dxfId="141" priority="144" operator="containsText" text="T">
      <formula>NOT(ISERROR(SEARCH("T",L24)))</formula>
    </cfRule>
  </conditionalFormatting>
  <conditionalFormatting sqref="L24">
    <cfRule type="containsText" dxfId="140" priority="141" operator="containsText" text="TB">
      <formula>NOT(ISERROR(SEARCH("TB",L24)))</formula>
    </cfRule>
  </conditionalFormatting>
  <conditionalFormatting sqref="L37">
    <cfRule type="containsText" dxfId="139" priority="138" operator="containsText" text="B">
      <formula>NOT(ISERROR(SEARCH("B",L37)))</formula>
    </cfRule>
    <cfRule type="containsText" dxfId="138" priority="139" operator="containsText" text="TB">
      <formula>NOT(ISERROR(SEARCH("TB",L37)))</formula>
    </cfRule>
    <cfRule type="containsText" dxfId="137" priority="140" operator="containsText" text="T">
      <formula>NOT(ISERROR(SEARCH("T",L37)))</formula>
    </cfRule>
  </conditionalFormatting>
  <conditionalFormatting sqref="L37">
    <cfRule type="containsText" dxfId="136" priority="137" operator="containsText" text="TB">
      <formula>NOT(ISERROR(SEARCH("TB",L37)))</formula>
    </cfRule>
  </conditionalFormatting>
  <conditionalFormatting sqref="L51">
    <cfRule type="containsText" dxfId="135" priority="134" operator="containsText" text="B">
      <formula>NOT(ISERROR(SEARCH("B",L51)))</formula>
    </cfRule>
    <cfRule type="containsText" dxfId="134" priority="135" operator="containsText" text="TB">
      <formula>NOT(ISERROR(SEARCH("TB",L51)))</formula>
    </cfRule>
    <cfRule type="containsText" dxfId="133" priority="136" operator="containsText" text="T">
      <formula>NOT(ISERROR(SEARCH("T",L51)))</formula>
    </cfRule>
  </conditionalFormatting>
  <conditionalFormatting sqref="L51">
    <cfRule type="containsText" dxfId="132" priority="133" operator="containsText" text="TB">
      <formula>NOT(ISERROR(SEARCH("TB",L51)))</formula>
    </cfRule>
  </conditionalFormatting>
  <conditionalFormatting sqref="L58">
    <cfRule type="containsText" dxfId="131" priority="130" operator="containsText" text="B">
      <formula>NOT(ISERROR(SEARCH("B",L58)))</formula>
    </cfRule>
    <cfRule type="containsText" dxfId="130" priority="131" operator="containsText" text="TB">
      <formula>NOT(ISERROR(SEARCH("TB",L58)))</formula>
    </cfRule>
    <cfRule type="containsText" dxfId="129" priority="132" operator="containsText" text="T">
      <formula>NOT(ISERROR(SEARCH("T",L58)))</formula>
    </cfRule>
  </conditionalFormatting>
  <conditionalFormatting sqref="L58">
    <cfRule type="containsText" dxfId="128" priority="129" operator="containsText" text="TB">
      <formula>NOT(ISERROR(SEARCH("TB",L58)))</formula>
    </cfRule>
  </conditionalFormatting>
  <conditionalFormatting sqref="L64">
    <cfRule type="containsText" dxfId="127" priority="126" operator="containsText" text="B">
      <formula>NOT(ISERROR(SEARCH("B",L64)))</formula>
    </cfRule>
    <cfRule type="containsText" dxfId="126" priority="127" operator="containsText" text="TB">
      <formula>NOT(ISERROR(SEARCH("TB",L64)))</formula>
    </cfRule>
    <cfRule type="containsText" dxfId="125" priority="128" operator="containsText" text="T">
      <formula>NOT(ISERROR(SEARCH("T",L64)))</formula>
    </cfRule>
  </conditionalFormatting>
  <conditionalFormatting sqref="L64">
    <cfRule type="containsText" dxfId="124" priority="125" operator="containsText" text="TB">
      <formula>NOT(ISERROR(SEARCH("TB",L64)))</formula>
    </cfRule>
  </conditionalFormatting>
  <conditionalFormatting sqref="L53">
    <cfRule type="containsText" dxfId="123" priority="122" operator="containsText" text="B">
      <formula>NOT(ISERROR(SEARCH("B",L53)))</formula>
    </cfRule>
    <cfRule type="containsText" dxfId="122" priority="123" operator="containsText" text="TB">
      <formula>NOT(ISERROR(SEARCH("TB",L53)))</formula>
    </cfRule>
    <cfRule type="containsText" dxfId="121" priority="124" operator="containsText" text="T">
      <formula>NOT(ISERROR(SEARCH("T",L53)))</formula>
    </cfRule>
  </conditionalFormatting>
  <conditionalFormatting sqref="L53">
    <cfRule type="containsText" dxfId="120" priority="121" operator="containsText" text="TB">
      <formula>NOT(ISERROR(SEARCH("TB",L53)))</formula>
    </cfRule>
  </conditionalFormatting>
  <conditionalFormatting sqref="K78">
    <cfRule type="containsText" dxfId="119" priority="118" operator="containsText" text="B">
      <formula>NOT(ISERROR(SEARCH("B",K78)))</formula>
    </cfRule>
    <cfRule type="containsText" dxfId="118" priority="119" operator="containsText" text="TB">
      <formula>NOT(ISERROR(SEARCH("TB",K78)))</formula>
    </cfRule>
    <cfRule type="containsText" dxfId="117" priority="120" operator="containsText" text="T">
      <formula>NOT(ISERROR(SEARCH("T",K78)))</formula>
    </cfRule>
  </conditionalFormatting>
  <conditionalFormatting sqref="K78">
    <cfRule type="containsText" dxfId="116" priority="117" operator="containsText" text="TB">
      <formula>NOT(ISERROR(SEARCH("TB",K78)))</formula>
    </cfRule>
  </conditionalFormatting>
  <conditionalFormatting sqref="L13">
    <cfRule type="containsText" dxfId="115" priority="114" operator="containsText" text="B">
      <formula>NOT(ISERROR(SEARCH("B",L13)))</formula>
    </cfRule>
    <cfRule type="containsText" dxfId="114" priority="115" operator="containsText" text="TB">
      <formula>NOT(ISERROR(SEARCH("TB",L13)))</formula>
    </cfRule>
    <cfRule type="containsText" dxfId="113" priority="116" operator="containsText" text="T">
      <formula>NOT(ISERROR(SEARCH("T",L13)))</formula>
    </cfRule>
  </conditionalFormatting>
  <conditionalFormatting sqref="L13">
    <cfRule type="containsText" dxfId="112" priority="113" operator="containsText" text="TB">
      <formula>NOT(ISERROR(SEARCH("TB",L13)))</formula>
    </cfRule>
  </conditionalFormatting>
  <conditionalFormatting sqref="O12">
    <cfRule type="containsText" dxfId="111" priority="110" operator="containsText" text="B">
      <formula>NOT(ISERROR(SEARCH("B",O12)))</formula>
    </cfRule>
    <cfRule type="containsText" dxfId="110" priority="111" operator="containsText" text="TB">
      <formula>NOT(ISERROR(SEARCH("TB",O12)))</formula>
    </cfRule>
    <cfRule type="containsText" dxfId="109" priority="112" operator="containsText" text="T">
      <formula>NOT(ISERROR(SEARCH("T",O12)))</formula>
    </cfRule>
  </conditionalFormatting>
  <conditionalFormatting sqref="O12">
    <cfRule type="containsText" dxfId="108" priority="109" operator="containsText" text="TB">
      <formula>NOT(ISERROR(SEARCH("TB",O12)))</formula>
    </cfRule>
  </conditionalFormatting>
  <conditionalFormatting sqref="O15">
    <cfRule type="containsText" dxfId="107" priority="106" operator="containsText" text="B">
      <formula>NOT(ISERROR(SEARCH("B",O15)))</formula>
    </cfRule>
    <cfRule type="containsText" dxfId="106" priority="107" operator="containsText" text="TB">
      <formula>NOT(ISERROR(SEARCH("TB",O15)))</formula>
    </cfRule>
    <cfRule type="containsText" dxfId="105" priority="108" operator="containsText" text="T">
      <formula>NOT(ISERROR(SEARCH("T",O15)))</formula>
    </cfRule>
  </conditionalFormatting>
  <conditionalFormatting sqref="O15">
    <cfRule type="containsText" dxfId="104" priority="105" operator="containsText" text="TB">
      <formula>NOT(ISERROR(SEARCH("TB",O15)))</formula>
    </cfRule>
  </conditionalFormatting>
  <conditionalFormatting sqref="O16">
    <cfRule type="containsText" dxfId="103" priority="102" operator="containsText" text="B">
      <formula>NOT(ISERROR(SEARCH("B",O16)))</formula>
    </cfRule>
    <cfRule type="containsText" dxfId="102" priority="103" operator="containsText" text="TB">
      <formula>NOT(ISERROR(SEARCH("TB",O16)))</formula>
    </cfRule>
    <cfRule type="containsText" dxfId="101" priority="104" operator="containsText" text="T">
      <formula>NOT(ISERROR(SEARCH("T",O16)))</formula>
    </cfRule>
  </conditionalFormatting>
  <conditionalFormatting sqref="O16">
    <cfRule type="containsText" dxfId="100" priority="101" operator="containsText" text="TB">
      <formula>NOT(ISERROR(SEARCH("TB",O16)))</formula>
    </cfRule>
  </conditionalFormatting>
  <conditionalFormatting sqref="O18">
    <cfRule type="containsText" dxfId="99" priority="98" operator="containsText" text="B">
      <formula>NOT(ISERROR(SEARCH("B",O18)))</formula>
    </cfRule>
    <cfRule type="containsText" dxfId="98" priority="99" operator="containsText" text="TB">
      <formula>NOT(ISERROR(SEARCH("TB",O18)))</formula>
    </cfRule>
    <cfRule type="containsText" dxfId="97" priority="100" operator="containsText" text="T">
      <formula>NOT(ISERROR(SEARCH("T",O18)))</formula>
    </cfRule>
  </conditionalFormatting>
  <conditionalFormatting sqref="O18">
    <cfRule type="containsText" dxfId="96" priority="97" operator="containsText" text="TB">
      <formula>NOT(ISERROR(SEARCH("TB",O18)))</formula>
    </cfRule>
  </conditionalFormatting>
  <conditionalFormatting sqref="O19">
    <cfRule type="containsText" dxfId="95" priority="94" operator="containsText" text="B">
      <formula>NOT(ISERROR(SEARCH("B",O19)))</formula>
    </cfRule>
    <cfRule type="containsText" dxfId="94" priority="95" operator="containsText" text="TB">
      <formula>NOT(ISERROR(SEARCH("TB",O19)))</formula>
    </cfRule>
    <cfRule type="containsText" dxfId="93" priority="96" operator="containsText" text="T">
      <formula>NOT(ISERROR(SEARCH("T",O19)))</formula>
    </cfRule>
  </conditionalFormatting>
  <conditionalFormatting sqref="O19">
    <cfRule type="containsText" dxfId="92" priority="93" operator="containsText" text="TB">
      <formula>NOT(ISERROR(SEARCH("TB",O19)))</formula>
    </cfRule>
  </conditionalFormatting>
  <conditionalFormatting sqref="O22">
    <cfRule type="containsText" dxfId="91" priority="90" operator="containsText" text="B">
      <formula>NOT(ISERROR(SEARCH("B",O22)))</formula>
    </cfRule>
    <cfRule type="containsText" dxfId="90" priority="91" operator="containsText" text="TB">
      <formula>NOT(ISERROR(SEARCH("TB",O22)))</formula>
    </cfRule>
    <cfRule type="containsText" dxfId="89" priority="92" operator="containsText" text="T">
      <formula>NOT(ISERROR(SEARCH("T",O22)))</formula>
    </cfRule>
  </conditionalFormatting>
  <conditionalFormatting sqref="O22">
    <cfRule type="containsText" dxfId="88" priority="89" operator="containsText" text="TB">
      <formula>NOT(ISERROR(SEARCH("TB",O22)))</formula>
    </cfRule>
  </conditionalFormatting>
  <conditionalFormatting sqref="O23">
    <cfRule type="containsText" dxfId="87" priority="86" operator="containsText" text="B">
      <formula>NOT(ISERROR(SEARCH("B",O23)))</formula>
    </cfRule>
    <cfRule type="containsText" dxfId="86" priority="87" operator="containsText" text="TB">
      <formula>NOT(ISERROR(SEARCH("TB",O23)))</formula>
    </cfRule>
    <cfRule type="containsText" dxfId="85" priority="88" operator="containsText" text="T">
      <formula>NOT(ISERROR(SEARCH("T",O23)))</formula>
    </cfRule>
  </conditionalFormatting>
  <conditionalFormatting sqref="O23">
    <cfRule type="containsText" dxfId="84" priority="85" operator="containsText" text="TB">
      <formula>NOT(ISERROR(SEARCH("TB",O23)))</formula>
    </cfRule>
  </conditionalFormatting>
  <conditionalFormatting sqref="O27">
    <cfRule type="containsText" dxfId="83" priority="82" operator="containsText" text="B">
      <formula>NOT(ISERROR(SEARCH("B",O27)))</formula>
    </cfRule>
    <cfRule type="containsText" dxfId="82" priority="83" operator="containsText" text="TB">
      <formula>NOT(ISERROR(SEARCH("TB",O27)))</formula>
    </cfRule>
    <cfRule type="containsText" dxfId="81" priority="84" operator="containsText" text="T">
      <formula>NOT(ISERROR(SEARCH("T",O27)))</formula>
    </cfRule>
  </conditionalFormatting>
  <conditionalFormatting sqref="O27">
    <cfRule type="containsText" dxfId="80" priority="81" operator="containsText" text="TB">
      <formula>NOT(ISERROR(SEARCH("TB",O27)))</formula>
    </cfRule>
  </conditionalFormatting>
  <conditionalFormatting sqref="O46">
    <cfRule type="containsText" dxfId="79" priority="78" operator="containsText" text="B">
      <formula>NOT(ISERROR(SEARCH("B",O46)))</formula>
    </cfRule>
    <cfRule type="containsText" dxfId="78" priority="79" operator="containsText" text="TB">
      <formula>NOT(ISERROR(SEARCH("TB",O46)))</formula>
    </cfRule>
    <cfRule type="containsText" dxfId="77" priority="80" operator="containsText" text="T">
      <formula>NOT(ISERROR(SEARCH("T",O46)))</formula>
    </cfRule>
  </conditionalFormatting>
  <conditionalFormatting sqref="O46">
    <cfRule type="containsText" dxfId="76" priority="77" operator="containsText" text="TB">
      <formula>NOT(ISERROR(SEARCH("TB",O46)))</formula>
    </cfRule>
  </conditionalFormatting>
  <conditionalFormatting sqref="O50">
    <cfRule type="containsText" dxfId="75" priority="74" operator="containsText" text="B">
      <formula>NOT(ISERROR(SEARCH("B",O50)))</formula>
    </cfRule>
    <cfRule type="containsText" dxfId="74" priority="75" operator="containsText" text="TB">
      <formula>NOT(ISERROR(SEARCH("TB",O50)))</formula>
    </cfRule>
    <cfRule type="containsText" dxfId="73" priority="76" operator="containsText" text="T">
      <formula>NOT(ISERROR(SEARCH("T",O50)))</formula>
    </cfRule>
  </conditionalFormatting>
  <conditionalFormatting sqref="O50">
    <cfRule type="containsText" dxfId="72" priority="73" operator="containsText" text="TB">
      <formula>NOT(ISERROR(SEARCH("TB",O50)))</formula>
    </cfRule>
  </conditionalFormatting>
  <conditionalFormatting sqref="O53">
    <cfRule type="containsText" dxfId="71" priority="70" operator="containsText" text="B">
      <formula>NOT(ISERROR(SEARCH("B",O53)))</formula>
    </cfRule>
    <cfRule type="containsText" dxfId="70" priority="71" operator="containsText" text="TB">
      <formula>NOT(ISERROR(SEARCH("TB",O53)))</formula>
    </cfRule>
    <cfRule type="containsText" dxfId="69" priority="72" operator="containsText" text="T">
      <formula>NOT(ISERROR(SEARCH("T",O53)))</formula>
    </cfRule>
  </conditionalFormatting>
  <conditionalFormatting sqref="O53">
    <cfRule type="containsText" dxfId="68" priority="69" operator="containsText" text="TB">
      <formula>NOT(ISERROR(SEARCH("TB",O53)))</formula>
    </cfRule>
  </conditionalFormatting>
  <conditionalFormatting sqref="O54">
    <cfRule type="containsText" dxfId="67" priority="66" operator="containsText" text="B">
      <formula>NOT(ISERROR(SEARCH("B",O54)))</formula>
    </cfRule>
    <cfRule type="containsText" dxfId="66" priority="67" operator="containsText" text="TB">
      <formula>NOT(ISERROR(SEARCH("TB",O54)))</formula>
    </cfRule>
    <cfRule type="containsText" dxfId="65" priority="68" operator="containsText" text="T">
      <formula>NOT(ISERROR(SEARCH("T",O54)))</formula>
    </cfRule>
  </conditionalFormatting>
  <conditionalFormatting sqref="O54">
    <cfRule type="containsText" dxfId="64" priority="65" operator="containsText" text="TB">
      <formula>NOT(ISERROR(SEARCH("TB",O54)))</formula>
    </cfRule>
  </conditionalFormatting>
  <conditionalFormatting sqref="O56">
    <cfRule type="containsText" dxfId="63" priority="62" operator="containsText" text="B">
      <formula>NOT(ISERROR(SEARCH("B",O56)))</formula>
    </cfRule>
    <cfRule type="containsText" dxfId="62" priority="63" operator="containsText" text="TB">
      <formula>NOT(ISERROR(SEARCH("TB",O56)))</formula>
    </cfRule>
    <cfRule type="containsText" dxfId="61" priority="64" operator="containsText" text="T">
      <formula>NOT(ISERROR(SEARCH("T",O56)))</formula>
    </cfRule>
  </conditionalFormatting>
  <conditionalFormatting sqref="O56">
    <cfRule type="containsText" dxfId="60" priority="61" operator="containsText" text="TB">
      <formula>NOT(ISERROR(SEARCH("TB",O56)))</formula>
    </cfRule>
  </conditionalFormatting>
  <conditionalFormatting sqref="O57">
    <cfRule type="containsText" dxfId="59" priority="58" operator="containsText" text="B">
      <formula>NOT(ISERROR(SEARCH("B",O57)))</formula>
    </cfRule>
    <cfRule type="containsText" dxfId="58" priority="59" operator="containsText" text="TB">
      <formula>NOT(ISERROR(SEARCH("TB",O57)))</formula>
    </cfRule>
    <cfRule type="containsText" dxfId="57" priority="60" operator="containsText" text="T">
      <formula>NOT(ISERROR(SEARCH("T",O57)))</formula>
    </cfRule>
  </conditionalFormatting>
  <conditionalFormatting sqref="O57">
    <cfRule type="containsText" dxfId="56" priority="57" operator="containsText" text="TB">
      <formula>NOT(ISERROR(SEARCH("TB",O57)))</formula>
    </cfRule>
  </conditionalFormatting>
  <conditionalFormatting sqref="O64">
    <cfRule type="containsText" dxfId="55" priority="54" operator="containsText" text="B">
      <formula>NOT(ISERROR(SEARCH("B",O64)))</formula>
    </cfRule>
    <cfRule type="containsText" dxfId="54" priority="55" operator="containsText" text="TB">
      <formula>NOT(ISERROR(SEARCH("TB",O64)))</formula>
    </cfRule>
    <cfRule type="containsText" dxfId="53" priority="56" operator="containsText" text="T">
      <formula>NOT(ISERROR(SEARCH("T",O64)))</formula>
    </cfRule>
  </conditionalFormatting>
  <conditionalFormatting sqref="O64">
    <cfRule type="containsText" dxfId="52" priority="53" operator="containsText" text="TB">
      <formula>NOT(ISERROR(SEARCH("TB",O64)))</formula>
    </cfRule>
  </conditionalFormatting>
  <conditionalFormatting sqref="O67">
    <cfRule type="containsText" dxfId="51" priority="50" operator="containsText" text="B">
      <formula>NOT(ISERROR(SEARCH("B",O67)))</formula>
    </cfRule>
    <cfRule type="containsText" dxfId="50" priority="51" operator="containsText" text="TB">
      <formula>NOT(ISERROR(SEARCH("TB",O67)))</formula>
    </cfRule>
    <cfRule type="containsText" dxfId="49" priority="52" operator="containsText" text="T">
      <formula>NOT(ISERROR(SEARCH("T",O67)))</formula>
    </cfRule>
  </conditionalFormatting>
  <conditionalFormatting sqref="O67">
    <cfRule type="containsText" dxfId="48" priority="49" operator="containsText" text="TB">
      <formula>NOT(ISERROR(SEARCH("TB",O67)))</formula>
    </cfRule>
  </conditionalFormatting>
  <conditionalFormatting sqref="O33">
    <cfRule type="containsText" dxfId="47" priority="46" operator="containsText" text="B">
      <formula>NOT(ISERROR(SEARCH("B",O33)))</formula>
    </cfRule>
    <cfRule type="containsText" dxfId="46" priority="47" operator="containsText" text="TB">
      <formula>NOT(ISERROR(SEARCH("TB",O33)))</formula>
    </cfRule>
    <cfRule type="containsText" dxfId="45" priority="48" operator="containsText" text="T">
      <formula>NOT(ISERROR(SEARCH("T",O33)))</formula>
    </cfRule>
  </conditionalFormatting>
  <conditionalFormatting sqref="O33">
    <cfRule type="containsText" dxfId="44" priority="45" operator="containsText" text="TB">
      <formula>NOT(ISERROR(SEARCH("TB",O33)))</formula>
    </cfRule>
  </conditionalFormatting>
  <conditionalFormatting sqref="O36">
    <cfRule type="containsText" dxfId="43" priority="42" operator="containsText" text="B">
      <formula>NOT(ISERROR(SEARCH("B",O36)))</formula>
    </cfRule>
    <cfRule type="containsText" dxfId="42" priority="43" operator="containsText" text="TB">
      <formula>NOT(ISERROR(SEARCH("TB",O36)))</formula>
    </cfRule>
    <cfRule type="containsText" dxfId="41" priority="44" operator="containsText" text="T">
      <formula>NOT(ISERROR(SEARCH("T",O36)))</formula>
    </cfRule>
  </conditionalFormatting>
  <conditionalFormatting sqref="O36">
    <cfRule type="containsText" dxfId="40" priority="41" operator="containsText" text="TB">
      <formula>NOT(ISERROR(SEARCH("TB",O36)))</formula>
    </cfRule>
  </conditionalFormatting>
  <conditionalFormatting sqref="O40">
    <cfRule type="containsText" dxfId="39" priority="38" operator="containsText" text="B">
      <formula>NOT(ISERROR(SEARCH("B",O40)))</formula>
    </cfRule>
    <cfRule type="containsText" dxfId="38" priority="39" operator="containsText" text="TB">
      <formula>NOT(ISERROR(SEARCH("TB",O40)))</formula>
    </cfRule>
    <cfRule type="containsText" dxfId="37" priority="40" operator="containsText" text="T">
      <formula>NOT(ISERROR(SEARCH("T",O40)))</formula>
    </cfRule>
  </conditionalFormatting>
  <conditionalFormatting sqref="O40">
    <cfRule type="containsText" dxfId="36" priority="37" operator="containsText" text="TB">
      <formula>NOT(ISERROR(SEARCH("TB",O40)))</formula>
    </cfRule>
  </conditionalFormatting>
  <conditionalFormatting sqref="O42">
    <cfRule type="containsText" dxfId="35" priority="34" operator="containsText" text="B">
      <formula>NOT(ISERROR(SEARCH("B",O42)))</formula>
    </cfRule>
    <cfRule type="containsText" dxfId="34" priority="35" operator="containsText" text="TB">
      <formula>NOT(ISERROR(SEARCH("TB",O42)))</formula>
    </cfRule>
    <cfRule type="containsText" dxfId="33" priority="36" operator="containsText" text="T">
      <formula>NOT(ISERROR(SEARCH("T",O42)))</formula>
    </cfRule>
  </conditionalFormatting>
  <conditionalFormatting sqref="O42">
    <cfRule type="containsText" dxfId="32" priority="33" operator="containsText" text="TB">
      <formula>NOT(ISERROR(SEARCH("TB",O42)))</formula>
    </cfRule>
  </conditionalFormatting>
  <conditionalFormatting sqref="O44">
    <cfRule type="containsText" dxfId="31" priority="30" operator="containsText" text="B">
      <formula>NOT(ISERROR(SEARCH("B",O44)))</formula>
    </cfRule>
    <cfRule type="containsText" dxfId="30" priority="31" operator="containsText" text="TB">
      <formula>NOT(ISERROR(SEARCH("TB",O44)))</formula>
    </cfRule>
    <cfRule type="containsText" dxfId="29" priority="32" operator="containsText" text="T">
      <formula>NOT(ISERROR(SEARCH("T",O44)))</formula>
    </cfRule>
  </conditionalFormatting>
  <conditionalFormatting sqref="O44">
    <cfRule type="containsText" dxfId="28" priority="29" operator="containsText" text="TB">
      <formula>NOT(ISERROR(SEARCH("TB",O44)))</formula>
    </cfRule>
  </conditionalFormatting>
  <conditionalFormatting sqref="P12">
    <cfRule type="containsText" dxfId="27" priority="26" operator="containsText" text="B">
      <formula>NOT(ISERROR(SEARCH("B",P12)))</formula>
    </cfRule>
    <cfRule type="containsText" dxfId="26" priority="27" operator="containsText" text="TB">
      <formula>NOT(ISERROR(SEARCH("TB",P12)))</formula>
    </cfRule>
    <cfRule type="containsText" dxfId="25" priority="28" operator="containsText" text="T">
      <formula>NOT(ISERROR(SEARCH("T",P12)))</formula>
    </cfRule>
  </conditionalFormatting>
  <conditionalFormatting sqref="P12">
    <cfRule type="containsText" dxfId="24" priority="25" operator="containsText" text="TB">
      <formula>NOT(ISERROR(SEARCH("TB",P12)))</formula>
    </cfRule>
  </conditionalFormatting>
  <conditionalFormatting sqref="P64">
    <cfRule type="containsText" dxfId="23" priority="22" operator="containsText" text="B">
      <formula>NOT(ISERROR(SEARCH("B",P64)))</formula>
    </cfRule>
    <cfRule type="containsText" dxfId="22" priority="23" operator="containsText" text="TB">
      <formula>NOT(ISERROR(SEARCH("TB",P64)))</formula>
    </cfRule>
    <cfRule type="containsText" dxfId="21" priority="24" operator="containsText" text="T">
      <formula>NOT(ISERROR(SEARCH("T",P64)))</formula>
    </cfRule>
  </conditionalFormatting>
  <conditionalFormatting sqref="P64">
    <cfRule type="containsText" dxfId="20" priority="21" operator="containsText" text="TB">
      <formula>NOT(ISERROR(SEARCH("TB",P64)))</formula>
    </cfRule>
  </conditionalFormatting>
  <conditionalFormatting sqref="L85 L88:L89">
    <cfRule type="containsText" dxfId="19" priority="18" operator="containsText" text="B">
      <formula>NOT(ISERROR(SEARCH("B",L85)))</formula>
    </cfRule>
    <cfRule type="containsText" dxfId="18" priority="19" operator="containsText" text="TB">
      <formula>NOT(ISERROR(SEARCH("TB",L85)))</formula>
    </cfRule>
    <cfRule type="containsText" dxfId="17" priority="20" operator="containsText" text="T">
      <formula>NOT(ISERROR(SEARCH("T",L85)))</formula>
    </cfRule>
  </conditionalFormatting>
  <conditionalFormatting sqref="L85 L88:L89">
    <cfRule type="containsText" dxfId="16" priority="17" operator="containsText" text="TB">
      <formula>NOT(ISERROR(SEARCH("TB",L85)))</formula>
    </cfRule>
  </conditionalFormatting>
  <conditionalFormatting sqref="L86:L87">
    <cfRule type="containsText" dxfId="15" priority="14" operator="containsText" text="B">
      <formula>NOT(ISERROR(SEARCH("B",L86)))</formula>
    </cfRule>
    <cfRule type="containsText" dxfId="14" priority="15" operator="containsText" text="TB">
      <formula>NOT(ISERROR(SEARCH("TB",L86)))</formula>
    </cfRule>
    <cfRule type="containsText" dxfId="13" priority="16" operator="containsText" text="T">
      <formula>NOT(ISERROR(SEARCH("T",L86)))</formula>
    </cfRule>
  </conditionalFormatting>
  <conditionalFormatting sqref="L86:L87">
    <cfRule type="containsText" dxfId="12" priority="13" operator="containsText" text="TB">
      <formula>NOT(ISERROR(SEARCH("TB",L86)))</formula>
    </cfRule>
  </conditionalFormatting>
  <conditionalFormatting sqref="AC7 AC10 AC105:AC117 AC17 AC21 AC24 AC15 AC19 AC26:AC103">
    <cfRule type="containsText" dxfId="11" priority="10" operator="containsText" text="B">
      <formula>NOT(ISERROR(SEARCH("B",AC7)))</formula>
    </cfRule>
    <cfRule type="containsText" dxfId="10" priority="11" operator="containsText" text="TB">
      <formula>NOT(ISERROR(SEARCH("TB",AC7)))</formula>
    </cfRule>
    <cfRule type="containsText" dxfId="9" priority="12" operator="containsText" text="T">
      <formula>NOT(ISERROR(SEARCH("T",AC7)))</formula>
    </cfRule>
  </conditionalFormatting>
  <conditionalFormatting sqref="AC7 AC10 AC105:AC117 AC17 AC21 AC24 AC15 AC19 AC26:AC103">
    <cfRule type="containsText" dxfId="8" priority="9" operator="containsText" text="TB">
      <formula>NOT(ISERROR(SEARCH("TB",AC7)))</formula>
    </cfRule>
  </conditionalFormatting>
  <conditionalFormatting sqref="AC20 AC25 AC8:AC9 AC11:AC14 AC16 AC18 AC22:AC23">
    <cfRule type="containsText" dxfId="7" priority="6" operator="containsText" text="B">
      <formula>NOT(ISERROR(SEARCH("B",AC8)))</formula>
    </cfRule>
    <cfRule type="containsText" dxfId="6" priority="7" operator="containsText" text="TB">
      <formula>NOT(ISERROR(SEARCH("TB",AC8)))</formula>
    </cfRule>
    <cfRule type="containsText" dxfId="5" priority="8" operator="containsText" text="T">
      <formula>NOT(ISERROR(SEARCH("T",AC8)))</formula>
    </cfRule>
  </conditionalFormatting>
  <conditionalFormatting sqref="AC20 AC25 AC8:AC9 AC11:AC14 AC16 AC18 AC22:AC23">
    <cfRule type="containsText" dxfId="4" priority="5" operator="containsText" text="TB">
      <formula>NOT(ISERROR(SEARCH("TB",AC8)))</formula>
    </cfRule>
  </conditionalFormatting>
  <conditionalFormatting sqref="AC104">
    <cfRule type="containsText" dxfId="3" priority="2" operator="containsText" text="B">
      <formula>NOT(ISERROR(SEARCH("B",AC104)))</formula>
    </cfRule>
    <cfRule type="containsText" dxfId="2" priority="3" operator="containsText" text="TB">
      <formula>NOT(ISERROR(SEARCH("TB",AC104)))</formula>
    </cfRule>
    <cfRule type="containsText" dxfId="1" priority="4" operator="containsText" text="T">
      <formula>NOT(ISERROR(SEARCH("T",AC104)))</formula>
    </cfRule>
  </conditionalFormatting>
  <conditionalFormatting sqref="AC104">
    <cfRule type="containsText" dxfId="0" priority="1" operator="containsText" text="TB">
      <formula>NOT(ISERROR(SEARCH("TB",AC104)))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April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Ariyani A.</dc:creator>
  <cp:lastModifiedBy>Ariyani A.</cp:lastModifiedBy>
  <dcterms:created xsi:type="dcterms:W3CDTF">2026-05-05T08:13:45Z</dcterms:created>
  <dcterms:modified xsi:type="dcterms:W3CDTF">2026-05-05T08:27:12Z</dcterms:modified>
</cp:coreProperties>
</file>