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7245"/>
  </bookViews>
  <sheets>
    <sheet name="Lampiran" sheetId="1" r:id="rId1"/>
    <sheet name="Maret" sheetId="4" r:id="rId2"/>
    <sheet name="Sheet2" sheetId="2" r:id="rId3"/>
    <sheet name="Sheet3" sheetId="3" r:id="rId4"/>
  </sheets>
  <definedNames>
    <definedName name="_xlnm._FilterDatabase" localSheetId="1" hidden="1">Maret!$A$1:$AG$122</definedName>
  </definedNames>
  <calcPr calcId="145621"/>
</workbook>
</file>

<file path=xl/calcChain.xml><?xml version="1.0" encoding="utf-8"?>
<calcChain xmlns="http://schemas.openxmlformats.org/spreadsheetml/2006/main">
  <c r="AG238" i="4" l="1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J22" i="4"/>
  <c r="AI22" i="4"/>
  <c r="AH22" i="4"/>
  <c r="AJ8" i="4"/>
  <c r="AI8" i="4"/>
  <c r="AI11" i="4" s="1"/>
  <c r="AH13" i="4" s="1"/>
  <c r="AH8" i="4"/>
  <c r="AH11" i="4" s="1"/>
  <c r="G33" i="1"/>
  <c r="G32" i="1"/>
  <c r="G31" i="1"/>
  <c r="F31" i="1"/>
  <c r="F32" i="1" s="1"/>
  <c r="F33" i="1" s="1"/>
  <c r="E31" i="1"/>
  <c r="E32" i="1" s="1"/>
  <c r="H23" i="1"/>
  <c r="F23" i="1"/>
  <c r="E23" i="1"/>
  <c r="D23" i="1"/>
  <c r="H22" i="1"/>
  <c r="F22" i="1"/>
  <c r="E22" i="1"/>
  <c r="D22" i="1"/>
  <c r="I21" i="1"/>
  <c r="I23" i="1" s="1"/>
  <c r="G21" i="1"/>
  <c r="G22" i="1" s="1"/>
  <c r="I19" i="1"/>
  <c r="H19" i="1"/>
  <c r="G19" i="1"/>
  <c r="F19" i="1"/>
  <c r="E19" i="1"/>
  <c r="D19" i="1"/>
  <c r="I18" i="1"/>
  <c r="G18" i="1"/>
  <c r="F18" i="1"/>
  <c r="E18" i="1"/>
  <c r="D18" i="1"/>
  <c r="I15" i="1"/>
  <c r="H15" i="1"/>
  <c r="G15" i="1"/>
  <c r="F15" i="1"/>
  <c r="E15" i="1"/>
  <c r="D15" i="1"/>
  <c r="H14" i="1"/>
  <c r="G14" i="1"/>
  <c r="F14" i="1"/>
  <c r="E14" i="1"/>
  <c r="E6" i="1"/>
  <c r="E7" i="1"/>
  <c r="C7" i="1"/>
  <c r="J7" i="1" s="1"/>
  <c r="J6" i="1"/>
  <c r="G6" i="1"/>
  <c r="C6" i="1"/>
  <c r="L6" i="1" s="1"/>
  <c r="J5" i="1"/>
  <c r="G5" i="1"/>
  <c r="E5" i="1" s="1"/>
  <c r="C5" i="1"/>
  <c r="L5" i="1" s="1"/>
  <c r="E33" i="1" l="1"/>
  <c r="D33" i="1" s="1"/>
  <c r="D32" i="1"/>
  <c r="D31" i="1"/>
  <c r="I22" i="1"/>
  <c r="G23" i="1"/>
  <c r="L7" i="1"/>
  <c r="G7" i="1"/>
</calcChain>
</file>

<file path=xl/sharedStrings.xml><?xml version="1.0" encoding="utf-8"?>
<sst xmlns="http://schemas.openxmlformats.org/spreadsheetml/2006/main" count="457" uniqueCount="146">
  <si>
    <t>TC : HENDRA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</si>
  <si>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</si>
  <si>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</si>
  <si>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</si>
  <si>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</si>
  <si>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</si>
  <si>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</si>
  <si>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</si>
  <si>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</si>
  <si>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</si>
  <si>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</si>
  <si>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</si>
  <si>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</si>
  <si>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</si>
  <si>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</si>
  <si>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</si>
  <si>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</si>
  <si>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</si>
  <si>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</si>
  <si>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</si>
  <si>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</si>
  <si>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</si>
  <si>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</si>
  <si>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</si>
  <si>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</si>
  <si>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MAR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</si>
  <si>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</si>
  <si>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</si>
  <si>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</si>
  <si>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</si>
  <si>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</si>
  <si>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</si>
  <si>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</si>
  <si>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</si>
  <si>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</si>
  <si>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</si>
  <si>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TC : Hendra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</si>
  <si>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</si>
  <si>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</si>
  <si>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</si>
  <si>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</si>
  <si>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</si>
  <si>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</si>
  <si>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</si>
  <si>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</si>
  <si>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</si>
  <si>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</si>
  <si>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</si>
  <si>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44 M</t>
  </si>
  <si>
    <t>KALENDER PENAGIHAN TEAM COLLECTION</t>
  </si>
  <si>
    <t>BULAN MARET 2026</t>
  </si>
  <si>
    <t xml:space="preserve"> </t>
  </si>
  <si>
    <t>Nama TC</t>
  </si>
  <si>
    <t>:</t>
  </si>
  <si>
    <t>Wilayah</t>
  </si>
  <si>
    <t>Luar Pulau, Jabar Jateng, Jatim Barat</t>
  </si>
  <si>
    <t>Posisi Over Due</t>
  </si>
  <si>
    <t>30 &gt;</t>
  </si>
  <si>
    <t>No</t>
  </si>
  <si>
    <t>Nama Kios</t>
  </si>
  <si>
    <t>Agri Bina Cipta, CV</t>
  </si>
  <si>
    <t>B</t>
  </si>
  <si>
    <t>T</t>
  </si>
  <si>
    <t>TB</t>
  </si>
  <si>
    <t>Alam Tani</t>
  </si>
  <si>
    <t>Alaska Prima Perkasa, CV</t>
  </si>
  <si>
    <t>Baru Bersinar, UD</t>
  </si>
  <si>
    <t>Berkah Abadi Tani/Widodo</t>
  </si>
  <si>
    <t>Berkah Abadi Tani/Widodo (Benih+Pupuk)</t>
  </si>
  <si>
    <t>Bintang Sejahtera/Aprianto</t>
  </si>
  <si>
    <t>Cahaya Tani, CV/Nurrohman</t>
  </si>
  <si>
    <t>Cipta Jaya Multifarm</t>
  </si>
  <si>
    <t>CV. Surya Agro Pradhana</t>
  </si>
  <si>
    <t>Deli Agro Star, CV</t>
  </si>
  <si>
    <t>Hadi Putra, UD</t>
  </si>
  <si>
    <t>Harapan Agro Tani, PT</t>
  </si>
  <si>
    <t>Hermada Utama, Toko</t>
  </si>
  <si>
    <t>Hidayat Tani, UD</t>
  </si>
  <si>
    <t>Ilham Tani/Ilham</t>
  </si>
  <si>
    <t>Ilham, UD/Ridha</t>
  </si>
  <si>
    <t>Ingin Maju, UD</t>
  </si>
  <si>
    <t>Jaya Makmur, UD/Suguanto Winarko (Jagung)</t>
  </si>
  <si>
    <t>Jaya Tani Makmur, CV</t>
  </si>
  <si>
    <t>Karisma Bumi Indah/Fedo</t>
  </si>
  <si>
    <t>Karisma Eka Putra, PT</t>
  </si>
  <si>
    <t>Karya Tani/Hariman</t>
  </si>
  <si>
    <t>Lintang Jaya Tani</t>
  </si>
  <si>
    <t>Mekar Tani/Muhlis</t>
  </si>
  <si>
    <t>Mitra Borneo Agrindo, PT</t>
  </si>
  <si>
    <t>Nuansa Tani</t>
  </si>
  <si>
    <t>Paten, UD/Herisen</t>
  </si>
  <si>
    <t>Pelita Tani, CV/Budi</t>
  </si>
  <si>
    <t>Pesona Tani</t>
  </si>
  <si>
    <t>Primus Tani, UD</t>
  </si>
  <si>
    <t>Purnama, Toko/Haris</t>
  </si>
  <si>
    <t>Rejeki Tani, UD/Christina</t>
  </si>
  <si>
    <t>Rekan Tani Indonesia, CV</t>
  </si>
  <si>
    <t>Rizki Tani/Ratna</t>
  </si>
  <si>
    <t>Sahabat Tani/Suherman</t>
  </si>
  <si>
    <t>Sederhana Tani</t>
  </si>
  <si>
    <t>Tani Beru/Alberto Jemmy Limonta</t>
  </si>
  <si>
    <t>Subur Makmur, UD</t>
  </si>
  <si>
    <t>Tani Illahi/Nunung</t>
  </si>
  <si>
    <t>Tani Sejati/Ivan</t>
  </si>
  <si>
    <t>Teguh Satyakarsa, PT</t>
  </si>
  <si>
    <t>Tricu Jaya, UD</t>
  </si>
  <si>
    <t>Yakob/Karisma</t>
  </si>
  <si>
    <t>Mega Agro</t>
  </si>
  <si>
    <t>Sentra Agronusa Bakti</t>
  </si>
  <si>
    <t>TOTAL</t>
  </si>
  <si>
    <t>Tagih Langsung Bayar</t>
  </si>
  <si>
    <t>Tagih</t>
  </si>
  <si>
    <t>Bayar</t>
  </si>
  <si>
    <t>Luar Pulau, Jabar Jateng , Jatim Barat</t>
  </si>
  <si>
    <t>&lt; 30</t>
  </si>
  <si>
    <t>Subur Tani Agro Raya Sejahtera, CV</t>
  </si>
  <si>
    <t>Herry Djuwarsa</t>
  </si>
  <si>
    <t>Aneka Tani/Efendi</t>
  </si>
  <si>
    <t>Purbaya</t>
  </si>
  <si>
    <t>Tani Sejati/Johny</t>
  </si>
  <si>
    <t>Herry Djuwarsa/Deka Agro</t>
  </si>
  <si>
    <t>Budi Berkah/H. Syahran</t>
  </si>
  <si>
    <t>Paisal Rizal</t>
  </si>
  <si>
    <t>Fajar Tetap Jaya</t>
  </si>
  <si>
    <t>Jaya Ponti/Johanes</t>
  </si>
  <si>
    <t>Aqin Tani, UD</t>
  </si>
  <si>
    <t>Laju Tani, Toko</t>
  </si>
  <si>
    <t>Sumber Makmur/Henry</t>
  </si>
  <si>
    <t>Sumber Tani/Roy</t>
  </si>
  <si>
    <t>Maryono</t>
  </si>
  <si>
    <t>Feryan Tantoni</t>
  </si>
  <si>
    <t>Anda/Darwin</t>
  </si>
  <si>
    <t>Aneka Tani/ Sriyani</t>
  </si>
  <si>
    <t>Diana, UD</t>
  </si>
  <si>
    <t>Ikhlas Tani, UD</t>
  </si>
  <si>
    <t>Subkhi Tani/Irwan</t>
  </si>
  <si>
    <t>Bagus Rizki, UD</t>
  </si>
  <si>
    <t>Rose, UD</t>
  </si>
  <si>
    <t>Baba, UD/Suherman</t>
  </si>
  <si>
    <t>Guna Adi Tani</t>
  </si>
  <si>
    <t>Permata Agro Kencana</t>
  </si>
  <si>
    <t>Tani Sumber Makmur/Maskur</t>
  </si>
  <si>
    <t>Wahyu Makmur</t>
  </si>
  <si>
    <t>Rizal Tjowasi</t>
  </si>
  <si>
    <t>Rizal Tjowasi/Tobelo</t>
  </si>
  <si>
    <t>Total Tagihan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</si>
</sst>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10"/>
      <name val="Arial"/>
      <family val="2"/>
    </font>
    <font>
      <sz val="8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/>
    <xf numFmtId="0" fontId="24" fillId="0" borderId="0">
      <alignment horizontal="left" vertical="top"/>
    </xf>
  </cellStyleXfs>
  <cellXfs count="9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5" fillId="16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164" fontId="10" fillId="0" borderId="1" xfId="3" applyFont="1" applyFill="1" applyBorder="1" applyAlignment="1">
      <alignment vertical="center"/>
    </xf>
    <xf numFmtId="10" fontId="10" fillId="0" borderId="1" xfId="3" applyNumberFormat="1" applyFont="1" applyFill="1" applyBorder="1" applyAlignment="1">
      <alignment horizontal="center" vertical="center"/>
    </xf>
    <xf numFmtId="10" fontId="10" fillId="18" borderId="1" xfId="3" applyNumberFormat="1" applyFont="1" applyFill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9" fontId="11" fillId="19" borderId="1" xfId="2" applyFont="1" applyFill="1" applyBorder="1" applyAlignment="1">
      <alignment horizontal="center" vertical="center"/>
    </xf>
    <xf numFmtId="10" fontId="10" fillId="18" borderId="1" xfId="2" applyNumberFormat="1" applyFont="1" applyFill="1" applyBorder="1" applyAlignment="1">
      <alignment horizontal="center" vertical="center"/>
    </xf>
    <xf numFmtId="0" fontId="10" fillId="12" borderId="1" xfId="2" applyNumberFormat="1" applyFont="1" applyFill="1" applyBorder="1" applyAlignment="1">
      <alignment horizontal="center" vertical="center"/>
    </xf>
    <xf numFmtId="0" fontId="10" fillId="0" borderId="1" xfId="2" applyNumberFormat="1" applyFont="1" applyFill="1" applyBorder="1" applyAlignment="1">
      <alignment horizontal="center" vertical="center"/>
    </xf>
    <xf numFmtId="9" fontId="10" fillId="18" borderId="1" xfId="2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21" borderId="2" xfId="0" applyFont="1" applyFill="1" applyBorder="1" applyAlignment="1">
      <alignment horizontal="center"/>
    </xf>
    <xf numFmtId="10" fontId="3" fillId="8" borderId="2" xfId="4" applyNumberFormat="1" applyFont="1" applyFill="1" applyBorder="1" applyAlignment="1">
      <alignment horizontal="center"/>
    </xf>
    <xf numFmtId="0" fontId="12" fillId="21" borderId="2" xfId="0" applyFont="1" applyFill="1" applyBorder="1" applyAlignment="1">
      <alignment horizontal="center"/>
    </xf>
    <xf numFmtId="10" fontId="12" fillId="9" borderId="2" xfId="4" applyNumberFormat="1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165" fontId="16" fillId="18" borderId="5" xfId="0" applyNumberFormat="1" applyFont="1" applyFill="1" applyBorder="1" applyAlignment="1">
      <alignment horizontal="center" vertical="center"/>
    </xf>
    <xf numFmtId="165" fontId="16" fillId="18" borderId="6" xfId="0" applyNumberFormat="1" applyFont="1" applyFill="1" applyBorder="1" applyAlignment="1">
      <alignment horizontal="center" vertical="center"/>
    </xf>
    <xf numFmtId="165" fontId="16" fillId="18" borderId="7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 vertical="center"/>
    </xf>
    <xf numFmtId="0" fontId="15" fillId="18" borderId="7" xfId="0" applyFont="1" applyFill="1" applyBorder="1" applyAlignment="1">
      <alignment horizontal="center" vertical="center"/>
    </xf>
    <xf numFmtId="165" fontId="15" fillId="18" borderId="1" xfId="0" applyNumberFormat="1" applyFont="1" applyFill="1" applyBorder="1" applyAlignment="1">
      <alignment horizontal="center" vertical="center"/>
    </xf>
    <xf numFmtId="165" fontId="16" fillId="23" borderId="5" xfId="0" applyNumberFormat="1" applyFont="1" applyFill="1" applyBorder="1" applyAlignment="1">
      <alignment horizontal="center" vertical="center"/>
    </xf>
    <xf numFmtId="165" fontId="16" fillId="23" borderId="6" xfId="0" applyNumberFormat="1" applyFont="1" applyFill="1" applyBorder="1" applyAlignment="1">
      <alignment horizontal="center" vertical="center"/>
    </xf>
    <xf numFmtId="165" fontId="16" fillId="23" borderId="7" xfId="0" applyNumberFormat="1" applyFont="1" applyFill="1" applyBorder="1" applyAlignment="1">
      <alignment horizontal="center" vertical="center"/>
    </xf>
    <xf numFmtId="165" fontId="16" fillId="4" borderId="5" xfId="0" applyNumberFormat="1" applyFont="1" applyFill="1" applyBorder="1" applyAlignment="1">
      <alignment horizontal="center" vertical="center"/>
    </xf>
    <xf numFmtId="165" fontId="16" fillId="4" borderId="6" xfId="0" applyNumberFormat="1" applyFont="1" applyFill="1" applyBorder="1" applyAlignment="1">
      <alignment horizontal="center" vertical="center"/>
    </xf>
    <xf numFmtId="165" fontId="16" fillId="4" borderId="7" xfId="0" applyNumberFormat="1" applyFont="1" applyFill="1" applyBorder="1" applyAlignment="1">
      <alignment horizontal="center" vertical="center"/>
    </xf>
    <xf numFmtId="165" fontId="16" fillId="24" borderId="5" xfId="0" applyNumberFormat="1" applyFont="1" applyFill="1" applyBorder="1" applyAlignment="1">
      <alignment horizontal="center" vertical="center"/>
    </xf>
    <xf numFmtId="165" fontId="16" fillId="24" borderId="7" xfId="0" applyNumberFormat="1" applyFont="1" applyFill="1" applyBorder="1" applyAlignment="1">
      <alignment horizontal="center" vertical="center"/>
    </xf>
    <xf numFmtId="165" fontId="16" fillId="25" borderId="1" xfId="0" applyNumberFormat="1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center" vertical="center"/>
    </xf>
    <xf numFmtId="165" fontId="16" fillId="11" borderId="1" xfId="0" applyNumberFormat="1" applyFont="1" applyFill="1" applyBorder="1" applyAlignment="1">
      <alignment horizontal="center" vertical="center"/>
    </xf>
    <xf numFmtId="165" fontId="16" fillId="10" borderId="1" xfId="0" applyNumberFormat="1" applyFont="1" applyFill="1" applyBorder="1" applyAlignment="1">
      <alignment horizontal="center" vertical="center"/>
    </xf>
    <xf numFmtId="165" fontId="16" fillId="27" borderId="1" xfId="0" applyNumberFormat="1" applyFont="1" applyFill="1" applyBorder="1" applyAlignment="1">
      <alignment horizontal="center" vertical="center" wrapText="1"/>
    </xf>
    <xf numFmtId="165" fontId="16" fillId="27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indent="1"/>
    </xf>
    <xf numFmtId="10" fontId="16" fillId="0" borderId="1" xfId="2" applyNumberFormat="1" applyFont="1" applyFill="1" applyBorder="1" applyAlignment="1">
      <alignment horizontal="center" vertical="center"/>
    </xf>
    <xf numFmtId="164" fontId="16" fillId="0" borderId="1" xfId="3" applyFont="1" applyFill="1" applyBorder="1" applyAlignment="1">
      <alignment vertical="center"/>
    </xf>
    <xf numFmtId="10" fontId="16" fillId="0" borderId="8" xfId="4" applyNumberFormat="1" applyFont="1" applyFill="1" applyBorder="1" applyAlignment="1">
      <alignment horizontal="center" vertical="center"/>
    </xf>
    <xf numFmtId="164" fontId="16" fillId="0" borderId="8" xfId="3" applyFont="1" applyFill="1" applyBorder="1" applyAlignment="1">
      <alignment horizontal="center" vertical="center"/>
    </xf>
    <xf numFmtId="164" fontId="16" fillId="0" borderId="8" xfId="3" applyFont="1" applyFill="1" applyBorder="1" applyAlignment="1">
      <alignment vertical="center"/>
    </xf>
    <xf numFmtId="0" fontId="16" fillId="0" borderId="8" xfId="3" applyNumberFormat="1" applyFont="1" applyFill="1" applyBorder="1" applyAlignment="1">
      <alignment horizontal="center" vertical="center"/>
    </xf>
    <xf numFmtId="41" fontId="16" fillId="0" borderId="8" xfId="1" applyFont="1" applyFill="1" applyBorder="1" applyAlignment="1">
      <alignment horizontal="center" vertical="center"/>
    </xf>
    <xf numFmtId="10" fontId="16" fillId="18" borderId="1" xfId="2" applyNumberFormat="1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 vertical="center"/>
    </xf>
    <xf numFmtId="0" fontId="0" fillId="28" borderId="0" xfId="0" applyFill="1"/>
    <xf numFmtId="0" fontId="18" fillId="28" borderId="0" xfId="0" applyFont="1" applyFill="1" applyAlignment="1">
      <alignment horizontal="center" vertical="center"/>
    </xf>
    <xf numFmtId="0" fontId="19" fillId="28" borderId="0" xfId="0" applyFont="1" applyFill="1"/>
    <xf numFmtId="0" fontId="20" fillId="28" borderId="0" xfId="0" applyFont="1" applyFill="1" applyAlignment="1">
      <alignment vertical="center"/>
    </xf>
    <xf numFmtId="0" fontId="20" fillId="28" borderId="0" xfId="0" applyFont="1" applyFill="1"/>
    <xf numFmtId="0" fontId="21" fillId="0" borderId="2" xfId="0" applyFont="1" applyFill="1" applyBorder="1" applyAlignment="1">
      <alignment horizontal="center" vertical="center" wrapText="1"/>
    </xf>
    <xf numFmtId="0" fontId="21" fillId="19" borderId="2" xfId="0" applyFont="1" applyFill="1" applyBorder="1" applyAlignment="1">
      <alignment horizontal="center" vertical="center" wrapText="1"/>
    </xf>
    <xf numFmtId="0" fontId="19" fillId="0" borderId="0" xfId="0" applyFont="1"/>
    <xf numFmtId="0" fontId="22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28" borderId="2" xfId="0" applyFont="1" applyFill="1" applyBorder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28" borderId="0" xfId="0" applyFont="1" applyFill="1" applyAlignment="1">
      <alignment horizontal="center" vertical="center"/>
    </xf>
    <xf numFmtId="9" fontId="19" fillId="28" borderId="0" xfId="2" applyFont="1" applyFill="1" applyAlignment="1">
      <alignment horizontal="center" vertical="center"/>
    </xf>
    <xf numFmtId="0" fontId="21" fillId="29" borderId="2" xfId="0" applyFont="1" applyFill="1" applyBorder="1" applyAlignment="1">
      <alignment horizontal="center" vertical="center"/>
    </xf>
    <xf numFmtId="0" fontId="21" fillId="29" borderId="2" xfId="0" applyFont="1" applyFill="1" applyBorder="1" applyAlignment="1">
      <alignment vertical="center"/>
    </xf>
    <xf numFmtId="0" fontId="22" fillId="28" borderId="0" xfId="0" applyFont="1" applyFill="1" applyBorder="1" applyAlignment="1">
      <alignment vertical="center"/>
    </xf>
    <xf numFmtId="0" fontId="0" fillId="0" borderId="2" xfId="0" applyFont="1" applyBorder="1"/>
    <xf numFmtId="0" fontId="21" fillId="0" borderId="2" xfId="0" applyFont="1" applyFill="1" applyBorder="1" applyAlignment="1">
      <alignment vertical="center"/>
    </xf>
  </cellXfs>
  <cellStyles count="7">
    <cellStyle name="Comma [0]" xfId="1" builtinId="6"/>
    <cellStyle name="Comma 10 2" xfId="3"/>
    <cellStyle name="Normal" xfId="0" builtinId="0"/>
    <cellStyle name="Normal 2 2 2" xfId="5"/>
    <cellStyle name="Percent" xfId="2" builtinId="5"/>
    <cellStyle name="Percent 4" xfId="4"/>
    <cellStyle name="S0" xfId="6"/>
  </cellStyles>
  <dxfs count="1253"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23287</xdr:colOff>
      <xdr:row>2</xdr:row>
      <xdr:rowOff>23284</xdr:rowOff>
    </xdr:from>
    <xdr:to>
      <xdr:col>1</xdr:col>
      <xdr:colOff>351371</xdr:colOff>
      <xdr:row>2</xdr:row>
      <xdr:rowOff>309034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>
        <a:xfrm>
          <a:off x="80437" y="11253259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6</a:t>
          </a:r>
        </a:p>
      </xdr:txBody>
    </xdr:sp>
    <xdr:clientData/>
  </xdr:twoCellAnchor>
  <xdr:twoCellAnchor>
    <xdr:from>
      <xdr:col>1</xdr:col>
      <xdr:colOff>9525</xdr:colOff>
      <xdr:row>26</xdr:row>
      <xdr:rowOff>28575</xdr:rowOff>
    </xdr:from>
    <xdr:to>
      <xdr:col>1</xdr:col>
      <xdr:colOff>337609</xdr:colOff>
      <xdr:row>27</xdr:row>
      <xdr:rowOff>123825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>
        <a:xfrm>
          <a:off x="180975" y="90392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33"/>
  <sheetViews>
    <sheetView tabSelected="1" workbookViewId="0">
      <selection activeCell="B36" sqref="B36"/>
    </sheetView>
  </sheetViews>
  <sheetFormatPr defaultRowHeight="15"/>
  <cols>
    <col min="3" max="3" width="10" bestFit="1" customWidth="1"/>
    <col min="5" max="5" width="9.85546875" bestFit="1" customWidth="1"/>
    <col min="6" max="6" width="10" bestFit="1" customWidth="1"/>
    <col min="13" max="13" width="17.42578125" bestFit="1" customWidth="1"/>
  </cols>
  <sheetData>
    <row r="3" spans="2:21" ht="25.5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1</v>
      </c>
      <c r="N3" s="3" t="s">
        <v>2</v>
      </c>
      <c r="O3" s="4" t="s">
        <v>3</v>
      </c>
      <c r="P3" s="2" t="s">
        <v>4</v>
      </c>
      <c r="Q3" s="2" t="s">
        <v>4</v>
      </c>
      <c r="R3" s="5" t="s">
        <v>5</v>
      </c>
      <c r="S3" s="5"/>
      <c r="T3" s="5"/>
      <c r="U3" s="4" t="s">
        <v>4</v>
      </c>
    </row>
    <row r="4" spans="2:21" ht="36">
      <c r="B4" s="6" t="s">
        <v>6</v>
      </c>
      <c r="C4" s="7" t="s">
        <v>7</v>
      </c>
      <c r="D4" s="8" t="s">
        <v>8</v>
      </c>
      <c r="E4" s="9" t="s">
        <v>9</v>
      </c>
      <c r="F4" s="10" t="s">
        <v>10</v>
      </c>
      <c r="G4" s="10"/>
      <c r="H4" s="11" t="s">
        <v>11</v>
      </c>
      <c r="I4" s="12" t="s">
        <v>12</v>
      </c>
      <c r="J4" s="13" t="s">
        <v>13</v>
      </c>
      <c r="K4" s="14" t="s">
        <v>14</v>
      </c>
      <c r="L4" s="14"/>
      <c r="M4" s="15" t="s">
        <v>15</v>
      </c>
      <c r="N4" s="16" t="s">
        <v>16</v>
      </c>
      <c r="O4" s="17" t="s">
        <v>17</v>
      </c>
      <c r="P4" s="15" t="s">
        <v>18</v>
      </c>
      <c r="Q4" s="15" t="s">
        <v>19</v>
      </c>
      <c r="R4" s="18" t="s">
        <v>20</v>
      </c>
      <c r="S4" s="18" t="s">
        <v>21</v>
      </c>
      <c r="T4" s="18" t="s">
        <v>2</v>
      </c>
      <c r="U4" s="17" t="s">
        <v>22</v>
      </c>
    </row>
    <row r="5" spans="2:21">
      <c r="B5" s="19" t="s">
        <v>23</v>
      </c>
      <c r="C5" s="20">
        <f>+F5+H5+I5+K5</f>
        <v>52294.618220000033</v>
      </c>
      <c r="D5" s="21">
        <v>0.94</v>
      </c>
      <c r="E5" s="22">
        <f>+G5</f>
        <v>0.97801190755112466</v>
      </c>
      <c r="F5" s="20">
        <v>51144.759320000034</v>
      </c>
      <c r="G5" s="23">
        <f t="shared" ref="G5:G7" si="0">+F5/C5</f>
        <v>0.97801190755112466</v>
      </c>
      <c r="H5" s="20">
        <v>1149.8588999999999</v>
      </c>
      <c r="I5" s="20">
        <v>0</v>
      </c>
      <c r="J5" s="23">
        <f t="shared" ref="J5:J7" si="1">+(H5+I5)/C5</f>
        <v>2.1988092448875309E-2</v>
      </c>
      <c r="K5" s="20">
        <v>0</v>
      </c>
      <c r="L5" s="23">
        <f t="shared" ref="L5:L7" si="2">+K5/C5</f>
        <v>0</v>
      </c>
      <c r="M5" s="24">
        <v>0.47619047619047616</v>
      </c>
      <c r="N5" s="25">
        <v>0.90352516899661139</v>
      </c>
      <c r="O5" s="26"/>
      <c r="P5" s="26"/>
      <c r="Q5" s="26"/>
      <c r="R5" s="20"/>
      <c r="S5" s="20"/>
      <c r="T5" s="23">
        <v>1</v>
      </c>
      <c r="U5" s="27">
        <v>0</v>
      </c>
    </row>
    <row r="6" spans="2:21">
      <c r="B6" s="19" t="s">
        <v>24</v>
      </c>
      <c r="C6" s="20">
        <f>+F6+H6+I6+K6</f>
        <v>67888.558770000003</v>
      </c>
      <c r="D6" s="21">
        <v>0.94</v>
      </c>
      <c r="E6" s="22">
        <f>AVERAGE(G5:G6)</f>
        <v>0.98261762549377751</v>
      </c>
      <c r="F6" s="20">
        <v>67021.169970000003</v>
      </c>
      <c r="G6" s="21">
        <f t="shared" si="0"/>
        <v>0.98722334343643037</v>
      </c>
      <c r="H6" s="20">
        <v>828.30880000000002</v>
      </c>
      <c r="I6" s="20">
        <v>39.08</v>
      </c>
      <c r="J6" s="23">
        <f t="shared" si="1"/>
        <v>1.2776656563569586E-2</v>
      </c>
      <c r="K6" s="20">
        <v>0</v>
      </c>
      <c r="L6" s="21">
        <f t="shared" si="2"/>
        <v>0</v>
      </c>
      <c r="M6" s="28">
        <v>0.1875</v>
      </c>
      <c r="N6" s="25">
        <v>0.90397016595073043</v>
      </c>
      <c r="O6" s="26"/>
      <c r="P6" s="26"/>
      <c r="Q6" s="26"/>
      <c r="R6" s="20"/>
      <c r="S6" s="20"/>
      <c r="T6" s="23">
        <v>1</v>
      </c>
      <c r="U6" s="27">
        <v>0</v>
      </c>
    </row>
    <row r="7" spans="2:21">
      <c r="B7" s="19" t="s">
        <v>25</v>
      </c>
      <c r="C7" s="20">
        <f>+F7+H7+I7+K7</f>
        <v>59028.144610000003</v>
      </c>
      <c r="D7" s="21">
        <v>0.94</v>
      </c>
      <c r="E7" s="22">
        <f>AVERAGE(G5:G7)</f>
        <v>0.98298414735351802</v>
      </c>
      <c r="F7" s="20">
        <v>58067.000610000003</v>
      </c>
      <c r="G7" s="23">
        <f t="shared" si="0"/>
        <v>0.98371719107299926</v>
      </c>
      <c r="H7" s="20">
        <v>890.54899999999998</v>
      </c>
      <c r="I7" s="20">
        <v>70.594999999999999</v>
      </c>
      <c r="J7" s="23">
        <f t="shared" si="1"/>
        <v>1.6282808927000764E-2</v>
      </c>
      <c r="K7" s="20">
        <v>0</v>
      </c>
      <c r="L7" s="23">
        <f t="shared" si="2"/>
        <v>0</v>
      </c>
      <c r="M7" s="28">
        <v>0.1</v>
      </c>
      <c r="N7" s="25">
        <v>0.95463606479452001</v>
      </c>
      <c r="O7" s="26"/>
      <c r="P7" s="26"/>
      <c r="Q7" s="26"/>
      <c r="R7" s="20"/>
      <c r="S7" s="20"/>
      <c r="T7" s="23">
        <v>1</v>
      </c>
      <c r="U7" s="27">
        <v>0</v>
      </c>
    </row>
    <row r="11" spans="2:21">
      <c r="B11" s="29" t="s">
        <v>26</v>
      </c>
      <c r="C11" s="29" t="s">
        <v>27</v>
      </c>
      <c r="D11" s="29" t="s">
        <v>28</v>
      </c>
      <c r="E11" s="29" t="s">
        <v>29</v>
      </c>
      <c r="F11" s="29" t="s">
        <v>30</v>
      </c>
      <c r="G11" s="29" t="s">
        <v>31</v>
      </c>
      <c r="H11" s="29" t="s">
        <v>32</v>
      </c>
      <c r="I11" s="29" t="s">
        <v>33</v>
      </c>
    </row>
    <row r="12" spans="2:21">
      <c r="B12" s="30">
        <v>1</v>
      </c>
      <c r="C12" s="31" t="s">
        <v>34</v>
      </c>
      <c r="D12" s="32">
        <v>387</v>
      </c>
      <c r="E12" s="33">
        <v>468</v>
      </c>
      <c r="F12" s="33">
        <v>609</v>
      </c>
      <c r="G12" s="33">
        <v>453</v>
      </c>
      <c r="H12" s="33">
        <v>438</v>
      </c>
      <c r="I12" s="33">
        <v>889</v>
      </c>
    </row>
    <row r="13" spans="2:21">
      <c r="B13" s="30"/>
      <c r="C13" s="31" t="s">
        <v>35</v>
      </c>
      <c r="D13" s="32">
        <v>357</v>
      </c>
      <c r="E13" s="33">
        <v>455</v>
      </c>
      <c r="F13" s="32">
        <v>562</v>
      </c>
      <c r="G13" s="33">
        <v>415</v>
      </c>
      <c r="H13" s="33">
        <v>415</v>
      </c>
      <c r="I13" s="33">
        <v>861</v>
      </c>
    </row>
    <row r="14" spans="2:21">
      <c r="B14" s="30"/>
      <c r="C14" s="31" t="s">
        <v>8</v>
      </c>
      <c r="D14" s="32">
        <v>30</v>
      </c>
      <c r="E14" s="32">
        <f t="shared" ref="E14" si="3">+E12-E13</f>
        <v>13</v>
      </c>
      <c r="F14" s="32">
        <f>+F12-F13</f>
        <v>47</v>
      </c>
      <c r="G14" s="33">
        <f>+G12-G13</f>
        <v>38</v>
      </c>
      <c r="H14" s="32">
        <f>+H12-H13</f>
        <v>23</v>
      </c>
      <c r="I14" s="32">
        <v>28</v>
      </c>
    </row>
    <row r="15" spans="2:21">
      <c r="B15" s="30"/>
      <c r="C15" s="34" t="s">
        <v>2</v>
      </c>
      <c r="D15" s="35">
        <f>D13/D12</f>
        <v>0.92248062015503873</v>
      </c>
      <c r="E15" s="35">
        <f t="shared" ref="E15:I15" si="4">E13/E12</f>
        <v>0.97222222222222221</v>
      </c>
      <c r="F15" s="35">
        <f t="shared" si="4"/>
        <v>0.92282430213464695</v>
      </c>
      <c r="G15" s="35">
        <f>G13/G12</f>
        <v>0.91611479028697573</v>
      </c>
      <c r="H15" s="35">
        <f t="shared" si="4"/>
        <v>0.94748858447488582</v>
      </c>
      <c r="I15" s="35">
        <f t="shared" si="4"/>
        <v>0.96850393700787396</v>
      </c>
    </row>
    <row r="16" spans="2:21">
      <c r="B16" s="30">
        <v>2</v>
      </c>
      <c r="C16" s="31" t="s">
        <v>34</v>
      </c>
      <c r="D16" s="32">
        <v>387</v>
      </c>
      <c r="E16" s="33">
        <v>468</v>
      </c>
      <c r="F16" s="33">
        <v>609</v>
      </c>
      <c r="G16" s="33">
        <v>453</v>
      </c>
      <c r="H16" s="33">
        <v>440</v>
      </c>
      <c r="I16" s="33">
        <v>889</v>
      </c>
    </row>
    <row r="17" spans="2:13">
      <c r="B17" s="30"/>
      <c r="C17" s="31" t="s">
        <v>35</v>
      </c>
      <c r="D17" s="32">
        <v>363</v>
      </c>
      <c r="E17" s="33">
        <v>457</v>
      </c>
      <c r="F17" s="32">
        <v>564</v>
      </c>
      <c r="G17" s="33">
        <v>425</v>
      </c>
      <c r="H17" s="33">
        <v>408</v>
      </c>
      <c r="I17" s="33">
        <v>863</v>
      </c>
    </row>
    <row r="18" spans="2:13">
      <c r="B18" s="30"/>
      <c r="C18" s="31" t="s">
        <v>8</v>
      </c>
      <c r="D18" s="32">
        <f t="shared" ref="D18:I18" si="5">+D16-D17</f>
        <v>24</v>
      </c>
      <c r="E18" s="32">
        <f>+E16-E17</f>
        <v>11</v>
      </c>
      <c r="F18" s="32">
        <f t="shared" si="5"/>
        <v>45</v>
      </c>
      <c r="G18" s="32">
        <f t="shared" si="5"/>
        <v>28</v>
      </c>
      <c r="H18" s="32">
        <v>32</v>
      </c>
      <c r="I18" s="32">
        <f t="shared" si="5"/>
        <v>26</v>
      </c>
    </row>
    <row r="19" spans="2:13">
      <c r="B19" s="30"/>
      <c r="C19" s="36" t="s">
        <v>2</v>
      </c>
      <c r="D19" s="37">
        <f>D17/D16</f>
        <v>0.93798449612403101</v>
      </c>
      <c r="E19" s="37">
        <f t="shared" ref="E19:F19" si="6">E17/E16</f>
        <v>0.97649572649572647</v>
      </c>
      <c r="F19" s="37">
        <f t="shared" si="6"/>
        <v>0.92610837438423643</v>
      </c>
      <c r="G19" s="37">
        <f>G17/G16</f>
        <v>0.9381898454746137</v>
      </c>
      <c r="H19" s="37">
        <f>H17/H16</f>
        <v>0.92727272727272725</v>
      </c>
      <c r="I19" s="37">
        <f t="shared" ref="I19" si="7">I17/I16</f>
        <v>0.97075365579302586</v>
      </c>
    </row>
    <row r="20" spans="2:13">
      <c r="B20" s="30">
        <v>3</v>
      </c>
      <c r="C20" s="31" t="s">
        <v>34</v>
      </c>
      <c r="D20" s="32">
        <v>610</v>
      </c>
      <c r="E20" s="33">
        <v>468</v>
      </c>
      <c r="F20" s="33">
        <v>387</v>
      </c>
      <c r="G20" s="33">
        <v>453</v>
      </c>
      <c r="H20" s="33">
        <v>440</v>
      </c>
      <c r="I20" s="33">
        <v>889</v>
      </c>
    </row>
    <row r="21" spans="2:13">
      <c r="B21" s="30"/>
      <c r="C21" s="31" t="s">
        <v>35</v>
      </c>
      <c r="D21" s="32">
        <v>581</v>
      </c>
      <c r="E21" s="33">
        <v>454</v>
      </c>
      <c r="F21" s="32">
        <v>362</v>
      </c>
      <c r="G21" s="33">
        <f>425+2</f>
        <v>427</v>
      </c>
      <c r="H21" s="33">
        <v>416</v>
      </c>
      <c r="I21" s="33">
        <f>863-2</f>
        <v>861</v>
      </c>
    </row>
    <row r="22" spans="2:13">
      <c r="B22" s="30"/>
      <c r="C22" s="31" t="s">
        <v>8</v>
      </c>
      <c r="D22" s="38">
        <f t="shared" ref="D22:I22" si="8">+D20-D21</f>
        <v>29</v>
      </c>
      <c r="E22" s="39">
        <f t="shared" si="8"/>
        <v>14</v>
      </c>
      <c r="F22" s="39">
        <f t="shared" si="8"/>
        <v>25</v>
      </c>
      <c r="G22" s="40">
        <f t="shared" si="8"/>
        <v>26</v>
      </c>
      <c r="H22" s="40">
        <f t="shared" si="8"/>
        <v>24</v>
      </c>
      <c r="I22" s="39">
        <f t="shared" si="8"/>
        <v>28</v>
      </c>
    </row>
    <row r="23" spans="2:13">
      <c r="B23" s="30"/>
      <c r="C23" s="36" t="s">
        <v>2</v>
      </c>
      <c r="D23" s="37">
        <f>D21/D20</f>
        <v>0.95245901639344266</v>
      </c>
      <c r="E23" s="37">
        <f t="shared" ref="E23" si="9">E21/E20</f>
        <v>0.97008547008547008</v>
      </c>
      <c r="F23" s="37">
        <f>F21/F20</f>
        <v>0.93540051679586567</v>
      </c>
      <c r="G23" s="37">
        <f>G21/G20</f>
        <v>0.94260485651214132</v>
      </c>
      <c r="H23" s="37">
        <f>H21/H20</f>
        <v>0.94545454545454544</v>
      </c>
      <c r="I23" s="37">
        <f t="shared" ref="I23" si="10">I21/I20</f>
        <v>0.96850393700787396</v>
      </c>
    </row>
    <row r="27" spans="2:13">
      <c r="B27" s="41" t="s">
        <v>36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2:13">
      <c r="B28" s="43" t="s">
        <v>6</v>
      </c>
      <c r="C28" s="44" t="s">
        <v>37</v>
      </c>
      <c r="D28" s="45"/>
      <c r="E28" s="45"/>
      <c r="F28" s="45"/>
      <c r="G28" s="45"/>
      <c r="H28" s="45"/>
      <c r="I28" s="46"/>
      <c r="J28" s="47" t="s">
        <v>8</v>
      </c>
      <c r="K28" s="48"/>
      <c r="L28" s="49" t="s">
        <v>38</v>
      </c>
      <c r="M28" s="49" t="s">
        <v>39</v>
      </c>
    </row>
    <row r="29" spans="2:13">
      <c r="B29" s="43"/>
      <c r="C29" s="50" t="s">
        <v>40</v>
      </c>
      <c r="D29" s="51"/>
      <c r="E29" s="51"/>
      <c r="F29" s="52"/>
      <c r="G29" s="53" t="s">
        <v>41</v>
      </c>
      <c r="H29" s="54"/>
      <c r="I29" s="55"/>
      <c r="J29" s="56" t="s">
        <v>42</v>
      </c>
      <c r="K29" s="57"/>
      <c r="L29" s="58" t="s">
        <v>43</v>
      </c>
      <c r="M29" s="58" t="s">
        <v>44</v>
      </c>
    </row>
    <row r="30" spans="2:13">
      <c r="B30" s="43"/>
      <c r="C30" s="59" t="s">
        <v>8</v>
      </c>
      <c r="D30" s="60" t="s">
        <v>2</v>
      </c>
      <c r="E30" s="60" t="s">
        <v>45</v>
      </c>
      <c r="F30" s="61" t="s">
        <v>46</v>
      </c>
      <c r="G30" s="60" t="s">
        <v>2</v>
      </c>
      <c r="H30" s="60" t="s">
        <v>45</v>
      </c>
      <c r="I30" s="61" t="s">
        <v>46</v>
      </c>
      <c r="J30" s="62" t="s">
        <v>45</v>
      </c>
      <c r="K30" s="62" t="s">
        <v>46</v>
      </c>
      <c r="L30" s="63" t="s">
        <v>47</v>
      </c>
      <c r="M30" s="63" t="s">
        <v>47</v>
      </c>
    </row>
    <row r="31" spans="2:13">
      <c r="B31" s="64" t="s">
        <v>23</v>
      </c>
      <c r="C31" s="65">
        <v>1</v>
      </c>
      <c r="D31" s="65">
        <f>+E31/(E31+F31)</f>
        <v>1</v>
      </c>
      <c r="E31" s="66">
        <f>+H31</f>
        <v>56584.922460000016</v>
      </c>
      <c r="F31" s="66">
        <f>+I31</f>
        <v>0</v>
      </c>
      <c r="G31" s="67">
        <f t="shared" ref="G31:G33" si="11">+H31/(H31+I31)</f>
        <v>1</v>
      </c>
      <c r="H31" s="68">
        <v>56584.922460000016</v>
      </c>
      <c r="I31" s="69">
        <v>0</v>
      </c>
      <c r="J31" s="68" t="s">
        <v>48</v>
      </c>
      <c r="K31" s="66">
        <v>0</v>
      </c>
      <c r="L31" s="70">
        <v>0</v>
      </c>
      <c r="M31" s="71">
        <v>0</v>
      </c>
    </row>
    <row r="32" spans="2:13">
      <c r="B32" s="64" t="s">
        <v>24</v>
      </c>
      <c r="C32" s="65">
        <v>1</v>
      </c>
      <c r="D32" s="65">
        <f t="shared" ref="D32:D33" si="12">+E32/(E32+F32)</f>
        <v>1</v>
      </c>
      <c r="E32" s="66">
        <f>+E31+H32</f>
        <v>116883.25926000014</v>
      </c>
      <c r="F32" s="66">
        <f>+F31+I32</f>
        <v>0</v>
      </c>
      <c r="G32" s="67">
        <f t="shared" si="11"/>
        <v>1</v>
      </c>
      <c r="H32" s="69">
        <v>60298.336800000114</v>
      </c>
      <c r="I32" s="69">
        <v>0</v>
      </c>
      <c r="J32" s="68" t="s">
        <v>48</v>
      </c>
      <c r="K32" s="66">
        <v>0</v>
      </c>
      <c r="L32" s="70">
        <v>0</v>
      </c>
      <c r="M32" s="71">
        <v>0</v>
      </c>
    </row>
    <row r="33" spans="2:13">
      <c r="B33" s="64" t="s">
        <v>25</v>
      </c>
      <c r="C33" s="65">
        <v>1</v>
      </c>
      <c r="D33" s="72">
        <f t="shared" si="12"/>
        <v>1</v>
      </c>
      <c r="E33" s="66">
        <f t="shared" ref="E33:F33" si="13">+E32+H33</f>
        <v>162225.51552000025</v>
      </c>
      <c r="F33" s="66">
        <f t="shared" si="13"/>
        <v>0</v>
      </c>
      <c r="G33" s="67">
        <f t="shared" si="11"/>
        <v>1</v>
      </c>
      <c r="H33" s="69">
        <v>45342.256260000097</v>
      </c>
      <c r="I33" s="69">
        <v>0</v>
      </c>
      <c r="J33" s="68" t="s">
        <v>48</v>
      </c>
      <c r="K33" s="66">
        <v>0</v>
      </c>
      <c r="L33" s="70">
        <v>0</v>
      </c>
      <c r="M33" s="71">
        <v>0</v>
      </c>
    </row>
  </sheetData>
  <mergeCells count="14">
    <mergeCell ref="B20:B23"/>
    <mergeCell ref="B27:M27"/>
    <mergeCell ref="B28:B30"/>
    <mergeCell ref="C28:I28"/>
    <mergeCell ref="J28:K28"/>
    <mergeCell ref="C29:F29"/>
    <mergeCell ref="G29:I29"/>
    <mergeCell ref="J29:K29"/>
    <mergeCell ref="B3:L3"/>
    <mergeCell ref="R3:T3"/>
    <mergeCell ref="F4:G4"/>
    <mergeCell ref="K4:L4"/>
    <mergeCell ref="B12:B15"/>
    <mergeCell ref="B16:B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8"/>
  <sheetViews>
    <sheetView zoomScaleNormal="100" workbookViewId="0">
      <pane xSplit="2" ySplit="6" topLeftCell="N167" activePane="bottomRight" state="frozen"/>
      <selection pane="topRight" activeCell="C1" sqref="C1"/>
      <selection pane="bottomLeft" activeCell="A3" sqref="A3"/>
      <selection pane="bottomRight" activeCell="Q173" sqref="Q173"/>
    </sheetView>
  </sheetViews>
  <sheetFormatPr defaultRowHeight="15"/>
  <cols>
    <col min="1" max="1" width="4.5703125" customWidth="1"/>
    <col min="2" max="2" width="35.28515625" bestFit="1" customWidth="1"/>
    <col min="3" max="3" width="3.42578125" customWidth="1"/>
    <col min="4" max="9" width="5.7109375" customWidth="1"/>
    <col min="10" max="10" width="2.85546875" customWidth="1"/>
    <col min="11" max="16" width="5.7109375" customWidth="1"/>
    <col min="17" max="17" width="2.7109375" customWidth="1"/>
    <col min="18" max="20" width="5.7109375" customWidth="1"/>
    <col min="21" max="27" width="3" customWidth="1"/>
    <col min="28" max="33" width="5.7109375" customWidth="1"/>
    <col min="34" max="34" width="7.42578125" customWidth="1"/>
    <col min="35" max="39" width="5.7109375" customWidth="1"/>
  </cols>
  <sheetData>
    <row r="1" spans="1:55" ht="15.75">
      <c r="A1" s="73" t="s">
        <v>49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</row>
    <row r="2" spans="1:55">
      <c r="A2" s="75" t="s">
        <v>50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4" t="s">
        <v>51</v>
      </c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</row>
    <row r="3" spans="1:55">
      <c r="A3" s="76"/>
      <c r="B3" s="77" t="s">
        <v>52</v>
      </c>
      <c r="C3" s="74" t="s">
        <v>53</v>
      </c>
      <c r="D3" s="78" t="s">
        <v>29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 t="s">
        <v>51</v>
      </c>
      <c r="AD3" s="74"/>
      <c r="AE3" s="74"/>
      <c r="AF3" s="74"/>
      <c r="AG3" s="74"/>
      <c r="AH3" s="74" t="s">
        <v>51</v>
      </c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</row>
    <row r="4" spans="1:55">
      <c r="A4" s="77"/>
      <c r="B4" s="77" t="s">
        <v>54</v>
      </c>
      <c r="C4" s="74" t="s">
        <v>53</v>
      </c>
      <c r="D4" s="78" t="s">
        <v>55</v>
      </c>
      <c r="E4" s="74"/>
      <c r="F4" s="74"/>
      <c r="G4" s="74"/>
      <c r="H4" s="74"/>
      <c r="I4" s="74"/>
      <c r="J4" s="74"/>
      <c r="K4" s="74"/>
      <c r="L4" s="74"/>
      <c r="M4" s="74" t="s">
        <v>51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 t="s">
        <v>51</v>
      </c>
      <c r="Z4" s="74"/>
      <c r="AA4" s="74"/>
      <c r="AB4" s="74"/>
      <c r="AC4" s="74"/>
      <c r="AD4" s="74"/>
      <c r="AE4" s="74"/>
      <c r="AF4" s="74"/>
      <c r="AG4" s="74" t="s">
        <v>51</v>
      </c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</row>
    <row r="5" spans="1:55">
      <c r="A5" s="77"/>
      <c r="B5" s="77" t="s">
        <v>56</v>
      </c>
      <c r="C5" s="74" t="s">
        <v>53</v>
      </c>
      <c r="D5" s="78" t="s">
        <v>57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</row>
    <row r="6" spans="1:55" s="81" customFormat="1" ht="12.95" customHeight="1">
      <c r="A6" s="79" t="s">
        <v>58</v>
      </c>
      <c r="B6" s="79" t="s">
        <v>59</v>
      </c>
      <c r="C6" s="80">
        <v>1</v>
      </c>
      <c r="D6" s="79">
        <v>2</v>
      </c>
      <c r="E6" s="79">
        <v>3</v>
      </c>
      <c r="F6" s="79">
        <v>4</v>
      </c>
      <c r="G6" s="79">
        <v>5</v>
      </c>
      <c r="H6" s="79">
        <v>6</v>
      </c>
      <c r="I6" s="79">
        <v>7</v>
      </c>
      <c r="J6" s="80">
        <v>8</v>
      </c>
      <c r="K6" s="79">
        <v>9</v>
      </c>
      <c r="L6" s="79">
        <v>10</v>
      </c>
      <c r="M6" s="79">
        <v>11</v>
      </c>
      <c r="N6" s="79">
        <v>12</v>
      </c>
      <c r="O6" s="79">
        <v>13</v>
      </c>
      <c r="P6" s="79">
        <v>14</v>
      </c>
      <c r="Q6" s="80">
        <v>15</v>
      </c>
      <c r="R6" s="79">
        <v>16</v>
      </c>
      <c r="S6" s="79">
        <v>17</v>
      </c>
      <c r="T6" s="79">
        <v>18</v>
      </c>
      <c r="U6" s="80">
        <v>19</v>
      </c>
      <c r="V6" s="80">
        <v>20</v>
      </c>
      <c r="W6" s="80">
        <v>21</v>
      </c>
      <c r="X6" s="80">
        <v>22</v>
      </c>
      <c r="Y6" s="80">
        <v>23</v>
      </c>
      <c r="Z6" s="80">
        <v>24</v>
      </c>
      <c r="AA6" s="80">
        <v>25</v>
      </c>
      <c r="AB6" s="79">
        <v>26</v>
      </c>
      <c r="AC6" s="79">
        <v>27</v>
      </c>
      <c r="AD6" s="79">
        <v>28</v>
      </c>
      <c r="AE6" s="80">
        <v>29</v>
      </c>
      <c r="AF6" s="79">
        <v>30</v>
      </c>
      <c r="AG6" s="79">
        <v>31</v>
      </c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</row>
    <row r="7" spans="1:55" s="81" customFormat="1" ht="12.95" customHeight="1">
      <c r="A7" s="82">
        <v>1</v>
      </c>
      <c r="B7" s="83" t="s">
        <v>60</v>
      </c>
      <c r="C7" s="84"/>
      <c r="D7" s="84"/>
      <c r="E7" s="85" t="s">
        <v>61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5" t="s">
        <v>62</v>
      </c>
      <c r="AD7" s="84"/>
      <c r="AE7" s="84"/>
      <c r="AF7" s="84"/>
      <c r="AG7" s="85" t="s">
        <v>63</v>
      </c>
      <c r="AH7" s="86" t="s">
        <v>62</v>
      </c>
      <c r="AI7" s="87" t="s">
        <v>63</v>
      </c>
      <c r="AJ7" s="88" t="s">
        <v>61</v>
      </c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76"/>
      <c r="AW7" s="76"/>
      <c r="AX7" s="76"/>
      <c r="AY7" s="76"/>
      <c r="AZ7" s="76"/>
      <c r="BA7" s="76"/>
      <c r="BB7" s="76"/>
      <c r="BC7" s="76"/>
    </row>
    <row r="8" spans="1:55" s="81" customFormat="1" ht="12.95" customHeight="1">
      <c r="A8" s="82">
        <v>2</v>
      </c>
      <c r="B8" s="83" t="s">
        <v>64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9">
        <f>COUNTIF(C7:AG121,"T")</f>
        <v>49</v>
      </c>
      <c r="AI8" s="89">
        <f>COUNTIF(C7:AG121,"TB")</f>
        <v>109</v>
      </c>
      <c r="AJ8" s="89">
        <f>COUNTIF(C7:AG121,"B")</f>
        <v>22</v>
      </c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76"/>
      <c r="AW8" s="76"/>
      <c r="AX8" s="76"/>
      <c r="AY8" s="76"/>
      <c r="AZ8" s="76"/>
      <c r="BA8" s="76"/>
      <c r="BB8" s="76"/>
      <c r="BC8" s="76"/>
    </row>
    <row r="9" spans="1:55" s="81" customFormat="1" ht="12.95" customHeight="1">
      <c r="A9" s="82">
        <v>3</v>
      </c>
      <c r="B9" s="83" t="s">
        <v>65</v>
      </c>
      <c r="C9" s="84"/>
      <c r="D9" s="85" t="s">
        <v>62</v>
      </c>
      <c r="E9" s="84"/>
      <c r="F9" s="84"/>
      <c r="G9" s="85" t="s">
        <v>63</v>
      </c>
      <c r="H9" s="84"/>
      <c r="I9" s="84"/>
      <c r="J9" s="84"/>
      <c r="K9" s="84"/>
      <c r="L9" s="84"/>
      <c r="M9" s="85" t="s">
        <v>62</v>
      </c>
      <c r="N9" s="85" t="s">
        <v>63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76"/>
      <c r="AW9" s="76"/>
      <c r="AX9" s="76"/>
      <c r="AY9" s="76"/>
      <c r="AZ9" s="76"/>
      <c r="BA9" s="76"/>
      <c r="BB9" s="76"/>
      <c r="BC9" s="76"/>
    </row>
    <row r="10" spans="1:55" s="81" customFormat="1" ht="12.95" customHeight="1">
      <c r="A10" s="82">
        <v>4</v>
      </c>
      <c r="B10" s="83" t="s">
        <v>66</v>
      </c>
      <c r="C10" s="84"/>
      <c r="D10" s="84"/>
      <c r="E10" s="84"/>
      <c r="F10" s="84"/>
      <c r="G10" s="84"/>
      <c r="H10" s="85" t="s">
        <v>62</v>
      </c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5" t="s">
        <v>62</v>
      </c>
      <c r="AC10" s="84"/>
      <c r="AD10" s="84"/>
      <c r="AE10" s="84"/>
      <c r="AF10" s="84"/>
      <c r="AG10" s="84"/>
      <c r="AH10" s="89" t="s">
        <v>62</v>
      </c>
      <c r="AI10" s="89" t="s">
        <v>61</v>
      </c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76"/>
      <c r="AW10" s="76"/>
      <c r="AX10" s="76"/>
      <c r="AY10" s="76"/>
      <c r="AZ10" s="76"/>
      <c r="BA10" s="76"/>
      <c r="BB10" s="76"/>
      <c r="BC10" s="76"/>
    </row>
    <row r="11" spans="1:55" s="81" customFormat="1" ht="12.95" customHeight="1">
      <c r="A11" s="82">
        <v>5</v>
      </c>
      <c r="B11" s="83" t="s">
        <v>67</v>
      </c>
      <c r="C11" s="84"/>
      <c r="D11" s="85" t="s">
        <v>61</v>
      </c>
      <c r="E11" s="85" t="s">
        <v>61</v>
      </c>
      <c r="F11" s="85" t="s">
        <v>63</v>
      </c>
      <c r="G11" s="84"/>
      <c r="H11" s="84"/>
      <c r="I11" s="84"/>
      <c r="J11" s="84"/>
      <c r="K11" s="85" t="s">
        <v>63</v>
      </c>
      <c r="L11" s="85" t="s">
        <v>61</v>
      </c>
      <c r="M11" s="84"/>
      <c r="N11" s="84"/>
      <c r="O11" s="84"/>
      <c r="P11" s="85" t="s">
        <v>63</v>
      </c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9">
        <f>AH8+AI8+AH22+AI22</f>
        <v>162</v>
      </c>
      <c r="AI11" s="89">
        <f>AI8+AJ8+AI22+AJ22</f>
        <v>145</v>
      </c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76"/>
      <c r="AW11" s="76"/>
      <c r="AX11" s="76"/>
      <c r="AY11" s="76"/>
      <c r="AZ11" s="76"/>
      <c r="BA11" s="76"/>
      <c r="BB11" s="76"/>
      <c r="BC11" s="76"/>
    </row>
    <row r="12" spans="1:55" s="81" customFormat="1" ht="12.95" customHeight="1">
      <c r="A12" s="82">
        <v>6</v>
      </c>
      <c r="B12" s="83" t="s">
        <v>68</v>
      </c>
      <c r="C12" s="84"/>
      <c r="D12" s="84"/>
      <c r="E12" s="84"/>
      <c r="F12" s="84"/>
      <c r="G12" s="84"/>
      <c r="H12" s="84"/>
      <c r="I12" s="84"/>
      <c r="J12" s="84"/>
      <c r="K12" s="85"/>
      <c r="L12" s="84"/>
      <c r="M12" s="84"/>
      <c r="N12" s="84"/>
      <c r="O12" s="85"/>
      <c r="P12" s="84"/>
      <c r="Q12" s="84"/>
      <c r="R12" s="84"/>
      <c r="S12" s="84"/>
      <c r="T12" s="85" t="s">
        <v>63</v>
      </c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5" t="s">
        <v>63</v>
      </c>
      <c r="AG12" s="84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76"/>
      <c r="AW12" s="76"/>
      <c r="AX12" s="76"/>
      <c r="AY12" s="76"/>
      <c r="AZ12" s="76"/>
      <c r="BA12" s="76"/>
      <c r="BB12" s="76"/>
      <c r="BC12" s="76"/>
    </row>
    <row r="13" spans="1:55" s="81" customFormat="1" ht="12.95" customHeight="1">
      <c r="A13" s="82">
        <v>7</v>
      </c>
      <c r="B13" s="83" t="s">
        <v>69</v>
      </c>
      <c r="C13" s="84"/>
      <c r="D13" s="84"/>
      <c r="E13" s="84"/>
      <c r="F13" s="85" t="s">
        <v>62</v>
      </c>
      <c r="G13" s="84"/>
      <c r="H13" s="84"/>
      <c r="I13" s="85" t="s">
        <v>63</v>
      </c>
      <c r="J13" s="84"/>
      <c r="K13" s="84"/>
      <c r="L13" s="84"/>
      <c r="M13" s="84"/>
      <c r="N13" s="84"/>
      <c r="O13" s="84"/>
      <c r="P13" s="84"/>
      <c r="Q13" s="84"/>
      <c r="R13" s="84"/>
      <c r="S13" s="85" t="s">
        <v>63</v>
      </c>
      <c r="T13" s="84"/>
      <c r="U13" s="84"/>
      <c r="V13" s="84"/>
      <c r="W13" s="84"/>
      <c r="X13" s="84"/>
      <c r="Y13" s="84"/>
      <c r="Z13" s="84"/>
      <c r="AA13" s="84"/>
      <c r="AB13" s="85" t="s">
        <v>62</v>
      </c>
      <c r="AC13" s="85" t="s">
        <v>63</v>
      </c>
      <c r="AD13" s="84"/>
      <c r="AE13" s="84"/>
      <c r="AF13" s="84"/>
      <c r="AG13" s="84"/>
      <c r="AH13" s="90">
        <f>AI11/AH11</f>
        <v>0.89506172839506171</v>
      </c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76"/>
      <c r="AW13" s="76"/>
      <c r="AX13" s="76"/>
      <c r="AY13" s="76"/>
      <c r="AZ13" s="76"/>
      <c r="BA13" s="76"/>
      <c r="BB13" s="76"/>
      <c r="BC13" s="76"/>
    </row>
    <row r="14" spans="1:55" s="81" customFormat="1" ht="12.95" customHeight="1">
      <c r="A14" s="82">
        <v>8</v>
      </c>
      <c r="B14" s="83" t="s">
        <v>70</v>
      </c>
      <c r="C14" s="84"/>
      <c r="D14" s="84"/>
      <c r="E14" s="85" t="s">
        <v>62</v>
      </c>
      <c r="F14" s="84"/>
      <c r="G14" s="84"/>
      <c r="H14" s="85" t="s">
        <v>63</v>
      </c>
      <c r="I14" s="84"/>
      <c r="J14" s="84"/>
      <c r="K14" s="84"/>
      <c r="L14" s="85" t="s">
        <v>63</v>
      </c>
      <c r="M14" s="84"/>
      <c r="N14" s="85"/>
      <c r="O14" s="84"/>
      <c r="P14" s="84"/>
      <c r="Q14" s="84"/>
      <c r="R14" s="84"/>
      <c r="S14" s="85" t="s">
        <v>63</v>
      </c>
      <c r="T14" s="84"/>
      <c r="U14" s="84"/>
      <c r="V14" s="84"/>
      <c r="W14" s="84"/>
      <c r="X14" s="84"/>
      <c r="Y14" s="84"/>
      <c r="Z14" s="84"/>
      <c r="AA14" s="84"/>
      <c r="AB14" s="85"/>
      <c r="AC14" s="84"/>
      <c r="AD14" s="84"/>
      <c r="AE14" s="84"/>
      <c r="AF14" s="84"/>
      <c r="AG14" s="84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76"/>
      <c r="AW14" s="76"/>
      <c r="AX14" s="76"/>
      <c r="AY14" s="76"/>
      <c r="AZ14" s="76"/>
      <c r="BA14" s="76"/>
      <c r="BB14" s="76"/>
      <c r="BC14" s="76"/>
    </row>
    <row r="15" spans="1:55" s="81" customFormat="1" ht="12.95" customHeight="1">
      <c r="A15" s="82">
        <v>9</v>
      </c>
      <c r="B15" s="83" t="s">
        <v>71</v>
      </c>
      <c r="C15" s="84"/>
      <c r="D15" s="84"/>
      <c r="E15" s="85" t="s">
        <v>63</v>
      </c>
      <c r="F15" s="84"/>
      <c r="G15" s="85" t="s">
        <v>63</v>
      </c>
      <c r="H15" s="85" t="s">
        <v>61</v>
      </c>
      <c r="I15" s="84"/>
      <c r="J15" s="84"/>
      <c r="K15" s="85"/>
      <c r="L15" s="84"/>
      <c r="M15" s="85" t="s">
        <v>63</v>
      </c>
      <c r="N15" s="85" t="s">
        <v>63</v>
      </c>
      <c r="P15" s="85" t="s">
        <v>63</v>
      </c>
      <c r="Q15" s="84"/>
      <c r="R15" s="85" t="s">
        <v>63</v>
      </c>
      <c r="S15" s="84"/>
      <c r="T15" s="85" t="s">
        <v>63</v>
      </c>
      <c r="U15" s="84"/>
      <c r="V15" s="84"/>
      <c r="W15" s="84"/>
      <c r="X15" s="84"/>
      <c r="Y15" s="84"/>
      <c r="Z15" s="84"/>
      <c r="AA15" s="84"/>
      <c r="AB15" s="85" t="s">
        <v>63</v>
      </c>
      <c r="AC15" s="85" t="s">
        <v>63</v>
      </c>
      <c r="AD15" s="84"/>
      <c r="AE15" s="84"/>
      <c r="AF15" s="85" t="s">
        <v>63</v>
      </c>
      <c r="AG15" s="84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76"/>
      <c r="AW15" s="76"/>
      <c r="AX15" s="76"/>
      <c r="AY15" s="76"/>
      <c r="AZ15" s="76"/>
      <c r="BA15" s="76"/>
      <c r="BB15" s="76"/>
      <c r="BC15" s="76"/>
    </row>
    <row r="16" spans="1:55" s="81" customFormat="1" ht="12.95" customHeight="1">
      <c r="A16" s="82">
        <v>10</v>
      </c>
      <c r="B16" s="83" t="s">
        <v>72</v>
      </c>
      <c r="C16" s="84"/>
      <c r="D16" s="85" t="s">
        <v>63</v>
      </c>
      <c r="E16" s="84"/>
      <c r="F16" s="84"/>
      <c r="G16" s="84"/>
      <c r="H16" s="85" t="s">
        <v>63</v>
      </c>
      <c r="I16" s="85" t="s">
        <v>63</v>
      </c>
      <c r="J16" s="84"/>
      <c r="K16" s="85" t="s">
        <v>63</v>
      </c>
      <c r="L16" s="85" t="s">
        <v>63</v>
      </c>
      <c r="M16" s="85" t="s">
        <v>62</v>
      </c>
      <c r="N16" s="84"/>
      <c r="O16" s="85" t="s">
        <v>63</v>
      </c>
      <c r="P16" s="85" t="s">
        <v>63</v>
      </c>
      <c r="Q16" s="84"/>
      <c r="R16" s="85" t="s">
        <v>63</v>
      </c>
      <c r="S16" s="84"/>
      <c r="T16" s="84"/>
      <c r="U16" s="84"/>
      <c r="V16" s="84"/>
      <c r="W16" s="84"/>
      <c r="X16" s="84"/>
      <c r="Y16" s="84"/>
      <c r="Z16" s="84"/>
      <c r="AA16" s="84"/>
      <c r="AB16" s="85" t="s">
        <v>63</v>
      </c>
      <c r="AC16" s="84"/>
      <c r="AD16" s="85"/>
      <c r="AE16" s="84"/>
      <c r="AF16" s="85" t="s">
        <v>62</v>
      </c>
      <c r="AG16" s="85" t="s">
        <v>63</v>
      </c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76"/>
      <c r="AW16" s="76"/>
      <c r="AX16" s="76"/>
      <c r="AY16" s="76"/>
      <c r="AZ16" s="76"/>
      <c r="BA16" s="76"/>
      <c r="BB16" s="76"/>
      <c r="BC16" s="76"/>
    </row>
    <row r="17" spans="1:55" s="81" customFormat="1" ht="12.95" customHeight="1">
      <c r="A17" s="82">
        <v>11</v>
      </c>
      <c r="B17" s="83" t="s">
        <v>73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5" t="s">
        <v>62</v>
      </c>
      <c r="T17" s="84"/>
      <c r="U17" s="84"/>
      <c r="V17" s="84"/>
      <c r="W17" s="84"/>
      <c r="X17" s="84"/>
      <c r="Y17" s="84"/>
      <c r="Z17" s="84"/>
      <c r="AA17" s="84"/>
      <c r="AB17" s="84"/>
      <c r="AD17" s="84"/>
      <c r="AE17" s="84"/>
      <c r="AF17" s="85" t="s">
        <v>63</v>
      </c>
      <c r="AG17" s="84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76"/>
      <c r="AW17" s="76"/>
      <c r="AX17" s="76"/>
      <c r="AY17" s="76"/>
      <c r="AZ17" s="76"/>
      <c r="BA17" s="76"/>
      <c r="BB17" s="76"/>
      <c r="BC17" s="76"/>
    </row>
    <row r="18" spans="1:55" s="81" customFormat="1" ht="12.95" customHeight="1">
      <c r="A18" s="82">
        <v>12</v>
      </c>
      <c r="B18" s="83" t="s">
        <v>74</v>
      </c>
      <c r="C18" s="84"/>
      <c r="D18" s="84"/>
      <c r="E18" s="84"/>
      <c r="F18" s="84"/>
      <c r="G18" s="84"/>
      <c r="H18" s="84"/>
      <c r="I18" s="85" t="s">
        <v>63</v>
      </c>
      <c r="J18" s="84"/>
      <c r="K18" s="84"/>
      <c r="L18" s="84"/>
      <c r="M18" s="84"/>
      <c r="N18" s="85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 t="s">
        <v>62</v>
      </c>
      <c r="AC18" s="85" t="s">
        <v>63</v>
      </c>
      <c r="AD18" s="84"/>
      <c r="AE18" s="84"/>
      <c r="AF18" s="84"/>
      <c r="AG18" s="84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76"/>
      <c r="AW18" s="76"/>
      <c r="AX18" s="76"/>
      <c r="AY18" s="76"/>
      <c r="AZ18" s="76"/>
      <c r="BA18" s="76"/>
      <c r="BB18" s="76"/>
      <c r="BC18" s="76"/>
    </row>
    <row r="19" spans="1:55" s="81" customFormat="1" ht="12.95" customHeight="1">
      <c r="A19" s="82">
        <v>13</v>
      </c>
      <c r="B19" s="83" t="s">
        <v>75</v>
      </c>
      <c r="C19" s="84"/>
      <c r="D19" s="84"/>
      <c r="E19" s="84"/>
      <c r="F19" s="85" t="s">
        <v>62</v>
      </c>
      <c r="G19" s="84"/>
      <c r="H19" s="85" t="s">
        <v>63</v>
      </c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76"/>
      <c r="AW19" s="76"/>
      <c r="AX19" s="76"/>
      <c r="AY19" s="76"/>
      <c r="AZ19" s="76"/>
      <c r="BA19" s="76"/>
      <c r="BB19" s="76"/>
      <c r="BC19" s="76"/>
    </row>
    <row r="20" spans="1:55" s="81" customFormat="1" ht="12.95" customHeight="1">
      <c r="A20" s="82">
        <v>14</v>
      </c>
      <c r="B20" s="83" t="s">
        <v>76</v>
      </c>
      <c r="C20" s="84"/>
      <c r="D20" s="84"/>
      <c r="E20" s="84"/>
      <c r="F20" s="84"/>
      <c r="G20" s="84"/>
      <c r="H20" s="84"/>
      <c r="I20" s="84"/>
      <c r="J20" s="85"/>
      <c r="K20" s="85" t="s">
        <v>62</v>
      </c>
      <c r="L20" s="84"/>
      <c r="M20" s="84"/>
      <c r="N20" s="84"/>
      <c r="O20" s="85"/>
      <c r="P20" s="85" t="s">
        <v>63</v>
      </c>
      <c r="Q20" s="84"/>
      <c r="R20" s="85" t="s">
        <v>63</v>
      </c>
      <c r="S20" s="85" t="s">
        <v>61</v>
      </c>
      <c r="T20" s="85" t="s">
        <v>63</v>
      </c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76"/>
      <c r="AW20" s="76"/>
      <c r="AX20" s="76"/>
      <c r="AY20" s="76"/>
      <c r="AZ20" s="76"/>
      <c r="BA20" s="76"/>
      <c r="BB20" s="76"/>
      <c r="BC20" s="76"/>
    </row>
    <row r="21" spans="1:55" s="81" customFormat="1" ht="12.95" customHeight="1">
      <c r="A21" s="82">
        <v>15</v>
      </c>
      <c r="B21" s="83" t="s">
        <v>77</v>
      </c>
      <c r="C21" s="84"/>
      <c r="D21" s="85" t="s">
        <v>62</v>
      </c>
      <c r="E21" s="85" t="s">
        <v>63</v>
      </c>
      <c r="F21" s="84"/>
      <c r="G21" s="84"/>
      <c r="H21" s="84"/>
      <c r="I21" s="85"/>
      <c r="J21" s="84"/>
      <c r="K21" s="84"/>
      <c r="L21" s="84"/>
      <c r="M21" s="85" t="s">
        <v>62</v>
      </c>
      <c r="N21" s="85" t="s">
        <v>63</v>
      </c>
      <c r="O21" s="85" t="s">
        <v>63</v>
      </c>
      <c r="P21" s="84"/>
      <c r="Q21" s="84"/>
      <c r="R21" s="84"/>
      <c r="S21" s="84"/>
      <c r="T21" s="85" t="s">
        <v>62</v>
      </c>
      <c r="U21" s="84"/>
      <c r="V21" s="84"/>
      <c r="W21" s="84"/>
      <c r="X21" s="84"/>
      <c r="Y21" s="84"/>
      <c r="Z21" s="84"/>
      <c r="AA21" s="84"/>
      <c r="AB21" s="85" t="s">
        <v>63</v>
      </c>
      <c r="AC21" s="84"/>
      <c r="AD21" s="84"/>
      <c r="AE21" s="84"/>
      <c r="AF21" s="84"/>
      <c r="AG21" s="85" t="s">
        <v>63</v>
      </c>
      <c r="AH21" s="86" t="s">
        <v>62</v>
      </c>
      <c r="AI21" s="87" t="s">
        <v>63</v>
      </c>
      <c r="AJ21" s="88" t="s">
        <v>61</v>
      </c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76"/>
      <c r="AW21" s="76"/>
      <c r="AX21" s="76"/>
      <c r="AY21" s="76"/>
      <c r="AZ21" s="76"/>
      <c r="BA21" s="76"/>
      <c r="BB21" s="76"/>
      <c r="BC21" s="76"/>
    </row>
    <row r="22" spans="1:55" s="81" customFormat="1" ht="12.95" customHeight="1">
      <c r="A22" s="82">
        <v>16</v>
      </c>
      <c r="B22" s="83" t="s">
        <v>78</v>
      </c>
      <c r="C22" s="84"/>
      <c r="D22" s="84"/>
      <c r="E22" s="84"/>
      <c r="F22" s="84"/>
      <c r="G22" s="84"/>
      <c r="H22" s="84"/>
      <c r="I22" s="84"/>
      <c r="J22" s="84"/>
      <c r="K22" s="85" t="s">
        <v>63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9">
        <f>COUNTIF(C134:AG145,"T")</f>
        <v>0</v>
      </c>
      <c r="AI22" s="89">
        <f>COUNTIF(C134:AG145,"TB")</f>
        <v>4</v>
      </c>
      <c r="AJ22" s="89">
        <f>COUNTIF(C134:AG237,"B")</f>
        <v>10</v>
      </c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76"/>
      <c r="AW22" s="76"/>
      <c r="AX22" s="76"/>
      <c r="AY22" s="76"/>
      <c r="AZ22" s="76"/>
      <c r="BA22" s="76"/>
      <c r="BB22" s="76"/>
      <c r="BC22" s="76"/>
    </row>
    <row r="23" spans="1:55" s="81" customFormat="1" ht="12.95" customHeight="1">
      <c r="A23" s="82">
        <v>17</v>
      </c>
      <c r="B23" s="83" t="s">
        <v>79</v>
      </c>
      <c r="C23" s="84"/>
      <c r="D23" s="84"/>
      <c r="E23" s="84"/>
      <c r="F23" s="85" t="s">
        <v>62</v>
      </c>
      <c r="G23" s="84"/>
      <c r="H23" s="84"/>
      <c r="I23" s="84"/>
      <c r="J23" s="84"/>
      <c r="K23" s="84"/>
      <c r="L23" s="85"/>
      <c r="M23" s="84"/>
      <c r="N23" s="84"/>
      <c r="O23" s="84"/>
      <c r="P23" s="85" t="s">
        <v>63</v>
      </c>
      <c r="Q23" s="84"/>
      <c r="R23" s="84"/>
      <c r="S23" s="84"/>
      <c r="T23" s="85" t="s">
        <v>62</v>
      </c>
      <c r="U23" s="84"/>
      <c r="V23" s="84"/>
      <c r="W23" s="84"/>
      <c r="X23" s="84"/>
      <c r="Y23" s="84"/>
      <c r="Z23" s="84"/>
      <c r="AA23" s="84"/>
      <c r="AB23" s="85" t="s">
        <v>62</v>
      </c>
      <c r="AC23" s="84"/>
      <c r="AD23" s="84"/>
      <c r="AE23" s="84"/>
      <c r="AF23" s="84"/>
      <c r="AG23" s="85" t="s">
        <v>63</v>
      </c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76"/>
      <c r="AW23" s="76"/>
      <c r="AX23" s="76"/>
      <c r="AY23" s="76"/>
      <c r="AZ23" s="76"/>
      <c r="BA23" s="76"/>
      <c r="BB23" s="76"/>
      <c r="BC23" s="76"/>
    </row>
    <row r="24" spans="1:55" s="81" customFormat="1" ht="12.95" customHeight="1">
      <c r="A24" s="82">
        <v>18</v>
      </c>
      <c r="B24" s="83" t="s">
        <v>80</v>
      </c>
      <c r="C24" s="84"/>
      <c r="D24" s="84"/>
      <c r="E24" s="84"/>
      <c r="F24" s="84"/>
      <c r="G24" s="84"/>
      <c r="H24" s="84"/>
      <c r="I24" s="84"/>
      <c r="J24" s="84"/>
      <c r="K24" s="85" t="s">
        <v>63</v>
      </c>
      <c r="L24" s="84"/>
      <c r="M24" s="84"/>
      <c r="N24" s="84"/>
      <c r="O24" s="84"/>
      <c r="P24" s="84"/>
      <c r="Q24" s="84"/>
      <c r="R24" s="85" t="s">
        <v>63</v>
      </c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5" t="s">
        <v>62</v>
      </c>
      <c r="AE24" s="84"/>
      <c r="AF24" s="85" t="s">
        <v>63</v>
      </c>
      <c r="AG24" s="84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76"/>
      <c r="AW24" s="76"/>
      <c r="AX24" s="76"/>
      <c r="AY24" s="76"/>
      <c r="AZ24" s="76"/>
      <c r="BA24" s="76"/>
      <c r="BB24" s="76"/>
      <c r="BC24" s="76"/>
    </row>
    <row r="25" spans="1:55" s="81" customFormat="1" ht="12.95" customHeight="1">
      <c r="A25" s="82">
        <v>19</v>
      </c>
      <c r="B25" s="83" t="s">
        <v>81</v>
      </c>
      <c r="C25" s="84"/>
      <c r="D25" s="85" t="s">
        <v>63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76"/>
      <c r="AW25" s="76"/>
      <c r="AX25" s="76"/>
      <c r="AY25" s="76"/>
      <c r="AZ25" s="76"/>
      <c r="BA25" s="76"/>
      <c r="BB25" s="76"/>
      <c r="BC25" s="76"/>
    </row>
    <row r="26" spans="1:55" s="81" customFormat="1" ht="12.95" customHeight="1">
      <c r="A26" s="82">
        <v>20</v>
      </c>
      <c r="B26" s="83" t="s">
        <v>82</v>
      </c>
      <c r="C26" s="84"/>
      <c r="D26" s="85" t="s">
        <v>63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76"/>
      <c r="AW26" s="76"/>
      <c r="AX26" s="76"/>
      <c r="AY26" s="76"/>
      <c r="AZ26" s="76"/>
      <c r="BA26" s="76"/>
      <c r="BB26" s="76"/>
      <c r="BC26" s="76"/>
    </row>
    <row r="27" spans="1:55" s="81" customFormat="1" ht="12.95" customHeight="1">
      <c r="A27" s="82">
        <v>21</v>
      </c>
      <c r="B27" s="83" t="s">
        <v>83</v>
      </c>
      <c r="C27" s="84"/>
      <c r="D27" s="84"/>
      <c r="E27" s="85" t="s">
        <v>63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76"/>
      <c r="AW27" s="76"/>
      <c r="AX27" s="76"/>
      <c r="AY27" s="76"/>
      <c r="AZ27" s="76"/>
      <c r="BA27" s="76"/>
      <c r="BB27" s="76"/>
      <c r="BC27" s="76"/>
    </row>
    <row r="28" spans="1:55" s="81" customFormat="1" ht="12.95" customHeight="1">
      <c r="A28" s="82">
        <v>22</v>
      </c>
      <c r="B28" s="83" t="s">
        <v>84</v>
      </c>
      <c r="C28" s="84"/>
      <c r="D28" s="84"/>
      <c r="E28" s="84"/>
      <c r="F28" s="85" t="s">
        <v>63</v>
      </c>
      <c r="G28" s="84"/>
      <c r="H28" s="85" t="s">
        <v>63</v>
      </c>
      <c r="I28" s="85" t="s">
        <v>63</v>
      </c>
      <c r="J28" s="84"/>
      <c r="K28" s="85" t="s">
        <v>62</v>
      </c>
      <c r="L28" s="84"/>
      <c r="M28" s="84"/>
      <c r="N28" s="85" t="s">
        <v>62</v>
      </c>
      <c r="O28" s="85" t="s">
        <v>63</v>
      </c>
      <c r="P28" s="84"/>
      <c r="Q28" s="84"/>
      <c r="R28" s="85"/>
      <c r="S28" s="84"/>
      <c r="T28" s="84"/>
      <c r="U28" s="84"/>
      <c r="V28" s="84"/>
      <c r="W28" s="84"/>
      <c r="X28" s="84"/>
      <c r="Y28" s="84"/>
      <c r="Z28" s="84"/>
      <c r="AA28" s="84"/>
      <c r="AB28" s="85" t="s">
        <v>63</v>
      </c>
      <c r="AC28" s="84"/>
      <c r="AD28" s="84"/>
      <c r="AE28" s="84"/>
      <c r="AF28" s="84"/>
      <c r="AG28" s="85" t="s">
        <v>63</v>
      </c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76"/>
      <c r="AW28" s="76"/>
      <c r="AX28" s="76"/>
      <c r="AY28" s="76"/>
      <c r="AZ28" s="76"/>
      <c r="BA28" s="76"/>
      <c r="BB28" s="76"/>
      <c r="BC28" s="76"/>
    </row>
    <row r="29" spans="1:55" s="81" customFormat="1" ht="12.95" customHeight="1">
      <c r="A29" s="82">
        <v>23</v>
      </c>
      <c r="B29" s="83" t="s">
        <v>85</v>
      </c>
      <c r="C29" s="84"/>
      <c r="D29" s="85" t="s">
        <v>62</v>
      </c>
      <c r="E29" s="84"/>
      <c r="F29" s="84"/>
      <c r="G29" s="85" t="s">
        <v>63</v>
      </c>
      <c r="H29" s="84"/>
      <c r="I29" s="84"/>
      <c r="J29" s="84"/>
      <c r="K29" s="84"/>
      <c r="L29" s="84"/>
      <c r="M29" s="85"/>
      <c r="N29" s="84"/>
      <c r="O29" s="84"/>
      <c r="P29" s="84"/>
      <c r="Q29" s="84"/>
      <c r="R29" s="84"/>
      <c r="S29" s="84"/>
      <c r="T29" s="85" t="s">
        <v>62</v>
      </c>
      <c r="U29" s="84"/>
      <c r="V29" s="84"/>
      <c r="W29" s="84"/>
      <c r="X29" s="84"/>
      <c r="Y29" s="84"/>
      <c r="Z29" s="84"/>
      <c r="AA29" s="84"/>
      <c r="AB29" s="85" t="s">
        <v>62</v>
      </c>
      <c r="AC29" s="85" t="s">
        <v>63</v>
      </c>
      <c r="AD29" s="84"/>
      <c r="AE29" s="84"/>
      <c r="AF29" s="84"/>
      <c r="AG29" s="84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76"/>
      <c r="AW29" s="76"/>
      <c r="AX29" s="76"/>
      <c r="AY29" s="76"/>
      <c r="AZ29" s="76"/>
      <c r="BA29" s="76"/>
      <c r="BB29" s="76"/>
      <c r="BC29" s="76"/>
    </row>
    <row r="30" spans="1:55" s="81" customFormat="1" ht="12.95" customHeight="1">
      <c r="A30" s="82">
        <v>24</v>
      </c>
      <c r="B30" s="83" t="s">
        <v>86</v>
      </c>
      <c r="C30" s="84"/>
      <c r="D30" s="84"/>
      <c r="E30" s="85" t="s">
        <v>63</v>
      </c>
      <c r="F30" s="84"/>
      <c r="G30" s="84"/>
      <c r="H30" s="85"/>
      <c r="I30" s="85" t="s">
        <v>63</v>
      </c>
      <c r="J30" s="84"/>
      <c r="K30" s="85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76"/>
      <c r="AW30" s="76"/>
      <c r="AX30" s="76"/>
      <c r="AY30" s="76"/>
      <c r="AZ30" s="76"/>
      <c r="BA30" s="76"/>
      <c r="BB30" s="76"/>
      <c r="BC30" s="76"/>
    </row>
    <row r="31" spans="1:55" s="81" customFormat="1" ht="12.95" customHeight="1">
      <c r="A31" s="82">
        <v>25</v>
      </c>
      <c r="B31" s="83" t="s">
        <v>87</v>
      </c>
      <c r="C31" s="84"/>
      <c r="D31" s="85"/>
      <c r="E31" s="85" t="s">
        <v>63</v>
      </c>
      <c r="F31" s="84"/>
      <c r="G31" s="85" t="s">
        <v>63</v>
      </c>
      <c r="H31" s="84"/>
      <c r="I31" s="84"/>
      <c r="J31" s="84"/>
      <c r="K31" s="85" t="s">
        <v>61</v>
      </c>
      <c r="L31" s="84"/>
      <c r="M31" s="84"/>
      <c r="N31" s="84"/>
      <c r="O31" s="84"/>
      <c r="P31" s="84"/>
      <c r="Q31" s="84"/>
      <c r="R31" s="85" t="s">
        <v>63</v>
      </c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5" t="s">
        <v>61</v>
      </c>
      <c r="AG31" s="84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76"/>
      <c r="AW31" s="76"/>
      <c r="AX31" s="76"/>
      <c r="AY31" s="76"/>
      <c r="AZ31" s="76"/>
      <c r="BA31" s="76"/>
      <c r="BB31" s="76"/>
      <c r="BC31" s="76"/>
    </row>
    <row r="32" spans="1:55" s="81" customFormat="1" ht="12.95" customHeight="1">
      <c r="A32" s="82">
        <v>26</v>
      </c>
      <c r="B32" s="83" t="s">
        <v>88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5" t="s">
        <v>61</v>
      </c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76"/>
      <c r="AW32" s="76"/>
      <c r="AX32" s="76"/>
      <c r="AY32" s="76"/>
      <c r="AZ32" s="76"/>
      <c r="BA32" s="76"/>
      <c r="BB32" s="76"/>
      <c r="BC32" s="76"/>
    </row>
    <row r="33" spans="1:55" s="81" customFormat="1" ht="12.95" customHeight="1">
      <c r="A33" s="82">
        <v>27</v>
      </c>
      <c r="B33" s="83" t="s">
        <v>89</v>
      </c>
      <c r="C33" s="84"/>
      <c r="D33" s="84"/>
      <c r="E33" s="84"/>
      <c r="F33" s="84"/>
      <c r="G33" s="84"/>
      <c r="H33" s="84"/>
      <c r="I33" s="84"/>
      <c r="J33" s="84"/>
      <c r="K33" s="85"/>
      <c r="L33" s="84"/>
      <c r="M33" s="85" t="s">
        <v>63</v>
      </c>
      <c r="N33" s="84"/>
      <c r="O33" s="84"/>
      <c r="P33" s="85" t="s">
        <v>63</v>
      </c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5" t="s">
        <v>61</v>
      </c>
      <c r="AG33" s="85" t="s">
        <v>61</v>
      </c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76"/>
      <c r="AW33" s="76"/>
      <c r="AX33" s="76"/>
      <c r="AY33" s="76"/>
      <c r="AZ33" s="76"/>
      <c r="BA33" s="76"/>
      <c r="BB33" s="76"/>
      <c r="BC33" s="76"/>
    </row>
    <row r="34" spans="1:55" s="81" customFormat="1" ht="12.95" customHeight="1">
      <c r="A34" s="82">
        <v>28</v>
      </c>
      <c r="B34" s="83" t="s">
        <v>90</v>
      </c>
      <c r="C34" s="84"/>
      <c r="D34" s="84"/>
      <c r="E34" s="84"/>
      <c r="F34" s="84"/>
      <c r="G34" s="84"/>
      <c r="H34" s="84"/>
      <c r="I34" s="84"/>
      <c r="J34" s="84"/>
      <c r="K34" s="84"/>
      <c r="L34" s="85" t="s">
        <v>63</v>
      </c>
      <c r="M34" s="85" t="s">
        <v>63</v>
      </c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76"/>
      <c r="AW34" s="76"/>
      <c r="AX34" s="76"/>
      <c r="AY34" s="76"/>
      <c r="AZ34" s="76"/>
      <c r="BA34" s="76"/>
      <c r="BB34" s="76"/>
      <c r="BC34" s="76"/>
    </row>
    <row r="35" spans="1:55" s="81" customFormat="1" ht="12.95" customHeight="1">
      <c r="A35" s="82">
        <v>29</v>
      </c>
      <c r="B35" s="83" t="s">
        <v>91</v>
      </c>
      <c r="C35" s="84"/>
      <c r="D35" s="84"/>
      <c r="E35" s="84"/>
      <c r="F35" s="85" t="s">
        <v>62</v>
      </c>
      <c r="G35" s="85" t="s">
        <v>63</v>
      </c>
      <c r="H35" s="84"/>
      <c r="I35" s="84"/>
      <c r="J35" s="84"/>
      <c r="K35" s="84"/>
      <c r="L35" s="84"/>
      <c r="M35" s="85" t="s">
        <v>63</v>
      </c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76"/>
      <c r="AW35" s="76"/>
      <c r="AX35" s="76"/>
      <c r="AY35" s="76"/>
      <c r="AZ35" s="76"/>
      <c r="BA35" s="76"/>
      <c r="BB35" s="76"/>
      <c r="BC35" s="76"/>
    </row>
    <row r="36" spans="1:55" s="81" customFormat="1" ht="12.95" customHeight="1">
      <c r="A36" s="82">
        <v>30</v>
      </c>
      <c r="B36" s="83" t="s">
        <v>92</v>
      </c>
      <c r="C36" s="84"/>
      <c r="D36" s="84"/>
      <c r="E36" s="85" t="s">
        <v>62</v>
      </c>
      <c r="F36" s="84"/>
      <c r="G36" s="84"/>
      <c r="H36" s="84"/>
      <c r="I36" s="84"/>
      <c r="J36" s="84"/>
      <c r="K36" s="85" t="s">
        <v>63</v>
      </c>
      <c r="L36" s="84"/>
      <c r="M36" s="84"/>
      <c r="N36" s="84"/>
      <c r="O36" s="84"/>
      <c r="P36" s="84"/>
      <c r="Q36" s="84"/>
      <c r="R36" s="84"/>
      <c r="S36" s="84"/>
      <c r="T36" s="85" t="s">
        <v>62</v>
      </c>
      <c r="U36" s="84"/>
      <c r="V36" s="84"/>
      <c r="W36" s="84"/>
      <c r="X36" s="84"/>
      <c r="Y36" s="84"/>
      <c r="Z36" s="84"/>
      <c r="AA36" s="84"/>
      <c r="AB36" s="84"/>
      <c r="AC36" s="84"/>
      <c r="AD36" s="85" t="s">
        <v>62</v>
      </c>
      <c r="AE36" s="84"/>
      <c r="AF36" s="84"/>
      <c r="AG36" s="84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76"/>
      <c r="AW36" s="76"/>
      <c r="AX36" s="76"/>
      <c r="AY36" s="76"/>
      <c r="AZ36" s="76"/>
      <c r="BA36" s="76"/>
      <c r="BB36" s="76"/>
      <c r="BC36" s="76"/>
    </row>
    <row r="37" spans="1:55" s="81" customFormat="1" ht="12.95" customHeight="1">
      <c r="A37" s="82">
        <v>31</v>
      </c>
      <c r="B37" s="83" t="s">
        <v>93</v>
      </c>
      <c r="C37" s="84"/>
      <c r="D37" s="84"/>
      <c r="E37" s="84"/>
      <c r="F37" s="84"/>
      <c r="G37" s="85"/>
      <c r="H37" s="84"/>
      <c r="I37" s="84"/>
      <c r="J37" s="84"/>
      <c r="K37" s="84"/>
      <c r="L37" s="84"/>
      <c r="M37" s="84"/>
      <c r="N37" s="84"/>
      <c r="O37" s="84"/>
      <c r="P37" s="85" t="s">
        <v>62</v>
      </c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5" t="s">
        <v>63</v>
      </c>
      <c r="AC37" s="84"/>
      <c r="AD37" s="85" t="s">
        <v>63</v>
      </c>
      <c r="AE37" s="84"/>
      <c r="AF37" s="84"/>
      <c r="AG37" s="84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76"/>
      <c r="AW37" s="76"/>
      <c r="AX37" s="76"/>
      <c r="AY37" s="76"/>
      <c r="AZ37" s="76"/>
      <c r="BA37" s="76"/>
      <c r="BB37" s="76"/>
      <c r="BC37" s="76"/>
    </row>
    <row r="38" spans="1:55" s="81" customFormat="1" ht="12.95" customHeight="1">
      <c r="A38" s="82">
        <v>32</v>
      </c>
      <c r="B38" s="83" t="s">
        <v>94</v>
      </c>
      <c r="C38" s="84"/>
      <c r="D38" s="85" t="s">
        <v>63</v>
      </c>
      <c r="E38" s="84"/>
      <c r="F38" s="84"/>
      <c r="G38" s="84"/>
      <c r="H38" s="85"/>
      <c r="I38" s="85" t="s">
        <v>63</v>
      </c>
      <c r="J38" s="84"/>
      <c r="K38" s="84"/>
      <c r="L38" s="85" t="s">
        <v>62</v>
      </c>
      <c r="M38" s="84"/>
      <c r="N38" s="84"/>
      <c r="O38" s="84"/>
      <c r="P38" s="84"/>
      <c r="Q38" s="84"/>
      <c r="R38" s="84"/>
      <c r="S38" s="85" t="s">
        <v>63</v>
      </c>
      <c r="T38" s="84"/>
      <c r="U38" s="84"/>
      <c r="V38" s="84"/>
      <c r="W38" s="84"/>
      <c r="X38" s="84"/>
      <c r="Y38" s="84"/>
      <c r="Z38" s="84"/>
      <c r="AA38" s="84"/>
      <c r="AB38" s="85"/>
      <c r="AC38" s="84"/>
      <c r="AD38" s="84"/>
      <c r="AE38" s="84"/>
      <c r="AF38" s="84"/>
      <c r="AG38" s="84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76"/>
      <c r="AW38" s="76"/>
      <c r="AX38" s="76"/>
      <c r="AY38" s="76"/>
      <c r="AZ38" s="76"/>
      <c r="BA38" s="76"/>
      <c r="BB38" s="76"/>
      <c r="BC38" s="76"/>
    </row>
    <row r="39" spans="1:55" s="81" customFormat="1" ht="12.95" customHeight="1">
      <c r="A39" s="82">
        <v>33</v>
      </c>
      <c r="B39" s="83" t="s">
        <v>95</v>
      </c>
      <c r="C39" s="84"/>
      <c r="D39" s="84"/>
      <c r="E39" s="85" t="s">
        <v>63</v>
      </c>
      <c r="F39" s="84"/>
      <c r="G39" s="84"/>
      <c r="H39" s="84"/>
      <c r="I39" s="84"/>
      <c r="J39" s="84"/>
      <c r="K39" s="84"/>
      <c r="L39" s="84"/>
      <c r="M39" s="84"/>
      <c r="N39" s="85" t="s">
        <v>62</v>
      </c>
      <c r="O39" s="84"/>
      <c r="P39" s="84"/>
      <c r="Q39" s="84"/>
      <c r="R39" s="84"/>
      <c r="S39" s="84"/>
      <c r="T39" s="85" t="s">
        <v>62</v>
      </c>
      <c r="U39" s="84"/>
      <c r="V39" s="84"/>
      <c r="W39" s="84"/>
      <c r="X39" s="84"/>
      <c r="Y39" s="84"/>
      <c r="Z39" s="84"/>
      <c r="AA39" s="84"/>
      <c r="AB39" s="85"/>
      <c r="AC39" s="84"/>
      <c r="AD39" s="85" t="s">
        <v>62</v>
      </c>
      <c r="AE39" s="84"/>
      <c r="AF39" s="84"/>
      <c r="AG39" s="84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76"/>
      <c r="AW39" s="76"/>
      <c r="AX39" s="76"/>
      <c r="AY39" s="76"/>
      <c r="AZ39" s="76"/>
      <c r="BA39" s="76"/>
      <c r="BB39" s="76"/>
      <c r="BC39" s="76"/>
    </row>
    <row r="40" spans="1:55" s="81" customFormat="1" ht="12.95" customHeight="1">
      <c r="A40" s="82">
        <v>34</v>
      </c>
      <c r="B40" s="83" t="s">
        <v>96</v>
      </c>
      <c r="C40" s="84"/>
      <c r="D40" s="85" t="s">
        <v>63</v>
      </c>
      <c r="E40" s="84"/>
      <c r="F40" s="84"/>
      <c r="G40" s="84"/>
      <c r="H40" s="84"/>
      <c r="I40" s="84"/>
      <c r="J40" s="84"/>
      <c r="K40" s="85" t="s">
        <v>63</v>
      </c>
      <c r="L40" s="84"/>
      <c r="M40" s="85"/>
      <c r="N40" s="84"/>
      <c r="O40" s="85" t="s">
        <v>63</v>
      </c>
      <c r="P40" s="84"/>
      <c r="Q40" s="84"/>
      <c r="R40" s="84"/>
      <c r="S40" s="85" t="s">
        <v>63</v>
      </c>
      <c r="T40" s="84"/>
      <c r="U40" s="84"/>
      <c r="V40" s="84"/>
      <c r="W40" s="84"/>
      <c r="X40" s="84"/>
      <c r="Y40" s="84"/>
      <c r="Z40" s="84"/>
      <c r="AA40" s="84"/>
      <c r="AB40" s="85" t="s">
        <v>61</v>
      </c>
      <c r="AC40" s="84"/>
      <c r="AD40" s="84"/>
      <c r="AE40" s="84"/>
      <c r="AF40" s="84"/>
      <c r="AG40" s="84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76"/>
      <c r="AW40" s="76"/>
      <c r="AX40" s="76"/>
      <c r="AY40" s="76"/>
      <c r="AZ40" s="76"/>
      <c r="BA40" s="76"/>
      <c r="BB40" s="76"/>
      <c r="BC40" s="76"/>
    </row>
    <row r="41" spans="1:55" s="81" customFormat="1" ht="12.95" customHeight="1">
      <c r="A41" s="82">
        <v>35</v>
      </c>
      <c r="B41" s="83" t="s">
        <v>97</v>
      </c>
      <c r="C41" s="84"/>
      <c r="D41" s="84"/>
      <c r="E41" s="84"/>
      <c r="F41" s="85" t="s">
        <v>63</v>
      </c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5" t="s">
        <v>61</v>
      </c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76"/>
      <c r="AW41" s="76"/>
      <c r="AX41" s="76"/>
      <c r="AY41" s="76"/>
      <c r="AZ41" s="76"/>
      <c r="BA41" s="76"/>
      <c r="BB41" s="76"/>
      <c r="BC41" s="76"/>
    </row>
    <row r="42" spans="1:55" s="81" customFormat="1" ht="12.95" customHeight="1">
      <c r="A42" s="82">
        <v>36</v>
      </c>
      <c r="B42" s="83" t="s">
        <v>98</v>
      </c>
      <c r="C42" s="84"/>
      <c r="D42" s="84"/>
      <c r="E42" s="85" t="s">
        <v>63</v>
      </c>
      <c r="F42" s="84"/>
      <c r="G42" s="84"/>
      <c r="H42" s="84"/>
      <c r="I42" s="84"/>
      <c r="J42" s="84"/>
      <c r="K42" s="85" t="s">
        <v>62</v>
      </c>
      <c r="L42" s="84"/>
      <c r="M42" s="85"/>
      <c r="N42" s="85" t="s">
        <v>63</v>
      </c>
      <c r="O42" s="85" t="s">
        <v>63</v>
      </c>
      <c r="P42" s="84"/>
      <c r="Q42" s="84"/>
      <c r="R42" s="84"/>
      <c r="S42" s="84"/>
      <c r="T42" s="85" t="s">
        <v>62</v>
      </c>
      <c r="U42" s="84"/>
      <c r="V42" s="84"/>
      <c r="W42" s="84"/>
      <c r="X42" s="84"/>
      <c r="Y42" s="84"/>
      <c r="Z42" s="84"/>
      <c r="AA42" s="84"/>
      <c r="AB42" s="85" t="s">
        <v>62</v>
      </c>
      <c r="AC42" s="84"/>
      <c r="AD42" s="84"/>
      <c r="AE42" s="84"/>
      <c r="AF42" s="84"/>
      <c r="AG42" s="84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76"/>
      <c r="AW42" s="76"/>
      <c r="AX42" s="76"/>
      <c r="AY42" s="76"/>
      <c r="AZ42" s="76"/>
      <c r="BA42" s="76"/>
      <c r="BB42" s="76"/>
      <c r="BC42" s="76"/>
    </row>
    <row r="43" spans="1:55" s="81" customFormat="1" ht="12.95" customHeight="1">
      <c r="A43" s="82">
        <v>37</v>
      </c>
      <c r="B43" s="83" t="s">
        <v>99</v>
      </c>
      <c r="C43" s="84"/>
      <c r="D43" s="84"/>
      <c r="E43" s="84"/>
      <c r="F43" s="85" t="s">
        <v>62</v>
      </c>
      <c r="G43" s="84"/>
      <c r="H43" s="84"/>
      <c r="I43" s="85" t="s">
        <v>63</v>
      </c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5" t="s">
        <v>63</v>
      </c>
      <c r="AC43" s="84"/>
      <c r="AD43" s="84"/>
      <c r="AE43" s="84"/>
      <c r="AF43" s="84"/>
      <c r="AG43" s="84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76"/>
      <c r="AW43" s="76"/>
      <c r="AX43" s="76"/>
      <c r="AY43" s="76"/>
      <c r="AZ43" s="76"/>
      <c r="BA43" s="76"/>
      <c r="BB43" s="76"/>
      <c r="BC43" s="76"/>
    </row>
    <row r="44" spans="1:55" s="81" customFormat="1" ht="12.95" customHeight="1">
      <c r="A44" s="82">
        <v>38</v>
      </c>
      <c r="B44" s="83" t="s">
        <v>100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5" t="s">
        <v>63</v>
      </c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76"/>
      <c r="AW44" s="76"/>
      <c r="AX44" s="76"/>
      <c r="AY44" s="76"/>
      <c r="AZ44" s="76"/>
      <c r="BA44" s="76"/>
      <c r="BB44" s="76"/>
      <c r="BC44" s="76"/>
    </row>
    <row r="45" spans="1:55" s="81" customFormat="1" ht="12.95" customHeight="1">
      <c r="A45" s="82">
        <v>39</v>
      </c>
      <c r="B45" s="83" t="s">
        <v>101</v>
      </c>
      <c r="C45" s="84"/>
      <c r="D45" s="84"/>
      <c r="E45" s="84"/>
      <c r="F45" s="84"/>
      <c r="G45" s="84"/>
      <c r="H45" s="84"/>
      <c r="I45" s="84"/>
      <c r="J45" s="84"/>
      <c r="K45" s="85"/>
      <c r="L45" s="84"/>
      <c r="M45" s="85" t="s">
        <v>63</v>
      </c>
      <c r="N45" s="84"/>
      <c r="O45" s="85" t="s">
        <v>63</v>
      </c>
      <c r="P45" s="85" t="s">
        <v>63</v>
      </c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76"/>
      <c r="AW45" s="76"/>
      <c r="AX45" s="76"/>
      <c r="AY45" s="76"/>
      <c r="AZ45" s="76"/>
      <c r="BA45" s="76"/>
      <c r="BB45" s="76"/>
      <c r="BC45" s="76"/>
    </row>
    <row r="46" spans="1:55" s="81" customFormat="1" ht="12.95" customHeight="1">
      <c r="A46" s="82">
        <v>40</v>
      </c>
      <c r="B46" s="83" t="s">
        <v>100</v>
      </c>
      <c r="C46" s="84"/>
      <c r="D46" s="84"/>
      <c r="E46" s="84"/>
      <c r="F46" s="84"/>
      <c r="G46" s="85" t="s">
        <v>62</v>
      </c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5" t="s">
        <v>62</v>
      </c>
      <c r="S46" s="85" t="s">
        <v>63</v>
      </c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76"/>
      <c r="AW46" s="76"/>
      <c r="AX46" s="76"/>
      <c r="AY46" s="76"/>
      <c r="AZ46" s="76"/>
      <c r="BA46" s="76"/>
      <c r="BB46" s="76"/>
      <c r="BC46" s="76"/>
    </row>
    <row r="47" spans="1:55" s="81" customFormat="1" ht="12.95" customHeight="1">
      <c r="A47" s="82">
        <v>41</v>
      </c>
      <c r="B47" s="83" t="s">
        <v>102</v>
      </c>
      <c r="C47" s="84"/>
      <c r="D47" s="85" t="s">
        <v>62</v>
      </c>
      <c r="E47" s="84"/>
      <c r="F47" s="84"/>
      <c r="G47" s="84"/>
      <c r="H47" s="85" t="s">
        <v>63</v>
      </c>
      <c r="I47" s="84"/>
      <c r="J47" s="84"/>
      <c r="K47" s="84"/>
      <c r="L47" s="85" t="s">
        <v>63</v>
      </c>
      <c r="M47" s="84"/>
      <c r="N47" s="84"/>
      <c r="O47" s="84"/>
      <c r="P47" s="84"/>
      <c r="Q47" s="84"/>
      <c r="R47" s="84"/>
      <c r="S47" s="85" t="s">
        <v>62</v>
      </c>
      <c r="T47" s="84"/>
      <c r="U47" s="84"/>
      <c r="V47" s="84"/>
      <c r="W47" s="84"/>
      <c r="X47" s="84"/>
      <c r="Y47" s="84"/>
      <c r="Z47" s="84"/>
      <c r="AA47" s="84"/>
      <c r="AB47" s="85" t="s">
        <v>62</v>
      </c>
      <c r="AC47" s="84"/>
      <c r="AD47" s="84"/>
      <c r="AE47" s="84"/>
      <c r="AF47" s="84"/>
      <c r="AG47" s="84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76"/>
      <c r="AW47" s="76"/>
      <c r="AX47" s="76"/>
      <c r="AY47" s="76"/>
      <c r="AZ47" s="76"/>
      <c r="BA47" s="76"/>
      <c r="BB47" s="76"/>
      <c r="BC47" s="76"/>
    </row>
    <row r="48" spans="1:55" s="81" customFormat="1" ht="12.95" customHeight="1">
      <c r="A48" s="82">
        <v>42</v>
      </c>
      <c r="B48" s="83" t="s">
        <v>103</v>
      </c>
      <c r="C48" s="84"/>
      <c r="D48" s="85" t="s">
        <v>61</v>
      </c>
      <c r="E48" s="85" t="s">
        <v>61</v>
      </c>
      <c r="F48" s="85" t="s">
        <v>61</v>
      </c>
      <c r="G48" s="84"/>
      <c r="H48" s="85" t="s">
        <v>61</v>
      </c>
      <c r="I48" s="84"/>
      <c r="J48" s="84"/>
      <c r="K48" s="84"/>
      <c r="L48" s="85" t="s">
        <v>61</v>
      </c>
      <c r="M48" s="84"/>
      <c r="N48" s="85" t="s">
        <v>61</v>
      </c>
      <c r="O48" s="84"/>
      <c r="P48" s="85" t="s">
        <v>61</v>
      </c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5" t="s">
        <v>63</v>
      </c>
      <c r="AE48" s="84"/>
      <c r="AF48" s="85" t="s">
        <v>61</v>
      </c>
      <c r="AG48" s="85" t="s">
        <v>61</v>
      </c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76"/>
      <c r="AW48" s="76"/>
      <c r="AX48" s="76"/>
      <c r="AY48" s="76"/>
      <c r="AZ48" s="76"/>
      <c r="BA48" s="76"/>
      <c r="BB48" s="76"/>
      <c r="BC48" s="76"/>
    </row>
    <row r="49" spans="1:55" s="81" customFormat="1" ht="12.95" customHeight="1">
      <c r="A49" s="82">
        <v>43</v>
      </c>
      <c r="B49" s="83" t="s">
        <v>104</v>
      </c>
      <c r="C49" s="84"/>
      <c r="D49" s="84"/>
      <c r="E49" s="85" t="s">
        <v>62</v>
      </c>
      <c r="F49" s="84"/>
      <c r="G49" s="85" t="s">
        <v>63</v>
      </c>
      <c r="H49" s="84"/>
      <c r="I49" s="85" t="s">
        <v>63</v>
      </c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76"/>
      <c r="AW49" s="76"/>
      <c r="AX49" s="76"/>
      <c r="AY49" s="76"/>
      <c r="AZ49" s="76"/>
      <c r="BA49" s="76"/>
      <c r="BB49" s="76"/>
      <c r="BC49" s="76"/>
    </row>
    <row r="50" spans="1:55" s="81" customFormat="1" ht="12.95" customHeight="1">
      <c r="A50" s="82">
        <v>44</v>
      </c>
      <c r="B50" s="83" t="s">
        <v>105</v>
      </c>
      <c r="C50" s="84"/>
      <c r="D50" s="84"/>
      <c r="E50" s="84"/>
      <c r="F50" s="84"/>
      <c r="G50" s="84"/>
      <c r="H50" s="84"/>
      <c r="I50" s="84"/>
      <c r="J50" s="84"/>
      <c r="K50" s="84"/>
      <c r="L50" s="85" t="s">
        <v>62</v>
      </c>
      <c r="M50" s="84"/>
      <c r="N50" s="84"/>
      <c r="O50" s="84"/>
      <c r="P50" s="85" t="s">
        <v>63</v>
      </c>
      <c r="Q50" s="84"/>
      <c r="R50" s="84"/>
      <c r="S50" s="84"/>
      <c r="T50" s="85" t="s">
        <v>63</v>
      </c>
      <c r="U50" s="84"/>
      <c r="V50" s="84"/>
      <c r="W50" s="84"/>
      <c r="X50" s="84"/>
      <c r="Y50" s="84"/>
      <c r="Z50" s="84"/>
      <c r="AA50" s="84"/>
      <c r="AB50" s="85" t="s">
        <v>62</v>
      </c>
      <c r="AC50" s="84"/>
      <c r="AD50" s="85" t="s">
        <v>63</v>
      </c>
      <c r="AE50" s="84"/>
      <c r="AF50" s="84"/>
      <c r="AG50" s="84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76"/>
      <c r="AW50" s="76"/>
      <c r="AX50" s="76"/>
      <c r="AY50" s="76"/>
      <c r="AZ50" s="76"/>
      <c r="BA50" s="76"/>
      <c r="BB50" s="76"/>
      <c r="BC50" s="76"/>
    </row>
    <row r="51" spans="1:55" s="81" customFormat="1" ht="12.95" customHeight="1">
      <c r="A51" s="82">
        <v>46</v>
      </c>
      <c r="B51" s="83" t="s">
        <v>106</v>
      </c>
      <c r="C51" s="84"/>
      <c r="D51" s="84"/>
      <c r="E51" s="84"/>
      <c r="F51" s="85" t="s">
        <v>62</v>
      </c>
      <c r="G51" s="84"/>
      <c r="H51" s="85" t="s">
        <v>63</v>
      </c>
      <c r="I51" s="84"/>
      <c r="J51" s="84"/>
      <c r="K51" s="84"/>
      <c r="L51" s="85" t="s">
        <v>62</v>
      </c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76"/>
      <c r="AW51" s="76"/>
      <c r="AX51" s="76"/>
      <c r="AY51" s="76"/>
      <c r="AZ51" s="76"/>
      <c r="BA51" s="76"/>
      <c r="BB51" s="76"/>
      <c r="BC51" s="76"/>
    </row>
    <row r="52" spans="1:55" s="81" customFormat="1" ht="12.95" customHeight="1">
      <c r="A52" s="82">
        <v>47</v>
      </c>
      <c r="B52" s="83" t="s">
        <v>107</v>
      </c>
      <c r="C52" s="84"/>
      <c r="D52" s="84"/>
      <c r="E52" s="85" t="s">
        <v>63</v>
      </c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5" t="s">
        <v>63</v>
      </c>
      <c r="AG52" s="84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76"/>
      <c r="AW52" s="76"/>
      <c r="AX52" s="76"/>
      <c r="AY52" s="76"/>
      <c r="AZ52" s="76"/>
      <c r="BA52" s="76"/>
      <c r="BB52" s="76"/>
      <c r="BC52" s="76"/>
    </row>
    <row r="53" spans="1:55" s="81" customFormat="1" ht="12.95" customHeight="1">
      <c r="A53" s="82">
        <v>48</v>
      </c>
      <c r="B53" s="83" t="s">
        <v>108</v>
      </c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5" t="s">
        <v>63</v>
      </c>
      <c r="U53" s="84"/>
      <c r="V53" s="84"/>
      <c r="W53" s="84"/>
      <c r="X53" s="84"/>
      <c r="Y53" s="84"/>
      <c r="Z53" s="84"/>
      <c r="AA53" s="84"/>
      <c r="AB53" s="85" t="s">
        <v>63</v>
      </c>
      <c r="AC53" s="84"/>
      <c r="AD53" s="84"/>
      <c r="AE53" s="84"/>
      <c r="AF53" s="84"/>
      <c r="AG53" s="84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76"/>
      <c r="AW53" s="76"/>
      <c r="AX53" s="76"/>
      <c r="AY53" s="76"/>
      <c r="AZ53" s="76"/>
      <c r="BA53" s="76"/>
      <c r="BB53" s="76"/>
      <c r="BC53" s="76"/>
    </row>
    <row r="54" spans="1:55" s="81" customFormat="1" ht="12.95" customHeight="1">
      <c r="A54" s="82">
        <v>49</v>
      </c>
      <c r="B54" s="83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76"/>
      <c r="AW54" s="76"/>
      <c r="AX54" s="76"/>
      <c r="AY54" s="76"/>
      <c r="AZ54" s="76"/>
      <c r="BA54" s="76"/>
      <c r="BB54" s="76"/>
      <c r="BC54" s="76"/>
    </row>
    <row r="55" spans="1:55" s="81" customFormat="1" ht="12.95" customHeight="1">
      <c r="A55" s="82">
        <v>50</v>
      </c>
      <c r="B55" s="83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76"/>
      <c r="AW55" s="76"/>
      <c r="AX55" s="76"/>
      <c r="AY55" s="76"/>
      <c r="AZ55" s="76"/>
      <c r="BA55" s="76"/>
      <c r="BB55" s="76"/>
      <c r="BC55" s="76"/>
    </row>
    <row r="56" spans="1:55" s="81" customFormat="1" ht="12.95" hidden="1" customHeight="1">
      <c r="A56" s="82">
        <v>51</v>
      </c>
      <c r="B56" s="83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76"/>
      <c r="AW56" s="76"/>
      <c r="AX56" s="76"/>
      <c r="AY56" s="76"/>
      <c r="AZ56" s="76"/>
      <c r="BA56" s="76"/>
      <c r="BB56" s="76"/>
      <c r="BC56" s="76"/>
    </row>
    <row r="57" spans="1:55" s="81" customFormat="1" ht="12.95" hidden="1" customHeight="1">
      <c r="A57" s="82">
        <v>52</v>
      </c>
      <c r="B57" s="83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76"/>
      <c r="AW57" s="76"/>
      <c r="AX57" s="76"/>
      <c r="AY57" s="76"/>
      <c r="AZ57" s="76"/>
      <c r="BA57" s="76"/>
      <c r="BB57" s="76"/>
      <c r="BC57" s="76"/>
    </row>
    <row r="58" spans="1:55" s="81" customFormat="1" ht="12.95" hidden="1" customHeight="1">
      <c r="A58" s="82">
        <v>53</v>
      </c>
      <c r="B58" s="83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76"/>
      <c r="AW58" s="76"/>
      <c r="AX58" s="76"/>
      <c r="AY58" s="76"/>
      <c r="AZ58" s="76"/>
      <c r="BA58" s="76"/>
      <c r="BB58" s="76"/>
      <c r="BC58" s="76"/>
    </row>
    <row r="59" spans="1:55" s="81" customFormat="1" ht="12.95" hidden="1" customHeight="1">
      <c r="A59" s="82">
        <v>54</v>
      </c>
      <c r="B59" s="83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76"/>
      <c r="AW59" s="76"/>
      <c r="AX59" s="76"/>
      <c r="AY59" s="76"/>
      <c r="AZ59" s="76"/>
      <c r="BA59" s="76"/>
      <c r="BB59" s="76"/>
      <c r="BC59" s="76"/>
    </row>
    <row r="60" spans="1:55" s="81" customFormat="1" ht="12.95" hidden="1" customHeight="1">
      <c r="A60" s="82">
        <v>55</v>
      </c>
      <c r="B60" s="83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76"/>
      <c r="AW60" s="76"/>
      <c r="AX60" s="76"/>
      <c r="AY60" s="76"/>
      <c r="AZ60" s="76"/>
      <c r="BA60" s="76"/>
      <c r="BB60" s="76"/>
      <c r="BC60" s="76"/>
    </row>
    <row r="61" spans="1:55" s="81" customFormat="1" ht="12.95" hidden="1" customHeight="1">
      <c r="A61" s="82">
        <v>56</v>
      </c>
      <c r="B61" s="83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76"/>
      <c r="AW61" s="76"/>
      <c r="AX61" s="76"/>
      <c r="AY61" s="76"/>
      <c r="AZ61" s="76"/>
      <c r="BA61" s="76"/>
      <c r="BB61" s="76"/>
      <c r="BC61" s="76"/>
    </row>
    <row r="62" spans="1:55" s="81" customFormat="1" ht="12.95" hidden="1" customHeight="1">
      <c r="A62" s="82">
        <v>57</v>
      </c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76"/>
      <c r="AW62" s="76"/>
      <c r="AX62" s="76"/>
      <c r="AY62" s="76"/>
      <c r="AZ62" s="76"/>
      <c r="BA62" s="76"/>
      <c r="BB62" s="76"/>
      <c r="BC62" s="76"/>
    </row>
    <row r="63" spans="1:55" s="81" customFormat="1" ht="12.95" hidden="1" customHeight="1">
      <c r="A63" s="82">
        <v>58</v>
      </c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76"/>
      <c r="AW63" s="76"/>
      <c r="AX63" s="76"/>
      <c r="AY63" s="76"/>
      <c r="AZ63" s="76"/>
      <c r="BA63" s="76"/>
      <c r="BB63" s="76"/>
      <c r="BC63" s="76"/>
    </row>
    <row r="64" spans="1:55" s="81" customFormat="1" ht="12.95" hidden="1" customHeight="1">
      <c r="A64" s="82">
        <v>59</v>
      </c>
      <c r="B64" s="83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76"/>
      <c r="AW64" s="76"/>
      <c r="AX64" s="76"/>
      <c r="AY64" s="76"/>
      <c r="AZ64" s="76"/>
      <c r="BA64" s="76"/>
      <c r="BB64" s="76"/>
      <c r="BC64" s="76"/>
    </row>
    <row r="65" spans="1:55" s="81" customFormat="1" ht="12.95" hidden="1" customHeight="1">
      <c r="A65" s="82">
        <v>60</v>
      </c>
      <c r="B65" s="83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76"/>
      <c r="AW65" s="76"/>
      <c r="AX65" s="76"/>
      <c r="AY65" s="76"/>
      <c r="AZ65" s="76"/>
      <c r="BA65" s="76"/>
      <c r="BB65" s="76"/>
      <c r="BC65" s="76"/>
    </row>
    <row r="66" spans="1:55" s="81" customFormat="1" ht="12.95" hidden="1" customHeight="1">
      <c r="A66" s="82">
        <v>61</v>
      </c>
      <c r="B66" s="83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76"/>
      <c r="AW66" s="76"/>
      <c r="AX66" s="76"/>
      <c r="AY66" s="76"/>
      <c r="AZ66" s="76"/>
      <c r="BA66" s="76"/>
      <c r="BB66" s="76"/>
      <c r="BC66" s="76"/>
    </row>
    <row r="67" spans="1:55" s="81" customFormat="1" ht="12.95" hidden="1" customHeight="1">
      <c r="A67" s="82">
        <v>62</v>
      </c>
      <c r="B67" s="83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76"/>
      <c r="AW67" s="76"/>
      <c r="AX67" s="76"/>
      <c r="AY67" s="76"/>
      <c r="AZ67" s="76"/>
      <c r="BA67" s="76"/>
      <c r="BB67" s="76"/>
      <c r="BC67" s="76"/>
    </row>
    <row r="68" spans="1:55" s="81" customFormat="1" ht="12.95" hidden="1" customHeight="1">
      <c r="A68" s="82">
        <v>63</v>
      </c>
      <c r="B68" s="83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76"/>
      <c r="AW68" s="76"/>
      <c r="AX68" s="76"/>
      <c r="AY68" s="76"/>
      <c r="AZ68" s="76"/>
      <c r="BA68" s="76"/>
      <c r="BB68" s="76"/>
      <c r="BC68" s="76"/>
    </row>
    <row r="69" spans="1:55" s="81" customFormat="1" ht="12.95" hidden="1" customHeight="1">
      <c r="A69" s="82">
        <v>64</v>
      </c>
      <c r="B69" s="83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76"/>
      <c r="AW69" s="76"/>
      <c r="AX69" s="76"/>
      <c r="AY69" s="76"/>
      <c r="AZ69" s="76"/>
      <c r="BA69" s="76"/>
      <c r="BB69" s="76"/>
      <c r="BC69" s="76"/>
    </row>
    <row r="70" spans="1:55" s="81" customFormat="1" ht="12.95" hidden="1" customHeight="1">
      <c r="A70" s="82">
        <v>65</v>
      </c>
      <c r="B70" s="83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76"/>
      <c r="AW70" s="76"/>
      <c r="AX70" s="76"/>
      <c r="AY70" s="76"/>
      <c r="AZ70" s="76"/>
      <c r="BA70" s="76"/>
      <c r="BB70" s="76"/>
      <c r="BC70" s="76"/>
    </row>
    <row r="71" spans="1:55" s="81" customFormat="1" ht="12.95" hidden="1" customHeight="1">
      <c r="A71" s="82">
        <v>66</v>
      </c>
      <c r="B71" s="83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76"/>
      <c r="AW71" s="76"/>
      <c r="AX71" s="76"/>
      <c r="AY71" s="76"/>
      <c r="AZ71" s="76"/>
      <c r="BA71" s="76"/>
      <c r="BB71" s="76"/>
      <c r="BC71" s="76"/>
    </row>
    <row r="72" spans="1:55" s="81" customFormat="1" ht="12.95" hidden="1" customHeight="1">
      <c r="A72" s="82">
        <v>67</v>
      </c>
      <c r="B72" s="83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76"/>
      <c r="AW72" s="76"/>
      <c r="AX72" s="76"/>
      <c r="AY72" s="76"/>
      <c r="AZ72" s="76"/>
      <c r="BA72" s="76"/>
      <c r="BB72" s="76"/>
      <c r="BC72" s="76"/>
    </row>
    <row r="73" spans="1:55" s="81" customFormat="1" ht="12.95" hidden="1" customHeight="1">
      <c r="A73" s="82">
        <v>68</v>
      </c>
      <c r="B73" s="83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76"/>
      <c r="AW73" s="76"/>
      <c r="AX73" s="76"/>
      <c r="AY73" s="76"/>
      <c r="AZ73" s="76"/>
      <c r="BA73" s="76"/>
      <c r="BB73" s="76"/>
      <c r="BC73" s="76"/>
    </row>
    <row r="74" spans="1:55" s="81" customFormat="1" ht="12.95" hidden="1" customHeight="1">
      <c r="A74" s="82">
        <v>69</v>
      </c>
      <c r="B74" s="83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76"/>
      <c r="AW74" s="76"/>
      <c r="AX74" s="76"/>
      <c r="AY74" s="76"/>
      <c r="AZ74" s="76"/>
      <c r="BA74" s="76"/>
      <c r="BB74" s="76"/>
      <c r="BC74" s="76"/>
    </row>
    <row r="75" spans="1:55" s="81" customFormat="1" ht="12.95" hidden="1" customHeight="1">
      <c r="A75" s="82">
        <v>70</v>
      </c>
      <c r="B75" s="83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76"/>
      <c r="AW75" s="76"/>
      <c r="AX75" s="76"/>
      <c r="AY75" s="76"/>
      <c r="AZ75" s="76"/>
      <c r="BA75" s="76"/>
      <c r="BB75" s="76"/>
      <c r="BC75" s="76"/>
    </row>
    <row r="76" spans="1:55" s="81" customFormat="1" ht="12.95" hidden="1" customHeight="1">
      <c r="A76" s="82">
        <v>71</v>
      </c>
      <c r="B76" s="83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76"/>
      <c r="AW76" s="76"/>
      <c r="AX76" s="76"/>
      <c r="AY76" s="76"/>
      <c r="AZ76" s="76"/>
      <c r="BA76" s="76"/>
      <c r="BB76" s="76"/>
      <c r="BC76" s="76"/>
    </row>
    <row r="77" spans="1:55" s="81" customFormat="1" ht="12.95" hidden="1" customHeight="1">
      <c r="A77" s="82">
        <v>72</v>
      </c>
      <c r="B77" s="83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76"/>
      <c r="AW77" s="76"/>
      <c r="AX77" s="76"/>
      <c r="AY77" s="76"/>
      <c r="AZ77" s="76"/>
      <c r="BA77" s="76"/>
      <c r="BB77" s="76"/>
      <c r="BC77" s="76"/>
    </row>
    <row r="78" spans="1:55" s="81" customFormat="1" ht="12.95" hidden="1" customHeight="1">
      <c r="A78" s="82">
        <v>73</v>
      </c>
      <c r="B78" s="83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76"/>
      <c r="AW78" s="76"/>
      <c r="AX78" s="76"/>
      <c r="AY78" s="76"/>
      <c r="AZ78" s="76"/>
      <c r="BA78" s="76"/>
      <c r="BB78" s="76"/>
      <c r="BC78" s="76"/>
    </row>
    <row r="79" spans="1:55" s="81" customFormat="1" ht="12.95" hidden="1" customHeight="1">
      <c r="A79" s="82">
        <v>74</v>
      </c>
      <c r="B79" s="83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76"/>
      <c r="AW79" s="76"/>
      <c r="AX79" s="76"/>
      <c r="AY79" s="76"/>
      <c r="AZ79" s="76"/>
      <c r="BA79" s="76"/>
      <c r="BB79" s="76"/>
      <c r="BC79" s="76"/>
    </row>
    <row r="80" spans="1:55" s="81" customFormat="1" ht="12.95" hidden="1" customHeight="1">
      <c r="A80" s="82">
        <v>75</v>
      </c>
      <c r="B80" s="83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76"/>
      <c r="AW80" s="76"/>
      <c r="AX80" s="76"/>
      <c r="AY80" s="76"/>
      <c r="AZ80" s="76"/>
      <c r="BA80" s="76"/>
      <c r="BB80" s="76"/>
      <c r="BC80" s="76"/>
    </row>
    <row r="81" spans="1:55" s="81" customFormat="1" ht="12.95" hidden="1" customHeight="1">
      <c r="A81" s="82">
        <v>76</v>
      </c>
      <c r="B81" s="83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76"/>
      <c r="AW81" s="76"/>
      <c r="AX81" s="76"/>
      <c r="AY81" s="76"/>
      <c r="AZ81" s="76"/>
      <c r="BA81" s="76"/>
      <c r="BB81" s="76"/>
      <c r="BC81" s="76"/>
    </row>
    <row r="82" spans="1:55" s="81" customFormat="1" ht="12.95" hidden="1" customHeight="1">
      <c r="A82" s="82">
        <v>77</v>
      </c>
      <c r="B82" s="83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76"/>
      <c r="AW82" s="76"/>
      <c r="AX82" s="76"/>
      <c r="AY82" s="76"/>
      <c r="AZ82" s="76"/>
      <c r="BA82" s="76"/>
      <c r="BB82" s="76"/>
      <c r="BC82" s="76"/>
    </row>
    <row r="83" spans="1:55" s="81" customFormat="1" ht="12.95" hidden="1" customHeight="1">
      <c r="A83" s="82">
        <v>78</v>
      </c>
      <c r="B83" s="83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76"/>
      <c r="AW83" s="76"/>
      <c r="AX83" s="76"/>
      <c r="AY83" s="76"/>
      <c r="AZ83" s="76"/>
      <c r="BA83" s="76"/>
      <c r="BB83" s="76"/>
      <c r="BC83" s="76"/>
    </row>
    <row r="84" spans="1:55" s="81" customFormat="1" ht="12.95" hidden="1" customHeight="1">
      <c r="A84" s="82">
        <v>79</v>
      </c>
      <c r="B84" s="83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76"/>
      <c r="AW84" s="76"/>
      <c r="AX84" s="76"/>
      <c r="AY84" s="76"/>
      <c r="AZ84" s="76"/>
      <c r="BA84" s="76"/>
      <c r="BB84" s="76"/>
      <c r="BC84" s="76"/>
    </row>
    <row r="85" spans="1:55" s="81" customFormat="1" ht="12.95" hidden="1" customHeight="1">
      <c r="A85" s="82">
        <v>80</v>
      </c>
      <c r="B85" s="83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76"/>
      <c r="AW85" s="76"/>
      <c r="AX85" s="76"/>
      <c r="AY85" s="76"/>
      <c r="AZ85" s="76"/>
      <c r="BA85" s="76"/>
      <c r="BB85" s="76"/>
      <c r="BC85" s="76"/>
    </row>
    <row r="86" spans="1:55" s="81" customFormat="1" ht="12.95" hidden="1" customHeight="1">
      <c r="A86" s="82">
        <v>81</v>
      </c>
      <c r="B86" s="83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76"/>
      <c r="AW86" s="76"/>
      <c r="AX86" s="76"/>
      <c r="AY86" s="76"/>
      <c r="AZ86" s="76"/>
      <c r="BA86" s="76"/>
      <c r="BB86" s="76"/>
      <c r="BC86" s="76"/>
    </row>
    <row r="87" spans="1:55" s="81" customFormat="1" ht="12.95" hidden="1" customHeight="1">
      <c r="A87" s="82">
        <v>82</v>
      </c>
      <c r="B87" s="83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76"/>
      <c r="AW87" s="76"/>
      <c r="AX87" s="76"/>
      <c r="AY87" s="76"/>
      <c r="AZ87" s="76"/>
      <c r="BA87" s="76"/>
      <c r="BB87" s="76"/>
      <c r="BC87" s="76"/>
    </row>
    <row r="88" spans="1:55" s="81" customFormat="1" ht="12.95" hidden="1" customHeight="1">
      <c r="A88" s="82">
        <v>83</v>
      </c>
      <c r="B88" s="83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76"/>
      <c r="AW88" s="76"/>
      <c r="AX88" s="76"/>
      <c r="AY88" s="76"/>
      <c r="AZ88" s="76"/>
      <c r="BA88" s="76"/>
      <c r="BB88" s="76"/>
      <c r="BC88" s="76"/>
    </row>
    <row r="89" spans="1:55" s="81" customFormat="1" ht="12.95" hidden="1" customHeight="1">
      <c r="A89" s="82">
        <v>84</v>
      </c>
      <c r="B89" s="83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76"/>
      <c r="AW89" s="76"/>
      <c r="AX89" s="76"/>
      <c r="AY89" s="76"/>
      <c r="AZ89" s="76"/>
      <c r="BA89" s="76"/>
      <c r="BB89" s="76"/>
      <c r="BC89" s="76"/>
    </row>
    <row r="90" spans="1:55" s="81" customFormat="1" ht="12.95" hidden="1" customHeight="1">
      <c r="A90" s="82">
        <v>85</v>
      </c>
      <c r="B90" s="83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76"/>
      <c r="AW90" s="76"/>
      <c r="AX90" s="76"/>
      <c r="AY90" s="76"/>
      <c r="AZ90" s="76"/>
      <c r="BA90" s="76"/>
      <c r="BB90" s="76"/>
      <c r="BC90" s="76"/>
    </row>
    <row r="91" spans="1:55" s="81" customFormat="1" ht="12.95" hidden="1" customHeight="1">
      <c r="A91" s="82">
        <v>86</v>
      </c>
      <c r="B91" s="83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76"/>
      <c r="AW91" s="76"/>
      <c r="AX91" s="76"/>
      <c r="AY91" s="76"/>
      <c r="AZ91" s="76"/>
      <c r="BA91" s="76"/>
      <c r="BB91" s="76"/>
      <c r="BC91" s="76"/>
    </row>
    <row r="92" spans="1:55" s="81" customFormat="1" ht="12.95" hidden="1" customHeight="1">
      <c r="A92" s="82">
        <v>87</v>
      </c>
      <c r="B92" s="83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76"/>
      <c r="AW92" s="76"/>
      <c r="AX92" s="76"/>
      <c r="AY92" s="76"/>
      <c r="AZ92" s="76"/>
      <c r="BA92" s="76"/>
      <c r="BB92" s="76"/>
      <c r="BC92" s="76"/>
    </row>
    <row r="93" spans="1:55" s="81" customFormat="1" ht="12.95" hidden="1" customHeight="1">
      <c r="A93" s="82">
        <v>88</v>
      </c>
      <c r="B93" s="83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76"/>
      <c r="AW93" s="76"/>
      <c r="AX93" s="76"/>
      <c r="AY93" s="76"/>
      <c r="AZ93" s="76"/>
      <c r="BA93" s="76"/>
      <c r="BB93" s="76"/>
      <c r="BC93" s="76"/>
    </row>
    <row r="94" spans="1:55" s="81" customFormat="1" ht="12.95" hidden="1" customHeight="1">
      <c r="A94" s="82">
        <v>89</v>
      </c>
      <c r="B94" s="83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76"/>
      <c r="AW94" s="76"/>
      <c r="AX94" s="76"/>
      <c r="AY94" s="76"/>
      <c r="AZ94" s="76"/>
      <c r="BA94" s="76"/>
      <c r="BB94" s="76"/>
      <c r="BC94" s="76"/>
    </row>
    <row r="95" spans="1:55" s="81" customFormat="1" ht="12.95" hidden="1" customHeight="1">
      <c r="A95" s="82">
        <v>90</v>
      </c>
      <c r="B95" s="83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76"/>
      <c r="AW95" s="76"/>
      <c r="AX95" s="76"/>
      <c r="AY95" s="76"/>
      <c r="AZ95" s="76"/>
      <c r="BA95" s="76"/>
      <c r="BB95" s="76"/>
      <c r="BC95" s="76"/>
    </row>
    <row r="96" spans="1:55" s="81" customFormat="1" ht="12.95" hidden="1" customHeight="1">
      <c r="A96" s="82">
        <v>91</v>
      </c>
      <c r="B96" s="83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76"/>
      <c r="AW96" s="76"/>
      <c r="AX96" s="76"/>
      <c r="AY96" s="76"/>
      <c r="AZ96" s="76"/>
      <c r="BA96" s="76"/>
      <c r="BB96" s="76"/>
      <c r="BC96" s="76"/>
    </row>
    <row r="97" spans="1:55" s="81" customFormat="1" ht="12.95" hidden="1" customHeight="1">
      <c r="A97" s="82">
        <v>92</v>
      </c>
      <c r="B97" s="83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76"/>
      <c r="AW97" s="76"/>
      <c r="AX97" s="76"/>
      <c r="AY97" s="76"/>
      <c r="AZ97" s="76"/>
      <c r="BA97" s="76"/>
      <c r="BB97" s="76"/>
      <c r="BC97" s="76"/>
    </row>
    <row r="98" spans="1:55" s="81" customFormat="1" ht="12.95" hidden="1" customHeight="1">
      <c r="A98" s="82">
        <v>93</v>
      </c>
      <c r="B98" s="83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76"/>
      <c r="AW98" s="76"/>
      <c r="AX98" s="76"/>
      <c r="AY98" s="76"/>
      <c r="AZ98" s="76"/>
      <c r="BA98" s="76"/>
      <c r="BB98" s="76"/>
      <c r="BC98" s="76"/>
    </row>
    <row r="99" spans="1:55" s="81" customFormat="1" ht="12.95" hidden="1" customHeight="1">
      <c r="A99" s="82">
        <v>94</v>
      </c>
      <c r="B99" s="83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76"/>
      <c r="AW99" s="76"/>
      <c r="AX99" s="76"/>
      <c r="AY99" s="76"/>
      <c r="AZ99" s="76"/>
      <c r="BA99" s="76"/>
      <c r="BB99" s="76"/>
      <c r="BC99" s="76"/>
    </row>
    <row r="100" spans="1:55" s="81" customFormat="1" ht="12.95" hidden="1" customHeight="1">
      <c r="A100" s="82">
        <v>95</v>
      </c>
      <c r="B100" s="83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76"/>
      <c r="AW100" s="76"/>
      <c r="AX100" s="76"/>
      <c r="AY100" s="76"/>
      <c r="AZ100" s="76"/>
      <c r="BA100" s="76"/>
      <c r="BB100" s="76"/>
      <c r="BC100" s="76"/>
    </row>
    <row r="101" spans="1:55" s="81" customFormat="1" ht="12.95" hidden="1" customHeight="1">
      <c r="A101" s="82">
        <v>96</v>
      </c>
      <c r="B101" s="83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76"/>
      <c r="AW101" s="76"/>
      <c r="AX101" s="76"/>
      <c r="AY101" s="76"/>
      <c r="AZ101" s="76"/>
      <c r="BA101" s="76"/>
      <c r="BB101" s="76"/>
      <c r="BC101" s="76"/>
    </row>
    <row r="102" spans="1:55" s="81" customFormat="1" ht="12.95" hidden="1" customHeight="1">
      <c r="A102" s="82">
        <v>97</v>
      </c>
      <c r="B102" s="83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76"/>
      <c r="AW102" s="76"/>
      <c r="AX102" s="76"/>
      <c r="AY102" s="76"/>
      <c r="AZ102" s="76"/>
      <c r="BA102" s="76"/>
      <c r="BB102" s="76"/>
      <c r="BC102" s="76"/>
    </row>
    <row r="103" spans="1:55" s="81" customFormat="1" ht="12.95" hidden="1" customHeight="1">
      <c r="A103" s="82">
        <v>98</v>
      </c>
      <c r="B103" s="83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76"/>
      <c r="AW103" s="76"/>
      <c r="AX103" s="76"/>
      <c r="AY103" s="76"/>
      <c r="AZ103" s="76"/>
      <c r="BA103" s="76"/>
      <c r="BB103" s="76"/>
      <c r="BC103" s="76"/>
    </row>
    <row r="104" spans="1:55" s="81" customFormat="1" ht="12.95" hidden="1" customHeight="1">
      <c r="A104" s="82">
        <v>99</v>
      </c>
      <c r="B104" s="83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76"/>
      <c r="AW104" s="76"/>
      <c r="AX104" s="76"/>
      <c r="AY104" s="76"/>
      <c r="AZ104" s="76"/>
      <c r="BA104" s="76"/>
      <c r="BB104" s="76"/>
      <c r="BC104" s="76"/>
    </row>
    <row r="105" spans="1:55" s="81" customFormat="1" ht="12.95" hidden="1" customHeight="1">
      <c r="A105" s="82">
        <v>100</v>
      </c>
      <c r="B105" s="83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76"/>
      <c r="AW105" s="76"/>
      <c r="AX105" s="76"/>
      <c r="AY105" s="76"/>
      <c r="AZ105" s="76"/>
      <c r="BA105" s="76"/>
      <c r="BB105" s="76"/>
      <c r="BC105" s="76"/>
    </row>
    <row r="106" spans="1:55" s="81" customFormat="1" ht="12.95" hidden="1" customHeight="1">
      <c r="A106" s="82">
        <v>101</v>
      </c>
      <c r="B106" s="83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76"/>
      <c r="AW106" s="76"/>
      <c r="AX106" s="76"/>
      <c r="AY106" s="76"/>
      <c r="AZ106" s="76"/>
      <c r="BA106" s="76"/>
      <c r="BB106" s="76"/>
      <c r="BC106" s="76"/>
    </row>
    <row r="107" spans="1:55" s="81" customFormat="1" ht="12.95" hidden="1" customHeight="1">
      <c r="A107" s="82">
        <v>102</v>
      </c>
      <c r="B107" s="83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76"/>
      <c r="AW107" s="76"/>
      <c r="AX107" s="76"/>
      <c r="AY107" s="76"/>
      <c r="AZ107" s="76"/>
      <c r="BA107" s="76"/>
      <c r="BB107" s="76"/>
      <c r="BC107" s="76"/>
    </row>
    <row r="108" spans="1:55" s="81" customFormat="1" ht="12.95" hidden="1" customHeight="1">
      <c r="A108" s="82">
        <v>103</v>
      </c>
      <c r="B108" s="83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9" t="s">
        <v>51</v>
      </c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76"/>
      <c r="AW108" s="76"/>
      <c r="AX108" s="76"/>
      <c r="AY108" s="76"/>
      <c r="AZ108" s="76"/>
      <c r="BA108" s="76"/>
      <c r="BB108" s="76"/>
      <c r="BC108" s="76"/>
    </row>
    <row r="109" spans="1:55" s="81" customFormat="1" ht="12.95" hidden="1" customHeight="1">
      <c r="A109" s="82">
        <v>104</v>
      </c>
      <c r="B109" s="83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76"/>
      <c r="AW109" s="76"/>
      <c r="AX109" s="76"/>
      <c r="AY109" s="76"/>
      <c r="AZ109" s="76"/>
      <c r="BA109" s="76"/>
      <c r="BB109" s="76"/>
      <c r="BC109" s="76"/>
    </row>
    <row r="110" spans="1:55" s="81" customFormat="1" ht="12.95" hidden="1" customHeight="1">
      <c r="A110" s="82">
        <v>105</v>
      </c>
      <c r="B110" s="83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76"/>
      <c r="AW110" s="76"/>
      <c r="AX110" s="76"/>
      <c r="AY110" s="76"/>
      <c r="AZ110" s="76"/>
      <c r="BA110" s="76"/>
      <c r="BB110" s="76"/>
      <c r="BC110" s="76"/>
    </row>
    <row r="111" spans="1:55" s="81" customFormat="1" ht="12.95" hidden="1" customHeight="1">
      <c r="A111" s="82">
        <v>106</v>
      </c>
      <c r="B111" s="83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76"/>
      <c r="AW111" s="76"/>
      <c r="AX111" s="76"/>
      <c r="AY111" s="76"/>
      <c r="AZ111" s="76"/>
      <c r="BA111" s="76"/>
      <c r="BB111" s="76"/>
      <c r="BC111" s="76"/>
    </row>
    <row r="112" spans="1:55" s="81" customFormat="1" ht="12.95" hidden="1" customHeight="1">
      <c r="A112" s="82">
        <v>107</v>
      </c>
      <c r="B112" s="83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76"/>
      <c r="AW112" s="76"/>
      <c r="AX112" s="76"/>
      <c r="AY112" s="76"/>
      <c r="AZ112" s="76"/>
      <c r="BA112" s="76"/>
      <c r="BB112" s="76"/>
      <c r="BC112" s="76"/>
    </row>
    <row r="113" spans="1:55" s="81" customFormat="1" ht="12.95" hidden="1" customHeight="1">
      <c r="A113" s="82">
        <v>108</v>
      </c>
      <c r="B113" s="83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76"/>
      <c r="AW113" s="76"/>
      <c r="AX113" s="76"/>
      <c r="AY113" s="76"/>
      <c r="AZ113" s="76"/>
      <c r="BA113" s="76"/>
      <c r="BB113" s="76"/>
      <c r="BC113" s="76"/>
    </row>
    <row r="114" spans="1:55" s="81" customFormat="1" ht="12.95" hidden="1" customHeight="1">
      <c r="A114" s="82">
        <v>109</v>
      </c>
      <c r="B114" s="83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76"/>
      <c r="AW114" s="76"/>
      <c r="AX114" s="76"/>
      <c r="AY114" s="76"/>
      <c r="AZ114" s="76"/>
      <c r="BA114" s="76"/>
      <c r="BB114" s="76"/>
      <c r="BC114" s="76"/>
    </row>
    <row r="115" spans="1:55" s="81" customFormat="1" ht="12.95" hidden="1" customHeight="1">
      <c r="A115" s="82">
        <v>110</v>
      </c>
      <c r="B115" s="83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76"/>
      <c r="AW115" s="76"/>
      <c r="AX115" s="76"/>
      <c r="AY115" s="76"/>
      <c r="AZ115" s="76"/>
      <c r="BA115" s="76"/>
      <c r="BB115" s="76"/>
      <c r="BC115" s="76"/>
    </row>
    <row r="116" spans="1:55" s="81" customFormat="1" ht="12.95" hidden="1" customHeight="1">
      <c r="A116" s="82">
        <v>111</v>
      </c>
      <c r="B116" s="83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76"/>
      <c r="AW116" s="76"/>
      <c r="AX116" s="76"/>
      <c r="AY116" s="76"/>
      <c r="AZ116" s="76"/>
      <c r="BA116" s="76"/>
      <c r="BB116" s="76"/>
      <c r="BC116" s="76"/>
    </row>
    <row r="117" spans="1:55" s="81" customFormat="1" ht="12.95" hidden="1" customHeight="1">
      <c r="A117" s="82">
        <v>112</v>
      </c>
      <c r="B117" s="83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76"/>
      <c r="AW117" s="76"/>
      <c r="AX117" s="76"/>
      <c r="AY117" s="76"/>
      <c r="AZ117" s="76"/>
      <c r="BA117" s="76"/>
      <c r="BB117" s="76"/>
      <c r="BC117" s="76"/>
    </row>
    <row r="118" spans="1:55" s="81" customFormat="1" ht="12.95" hidden="1" customHeight="1">
      <c r="A118" s="82">
        <v>113</v>
      </c>
      <c r="B118" s="83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76"/>
      <c r="AW118" s="76"/>
      <c r="AX118" s="76"/>
      <c r="AY118" s="76"/>
      <c r="AZ118" s="76"/>
      <c r="BA118" s="76"/>
      <c r="BB118" s="76"/>
      <c r="BC118" s="76"/>
    </row>
    <row r="119" spans="1:55" s="81" customFormat="1" ht="12.95" hidden="1" customHeight="1">
      <c r="A119" s="82">
        <v>114</v>
      </c>
      <c r="B119" s="83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76"/>
      <c r="AW119" s="76"/>
      <c r="AX119" s="76"/>
      <c r="AY119" s="76"/>
      <c r="AZ119" s="76"/>
      <c r="BA119" s="76"/>
      <c r="BB119" s="76"/>
      <c r="BC119" s="76"/>
    </row>
    <row r="120" spans="1:55" s="81" customFormat="1" ht="12.95" hidden="1" customHeight="1">
      <c r="A120" s="82">
        <v>115</v>
      </c>
      <c r="B120" s="83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76"/>
      <c r="AW120" s="76"/>
      <c r="AX120" s="76"/>
      <c r="AY120" s="76"/>
      <c r="AZ120" s="76"/>
      <c r="BA120" s="76"/>
      <c r="BB120" s="76"/>
      <c r="BC120" s="76"/>
    </row>
    <row r="121" spans="1:55" s="81" customFormat="1" ht="12.95" hidden="1" customHeight="1">
      <c r="A121" s="82">
        <v>47</v>
      </c>
      <c r="B121" s="83"/>
      <c r="C121" s="84"/>
      <c r="D121" s="84"/>
      <c r="E121" s="85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76"/>
      <c r="AW121" s="76"/>
      <c r="AX121" s="76"/>
      <c r="AY121" s="76"/>
      <c r="AZ121" s="76"/>
      <c r="BA121" s="76"/>
      <c r="BB121" s="76"/>
      <c r="BC121" s="76"/>
    </row>
    <row r="122" spans="1:55" s="81" customFormat="1" ht="15" customHeight="1">
      <c r="A122" s="91"/>
      <c r="B122" s="92" t="s">
        <v>109</v>
      </c>
      <c r="C122" s="84">
        <f t="shared" ref="C122:AG122" si="0">COUNTA(C7:C121)</f>
        <v>0</v>
      </c>
      <c r="D122" s="84">
        <f t="shared" si="0"/>
        <v>11</v>
      </c>
      <c r="E122" s="84">
        <f t="shared" si="0"/>
        <v>14</v>
      </c>
      <c r="F122" s="84">
        <f t="shared" si="0"/>
        <v>10</v>
      </c>
      <c r="G122" s="84">
        <f t="shared" si="0"/>
        <v>7</v>
      </c>
      <c r="H122" s="84">
        <f t="shared" si="0"/>
        <v>9</v>
      </c>
      <c r="I122" s="84">
        <f t="shared" si="0"/>
        <v>8</v>
      </c>
      <c r="J122" s="84">
        <f t="shared" si="0"/>
        <v>0</v>
      </c>
      <c r="K122" s="84">
        <f t="shared" si="0"/>
        <v>10</v>
      </c>
      <c r="L122" s="84">
        <f t="shared" si="0"/>
        <v>9</v>
      </c>
      <c r="M122" s="84">
        <f t="shared" si="0"/>
        <v>9</v>
      </c>
      <c r="N122" s="84">
        <f t="shared" si="0"/>
        <v>7</v>
      </c>
      <c r="O122" s="84">
        <f t="shared" si="0"/>
        <v>6</v>
      </c>
      <c r="P122" s="84">
        <f t="shared" si="0"/>
        <v>10</v>
      </c>
      <c r="Q122" s="84">
        <f t="shared" si="0"/>
        <v>0</v>
      </c>
      <c r="R122" s="84">
        <f t="shared" si="0"/>
        <v>6</v>
      </c>
      <c r="S122" s="84">
        <f t="shared" si="0"/>
        <v>9</v>
      </c>
      <c r="T122" s="84">
        <f t="shared" si="0"/>
        <v>12</v>
      </c>
      <c r="U122" s="84">
        <f t="shared" si="0"/>
        <v>0</v>
      </c>
      <c r="V122" s="84">
        <f t="shared" si="0"/>
        <v>0</v>
      </c>
      <c r="W122" s="84">
        <f t="shared" si="0"/>
        <v>0</v>
      </c>
      <c r="X122" s="84">
        <f t="shared" si="0"/>
        <v>0</v>
      </c>
      <c r="Y122" s="84">
        <f t="shared" si="0"/>
        <v>0</v>
      </c>
      <c r="Z122" s="84">
        <f t="shared" si="0"/>
        <v>0</v>
      </c>
      <c r="AA122" s="84">
        <f t="shared" si="0"/>
        <v>0</v>
      </c>
      <c r="AB122" s="84">
        <f t="shared" si="0"/>
        <v>16</v>
      </c>
      <c r="AC122" s="84">
        <f t="shared" si="0"/>
        <v>5</v>
      </c>
      <c r="AD122" s="84">
        <f t="shared" si="0"/>
        <v>6</v>
      </c>
      <c r="AE122" s="84">
        <f t="shared" si="0"/>
        <v>0</v>
      </c>
      <c r="AF122" s="84">
        <f t="shared" si="0"/>
        <v>9</v>
      </c>
      <c r="AG122" s="84">
        <f t="shared" si="0"/>
        <v>7</v>
      </c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76"/>
      <c r="AW122" s="76"/>
      <c r="AX122" s="76"/>
      <c r="AY122" s="76"/>
      <c r="AZ122" s="76"/>
      <c r="BA122" s="76"/>
      <c r="BB122" s="76"/>
      <c r="BC122" s="76"/>
    </row>
    <row r="123" spans="1:55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</row>
    <row r="124" spans="1:55">
      <c r="A124" s="85" t="s">
        <v>63</v>
      </c>
      <c r="B124" s="93" t="s">
        <v>110</v>
      </c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 t="s">
        <v>51</v>
      </c>
      <c r="X124" s="74"/>
      <c r="Y124" s="74"/>
      <c r="Z124" s="74" t="s">
        <v>51</v>
      </c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</row>
    <row r="125" spans="1:55">
      <c r="A125" s="85" t="s">
        <v>62</v>
      </c>
      <c r="B125" s="93" t="s">
        <v>111</v>
      </c>
      <c r="C125" s="74"/>
      <c r="D125" s="74"/>
      <c r="E125" s="74"/>
      <c r="F125" s="74"/>
      <c r="G125" s="74"/>
      <c r="H125" s="74"/>
      <c r="I125" s="74"/>
      <c r="J125" s="74"/>
      <c r="K125" s="74"/>
      <c r="L125" s="74" t="s">
        <v>51</v>
      </c>
      <c r="M125" s="74"/>
      <c r="N125" s="74"/>
      <c r="O125" s="74" t="s">
        <v>51</v>
      </c>
      <c r="P125" s="74"/>
      <c r="Q125" s="74" t="s">
        <v>51</v>
      </c>
      <c r="R125" s="74"/>
      <c r="S125" s="74"/>
      <c r="T125" s="74"/>
      <c r="U125" s="74"/>
      <c r="V125" s="74"/>
      <c r="W125" s="74"/>
      <c r="X125" s="74" t="s">
        <v>51</v>
      </c>
      <c r="Y125" s="74"/>
      <c r="Z125" s="74"/>
      <c r="AA125" s="74" t="s">
        <v>51</v>
      </c>
      <c r="AB125" s="74"/>
      <c r="AC125" s="74"/>
      <c r="AD125" s="74"/>
      <c r="AE125" s="74"/>
      <c r="AF125" s="74"/>
      <c r="AG125" s="74"/>
      <c r="AH125" s="74"/>
      <c r="AI125" s="74" t="s">
        <v>51</v>
      </c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</row>
    <row r="126" spans="1:55">
      <c r="A126" s="85" t="s">
        <v>61</v>
      </c>
      <c r="B126" s="93" t="s">
        <v>112</v>
      </c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 t="s">
        <v>51</v>
      </c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</row>
    <row r="127" spans="1:55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 t="s">
        <v>51</v>
      </c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 t="s">
        <v>51</v>
      </c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</row>
    <row r="128" spans="1:55" ht="15.75">
      <c r="A128" s="73" t="s">
        <v>49</v>
      </c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</row>
    <row r="129" spans="1:55">
      <c r="A129" s="75" t="s">
        <v>51</v>
      </c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</row>
    <row r="130" spans="1:55">
      <c r="A130" s="76"/>
      <c r="B130" s="77" t="s">
        <v>52</v>
      </c>
      <c r="C130" s="74" t="s">
        <v>53</v>
      </c>
      <c r="D130" s="78" t="s">
        <v>29</v>
      </c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</row>
    <row r="131" spans="1:55">
      <c r="A131" s="77"/>
      <c r="B131" s="77" t="s">
        <v>54</v>
      </c>
      <c r="C131" s="74" t="s">
        <v>53</v>
      </c>
      <c r="D131" s="78" t="s">
        <v>113</v>
      </c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 t="s">
        <v>51</v>
      </c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</row>
    <row r="132" spans="1:55">
      <c r="A132" s="77"/>
      <c r="B132" s="77" t="s">
        <v>56</v>
      </c>
      <c r="C132" s="74" t="s">
        <v>53</v>
      </c>
      <c r="D132" s="78" t="s">
        <v>114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</row>
    <row r="133" spans="1:55">
      <c r="A133" s="79" t="s">
        <v>58</v>
      </c>
      <c r="B133" s="79" t="s">
        <v>59</v>
      </c>
      <c r="C133" s="80">
        <v>1</v>
      </c>
      <c r="D133" s="79">
        <v>2</v>
      </c>
      <c r="E133" s="79">
        <v>3</v>
      </c>
      <c r="F133" s="79">
        <v>4</v>
      </c>
      <c r="G133" s="79">
        <v>5</v>
      </c>
      <c r="H133" s="79">
        <v>6</v>
      </c>
      <c r="I133" s="79">
        <v>7</v>
      </c>
      <c r="J133" s="80">
        <v>8</v>
      </c>
      <c r="K133" s="79">
        <v>9</v>
      </c>
      <c r="L133" s="79">
        <v>10</v>
      </c>
      <c r="M133" s="79">
        <v>11</v>
      </c>
      <c r="N133" s="79">
        <v>12</v>
      </c>
      <c r="O133" s="79">
        <v>13</v>
      </c>
      <c r="P133" s="79">
        <v>14</v>
      </c>
      <c r="Q133" s="80">
        <v>15</v>
      </c>
      <c r="R133" s="79">
        <v>16</v>
      </c>
      <c r="S133" s="79">
        <v>17</v>
      </c>
      <c r="T133" s="79">
        <v>18</v>
      </c>
      <c r="U133" s="80">
        <v>19</v>
      </c>
      <c r="V133" s="80">
        <v>20</v>
      </c>
      <c r="W133" s="80">
        <v>21</v>
      </c>
      <c r="X133" s="80">
        <v>22</v>
      </c>
      <c r="Y133" s="80">
        <v>23</v>
      </c>
      <c r="Z133" s="80">
        <v>24</v>
      </c>
      <c r="AA133" s="80">
        <v>25</v>
      </c>
      <c r="AB133" s="79">
        <v>26</v>
      </c>
      <c r="AC133" s="79">
        <v>27</v>
      </c>
      <c r="AD133" s="79">
        <v>28</v>
      </c>
      <c r="AE133" s="80">
        <v>29</v>
      </c>
      <c r="AF133" s="79"/>
      <c r="AG133" s="79">
        <v>30</v>
      </c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</row>
    <row r="134" spans="1:55">
      <c r="A134" s="82">
        <v>1</v>
      </c>
      <c r="B134" s="94" t="s">
        <v>115</v>
      </c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</row>
    <row r="135" spans="1:55">
      <c r="A135" s="82">
        <v>2</v>
      </c>
      <c r="B135" s="94" t="s">
        <v>116</v>
      </c>
      <c r="C135" s="84"/>
      <c r="D135" s="84"/>
      <c r="E135" s="84"/>
      <c r="F135" s="84"/>
      <c r="G135" s="84"/>
      <c r="H135" s="84"/>
      <c r="I135" s="84"/>
      <c r="J135" s="84"/>
      <c r="K135" s="84"/>
      <c r="L135" s="85" t="s">
        <v>63</v>
      </c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</row>
    <row r="136" spans="1:55">
      <c r="A136" s="82">
        <v>3</v>
      </c>
      <c r="B136" s="94" t="s">
        <v>117</v>
      </c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</row>
    <row r="137" spans="1:55">
      <c r="A137" s="82">
        <v>4</v>
      </c>
      <c r="B137" s="94" t="s">
        <v>118</v>
      </c>
      <c r="C137" s="84"/>
      <c r="D137" s="84"/>
      <c r="E137" s="85" t="s">
        <v>61</v>
      </c>
      <c r="F137" s="85" t="s">
        <v>61</v>
      </c>
      <c r="G137" s="84"/>
      <c r="H137" s="84"/>
      <c r="I137" s="84"/>
      <c r="J137" s="84"/>
      <c r="K137" s="84"/>
      <c r="L137" s="85" t="s">
        <v>61</v>
      </c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5" t="s">
        <v>61</v>
      </c>
      <c r="AG137" s="8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</row>
    <row r="138" spans="1:55">
      <c r="A138" s="82">
        <v>5</v>
      </c>
      <c r="B138" s="94" t="s">
        <v>91</v>
      </c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</row>
    <row r="139" spans="1:55">
      <c r="A139" s="82">
        <v>6</v>
      </c>
      <c r="B139" s="94" t="s">
        <v>65</v>
      </c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</row>
    <row r="140" spans="1:55">
      <c r="A140" s="82">
        <v>7</v>
      </c>
      <c r="B140" s="94" t="s">
        <v>119</v>
      </c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</row>
    <row r="141" spans="1:55">
      <c r="A141" s="82">
        <v>8</v>
      </c>
      <c r="B141" s="94" t="s">
        <v>120</v>
      </c>
      <c r="C141" s="84"/>
      <c r="D141" s="84"/>
      <c r="E141" s="84"/>
      <c r="F141" s="84"/>
      <c r="G141" s="84"/>
      <c r="H141" s="84"/>
      <c r="I141" s="84"/>
      <c r="J141" s="84"/>
      <c r="K141" s="84"/>
      <c r="L141" s="85" t="s">
        <v>63</v>
      </c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</row>
    <row r="142" spans="1:55">
      <c r="A142" s="82">
        <v>9</v>
      </c>
      <c r="B142" s="94" t="s">
        <v>121</v>
      </c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</row>
    <row r="143" spans="1:55">
      <c r="A143" s="82">
        <v>10</v>
      </c>
      <c r="B143" s="94" t="s">
        <v>122</v>
      </c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5" t="s">
        <v>63</v>
      </c>
      <c r="AD143" s="84"/>
      <c r="AE143" s="84"/>
      <c r="AF143" s="84"/>
      <c r="AG143" s="8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</row>
    <row r="144" spans="1:55">
      <c r="A144" s="82">
        <v>11</v>
      </c>
      <c r="B144" s="94" t="s">
        <v>123</v>
      </c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</row>
    <row r="145" spans="1:55">
      <c r="A145" s="82">
        <v>12</v>
      </c>
      <c r="B145" s="94" t="s">
        <v>73</v>
      </c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 t="s">
        <v>51</v>
      </c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5" t="s">
        <v>63</v>
      </c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</row>
    <row r="146" spans="1:55">
      <c r="A146" s="82">
        <v>13</v>
      </c>
      <c r="B146" s="94" t="s">
        <v>124</v>
      </c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5" t="s">
        <v>63</v>
      </c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</row>
    <row r="147" spans="1:55">
      <c r="A147" s="82">
        <v>14</v>
      </c>
      <c r="B147" s="94" t="s">
        <v>125</v>
      </c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5" t="s">
        <v>63</v>
      </c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</row>
    <row r="148" spans="1:55">
      <c r="A148" s="82">
        <v>15</v>
      </c>
      <c r="B148" s="94" t="s">
        <v>126</v>
      </c>
      <c r="C148" s="84"/>
      <c r="D148" s="84"/>
      <c r="E148" s="85" t="s">
        <v>61</v>
      </c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5" t="s">
        <v>61</v>
      </c>
      <c r="AC148" s="84"/>
      <c r="AD148" s="84"/>
      <c r="AE148" s="84"/>
      <c r="AF148" s="84"/>
      <c r="AG148" s="8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</row>
    <row r="149" spans="1:55">
      <c r="A149" s="82">
        <v>16</v>
      </c>
      <c r="B149" s="94" t="s">
        <v>127</v>
      </c>
      <c r="C149" s="84"/>
      <c r="D149" s="84"/>
      <c r="E149" s="84"/>
      <c r="F149" s="84"/>
      <c r="G149" s="84"/>
      <c r="H149" s="84"/>
      <c r="I149" s="84"/>
      <c r="J149" s="84"/>
      <c r="K149" s="85" t="s">
        <v>61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5" t="s">
        <v>61</v>
      </c>
      <c r="AC149" s="84"/>
      <c r="AD149" s="84"/>
      <c r="AE149" s="84"/>
      <c r="AF149" s="84"/>
      <c r="AG149" s="8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</row>
    <row r="150" spans="1:55">
      <c r="A150" s="82">
        <v>17</v>
      </c>
      <c r="B150" s="94" t="s">
        <v>128</v>
      </c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5" t="s">
        <v>61</v>
      </c>
      <c r="AC150" s="84"/>
      <c r="AD150" s="84"/>
      <c r="AE150" s="84"/>
      <c r="AF150" s="84"/>
      <c r="AG150" s="8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</row>
    <row r="151" spans="1:55">
      <c r="A151" s="82">
        <v>18</v>
      </c>
      <c r="B151" s="94" t="s">
        <v>80</v>
      </c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</row>
    <row r="152" spans="1:55">
      <c r="A152" s="82">
        <v>19</v>
      </c>
      <c r="B152" s="94" t="s">
        <v>94</v>
      </c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</row>
    <row r="153" spans="1:55">
      <c r="A153" s="82">
        <v>20</v>
      </c>
      <c r="B153" s="94" t="s">
        <v>129</v>
      </c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5" t="s">
        <v>63</v>
      </c>
      <c r="AC153" s="84"/>
      <c r="AD153" s="84"/>
      <c r="AE153" s="84"/>
      <c r="AF153" s="84"/>
      <c r="AG153" s="8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</row>
    <row r="154" spans="1:55">
      <c r="A154" s="82">
        <v>21</v>
      </c>
      <c r="B154" s="94" t="s">
        <v>130</v>
      </c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</row>
    <row r="155" spans="1:55">
      <c r="A155" s="82">
        <v>22</v>
      </c>
      <c r="B155" s="94" t="s">
        <v>131</v>
      </c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5" t="s">
        <v>63</v>
      </c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</row>
    <row r="156" spans="1:55">
      <c r="A156" s="82">
        <v>23</v>
      </c>
      <c r="B156" s="94" t="s">
        <v>132</v>
      </c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</row>
    <row r="157" spans="1:55">
      <c r="A157" s="82">
        <v>24</v>
      </c>
      <c r="B157" s="94" t="s">
        <v>133</v>
      </c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</row>
    <row r="158" spans="1:55">
      <c r="A158" s="82">
        <v>25</v>
      </c>
      <c r="B158" s="94" t="s">
        <v>134</v>
      </c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5" t="s">
        <v>63</v>
      </c>
      <c r="AC158" s="84"/>
      <c r="AD158" s="84"/>
      <c r="AE158" s="84"/>
      <c r="AF158" s="84"/>
      <c r="AG158" s="8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</row>
    <row r="159" spans="1:55">
      <c r="A159" s="82">
        <v>26</v>
      </c>
      <c r="B159" s="94" t="s">
        <v>92</v>
      </c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</row>
    <row r="160" spans="1:55">
      <c r="A160" s="82">
        <v>27</v>
      </c>
      <c r="B160" s="94" t="s">
        <v>135</v>
      </c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 t="s">
        <v>63</v>
      </c>
      <c r="AE160" s="84"/>
      <c r="AF160" s="84"/>
      <c r="AG160" s="8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</row>
    <row r="161" spans="1:55">
      <c r="A161" s="82">
        <v>28</v>
      </c>
      <c r="B161" s="94" t="s">
        <v>136</v>
      </c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5" t="s">
        <v>63</v>
      </c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</row>
    <row r="162" spans="1:55">
      <c r="A162" s="82">
        <v>29</v>
      </c>
      <c r="B162" s="94" t="s">
        <v>137</v>
      </c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5" t="s">
        <v>63</v>
      </c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</row>
    <row r="163" spans="1:55">
      <c r="A163" s="82">
        <v>30</v>
      </c>
      <c r="B163" s="94" t="s">
        <v>87</v>
      </c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</row>
    <row r="164" spans="1:55">
      <c r="A164" s="82">
        <v>31</v>
      </c>
      <c r="B164" s="94" t="s">
        <v>79</v>
      </c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</row>
    <row r="165" spans="1:55">
      <c r="A165" s="82">
        <v>32</v>
      </c>
      <c r="B165" s="94" t="s">
        <v>85</v>
      </c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</row>
    <row r="166" spans="1:55">
      <c r="A166" s="82">
        <v>33</v>
      </c>
      <c r="B166" s="94" t="s">
        <v>138</v>
      </c>
      <c r="C166" s="84"/>
      <c r="D166" s="84"/>
      <c r="E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5" t="s">
        <v>63</v>
      </c>
      <c r="AC166" s="84"/>
      <c r="AD166" s="84"/>
      <c r="AE166" s="84"/>
      <c r="AF166" s="84"/>
      <c r="AG166" s="8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</row>
    <row r="167" spans="1:55">
      <c r="A167" s="82">
        <v>34</v>
      </c>
      <c r="B167" s="94" t="s">
        <v>139</v>
      </c>
      <c r="C167" s="84"/>
      <c r="D167" s="84"/>
      <c r="E167" s="84"/>
      <c r="F167" s="85" t="s">
        <v>61</v>
      </c>
      <c r="G167" s="84"/>
      <c r="H167" s="84"/>
      <c r="I167" s="84"/>
      <c r="J167" s="84"/>
      <c r="K167" s="84"/>
      <c r="L167" s="84"/>
      <c r="M167" s="85" t="s">
        <v>63</v>
      </c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</row>
    <row r="168" spans="1:55">
      <c r="A168" s="82">
        <v>35</v>
      </c>
      <c r="B168" s="94" t="s">
        <v>140</v>
      </c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</row>
    <row r="169" spans="1:55">
      <c r="A169" s="82">
        <v>36</v>
      </c>
      <c r="B169" s="94" t="s">
        <v>141</v>
      </c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5" t="s">
        <v>63</v>
      </c>
      <c r="P169" s="85" t="s">
        <v>63</v>
      </c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5" t="s">
        <v>63</v>
      </c>
      <c r="AC169" s="84"/>
      <c r="AD169" s="84"/>
      <c r="AE169" s="84"/>
      <c r="AF169" s="84"/>
      <c r="AG169" s="8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</row>
    <row r="170" spans="1:55">
      <c r="A170" s="82">
        <v>37</v>
      </c>
      <c r="B170" s="94" t="s">
        <v>142</v>
      </c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5" t="s">
        <v>63</v>
      </c>
      <c r="AC170" s="84"/>
      <c r="AD170" s="84"/>
      <c r="AE170" s="84"/>
      <c r="AF170" s="84"/>
      <c r="AG170" s="8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</row>
    <row r="171" spans="1:55">
      <c r="A171" s="82">
        <v>38</v>
      </c>
      <c r="B171" s="94" t="s">
        <v>143</v>
      </c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5" t="s">
        <v>63</v>
      </c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</row>
    <row r="172" spans="1:55">
      <c r="A172" s="82">
        <v>39</v>
      </c>
      <c r="B172" s="94" t="s">
        <v>144</v>
      </c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5" t="s">
        <v>63</v>
      </c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</row>
    <row r="173" spans="1:55">
      <c r="A173" s="82">
        <v>40</v>
      </c>
      <c r="B173" s="31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</row>
    <row r="174" spans="1:55">
      <c r="A174" s="82">
        <v>41</v>
      </c>
      <c r="B174" s="31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</row>
    <row r="175" spans="1:55">
      <c r="A175" s="82">
        <v>42</v>
      </c>
      <c r="B175" s="31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</row>
    <row r="176" spans="1:55">
      <c r="A176" s="82">
        <v>43</v>
      </c>
      <c r="B176" s="31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</row>
    <row r="177" spans="1:55">
      <c r="A177" s="82">
        <v>44</v>
      </c>
      <c r="B177" s="31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</row>
    <row r="178" spans="1:55">
      <c r="A178" s="82">
        <v>45</v>
      </c>
      <c r="B178" s="31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</row>
    <row r="179" spans="1:55">
      <c r="A179" s="82">
        <v>46</v>
      </c>
      <c r="B179" s="31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</row>
    <row r="180" spans="1:55">
      <c r="A180" s="82">
        <v>47</v>
      </c>
      <c r="B180" s="31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</row>
    <row r="181" spans="1:55">
      <c r="A181" s="82">
        <v>48</v>
      </c>
      <c r="B181" s="31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</row>
    <row r="182" spans="1:55">
      <c r="A182" s="82">
        <v>49</v>
      </c>
      <c r="B182" s="31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</row>
    <row r="183" spans="1:55">
      <c r="A183" s="82">
        <v>50</v>
      </c>
      <c r="B183" s="31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</row>
    <row r="184" spans="1:55">
      <c r="A184" s="82">
        <v>51</v>
      </c>
      <c r="B184" s="31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</row>
    <row r="185" spans="1:55">
      <c r="A185" s="82">
        <v>52</v>
      </c>
      <c r="B185" s="31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</row>
    <row r="186" spans="1:55">
      <c r="A186" s="82">
        <v>53</v>
      </c>
      <c r="B186" s="31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</row>
    <row r="187" spans="1:55">
      <c r="A187" s="82">
        <v>54</v>
      </c>
      <c r="B187" s="31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</row>
    <row r="188" spans="1:55">
      <c r="A188" s="82">
        <v>55</v>
      </c>
      <c r="B188" s="31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</row>
    <row r="189" spans="1:55">
      <c r="A189" s="82">
        <v>56</v>
      </c>
      <c r="B189" s="31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</row>
    <row r="190" spans="1:55">
      <c r="A190" s="82">
        <v>57</v>
      </c>
      <c r="B190" s="31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</row>
    <row r="191" spans="1:55">
      <c r="A191" s="82">
        <v>58</v>
      </c>
      <c r="B191" s="31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</row>
    <row r="192" spans="1:55">
      <c r="A192" s="82">
        <v>59</v>
      </c>
      <c r="B192" s="31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</row>
    <row r="193" spans="1:55">
      <c r="A193" s="82">
        <v>60</v>
      </c>
      <c r="B193" s="31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</row>
    <row r="194" spans="1:55">
      <c r="A194" s="82">
        <v>61</v>
      </c>
      <c r="B194" s="31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</row>
    <row r="195" spans="1:55">
      <c r="A195" s="82">
        <v>62</v>
      </c>
      <c r="B195" s="31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</row>
    <row r="196" spans="1:55">
      <c r="A196" s="82">
        <v>63</v>
      </c>
      <c r="B196" s="31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</row>
    <row r="197" spans="1:55">
      <c r="A197" s="82">
        <v>64</v>
      </c>
      <c r="B197" s="31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</row>
    <row r="198" spans="1:55">
      <c r="A198" s="82">
        <v>65</v>
      </c>
      <c r="B198" s="31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</row>
    <row r="199" spans="1:55">
      <c r="A199" s="82">
        <v>66</v>
      </c>
      <c r="B199" s="31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</row>
    <row r="200" spans="1:55">
      <c r="A200" s="82">
        <v>67</v>
      </c>
      <c r="B200" s="31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</row>
    <row r="201" spans="1:55">
      <c r="A201" s="82">
        <v>68</v>
      </c>
      <c r="B201" s="31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</row>
    <row r="202" spans="1:55">
      <c r="A202" s="82">
        <v>69</v>
      </c>
      <c r="B202" s="31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</row>
    <row r="203" spans="1:55">
      <c r="A203" s="82">
        <v>70</v>
      </c>
      <c r="B203" s="31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</row>
    <row r="204" spans="1:55">
      <c r="A204" s="82">
        <v>71</v>
      </c>
      <c r="B204" s="31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</row>
    <row r="205" spans="1:55">
      <c r="A205" s="82">
        <v>72</v>
      </c>
      <c r="B205" s="31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</row>
    <row r="206" spans="1:55">
      <c r="A206" s="82">
        <v>73</v>
      </c>
      <c r="B206" s="31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</row>
    <row r="207" spans="1:55">
      <c r="A207" s="82">
        <v>74</v>
      </c>
      <c r="B207" s="31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</row>
    <row r="208" spans="1:55">
      <c r="A208" s="82">
        <v>75</v>
      </c>
      <c r="B208" s="31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</row>
    <row r="209" spans="1:55">
      <c r="A209" s="82">
        <v>76</v>
      </c>
      <c r="B209" s="31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</row>
    <row r="210" spans="1:55">
      <c r="A210" s="82">
        <v>77</v>
      </c>
      <c r="B210" s="31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</row>
    <row r="211" spans="1:55">
      <c r="A211" s="82">
        <v>78</v>
      </c>
      <c r="B211" s="31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</row>
    <row r="212" spans="1:55">
      <c r="A212" s="82">
        <v>79</v>
      </c>
      <c r="B212" s="31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</row>
    <row r="213" spans="1:55">
      <c r="A213" s="82">
        <v>80</v>
      </c>
      <c r="B213" s="31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</row>
    <row r="214" spans="1:55">
      <c r="A214" s="82">
        <v>81</v>
      </c>
      <c r="B214" s="31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</row>
    <row r="215" spans="1:55">
      <c r="A215" s="82">
        <v>82</v>
      </c>
      <c r="B215" s="31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</row>
    <row r="216" spans="1:55">
      <c r="A216" s="82">
        <v>83</v>
      </c>
      <c r="B216" s="31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</row>
    <row r="217" spans="1:55">
      <c r="A217" s="82">
        <v>84</v>
      </c>
      <c r="B217" s="31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</row>
    <row r="218" spans="1:55">
      <c r="A218" s="82">
        <v>85</v>
      </c>
      <c r="B218" s="31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</row>
    <row r="219" spans="1:55">
      <c r="A219" s="82">
        <v>86</v>
      </c>
      <c r="B219" s="31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</row>
    <row r="220" spans="1:55">
      <c r="A220" s="82">
        <v>87</v>
      </c>
      <c r="B220" s="31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</row>
    <row r="221" spans="1:55">
      <c r="A221" s="82">
        <v>88</v>
      </c>
      <c r="B221" s="31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</row>
    <row r="222" spans="1:55">
      <c r="A222" s="82">
        <v>89</v>
      </c>
      <c r="B222" s="31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</row>
    <row r="223" spans="1:55">
      <c r="A223" s="82">
        <v>90</v>
      </c>
      <c r="B223" s="31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</row>
    <row r="224" spans="1:55">
      <c r="A224" s="82">
        <v>91</v>
      </c>
      <c r="B224" s="31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</row>
    <row r="225" spans="1:55">
      <c r="A225" s="82">
        <v>92</v>
      </c>
      <c r="B225" s="31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</row>
    <row r="226" spans="1:55">
      <c r="A226" s="82">
        <v>93</v>
      </c>
      <c r="B226" s="31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</row>
    <row r="227" spans="1:55">
      <c r="A227" s="82">
        <v>94</v>
      </c>
      <c r="B227" s="31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</row>
    <row r="228" spans="1:55">
      <c r="A228" s="82">
        <v>95</v>
      </c>
      <c r="B228" s="31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</row>
    <row r="229" spans="1:55">
      <c r="A229" s="82">
        <v>96</v>
      </c>
      <c r="B229" s="31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</row>
    <row r="230" spans="1:55">
      <c r="A230" s="82">
        <v>97</v>
      </c>
      <c r="B230" s="31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</row>
    <row r="231" spans="1:55">
      <c r="A231" s="82">
        <v>98</v>
      </c>
      <c r="B231" s="9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</row>
    <row r="232" spans="1:55">
      <c r="A232" s="82">
        <v>99</v>
      </c>
      <c r="B232" s="9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</row>
    <row r="233" spans="1:55">
      <c r="A233" s="82">
        <v>100</v>
      </c>
      <c r="B233" s="9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</row>
    <row r="234" spans="1:55">
      <c r="A234" s="82">
        <v>101</v>
      </c>
      <c r="B234" s="9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</row>
    <row r="235" spans="1:55">
      <c r="A235" s="82">
        <v>102</v>
      </c>
      <c r="B235" s="9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</row>
    <row r="236" spans="1:55">
      <c r="A236" s="82">
        <v>103</v>
      </c>
      <c r="B236" s="9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</row>
    <row r="237" spans="1:55">
      <c r="A237" s="82">
        <v>104</v>
      </c>
      <c r="B237" s="9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</row>
    <row r="238" spans="1:55">
      <c r="A238" s="82"/>
      <c r="B238" s="95" t="s">
        <v>145</v>
      </c>
      <c r="C238" s="84">
        <f t="shared" ref="C238:AE238" si="1">COUNTA(C134:C237)</f>
        <v>0</v>
      </c>
      <c r="D238" s="84">
        <f t="shared" si="1"/>
        <v>0</v>
      </c>
      <c r="E238" s="84">
        <f t="shared" si="1"/>
        <v>2</v>
      </c>
      <c r="F238" s="84">
        <f t="shared" si="1"/>
        <v>2</v>
      </c>
      <c r="G238" s="84">
        <f t="shared" si="1"/>
        <v>0</v>
      </c>
      <c r="H238" s="84">
        <f t="shared" si="1"/>
        <v>0</v>
      </c>
      <c r="I238" s="84">
        <f t="shared" si="1"/>
        <v>0</v>
      </c>
      <c r="J238" s="84">
        <f t="shared" si="1"/>
        <v>0</v>
      </c>
      <c r="K238" s="84">
        <f t="shared" si="1"/>
        <v>1</v>
      </c>
      <c r="L238" s="84">
        <f t="shared" si="1"/>
        <v>3</v>
      </c>
      <c r="M238" s="84">
        <f t="shared" si="1"/>
        <v>1</v>
      </c>
      <c r="N238" s="84">
        <f t="shared" si="1"/>
        <v>0</v>
      </c>
      <c r="O238" s="84">
        <f t="shared" si="1"/>
        <v>2</v>
      </c>
      <c r="P238" s="84">
        <f t="shared" si="1"/>
        <v>2</v>
      </c>
      <c r="Q238" s="84">
        <f t="shared" si="1"/>
        <v>1</v>
      </c>
      <c r="R238" s="84">
        <f t="shared" si="1"/>
        <v>3</v>
      </c>
      <c r="S238" s="84">
        <f t="shared" si="1"/>
        <v>1</v>
      </c>
      <c r="T238" s="84">
        <f t="shared" si="1"/>
        <v>0</v>
      </c>
      <c r="U238" s="84">
        <f t="shared" si="1"/>
        <v>0</v>
      </c>
      <c r="V238" s="84">
        <f t="shared" si="1"/>
        <v>0</v>
      </c>
      <c r="W238" s="84">
        <f t="shared" si="1"/>
        <v>0</v>
      </c>
      <c r="X238" s="84">
        <f t="shared" si="1"/>
        <v>0</v>
      </c>
      <c r="Y238" s="84">
        <f t="shared" si="1"/>
        <v>0</v>
      </c>
      <c r="Z238" s="84">
        <f t="shared" si="1"/>
        <v>0</v>
      </c>
      <c r="AA238" s="84">
        <f t="shared" si="1"/>
        <v>0</v>
      </c>
      <c r="AB238" s="84">
        <f t="shared" si="1"/>
        <v>8</v>
      </c>
      <c r="AC238" s="84">
        <f t="shared" si="1"/>
        <v>1</v>
      </c>
      <c r="AD238" s="84">
        <f t="shared" si="1"/>
        <v>1</v>
      </c>
      <c r="AE238" s="84">
        <f t="shared" si="1"/>
        <v>0</v>
      </c>
      <c r="AF238" s="84"/>
      <c r="AG238" s="84">
        <f>COUNTA(AG134:AG237)</f>
        <v>2</v>
      </c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</row>
    <row r="239" spans="1:55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</row>
    <row r="240" spans="1:55">
      <c r="A240" s="85" t="s">
        <v>63</v>
      </c>
      <c r="B240" s="93" t="s">
        <v>110</v>
      </c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 t="s">
        <v>51</v>
      </c>
      <c r="N240" s="74"/>
      <c r="O240" s="74"/>
      <c r="P240" s="74"/>
      <c r="Q240" s="74"/>
      <c r="R240" s="74"/>
      <c r="S240" s="74"/>
      <c r="T240" s="74"/>
      <c r="U240" s="74"/>
      <c r="V240" s="74" t="s">
        <v>51</v>
      </c>
      <c r="W240" s="74"/>
      <c r="X240" s="74"/>
      <c r="Y240" s="74" t="s">
        <v>51</v>
      </c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</row>
    <row r="241" spans="1:55">
      <c r="A241" s="85" t="s">
        <v>62</v>
      </c>
      <c r="B241" s="93" t="s">
        <v>111</v>
      </c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 t="s">
        <v>51</v>
      </c>
      <c r="Q241" s="74"/>
      <c r="R241" s="74"/>
      <c r="S241" s="74"/>
      <c r="T241" s="74"/>
      <c r="U241" s="74"/>
      <c r="V241" s="74"/>
      <c r="W241" s="74"/>
      <c r="X241" s="74" t="s">
        <v>51</v>
      </c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</row>
    <row r="242" spans="1:55">
      <c r="A242" s="85" t="s">
        <v>61</v>
      </c>
      <c r="B242" s="93" t="s">
        <v>112</v>
      </c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 t="s">
        <v>51</v>
      </c>
      <c r="P242" s="74"/>
      <c r="Q242" s="74"/>
      <c r="R242" s="74" t="s">
        <v>51</v>
      </c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</row>
    <row r="243" spans="1:55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 t="s">
        <v>51</v>
      </c>
      <c r="O243" s="74"/>
      <c r="P243" s="74" t="s">
        <v>51</v>
      </c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</row>
    <row r="244" spans="1:55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 t="s">
        <v>51</v>
      </c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</row>
    <row r="245" spans="1:5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 t="s">
        <v>51</v>
      </c>
      <c r="T245" s="74"/>
      <c r="U245" s="74"/>
      <c r="V245" s="74"/>
      <c r="W245" s="74" t="s">
        <v>51</v>
      </c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</row>
    <row r="246" spans="1:55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</row>
    <row r="247" spans="1:55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 t="s">
        <v>51</v>
      </c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</row>
    <row r="248" spans="1:55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</row>
    <row r="249" spans="1:55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 t="s">
        <v>51</v>
      </c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</row>
    <row r="250" spans="1:55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 t="s">
        <v>51</v>
      </c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</row>
    <row r="251" spans="1:55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</row>
    <row r="252" spans="1:55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</row>
    <row r="253" spans="1:55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</row>
    <row r="254" spans="1:55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 t="s">
        <v>51</v>
      </c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</row>
    <row r="255" spans="1: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</row>
    <row r="256" spans="1:55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</row>
    <row r="257" spans="1:55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</row>
    <row r="258" spans="1:55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</row>
    <row r="259" spans="1:55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</row>
    <row r="260" spans="1:55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</row>
    <row r="261" spans="1:55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</row>
    <row r="262" spans="1:55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</row>
    <row r="263" spans="1:55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</row>
    <row r="264" spans="1:55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</row>
    <row r="265" spans="1:5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</row>
    <row r="266" spans="1:55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</row>
    <row r="267" spans="1:55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</row>
    <row r="268" spans="1:55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</row>
    <row r="269" spans="1:55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</row>
    <row r="270" spans="1:55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</row>
    <row r="271" spans="1:55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</row>
    <row r="272" spans="1:55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</row>
    <row r="273" spans="1:55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</row>
    <row r="274" spans="1:55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</row>
    <row r="275" spans="1:5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</row>
    <row r="276" spans="1:55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</row>
    <row r="277" spans="1:55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</row>
    <row r="278" spans="1:55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</row>
    <row r="279" spans="1:55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</row>
    <row r="280" spans="1:55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</row>
    <row r="281" spans="1:55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</row>
    <row r="282" spans="1:55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</row>
    <row r="283" spans="1:55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</row>
    <row r="284" spans="1:55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</row>
    <row r="285" spans="1:5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</row>
    <row r="286" spans="1:55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</row>
    <row r="287" spans="1:55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</row>
    <row r="288" spans="1:55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</row>
    <row r="289" spans="1:55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</row>
    <row r="290" spans="1:55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</row>
    <row r="291" spans="1:55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</row>
    <row r="292" spans="1:5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</row>
    <row r="293" spans="1:5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</row>
    <row r="294" spans="1:5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</row>
    <row r="295" spans="1:5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</row>
    <row r="296" spans="1:5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</row>
    <row r="297" spans="1:5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</row>
    <row r="298" spans="1:5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</row>
    <row r="299" spans="1:5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</row>
    <row r="300" spans="1:5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</row>
    <row r="301" spans="1:5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</row>
    <row r="302" spans="1:5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</row>
    <row r="303" spans="1:5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</row>
    <row r="304" spans="1:5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</row>
    <row r="305" spans="1:5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</row>
    <row r="306" spans="1:5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</row>
    <row r="307" spans="1:5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</row>
    <row r="308" spans="1:5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</row>
    <row r="309" spans="1:5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</row>
    <row r="310" spans="1:5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</row>
    <row r="311" spans="1:5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</row>
    <row r="312" spans="1:5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</row>
    <row r="313" spans="1:5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</row>
    <row r="314" spans="1:5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</row>
    <row r="315" spans="1:5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</row>
    <row r="316" spans="1:5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</row>
    <row r="317" spans="1:5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</row>
    <row r="318" spans="1:5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</row>
    <row r="319" spans="1:5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</row>
    <row r="320" spans="1:5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</row>
    <row r="321" spans="1:5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</row>
    <row r="322" spans="1:5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</row>
    <row r="323" spans="1:5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</row>
    <row r="324" spans="1:5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</row>
    <row r="325" spans="1:5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</row>
    <row r="326" spans="1:5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</row>
    <row r="327" spans="1:5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</row>
    <row r="328" spans="1:5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</row>
    <row r="329" spans="1:5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</row>
    <row r="330" spans="1:5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</row>
    <row r="331" spans="1:5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</row>
    <row r="332" spans="1:55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</row>
    <row r="333" spans="1:55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</row>
    <row r="334" spans="1:55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</row>
    <row r="335" spans="1:5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</row>
    <row r="336" spans="1:55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</row>
    <row r="337" spans="1:55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</row>
    <row r="338" spans="1:55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</row>
  </sheetData>
  <mergeCells count="4">
    <mergeCell ref="A1:AG1"/>
    <mergeCell ref="A2:AG2"/>
    <mergeCell ref="A128:AG128"/>
    <mergeCell ref="A129:AG129"/>
  </mergeCells>
  <conditionalFormatting sqref="L7:AB7 C27 C29:C31 C35:C37 C40:C42 C46:C47 C59 N49:AG49 C62 N60:AG61 C64:C65 N63:AG63 C68 N66:AG67 N69:AG70 K76:AG76 N75:AG75 K79:AG79 O77:AG77 C81:C82 N80:AG80 C88 N83:AG87 C93 N89:AG90 N94:AG95 C96:C98 O96:AG97 C101:C102 N99:AG100 C104:C107 N103:AG103 K71:AG72 N78:AG78 K91:AG92 C73:C74 C121:D121 C109:C120 E109:AG120 E73:AG74 E104:AG107 E101:AG102 E98:AG98 E93:AG93 E88:AG88 E81:AG82 E68:AG68 E64:AG65 E62:AG62 E59:AG59 E47:G47 E40:J40 E35 E29:F29 F27:AG27 F42:J42 F121:AG121 F30:G30 E37:F37 F36:J36 E41 G41:S41 H35:L35 H29:L29 F31 H31:J31 H37:O37 E46:F46 H46:Q46 I47:K47 J30 L40 L30:AG30 L36:S36 L42 M47:R47 N32:AG32 N29:S29 N38:R38 N43:AA43 P42:S42 P28:Q28 N40 O39:S39 P40:R40 N45 Q45:AG45 N34:AG35 N33:O33 Q33:AE33 O48 Q48:AC48 Q37:AA37 S28:AA28 L31:Q31 S31:AE31 N44:R44 T44:AG44 T38:AA38 N51:AG51 N50:O50 Q50:S50 T46:AG46 T40:AA40 N54:AG58 N53:S53 U53:AA53 U50:AA50 U39:AA39 U36:AC36 U41:AG41 U29:AA29 AC50 AC28:AF28 AC38:AG38 U42:AA42 T47:AA47 AC47:AG47 AC42:AG43 AC53:AG53 AD29:AG29 AD7:AF7 AE50:AG50 AC37 AE36:AG37 AC40:AG40 AC39 AE39:AG39 AE48 AG31 N52:AE52 AG52 C136:AG136 C134:AG134 N140:AG142 C142:M147 N144:AG144">
    <cfRule type="containsText" dxfId="1252" priority="1251" operator="containsText" text="B">
      <formula>NOT(ISERROR(SEARCH("B",C7)))</formula>
    </cfRule>
    <cfRule type="containsText" dxfId="1251" priority="1252" operator="containsText" text="TB">
      <formula>NOT(ISERROR(SEARCH("TB",C7)))</formula>
    </cfRule>
    <cfRule type="containsText" dxfId="1250" priority="1253" operator="containsText" text="T">
      <formula>NOT(ISERROR(SEARCH("T",C7)))</formula>
    </cfRule>
  </conditionalFormatting>
  <conditionalFormatting sqref="L7:AB7 C27 C29:C31 C35:C37 C40:C42 C46:C47 C59 N49:AG49 C62 N60:AG61 C64:C65 N63:AG63 C68 N66:AG67 N69:AG70 K76:AG76 N75:AG75 K79:AG79 O77:AG77 C81:C82 N80:AG80 C88 N83:AG87 C93 N89:AG90 N94:AG95 C96:C98 O96:AG97 C101:C102 N99:AG100 C104:C107 N103:AG103 K71:AG72 N78:AG78 K91:AG92 C73:C74 C109:C120 E109:AG120 E73:AG74 E104:AG107 E101:AG102 E98:AG98 E93:AG93 E88:AG88 E81:AG82 E68:AG68 E64:AG65 E62:AG62 E59:AG59 E47:G47 E40:J40 E35 E29:F29 F27:AG27 C121:D121 F42:J42 F121:AG121 F30:G30 E37:F37 F36:J36 E41 G41:S41 H35:L35 H29:L29 F31 H31:J31 H37:O37 E46:F46 H46:Q46 I47:K47 J30 L40 L30:AG30 L36:S36 L42 M47:R47 N32:AG32 N29:S29 N38:R38 N43:AA43 P42:S42 P28:Q28 N40 O39:S39 P40:R40 N45 Q45:AG45 N34:AG35 N33:O33 Q33:AE33 O48 Q48:AC48 Q37:AA37 S28:AA28 L31:Q31 S31:AE31 N44:R44 T44:AG44 T38:AA38 N51:AG51 N50:O50 Q50:S50 T46:AG46 T40:AA40 N54:AG58 N53:S53 U53:AA53 U50:AA50 U39:AA39 U36:AC36 U41:AG41 U29:AA29 AC50 AC28:AF28 AC38:AG38 U42:AA42 T47:AA47 AC47:AG47 AC42:AG43 AC53:AG53 AD29:AG29 AD7:AF7 AE50:AG50 AC37 AE36:AG37 AC40:AG40 AC39 AE39:AG39 AE48 AG31 N52:AE52 AG52 C136:AG136 C134:AG134 N140:AG142 C142:M147 N144:AG144">
    <cfRule type="containsText" dxfId="1249" priority="1250" operator="containsText" text="TB">
      <formula>NOT(ISERROR(SEARCH("TB",C7)))</formula>
    </cfRule>
  </conditionalFormatting>
  <conditionalFormatting sqref="A124:A126">
    <cfRule type="containsText" dxfId="1248" priority="1247" operator="containsText" text="B">
      <formula>NOT(ISERROR(SEARCH("B",A124)))</formula>
    </cfRule>
    <cfRule type="containsText" dxfId="1247" priority="1248" operator="containsText" text="TB">
      <formula>NOT(ISERROR(SEARCH("TB",A124)))</formula>
    </cfRule>
    <cfRule type="containsText" dxfId="1246" priority="1249" operator="containsText" text="T">
      <formula>NOT(ISERROR(SEARCH("T",A124)))</formula>
    </cfRule>
  </conditionalFormatting>
  <conditionalFormatting sqref="A124:A126">
    <cfRule type="containsText" dxfId="1245" priority="1246" operator="containsText" text="TB">
      <formula>NOT(ISERROR(SEARCH("TB",A124)))</formula>
    </cfRule>
  </conditionalFormatting>
  <conditionalFormatting sqref="C138:AG139 C137:D137 G137:K137 C168:AG168 C166:E167 G166:AA166 C135:K135 M135:AG135 M137:AE137 G167:L167 N167:AG167 C173:AG237 C169:N169 Q169:AA169 C163:AG165 C162:N162 P162:AG162 C156:AG157 C155:O155 Q155:AG155 C161:Q161 S161:AG161 N148:AA148 N147:R147 T147:AG147 C154:AG154 C153:AA153 AC153:AG153 C159:AG160 C158:AA158 AC158:AG158 AC166:AG166 C170:AA170 AC169:AG170 C171:Q172 S171:AG172 N143:AB143 AD143:AG143 AG137 N145:AF146 C149:J149 L149:AA149 C151:AG152 C150:AA150 AC148:AG150">
    <cfRule type="containsText" dxfId="1244" priority="1243" operator="containsText" text="B">
      <formula>NOT(ISERROR(SEARCH("B",C135)))</formula>
    </cfRule>
    <cfRule type="containsText" dxfId="1243" priority="1244" operator="containsText" text="TB">
      <formula>NOT(ISERROR(SEARCH("TB",C135)))</formula>
    </cfRule>
    <cfRule type="containsText" dxfId="1242" priority="1245" operator="containsText" text="T">
      <formula>NOT(ISERROR(SEARCH("T",C135)))</formula>
    </cfRule>
  </conditionalFormatting>
  <conditionalFormatting sqref="C138:AG139 C137:D137 G137:K137 C168:AG168 C166:E167 G166:AA166 C135:K135 M135:AG135 M137:AE137 G167:L167 N167:AG167 C173:AG238 C169:N169 Q169:AA169 C163:AG165 C162:N162 P162:AG162 C156:AG157 C155:O155 Q155:AG155 C161:Q161 S161:AG161 N148:AA148 N147:R147 T147:AG147 C154:AG154 C153:AA153 AC153:AG153 C159:AG160 C158:AA158 AC158:AG158 AC166:AG166 C170:AA170 AC169:AG170 C171:Q172 S171:AG172 N143:AB143 AD143:AG143 AG137 N145:AF146 C149:J149 L149:AA149 C151:AG152 C150:AA150 AC148:AG150">
    <cfRule type="containsText" dxfId="1241" priority="1242" operator="containsText" text="TB">
      <formula>NOT(ISERROR(SEARCH("TB",C135)))</formula>
    </cfRule>
  </conditionalFormatting>
  <conditionalFormatting sqref="A240:A242">
    <cfRule type="containsText" dxfId="1240" priority="1239" operator="containsText" text="B">
      <formula>NOT(ISERROR(SEARCH("B",A240)))</formula>
    </cfRule>
    <cfRule type="containsText" dxfId="1239" priority="1240" operator="containsText" text="TB">
      <formula>NOT(ISERROR(SEARCH("TB",A240)))</formula>
    </cfRule>
    <cfRule type="containsText" dxfId="1238" priority="1241" operator="containsText" text="T">
      <formula>NOT(ISERROR(SEARCH("T",A240)))</formula>
    </cfRule>
  </conditionalFormatting>
  <conditionalFormatting sqref="A240:A242">
    <cfRule type="containsText" dxfId="1237" priority="1238" operator="containsText" text="TB">
      <formula>NOT(ISERROR(SEARCH("TB",A240)))</formula>
    </cfRule>
  </conditionalFormatting>
  <conditionalFormatting sqref="C8:C12 C15:C19 C21 L20:N20 C24 C26 N25:AG25 E26:AG26 E24:J24 F21:H21 E17:R17 E8:AG8 E12:J12 G11:J11 F15 E19 G19 E10:G10 E9:F9 H9:L9 I10:AA10 E16:G16 I15:J15 I19:AG19 J21:L21 E18:H18 J18:M18 J16 L24:Q24 L13:R13 L15 M14 M11:O11 N16 O9:AG9 N22:AG22 O18:AA18 L12:N12 P12:S12 O14:R14 P21:S21 Q20 N23:O23 Q23:S23 Q11:AG11 S24:AC24 Q15:Q16 S16:AA16 T17:AB17 U12:AE12 S15 U15:AA15 U20:AG20 U23:AA23 U21:AA21 AC21:AF21 AC10:AG10 T13:AA14 AC14:AG14 AC23:AF23 AD18:AG18 AD13:AG13 AC16 AD15:AE15 AE16 AE24 AG12 AG24 AG15 AD17:AE17 AG17">
    <cfRule type="containsText" dxfId="1236" priority="1235" operator="containsText" text="B">
      <formula>NOT(ISERROR(SEARCH("B",C8)))</formula>
    </cfRule>
    <cfRule type="containsText" dxfId="1235" priority="1236" operator="containsText" text="TB">
      <formula>NOT(ISERROR(SEARCH("TB",C8)))</formula>
    </cfRule>
    <cfRule type="containsText" dxfId="1234" priority="1237" operator="containsText" text="T">
      <formula>NOT(ISERROR(SEARCH("T",C8)))</formula>
    </cfRule>
  </conditionalFormatting>
  <conditionalFormatting sqref="C8:C12 C15:C19 C21 L20:N20 C24 C26 N25:AG25 E26:AG26 E24:J24 F21:H21 E17:R17 E8:AG8 E12:J12 G11:J11 F15 E19 G19 E10:G10 E9:F9 H9:L9 I10:AA10 E16:G16 I15:J15 I19:AG19 J21:L21 E18:H18 J18:M18 J16 L24:Q24 L13:R13 L15 M14 M11:O11 N16 O9:AG9 N22:AG22 O18:AA18 L12:N12 P12:S12 O14:R14 P21:S21 Q20 N23:O23 Q23:S23 Q11:AG11 S24:AC24 Q15:Q16 S16:AA16 T17:AB17 U12:AE12 S15 U15:AA15 U20:AG20 U23:AA23 U21:AA21 AC21:AF21 AC10:AG10 T13:AA14 AC14:AG14 AC23:AF23 AD18:AG18 AD13:AG13 AC16 AD15:AE15 AE16 AE24 AG12 AG24 AG15 AD17:AE17 AG17">
    <cfRule type="containsText" dxfId="1233" priority="1234" operator="containsText" text="TB">
      <formula>NOT(ISERROR(SEARCH("TB",C8)))</formula>
    </cfRule>
  </conditionalFormatting>
  <conditionalFormatting sqref="C7 F7:K7">
    <cfRule type="containsText" dxfId="1232" priority="1231" operator="containsText" text="B">
      <formula>NOT(ISERROR(SEARCH("B",C7)))</formula>
    </cfRule>
    <cfRule type="containsText" dxfId="1231" priority="1232" operator="containsText" text="TB">
      <formula>NOT(ISERROR(SEARCH("TB",C7)))</formula>
    </cfRule>
    <cfRule type="containsText" dxfId="1230" priority="1233" operator="containsText" text="T">
      <formula>NOT(ISERROR(SEARCH("T",C7)))</formula>
    </cfRule>
  </conditionalFormatting>
  <conditionalFormatting sqref="C7 F7:K7">
    <cfRule type="containsText" dxfId="1229" priority="1230" operator="containsText" text="TB">
      <formula>NOT(ISERROR(SEARCH("TB",C7)))</formula>
    </cfRule>
  </conditionalFormatting>
  <conditionalFormatting sqref="C13:C14 E13 F14:G14 G13:H13 I14:K14 J13:K13">
    <cfRule type="containsText" dxfId="1228" priority="1227" operator="containsText" text="B">
      <formula>NOT(ISERROR(SEARCH("B",C13)))</formula>
    </cfRule>
    <cfRule type="containsText" dxfId="1227" priority="1228" operator="containsText" text="TB">
      <formula>NOT(ISERROR(SEARCH("TB",C13)))</formula>
    </cfRule>
    <cfRule type="containsText" dxfId="1226" priority="1229" operator="containsText" text="T">
      <formula>NOT(ISERROR(SEARCH("T",C13)))</formula>
    </cfRule>
  </conditionalFormatting>
  <conditionalFormatting sqref="C13:C14 E13 F14:G14 G13:H13 I14:K14 J13:K13">
    <cfRule type="containsText" dxfId="1225" priority="1226" operator="containsText" text="TB">
      <formula>NOT(ISERROR(SEARCH("TB",C13)))</formula>
    </cfRule>
  </conditionalFormatting>
  <conditionalFormatting sqref="C20 E20:I20">
    <cfRule type="containsText" dxfId="1224" priority="1223" operator="containsText" text="B">
      <formula>NOT(ISERROR(SEARCH("B",C20)))</formula>
    </cfRule>
    <cfRule type="containsText" dxfId="1223" priority="1224" operator="containsText" text="TB">
      <formula>NOT(ISERROR(SEARCH("TB",C20)))</formula>
    </cfRule>
    <cfRule type="containsText" dxfId="1222" priority="1225" operator="containsText" text="T">
      <formula>NOT(ISERROR(SEARCH("T",C20)))</formula>
    </cfRule>
  </conditionalFormatting>
  <conditionalFormatting sqref="C20 E20:I20">
    <cfRule type="containsText" dxfId="1221" priority="1222" operator="containsText" text="TB">
      <formula>NOT(ISERROR(SEARCH("TB",C20)))</formula>
    </cfRule>
  </conditionalFormatting>
  <conditionalFormatting sqref="C22:C23 E22:J22 E23 G23:K23 L22:M22 M23">
    <cfRule type="containsText" dxfId="1220" priority="1219" operator="containsText" text="B">
      <formula>NOT(ISERROR(SEARCH("B",C22)))</formula>
    </cfRule>
    <cfRule type="containsText" dxfId="1219" priority="1220" operator="containsText" text="TB">
      <formula>NOT(ISERROR(SEARCH("TB",C22)))</formula>
    </cfRule>
    <cfRule type="containsText" dxfId="1218" priority="1221" operator="containsText" text="T">
      <formula>NOT(ISERROR(SEARCH("T",C22)))</formula>
    </cfRule>
  </conditionalFormatting>
  <conditionalFormatting sqref="C22:C23 E22:J22 E23 G23:K23 L22:M22 M23">
    <cfRule type="containsText" dxfId="1217" priority="1218" operator="containsText" text="TB">
      <formula>NOT(ISERROR(SEARCH("TB",C22)))</formula>
    </cfRule>
  </conditionalFormatting>
  <conditionalFormatting sqref="C25 E25:M25">
    <cfRule type="containsText" dxfId="1216" priority="1215" operator="containsText" text="B">
      <formula>NOT(ISERROR(SEARCH("B",C25)))</formula>
    </cfRule>
    <cfRule type="containsText" dxfId="1215" priority="1216" operator="containsText" text="TB">
      <formula>NOT(ISERROR(SEARCH("TB",C25)))</formula>
    </cfRule>
    <cfRule type="containsText" dxfId="1214" priority="1217" operator="containsText" text="T">
      <formula>NOT(ISERROR(SEARCH("T",C25)))</formula>
    </cfRule>
  </conditionalFormatting>
  <conditionalFormatting sqref="C25 E25:M25">
    <cfRule type="containsText" dxfId="1213" priority="1214" operator="containsText" text="TB">
      <formula>NOT(ISERROR(SEARCH("TB",C25)))</formula>
    </cfRule>
  </conditionalFormatting>
  <conditionalFormatting sqref="C28 E28 G28 J28 L28:M28">
    <cfRule type="containsText" dxfId="1212" priority="1211" operator="containsText" text="B">
      <formula>NOT(ISERROR(SEARCH("B",C28)))</formula>
    </cfRule>
    <cfRule type="containsText" dxfId="1211" priority="1212" operator="containsText" text="TB">
      <formula>NOT(ISERROR(SEARCH("TB",C28)))</formula>
    </cfRule>
    <cfRule type="containsText" dxfId="1210" priority="1213" operator="containsText" text="T">
      <formula>NOT(ISERROR(SEARCH("T",C28)))</formula>
    </cfRule>
  </conditionalFormatting>
  <conditionalFormatting sqref="C28 E28 G28 J28 L28:M28">
    <cfRule type="containsText" dxfId="1209" priority="1210" operator="containsText" text="TB">
      <formula>NOT(ISERROR(SEARCH("TB",C28)))</formula>
    </cfRule>
  </conditionalFormatting>
  <conditionalFormatting sqref="C32:C34 E32:L32 E34:K34 E33:J33 L33">
    <cfRule type="containsText" dxfId="1208" priority="1207" operator="containsText" text="B">
      <formula>NOT(ISERROR(SEARCH("B",C32)))</formula>
    </cfRule>
    <cfRule type="containsText" dxfId="1207" priority="1208" operator="containsText" text="TB">
      <formula>NOT(ISERROR(SEARCH("TB",C32)))</formula>
    </cfRule>
    <cfRule type="containsText" dxfId="1206" priority="1209" operator="containsText" text="T">
      <formula>NOT(ISERROR(SEARCH("T",C32)))</formula>
    </cfRule>
  </conditionalFormatting>
  <conditionalFormatting sqref="C32:C34 E32:L32 E34:K34 E33:J33 L33">
    <cfRule type="containsText" dxfId="1205" priority="1206" operator="containsText" text="TB">
      <formula>NOT(ISERROR(SEARCH("TB",C32)))</formula>
    </cfRule>
  </conditionalFormatting>
  <conditionalFormatting sqref="C38:C39 E38:G38 F39:M39 J38:K38 M38">
    <cfRule type="containsText" dxfId="1204" priority="1203" operator="containsText" text="B">
      <formula>NOT(ISERROR(SEARCH("B",C38)))</formula>
    </cfRule>
    <cfRule type="containsText" dxfId="1203" priority="1204" operator="containsText" text="TB">
      <formula>NOT(ISERROR(SEARCH("TB",C38)))</formula>
    </cfRule>
    <cfRule type="containsText" dxfId="1202" priority="1205" operator="containsText" text="T">
      <formula>NOT(ISERROR(SEARCH("T",C38)))</formula>
    </cfRule>
  </conditionalFormatting>
  <conditionalFormatting sqref="C38:C39 E38:G38 F39:M39 J38:K38 M38">
    <cfRule type="containsText" dxfId="1201" priority="1202" operator="containsText" text="TB">
      <formula>NOT(ISERROR(SEARCH("TB",C38)))</formula>
    </cfRule>
  </conditionalFormatting>
  <conditionalFormatting sqref="C43:C45 E44:M44 E43 G43:H43 J43:M43 E45:J45 L45">
    <cfRule type="containsText" dxfId="1200" priority="1199" operator="containsText" text="B">
      <formula>NOT(ISERROR(SEARCH("B",C43)))</formula>
    </cfRule>
    <cfRule type="containsText" dxfId="1199" priority="1200" operator="containsText" text="TB">
      <formula>NOT(ISERROR(SEARCH("TB",C43)))</formula>
    </cfRule>
    <cfRule type="containsText" dxfId="1198" priority="1201" operator="containsText" text="T">
      <formula>NOT(ISERROR(SEARCH("T",C43)))</formula>
    </cfRule>
  </conditionalFormatting>
  <conditionalFormatting sqref="C43:C45 E44:M44 E43 G43:H43 J43:M43 E45:J45 L45">
    <cfRule type="containsText" dxfId="1197" priority="1198" operator="containsText" text="TB">
      <formula>NOT(ISERROR(SEARCH("TB",C43)))</formula>
    </cfRule>
  </conditionalFormatting>
  <conditionalFormatting sqref="C48:C50 E50:K50 G48 F49 H49 I48:K48 J49:M49 M50 M48">
    <cfRule type="containsText" dxfId="1196" priority="1195" operator="containsText" text="B">
      <formula>NOT(ISERROR(SEARCH("B",C48)))</formula>
    </cfRule>
    <cfRule type="containsText" dxfId="1195" priority="1196" operator="containsText" text="TB">
      <formula>NOT(ISERROR(SEARCH("TB",C48)))</formula>
    </cfRule>
    <cfRule type="containsText" dxfId="1194" priority="1197" operator="containsText" text="T">
      <formula>NOT(ISERROR(SEARCH("T",C48)))</formula>
    </cfRule>
  </conditionalFormatting>
  <conditionalFormatting sqref="C48:C50 E50:K50 G48 F49 H49 I48:K48 J49:M49 M50 M48">
    <cfRule type="containsText" dxfId="1193" priority="1194" operator="containsText" text="TB">
      <formula>NOT(ISERROR(SEARCH("TB",C48)))</formula>
    </cfRule>
  </conditionalFormatting>
  <conditionalFormatting sqref="C51 E53:M53 E51 G51 I51:K51 M51 F52:M52 C53">
    <cfRule type="containsText" dxfId="1192" priority="1191" operator="containsText" text="B">
      <formula>NOT(ISERROR(SEARCH("B",C51)))</formula>
    </cfRule>
    <cfRule type="containsText" dxfId="1191" priority="1192" operator="containsText" text="TB">
      <formula>NOT(ISERROR(SEARCH("TB",C51)))</formula>
    </cfRule>
    <cfRule type="containsText" dxfId="1190" priority="1193" operator="containsText" text="T">
      <formula>NOT(ISERROR(SEARCH("T",C51)))</formula>
    </cfRule>
  </conditionalFormatting>
  <conditionalFormatting sqref="C51 E53:M53 E51 G51 I51:K51 M51 F52:M52 C53">
    <cfRule type="containsText" dxfId="1189" priority="1190" operator="containsText" text="TB">
      <formula>NOT(ISERROR(SEARCH("TB",C51)))</formula>
    </cfRule>
  </conditionalFormatting>
  <conditionalFormatting sqref="C54:C55 E54:M55">
    <cfRule type="containsText" dxfId="1188" priority="1187" operator="containsText" text="B">
      <formula>NOT(ISERROR(SEARCH("B",C54)))</formula>
    </cfRule>
    <cfRule type="containsText" dxfId="1187" priority="1188" operator="containsText" text="TB">
      <formula>NOT(ISERROR(SEARCH("TB",C54)))</formula>
    </cfRule>
    <cfRule type="containsText" dxfId="1186" priority="1189" operator="containsText" text="T">
      <formula>NOT(ISERROR(SEARCH("T",C54)))</formula>
    </cfRule>
  </conditionalFormatting>
  <conditionalFormatting sqref="C54:C55 E54:M55">
    <cfRule type="containsText" dxfId="1185" priority="1186" operator="containsText" text="TB">
      <formula>NOT(ISERROR(SEARCH("TB",C54)))</formula>
    </cfRule>
  </conditionalFormatting>
  <conditionalFormatting sqref="C56:C58 E56:M58">
    <cfRule type="containsText" dxfId="1184" priority="1183" operator="containsText" text="B">
      <formula>NOT(ISERROR(SEARCH("B",C56)))</formula>
    </cfRule>
    <cfRule type="containsText" dxfId="1183" priority="1184" operator="containsText" text="TB">
      <formula>NOT(ISERROR(SEARCH("TB",C56)))</formula>
    </cfRule>
    <cfRule type="containsText" dxfId="1182" priority="1185" operator="containsText" text="T">
      <formula>NOT(ISERROR(SEARCH("T",C56)))</formula>
    </cfRule>
  </conditionalFormatting>
  <conditionalFormatting sqref="C56:C58 E56:M58">
    <cfRule type="containsText" dxfId="1181" priority="1182" operator="containsText" text="TB">
      <formula>NOT(ISERROR(SEARCH("TB",C56)))</formula>
    </cfRule>
  </conditionalFormatting>
  <conditionalFormatting sqref="C60:C61 E60:M61">
    <cfRule type="containsText" dxfId="1180" priority="1179" operator="containsText" text="B">
      <formula>NOT(ISERROR(SEARCH("B",C60)))</formula>
    </cfRule>
    <cfRule type="containsText" dxfId="1179" priority="1180" operator="containsText" text="TB">
      <formula>NOT(ISERROR(SEARCH("TB",C60)))</formula>
    </cfRule>
    <cfRule type="containsText" dxfId="1178" priority="1181" operator="containsText" text="T">
      <formula>NOT(ISERROR(SEARCH("T",C60)))</formula>
    </cfRule>
  </conditionalFormatting>
  <conditionalFormatting sqref="C60:C61 E60:M61">
    <cfRule type="containsText" dxfId="1177" priority="1178" operator="containsText" text="TB">
      <formula>NOT(ISERROR(SEARCH("TB",C60)))</formula>
    </cfRule>
  </conditionalFormatting>
  <conditionalFormatting sqref="C63 E63:M63">
    <cfRule type="containsText" dxfId="1176" priority="1175" operator="containsText" text="B">
      <formula>NOT(ISERROR(SEARCH("B",C63)))</formula>
    </cfRule>
    <cfRule type="containsText" dxfId="1175" priority="1176" operator="containsText" text="TB">
      <formula>NOT(ISERROR(SEARCH("TB",C63)))</formula>
    </cfRule>
    <cfRule type="containsText" dxfId="1174" priority="1177" operator="containsText" text="T">
      <formula>NOT(ISERROR(SEARCH("T",C63)))</formula>
    </cfRule>
  </conditionalFormatting>
  <conditionalFormatting sqref="C63 E63:M63">
    <cfRule type="containsText" dxfId="1173" priority="1174" operator="containsText" text="TB">
      <formula>NOT(ISERROR(SEARCH("TB",C63)))</formula>
    </cfRule>
  </conditionalFormatting>
  <conditionalFormatting sqref="C66 E66:M66">
    <cfRule type="containsText" dxfId="1172" priority="1171" operator="containsText" text="B">
      <formula>NOT(ISERROR(SEARCH("B",C66)))</formula>
    </cfRule>
    <cfRule type="containsText" dxfId="1171" priority="1172" operator="containsText" text="TB">
      <formula>NOT(ISERROR(SEARCH("TB",C66)))</formula>
    </cfRule>
    <cfRule type="containsText" dxfId="1170" priority="1173" operator="containsText" text="T">
      <formula>NOT(ISERROR(SEARCH("T",C66)))</formula>
    </cfRule>
  </conditionalFormatting>
  <conditionalFormatting sqref="C66 E66:M66">
    <cfRule type="containsText" dxfId="1169" priority="1170" operator="containsText" text="TB">
      <formula>NOT(ISERROR(SEARCH("TB",C66)))</formula>
    </cfRule>
  </conditionalFormatting>
  <conditionalFormatting sqref="C67 E67:M67">
    <cfRule type="containsText" dxfId="1168" priority="1167" operator="containsText" text="B">
      <formula>NOT(ISERROR(SEARCH("B",C67)))</formula>
    </cfRule>
    <cfRule type="containsText" dxfId="1167" priority="1168" operator="containsText" text="TB">
      <formula>NOT(ISERROR(SEARCH("TB",C67)))</formula>
    </cfRule>
    <cfRule type="containsText" dxfId="1166" priority="1169" operator="containsText" text="T">
      <formula>NOT(ISERROR(SEARCH("T",C67)))</formula>
    </cfRule>
  </conditionalFormatting>
  <conditionalFormatting sqref="C67 E67:M67">
    <cfRule type="containsText" dxfId="1165" priority="1166" operator="containsText" text="TB">
      <formula>NOT(ISERROR(SEARCH("TB",C67)))</formula>
    </cfRule>
  </conditionalFormatting>
  <conditionalFormatting sqref="C69:C70 E69:M70">
    <cfRule type="containsText" dxfId="1164" priority="1163" operator="containsText" text="B">
      <formula>NOT(ISERROR(SEARCH("B",C69)))</formula>
    </cfRule>
    <cfRule type="containsText" dxfId="1163" priority="1164" operator="containsText" text="TB">
      <formula>NOT(ISERROR(SEARCH("TB",C69)))</formula>
    </cfRule>
    <cfRule type="containsText" dxfId="1162" priority="1165" operator="containsText" text="T">
      <formula>NOT(ISERROR(SEARCH("T",C69)))</formula>
    </cfRule>
  </conditionalFormatting>
  <conditionalFormatting sqref="C69:C70 E69:M70">
    <cfRule type="containsText" dxfId="1161" priority="1162" operator="containsText" text="TB">
      <formula>NOT(ISERROR(SEARCH("TB",C69)))</formula>
    </cfRule>
  </conditionalFormatting>
  <conditionalFormatting sqref="C75 E75:M75">
    <cfRule type="containsText" dxfId="1160" priority="1159" operator="containsText" text="B">
      <formula>NOT(ISERROR(SEARCH("B",C75)))</formula>
    </cfRule>
    <cfRule type="containsText" dxfId="1159" priority="1160" operator="containsText" text="TB">
      <formula>NOT(ISERROR(SEARCH("TB",C75)))</formula>
    </cfRule>
    <cfRule type="containsText" dxfId="1158" priority="1161" operator="containsText" text="T">
      <formula>NOT(ISERROR(SEARCH("T",C75)))</formula>
    </cfRule>
  </conditionalFormatting>
  <conditionalFormatting sqref="C75 E75:M75">
    <cfRule type="containsText" dxfId="1157" priority="1158" operator="containsText" text="TB">
      <formula>NOT(ISERROR(SEARCH("TB",C75)))</formula>
    </cfRule>
  </conditionalFormatting>
  <conditionalFormatting sqref="C77">
    <cfRule type="containsText" dxfId="1156" priority="1155" operator="containsText" text="B">
      <formula>NOT(ISERROR(SEARCH("B",C77)))</formula>
    </cfRule>
    <cfRule type="containsText" dxfId="1155" priority="1156" operator="containsText" text="TB">
      <formula>NOT(ISERROR(SEARCH("TB",C77)))</formula>
    </cfRule>
    <cfRule type="containsText" dxfId="1154" priority="1157" operator="containsText" text="T">
      <formula>NOT(ISERROR(SEARCH("T",C77)))</formula>
    </cfRule>
  </conditionalFormatting>
  <conditionalFormatting sqref="C77">
    <cfRule type="containsText" dxfId="1153" priority="1154" operator="containsText" text="TB">
      <formula>NOT(ISERROR(SEARCH("TB",C77)))</formula>
    </cfRule>
  </conditionalFormatting>
  <conditionalFormatting sqref="E77:N77">
    <cfRule type="containsText" dxfId="1152" priority="1151" operator="containsText" text="B">
      <formula>NOT(ISERROR(SEARCH("B",E77)))</formula>
    </cfRule>
    <cfRule type="containsText" dxfId="1151" priority="1152" operator="containsText" text="TB">
      <formula>NOT(ISERROR(SEARCH("TB",E77)))</formula>
    </cfRule>
    <cfRule type="containsText" dxfId="1150" priority="1153" operator="containsText" text="T">
      <formula>NOT(ISERROR(SEARCH("T",E77)))</formula>
    </cfRule>
  </conditionalFormatting>
  <conditionalFormatting sqref="E77:N77">
    <cfRule type="containsText" dxfId="1149" priority="1150" operator="containsText" text="TB">
      <formula>NOT(ISERROR(SEARCH("TB",E77)))</formula>
    </cfRule>
  </conditionalFormatting>
  <conditionalFormatting sqref="C80 E80:M80">
    <cfRule type="containsText" dxfId="1148" priority="1147" operator="containsText" text="B">
      <formula>NOT(ISERROR(SEARCH("B",C80)))</formula>
    </cfRule>
    <cfRule type="containsText" dxfId="1147" priority="1148" operator="containsText" text="TB">
      <formula>NOT(ISERROR(SEARCH("TB",C80)))</formula>
    </cfRule>
    <cfRule type="containsText" dxfId="1146" priority="1149" operator="containsText" text="T">
      <formula>NOT(ISERROR(SEARCH("T",C80)))</formula>
    </cfRule>
  </conditionalFormatting>
  <conditionalFormatting sqref="C80 E80:M80">
    <cfRule type="containsText" dxfId="1145" priority="1146" operator="containsText" text="TB">
      <formula>NOT(ISERROR(SEARCH("TB",C80)))</formula>
    </cfRule>
  </conditionalFormatting>
  <conditionalFormatting sqref="C83:C84 E83:M84">
    <cfRule type="containsText" dxfId="1144" priority="1143" operator="containsText" text="B">
      <formula>NOT(ISERROR(SEARCH("B",C83)))</formula>
    </cfRule>
    <cfRule type="containsText" dxfId="1143" priority="1144" operator="containsText" text="TB">
      <formula>NOT(ISERROR(SEARCH("TB",C83)))</formula>
    </cfRule>
    <cfRule type="containsText" dxfId="1142" priority="1145" operator="containsText" text="T">
      <formula>NOT(ISERROR(SEARCH("T",C83)))</formula>
    </cfRule>
  </conditionalFormatting>
  <conditionalFormatting sqref="C83:C84 E83:M84">
    <cfRule type="containsText" dxfId="1141" priority="1142" operator="containsText" text="TB">
      <formula>NOT(ISERROR(SEARCH("TB",C83)))</formula>
    </cfRule>
  </conditionalFormatting>
  <conditionalFormatting sqref="C85:C87 E85:M87">
    <cfRule type="containsText" dxfId="1140" priority="1139" operator="containsText" text="B">
      <formula>NOT(ISERROR(SEARCH("B",C85)))</formula>
    </cfRule>
    <cfRule type="containsText" dxfId="1139" priority="1140" operator="containsText" text="TB">
      <formula>NOT(ISERROR(SEARCH("TB",C85)))</formula>
    </cfRule>
    <cfRule type="containsText" dxfId="1138" priority="1141" operator="containsText" text="T">
      <formula>NOT(ISERROR(SEARCH("T",C85)))</formula>
    </cfRule>
  </conditionalFormatting>
  <conditionalFormatting sqref="C85:C87 E85:M87">
    <cfRule type="containsText" dxfId="1137" priority="1138" operator="containsText" text="TB">
      <formula>NOT(ISERROR(SEARCH("TB",C85)))</formula>
    </cfRule>
  </conditionalFormatting>
  <conditionalFormatting sqref="C89:C90 E89:M90">
    <cfRule type="containsText" dxfId="1136" priority="1135" operator="containsText" text="B">
      <formula>NOT(ISERROR(SEARCH("B",C89)))</formula>
    </cfRule>
    <cfRule type="containsText" dxfId="1135" priority="1136" operator="containsText" text="TB">
      <formula>NOT(ISERROR(SEARCH("TB",C89)))</formula>
    </cfRule>
    <cfRule type="containsText" dxfId="1134" priority="1137" operator="containsText" text="T">
      <formula>NOT(ISERROR(SEARCH("T",C89)))</formula>
    </cfRule>
  </conditionalFormatting>
  <conditionalFormatting sqref="C89:C90 E89:M90">
    <cfRule type="containsText" dxfId="1133" priority="1134" operator="containsText" text="TB">
      <formula>NOT(ISERROR(SEARCH("TB",C89)))</formula>
    </cfRule>
  </conditionalFormatting>
  <conditionalFormatting sqref="C94 E94:M94">
    <cfRule type="containsText" dxfId="1132" priority="1131" operator="containsText" text="B">
      <formula>NOT(ISERROR(SEARCH("B",C94)))</formula>
    </cfRule>
    <cfRule type="containsText" dxfId="1131" priority="1132" operator="containsText" text="TB">
      <formula>NOT(ISERROR(SEARCH("TB",C94)))</formula>
    </cfRule>
    <cfRule type="containsText" dxfId="1130" priority="1133" operator="containsText" text="T">
      <formula>NOT(ISERROR(SEARCH("T",C94)))</formula>
    </cfRule>
  </conditionalFormatting>
  <conditionalFormatting sqref="C94 E94:M94">
    <cfRule type="containsText" dxfId="1129" priority="1130" operator="containsText" text="TB">
      <formula>NOT(ISERROR(SEARCH("TB",C94)))</formula>
    </cfRule>
  </conditionalFormatting>
  <conditionalFormatting sqref="C95 E95:M95">
    <cfRule type="containsText" dxfId="1128" priority="1127" operator="containsText" text="B">
      <formula>NOT(ISERROR(SEARCH("B",C95)))</formula>
    </cfRule>
    <cfRule type="containsText" dxfId="1127" priority="1128" operator="containsText" text="TB">
      <formula>NOT(ISERROR(SEARCH("TB",C95)))</formula>
    </cfRule>
    <cfRule type="containsText" dxfId="1126" priority="1129" operator="containsText" text="T">
      <formula>NOT(ISERROR(SEARCH("T",C95)))</formula>
    </cfRule>
  </conditionalFormatting>
  <conditionalFormatting sqref="C95 E95:M95">
    <cfRule type="containsText" dxfId="1125" priority="1126" operator="containsText" text="TB">
      <formula>NOT(ISERROR(SEARCH("TB",C95)))</formula>
    </cfRule>
  </conditionalFormatting>
  <conditionalFormatting sqref="E96:N97">
    <cfRule type="containsText" dxfId="1124" priority="1123" operator="containsText" text="B">
      <formula>NOT(ISERROR(SEARCH("B",E96)))</formula>
    </cfRule>
    <cfRule type="containsText" dxfId="1123" priority="1124" operator="containsText" text="TB">
      <formula>NOT(ISERROR(SEARCH("TB",E96)))</formula>
    </cfRule>
    <cfRule type="containsText" dxfId="1122" priority="1125" operator="containsText" text="T">
      <formula>NOT(ISERROR(SEARCH("T",E96)))</formula>
    </cfRule>
  </conditionalFormatting>
  <conditionalFormatting sqref="E96:N97">
    <cfRule type="containsText" dxfId="1121" priority="1122" operator="containsText" text="TB">
      <formula>NOT(ISERROR(SEARCH("TB",E96)))</formula>
    </cfRule>
  </conditionalFormatting>
  <conditionalFormatting sqref="C99:C100 E99:M100">
    <cfRule type="containsText" dxfId="1120" priority="1119" operator="containsText" text="B">
      <formula>NOT(ISERROR(SEARCH("B",C99)))</formula>
    </cfRule>
    <cfRule type="containsText" dxfId="1119" priority="1120" operator="containsText" text="TB">
      <formula>NOT(ISERROR(SEARCH("TB",C99)))</formula>
    </cfRule>
    <cfRule type="containsText" dxfId="1118" priority="1121" operator="containsText" text="T">
      <formula>NOT(ISERROR(SEARCH("T",C99)))</formula>
    </cfRule>
  </conditionalFormatting>
  <conditionalFormatting sqref="C99:C100 E99:M100">
    <cfRule type="containsText" dxfId="1117" priority="1118" operator="containsText" text="TB">
      <formula>NOT(ISERROR(SEARCH("TB",C99)))</formula>
    </cfRule>
  </conditionalFormatting>
  <conditionalFormatting sqref="C103 E103:M103">
    <cfRule type="containsText" dxfId="1116" priority="1115" operator="containsText" text="B">
      <formula>NOT(ISERROR(SEARCH("B",C103)))</formula>
    </cfRule>
    <cfRule type="containsText" dxfId="1115" priority="1116" operator="containsText" text="TB">
      <formula>NOT(ISERROR(SEARCH("TB",C103)))</formula>
    </cfRule>
    <cfRule type="containsText" dxfId="1114" priority="1117" operator="containsText" text="T">
      <formula>NOT(ISERROR(SEARCH("T",C103)))</formula>
    </cfRule>
  </conditionalFormatting>
  <conditionalFormatting sqref="C103 E103:M103">
    <cfRule type="containsText" dxfId="1113" priority="1114" operator="containsText" text="TB">
      <formula>NOT(ISERROR(SEARCH("TB",C103)))</formula>
    </cfRule>
  </conditionalFormatting>
  <conditionalFormatting sqref="C71:C72 E71:J72">
    <cfRule type="containsText" dxfId="1112" priority="1111" operator="containsText" text="B">
      <formula>NOT(ISERROR(SEARCH("B",C71)))</formula>
    </cfRule>
    <cfRule type="containsText" dxfId="1111" priority="1112" operator="containsText" text="TB">
      <formula>NOT(ISERROR(SEARCH("TB",C71)))</formula>
    </cfRule>
    <cfRule type="containsText" dxfId="1110" priority="1113" operator="containsText" text="T">
      <formula>NOT(ISERROR(SEARCH("T",C71)))</formula>
    </cfRule>
  </conditionalFormatting>
  <conditionalFormatting sqref="C71:C72 E71:J72">
    <cfRule type="containsText" dxfId="1109" priority="1110" operator="containsText" text="TB">
      <formula>NOT(ISERROR(SEARCH("TB",C71)))</formula>
    </cfRule>
  </conditionalFormatting>
  <conditionalFormatting sqref="C76 E76:J76">
    <cfRule type="containsText" dxfId="1108" priority="1107" operator="containsText" text="B">
      <formula>NOT(ISERROR(SEARCH("B",C76)))</formula>
    </cfRule>
    <cfRule type="containsText" dxfId="1107" priority="1108" operator="containsText" text="TB">
      <formula>NOT(ISERROR(SEARCH("TB",C76)))</formula>
    </cfRule>
    <cfRule type="containsText" dxfId="1106" priority="1109" operator="containsText" text="T">
      <formula>NOT(ISERROR(SEARCH("T",C76)))</formula>
    </cfRule>
  </conditionalFormatting>
  <conditionalFormatting sqref="C76 E76:J76">
    <cfRule type="containsText" dxfId="1105" priority="1106" operator="containsText" text="TB">
      <formula>NOT(ISERROR(SEARCH("TB",C76)))</formula>
    </cfRule>
  </conditionalFormatting>
  <conditionalFormatting sqref="C78 E78:M78">
    <cfRule type="containsText" dxfId="1104" priority="1103" operator="containsText" text="B">
      <formula>NOT(ISERROR(SEARCH("B",C78)))</formula>
    </cfRule>
    <cfRule type="containsText" dxfId="1103" priority="1104" operator="containsText" text="TB">
      <formula>NOT(ISERROR(SEARCH("TB",C78)))</formula>
    </cfRule>
    <cfRule type="containsText" dxfId="1102" priority="1105" operator="containsText" text="T">
      <formula>NOT(ISERROR(SEARCH("T",C78)))</formula>
    </cfRule>
  </conditionalFormatting>
  <conditionalFormatting sqref="C78 E78:M78">
    <cfRule type="containsText" dxfId="1101" priority="1102" operator="containsText" text="TB">
      <formula>NOT(ISERROR(SEARCH("TB",C78)))</formula>
    </cfRule>
  </conditionalFormatting>
  <conditionalFormatting sqref="C79 E79:J79">
    <cfRule type="containsText" dxfId="1100" priority="1099" operator="containsText" text="B">
      <formula>NOT(ISERROR(SEARCH("B",C79)))</formula>
    </cfRule>
    <cfRule type="containsText" dxfId="1099" priority="1100" operator="containsText" text="TB">
      <formula>NOT(ISERROR(SEARCH("TB",C79)))</formula>
    </cfRule>
    <cfRule type="containsText" dxfId="1098" priority="1101" operator="containsText" text="T">
      <formula>NOT(ISERROR(SEARCH("T",C79)))</formula>
    </cfRule>
  </conditionalFormatting>
  <conditionalFormatting sqref="C79 E79:J79">
    <cfRule type="containsText" dxfId="1097" priority="1098" operator="containsText" text="TB">
      <formula>NOT(ISERROR(SEARCH("TB",C79)))</formula>
    </cfRule>
  </conditionalFormatting>
  <conditionalFormatting sqref="C91:C92 E91:J92">
    <cfRule type="containsText" dxfId="1096" priority="1095" operator="containsText" text="B">
      <formula>NOT(ISERROR(SEARCH("B",C91)))</formula>
    </cfRule>
    <cfRule type="containsText" dxfId="1095" priority="1096" operator="containsText" text="TB">
      <formula>NOT(ISERROR(SEARCH("TB",C91)))</formula>
    </cfRule>
    <cfRule type="containsText" dxfId="1094" priority="1097" operator="containsText" text="T">
      <formula>NOT(ISERROR(SEARCH("T",C91)))</formula>
    </cfRule>
  </conditionalFormatting>
  <conditionalFormatting sqref="C91:C92 E91:J92">
    <cfRule type="containsText" dxfId="1093" priority="1094" operator="containsText" text="TB">
      <formula>NOT(ISERROR(SEARCH("TB",C91)))</formula>
    </cfRule>
  </conditionalFormatting>
  <conditionalFormatting sqref="C140:I141 K140:M140 C148:D148 F148:M148 K141 M141">
    <cfRule type="containsText" dxfId="1092" priority="1091" operator="containsText" text="B">
      <formula>NOT(ISERROR(SEARCH("B",C140)))</formula>
    </cfRule>
    <cfRule type="containsText" dxfId="1091" priority="1092" operator="containsText" text="TB">
      <formula>NOT(ISERROR(SEARCH("TB",C140)))</formula>
    </cfRule>
    <cfRule type="containsText" dxfId="1090" priority="1093" operator="containsText" text="T">
      <formula>NOT(ISERROR(SEARCH("T",C140)))</formula>
    </cfRule>
  </conditionalFormatting>
  <conditionalFormatting sqref="C140:I141 K140:M140 C148:D148 F148:M148 K141 M141">
    <cfRule type="containsText" dxfId="1089" priority="1090" operator="containsText" text="TB">
      <formula>NOT(ISERROR(SEARCH("TB",C140)))</formula>
    </cfRule>
  </conditionalFormatting>
  <conditionalFormatting sqref="J141">
    <cfRule type="containsText" dxfId="1088" priority="1087" operator="containsText" text="B">
      <formula>NOT(ISERROR(SEARCH("B",J141)))</formula>
    </cfRule>
    <cfRule type="containsText" dxfId="1087" priority="1088" operator="containsText" text="TB">
      <formula>NOT(ISERROR(SEARCH("TB",J141)))</formula>
    </cfRule>
    <cfRule type="containsText" dxfId="1086" priority="1089" operator="containsText" text="T">
      <formula>NOT(ISERROR(SEARCH("T",J141)))</formula>
    </cfRule>
  </conditionalFormatting>
  <conditionalFormatting sqref="J141">
    <cfRule type="containsText" dxfId="1085" priority="1086" operator="containsText" text="TB">
      <formula>NOT(ISERROR(SEARCH("TB",J141)))</formula>
    </cfRule>
  </conditionalFormatting>
  <conditionalFormatting sqref="J140">
    <cfRule type="containsText" dxfId="1084" priority="1083" operator="containsText" text="B">
      <formula>NOT(ISERROR(SEARCH("B",J140)))</formula>
    </cfRule>
    <cfRule type="containsText" dxfId="1083" priority="1084" operator="containsText" text="TB">
      <formula>NOT(ISERROR(SEARCH("TB",J140)))</formula>
    </cfRule>
    <cfRule type="containsText" dxfId="1082" priority="1085" operator="containsText" text="T">
      <formula>NOT(ISERROR(SEARCH("T",J140)))</formula>
    </cfRule>
  </conditionalFormatting>
  <conditionalFormatting sqref="J140">
    <cfRule type="containsText" dxfId="1081" priority="1082" operator="containsText" text="TB">
      <formula>NOT(ISERROR(SEARCH("TB",J140)))</formula>
    </cfRule>
  </conditionalFormatting>
  <conditionalFormatting sqref="C108 E108:AG108">
    <cfRule type="containsText" dxfId="1080" priority="1079" operator="containsText" text="B">
      <formula>NOT(ISERROR(SEARCH("B",C108)))</formula>
    </cfRule>
    <cfRule type="containsText" dxfId="1079" priority="1080" operator="containsText" text="TB">
      <formula>NOT(ISERROR(SEARCH("TB",C108)))</formula>
    </cfRule>
    <cfRule type="containsText" dxfId="1078" priority="1081" operator="containsText" text="T">
      <formula>NOT(ISERROR(SEARCH("T",C108)))</formula>
    </cfRule>
  </conditionalFormatting>
  <conditionalFormatting sqref="C108 E108:AG108">
    <cfRule type="containsText" dxfId="1077" priority="1078" operator="containsText" text="TB">
      <formula>NOT(ISERROR(SEARCH("TB",C108)))</formula>
    </cfRule>
  </conditionalFormatting>
  <conditionalFormatting sqref="D27 D30 D35:D37 D41:D42 D46 D59 D62 D64:D65 D68 D81:D82 D88 D93 D96:D98 D101:D102 D104:D107 D73:D74 D109:D120">
    <cfRule type="containsText" dxfId="1076" priority="1075" operator="containsText" text="B">
      <formula>NOT(ISERROR(SEARCH("B",D27)))</formula>
    </cfRule>
    <cfRule type="containsText" dxfId="1075" priority="1076" operator="containsText" text="TB">
      <formula>NOT(ISERROR(SEARCH("TB",D27)))</formula>
    </cfRule>
    <cfRule type="containsText" dxfId="1074" priority="1077" operator="containsText" text="T">
      <formula>NOT(ISERROR(SEARCH("T",D27)))</formula>
    </cfRule>
  </conditionalFormatting>
  <conditionalFormatting sqref="D27 D30 D35:D37 D41:D42 D46 D59 D62 D64:D65 D68 D81:D82 D88 D93 D96:D98 D101:D102 D104:D107 D73:D74 D109:D120">
    <cfRule type="containsText" dxfId="1073" priority="1074" operator="containsText" text="TB">
      <formula>NOT(ISERROR(SEARCH("TB",D27)))</formula>
    </cfRule>
  </conditionalFormatting>
  <conditionalFormatting sqref="D8 D15 D24 D12 D10 D17:D19">
    <cfRule type="containsText" dxfId="1072" priority="1071" operator="containsText" text="B">
      <formula>NOT(ISERROR(SEARCH("B",D8)))</formula>
    </cfRule>
    <cfRule type="containsText" dxfId="1071" priority="1072" operator="containsText" text="TB">
      <formula>NOT(ISERROR(SEARCH("TB",D8)))</formula>
    </cfRule>
    <cfRule type="containsText" dxfId="1070" priority="1073" operator="containsText" text="T">
      <formula>NOT(ISERROR(SEARCH("T",D8)))</formula>
    </cfRule>
  </conditionalFormatting>
  <conditionalFormatting sqref="D8 D15 D24 D12 D10 D17:D19">
    <cfRule type="containsText" dxfId="1069" priority="1070" operator="containsText" text="TB">
      <formula>NOT(ISERROR(SEARCH("TB",D8)))</formula>
    </cfRule>
  </conditionalFormatting>
  <conditionalFormatting sqref="D7">
    <cfRule type="containsText" dxfId="1068" priority="1067" operator="containsText" text="B">
      <formula>NOT(ISERROR(SEARCH("B",D7)))</formula>
    </cfRule>
    <cfRule type="containsText" dxfId="1067" priority="1068" operator="containsText" text="TB">
      <formula>NOT(ISERROR(SEARCH("TB",D7)))</formula>
    </cfRule>
    <cfRule type="containsText" dxfId="1066" priority="1069" operator="containsText" text="T">
      <formula>NOT(ISERROR(SEARCH("T",D7)))</formula>
    </cfRule>
  </conditionalFormatting>
  <conditionalFormatting sqref="D7">
    <cfRule type="containsText" dxfId="1065" priority="1066" operator="containsText" text="TB">
      <formula>NOT(ISERROR(SEARCH("TB",D7)))</formula>
    </cfRule>
  </conditionalFormatting>
  <conditionalFormatting sqref="D13:D14">
    <cfRule type="containsText" dxfId="1064" priority="1063" operator="containsText" text="B">
      <formula>NOT(ISERROR(SEARCH("B",D13)))</formula>
    </cfRule>
    <cfRule type="containsText" dxfId="1063" priority="1064" operator="containsText" text="TB">
      <formula>NOT(ISERROR(SEARCH("TB",D13)))</formula>
    </cfRule>
    <cfRule type="containsText" dxfId="1062" priority="1065" operator="containsText" text="T">
      <formula>NOT(ISERROR(SEARCH("T",D13)))</formula>
    </cfRule>
  </conditionalFormatting>
  <conditionalFormatting sqref="D13:D14">
    <cfRule type="containsText" dxfId="1061" priority="1062" operator="containsText" text="TB">
      <formula>NOT(ISERROR(SEARCH("TB",D13)))</formula>
    </cfRule>
  </conditionalFormatting>
  <conditionalFormatting sqref="D20">
    <cfRule type="containsText" dxfId="1060" priority="1059" operator="containsText" text="B">
      <formula>NOT(ISERROR(SEARCH("B",D20)))</formula>
    </cfRule>
    <cfRule type="containsText" dxfId="1059" priority="1060" operator="containsText" text="TB">
      <formula>NOT(ISERROR(SEARCH("TB",D20)))</formula>
    </cfRule>
    <cfRule type="containsText" dxfId="1058" priority="1061" operator="containsText" text="T">
      <formula>NOT(ISERROR(SEARCH("T",D20)))</formula>
    </cfRule>
  </conditionalFormatting>
  <conditionalFormatting sqref="D20">
    <cfRule type="containsText" dxfId="1057" priority="1058" operator="containsText" text="TB">
      <formula>NOT(ISERROR(SEARCH("TB",D20)))</formula>
    </cfRule>
  </conditionalFormatting>
  <conditionalFormatting sqref="D22:D23">
    <cfRule type="containsText" dxfId="1056" priority="1055" operator="containsText" text="B">
      <formula>NOT(ISERROR(SEARCH("B",D22)))</formula>
    </cfRule>
    <cfRule type="containsText" dxfId="1055" priority="1056" operator="containsText" text="TB">
      <formula>NOT(ISERROR(SEARCH("TB",D22)))</formula>
    </cfRule>
    <cfRule type="containsText" dxfId="1054" priority="1057" operator="containsText" text="T">
      <formula>NOT(ISERROR(SEARCH("T",D22)))</formula>
    </cfRule>
  </conditionalFormatting>
  <conditionalFormatting sqref="D22:D23">
    <cfRule type="containsText" dxfId="1053" priority="1054" operator="containsText" text="TB">
      <formula>NOT(ISERROR(SEARCH("TB",D22)))</formula>
    </cfRule>
  </conditionalFormatting>
  <conditionalFormatting sqref="D28">
    <cfRule type="containsText" dxfId="1052" priority="1051" operator="containsText" text="B">
      <formula>NOT(ISERROR(SEARCH("B",D28)))</formula>
    </cfRule>
    <cfRule type="containsText" dxfId="1051" priority="1052" operator="containsText" text="TB">
      <formula>NOT(ISERROR(SEARCH("TB",D28)))</formula>
    </cfRule>
    <cfRule type="containsText" dxfId="1050" priority="1053" operator="containsText" text="T">
      <formula>NOT(ISERROR(SEARCH("T",D28)))</formula>
    </cfRule>
  </conditionalFormatting>
  <conditionalFormatting sqref="D28">
    <cfRule type="containsText" dxfId="1049" priority="1050" operator="containsText" text="TB">
      <formula>NOT(ISERROR(SEARCH("TB",D28)))</formula>
    </cfRule>
  </conditionalFormatting>
  <conditionalFormatting sqref="D32:D34">
    <cfRule type="containsText" dxfId="1048" priority="1047" operator="containsText" text="B">
      <formula>NOT(ISERROR(SEARCH("B",D32)))</formula>
    </cfRule>
    <cfRule type="containsText" dxfId="1047" priority="1048" operator="containsText" text="TB">
      <formula>NOT(ISERROR(SEARCH("TB",D32)))</formula>
    </cfRule>
    <cfRule type="containsText" dxfId="1046" priority="1049" operator="containsText" text="T">
      <formula>NOT(ISERROR(SEARCH("T",D32)))</formula>
    </cfRule>
  </conditionalFormatting>
  <conditionalFormatting sqref="D32:D34">
    <cfRule type="containsText" dxfId="1045" priority="1046" operator="containsText" text="TB">
      <formula>NOT(ISERROR(SEARCH("TB",D32)))</formula>
    </cfRule>
  </conditionalFormatting>
  <conditionalFormatting sqref="D39">
    <cfRule type="containsText" dxfId="1044" priority="1043" operator="containsText" text="B">
      <formula>NOT(ISERROR(SEARCH("B",D39)))</formula>
    </cfRule>
    <cfRule type="containsText" dxfId="1043" priority="1044" operator="containsText" text="TB">
      <formula>NOT(ISERROR(SEARCH("TB",D39)))</formula>
    </cfRule>
    <cfRule type="containsText" dxfId="1042" priority="1045" operator="containsText" text="T">
      <formula>NOT(ISERROR(SEARCH("T",D39)))</formula>
    </cfRule>
  </conditionalFormatting>
  <conditionalFormatting sqref="D39">
    <cfRule type="containsText" dxfId="1041" priority="1042" operator="containsText" text="TB">
      <formula>NOT(ISERROR(SEARCH("TB",D39)))</formula>
    </cfRule>
  </conditionalFormatting>
  <conditionalFormatting sqref="D43:D45">
    <cfRule type="containsText" dxfId="1040" priority="1039" operator="containsText" text="B">
      <formula>NOT(ISERROR(SEARCH("B",D43)))</formula>
    </cfRule>
    <cfRule type="containsText" dxfId="1039" priority="1040" operator="containsText" text="TB">
      <formula>NOT(ISERROR(SEARCH("TB",D43)))</formula>
    </cfRule>
    <cfRule type="containsText" dxfId="1038" priority="1041" operator="containsText" text="T">
      <formula>NOT(ISERROR(SEARCH("T",D43)))</formula>
    </cfRule>
  </conditionalFormatting>
  <conditionalFormatting sqref="D43:D45">
    <cfRule type="containsText" dxfId="1037" priority="1038" operator="containsText" text="TB">
      <formula>NOT(ISERROR(SEARCH("TB",D43)))</formula>
    </cfRule>
  </conditionalFormatting>
  <conditionalFormatting sqref="D49:D50">
    <cfRule type="containsText" dxfId="1036" priority="1035" operator="containsText" text="B">
      <formula>NOT(ISERROR(SEARCH("B",D49)))</formula>
    </cfRule>
    <cfRule type="containsText" dxfId="1035" priority="1036" operator="containsText" text="TB">
      <formula>NOT(ISERROR(SEARCH("TB",D49)))</formula>
    </cfRule>
    <cfRule type="containsText" dxfId="1034" priority="1037" operator="containsText" text="T">
      <formula>NOT(ISERROR(SEARCH("T",D49)))</formula>
    </cfRule>
  </conditionalFormatting>
  <conditionalFormatting sqref="D49:D50">
    <cfRule type="containsText" dxfId="1033" priority="1034" operator="containsText" text="TB">
      <formula>NOT(ISERROR(SEARCH("TB",D49)))</formula>
    </cfRule>
  </conditionalFormatting>
  <conditionalFormatting sqref="D51 D53">
    <cfRule type="containsText" dxfId="1032" priority="1031" operator="containsText" text="B">
      <formula>NOT(ISERROR(SEARCH("B",D51)))</formula>
    </cfRule>
    <cfRule type="containsText" dxfId="1031" priority="1032" operator="containsText" text="TB">
      <formula>NOT(ISERROR(SEARCH("TB",D51)))</formula>
    </cfRule>
    <cfRule type="containsText" dxfId="1030" priority="1033" operator="containsText" text="T">
      <formula>NOT(ISERROR(SEARCH("T",D51)))</formula>
    </cfRule>
  </conditionalFormatting>
  <conditionalFormatting sqref="D51 D53">
    <cfRule type="containsText" dxfId="1029" priority="1030" operator="containsText" text="TB">
      <formula>NOT(ISERROR(SEARCH("TB",D51)))</formula>
    </cfRule>
  </conditionalFormatting>
  <conditionalFormatting sqref="D54:D55">
    <cfRule type="containsText" dxfId="1028" priority="1027" operator="containsText" text="B">
      <formula>NOT(ISERROR(SEARCH("B",D54)))</formula>
    </cfRule>
    <cfRule type="containsText" dxfId="1027" priority="1028" operator="containsText" text="TB">
      <formula>NOT(ISERROR(SEARCH("TB",D54)))</formula>
    </cfRule>
    <cfRule type="containsText" dxfId="1026" priority="1029" operator="containsText" text="T">
      <formula>NOT(ISERROR(SEARCH("T",D54)))</formula>
    </cfRule>
  </conditionalFormatting>
  <conditionalFormatting sqref="D54:D55">
    <cfRule type="containsText" dxfId="1025" priority="1026" operator="containsText" text="TB">
      <formula>NOT(ISERROR(SEARCH("TB",D54)))</formula>
    </cfRule>
  </conditionalFormatting>
  <conditionalFormatting sqref="D56:D58">
    <cfRule type="containsText" dxfId="1024" priority="1023" operator="containsText" text="B">
      <formula>NOT(ISERROR(SEARCH("B",D56)))</formula>
    </cfRule>
    <cfRule type="containsText" dxfId="1023" priority="1024" operator="containsText" text="TB">
      <formula>NOT(ISERROR(SEARCH("TB",D56)))</formula>
    </cfRule>
    <cfRule type="containsText" dxfId="1022" priority="1025" operator="containsText" text="T">
      <formula>NOT(ISERROR(SEARCH("T",D56)))</formula>
    </cfRule>
  </conditionalFormatting>
  <conditionalFormatting sqref="D56:D58">
    <cfRule type="containsText" dxfId="1021" priority="1022" operator="containsText" text="TB">
      <formula>NOT(ISERROR(SEARCH("TB",D56)))</formula>
    </cfRule>
  </conditionalFormatting>
  <conditionalFormatting sqref="D60:D61">
    <cfRule type="containsText" dxfId="1020" priority="1019" operator="containsText" text="B">
      <formula>NOT(ISERROR(SEARCH("B",D60)))</formula>
    </cfRule>
    <cfRule type="containsText" dxfId="1019" priority="1020" operator="containsText" text="TB">
      <formula>NOT(ISERROR(SEARCH("TB",D60)))</formula>
    </cfRule>
    <cfRule type="containsText" dxfId="1018" priority="1021" operator="containsText" text="T">
      <formula>NOT(ISERROR(SEARCH("T",D60)))</formula>
    </cfRule>
  </conditionalFormatting>
  <conditionalFormatting sqref="D60:D61">
    <cfRule type="containsText" dxfId="1017" priority="1018" operator="containsText" text="TB">
      <formula>NOT(ISERROR(SEARCH("TB",D60)))</formula>
    </cfRule>
  </conditionalFormatting>
  <conditionalFormatting sqref="D63">
    <cfRule type="containsText" dxfId="1016" priority="1015" operator="containsText" text="B">
      <formula>NOT(ISERROR(SEARCH("B",D63)))</formula>
    </cfRule>
    <cfRule type="containsText" dxfId="1015" priority="1016" operator="containsText" text="TB">
      <formula>NOT(ISERROR(SEARCH("TB",D63)))</formula>
    </cfRule>
    <cfRule type="containsText" dxfId="1014" priority="1017" operator="containsText" text="T">
      <formula>NOT(ISERROR(SEARCH("T",D63)))</formula>
    </cfRule>
  </conditionalFormatting>
  <conditionalFormatting sqref="D63">
    <cfRule type="containsText" dxfId="1013" priority="1014" operator="containsText" text="TB">
      <formula>NOT(ISERROR(SEARCH("TB",D63)))</formula>
    </cfRule>
  </conditionalFormatting>
  <conditionalFormatting sqref="D66">
    <cfRule type="containsText" dxfId="1012" priority="1011" operator="containsText" text="B">
      <formula>NOT(ISERROR(SEARCH("B",D66)))</formula>
    </cfRule>
    <cfRule type="containsText" dxfId="1011" priority="1012" operator="containsText" text="TB">
      <formula>NOT(ISERROR(SEARCH("TB",D66)))</formula>
    </cfRule>
    <cfRule type="containsText" dxfId="1010" priority="1013" operator="containsText" text="T">
      <formula>NOT(ISERROR(SEARCH("T",D66)))</formula>
    </cfRule>
  </conditionalFormatting>
  <conditionalFormatting sqref="D66">
    <cfRule type="containsText" dxfId="1009" priority="1010" operator="containsText" text="TB">
      <formula>NOT(ISERROR(SEARCH("TB",D66)))</formula>
    </cfRule>
  </conditionalFormatting>
  <conditionalFormatting sqref="D67">
    <cfRule type="containsText" dxfId="1008" priority="1007" operator="containsText" text="B">
      <formula>NOT(ISERROR(SEARCH("B",D67)))</formula>
    </cfRule>
    <cfRule type="containsText" dxfId="1007" priority="1008" operator="containsText" text="TB">
      <formula>NOT(ISERROR(SEARCH("TB",D67)))</formula>
    </cfRule>
    <cfRule type="containsText" dxfId="1006" priority="1009" operator="containsText" text="T">
      <formula>NOT(ISERROR(SEARCH("T",D67)))</formula>
    </cfRule>
  </conditionalFormatting>
  <conditionalFormatting sqref="D67">
    <cfRule type="containsText" dxfId="1005" priority="1006" operator="containsText" text="TB">
      <formula>NOT(ISERROR(SEARCH("TB",D67)))</formula>
    </cfRule>
  </conditionalFormatting>
  <conditionalFormatting sqref="D69:D70">
    <cfRule type="containsText" dxfId="1004" priority="1003" operator="containsText" text="B">
      <formula>NOT(ISERROR(SEARCH("B",D69)))</formula>
    </cfRule>
    <cfRule type="containsText" dxfId="1003" priority="1004" operator="containsText" text="TB">
      <formula>NOT(ISERROR(SEARCH("TB",D69)))</formula>
    </cfRule>
    <cfRule type="containsText" dxfId="1002" priority="1005" operator="containsText" text="T">
      <formula>NOT(ISERROR(SEARCH("T",D69)))</formula>
    </cfRule>
  </conditionalFormatting>
  <conditionalFormatting sqref="D69:D70">
    <cfRule type="containsText" dxfId="1001" priority="1002" operator="containsText" text="TB">
      <formula>NOT(ISERROR(SEARCH("TB",D69)))</formula>
    </cfRule>
  </conditionalFormatting>
  <conditionalFormatting sqref="D75">
    <cfRule type="containsText" dxfId="1000" priority="999" operator="containsText" text="B">
      <formula>NOT(ISERROR(SEARCH("B",D75)))</formula>
    </cfRule>
    <cfRule type="containsText" dxfId="999" priority="1000" operator="containsText" text="TB">
      <formula>NOT(ISERROR(SEARCH("TB",D75)))</formula>
    </cfRule>
    <cfRule type="containsText" dxfId="998" priority="1001" operator="containsText" text="T">
      <formula>NOT(ISERROR(SEARCH("T",D75)))</formula>
    </cfRule>
  </conditionalFormatting>
  <conditionalFormatting sqref="D75">
    <cfRule type="containsText" dxfId="997" priority="998" operator="containsText" text="TB">
      <formula>NOT(ISERROR(SEARCH("TB",D75)))</formula>
    </cfRule>
  </conditionalFormatting>
  <conditionalFormatting sqref="D77">
    <cfRule type="containsText" dxfId="996" priority="995" operator="containsText" text="B">
      <formula>NOT(ISERROR(SEARCH("B",D77)))</formula>
    </cfRule>
    <cfRule type="containsText" dxfId="995" priority="996" operator="containsText" text="TB">
      <formula>NOT(ISERROR(SEARCH("TB",D77)))</formula>
    </cfRule>
    <cfRule type="containsText" dxfId="994" priority="997" operator="containsText" text="T">
      <formula>NOT(ISERROR(SEARCH("T",D77)))</formula>
    </cfRule>
  </conditionalFormatting>
  <conditionalFormatting sqref="D77">
    <cfRule type="containsText" dxfId="993" priority="994" operator="containsText" text="TB">
      <formula>NOT(ISERROR(SEARCH("TB",D77)))</formula>
    </cfRule>
  </conditionalFormatting>
  <conditionalFormatting sqref="D80">
    <cfRule type="containsText" dxfId="992" priority="991" operator="containsText" text="B">
      <formula>NOT(ISERROR(SEARCH("B",D80)))</formula>
    </cfRule>
    <cfRule type="containsText" dxfId="991" priority="992" operator="containsText" text="TB">
      <formula>NOT(ISERROR(SEARCH("TB",D80)))</formula>
    </cfRule>
    <cfRule type="containsText" dxfId="990" priority="993" operator="containsText" text="T">
      <formula>NOT(ISERROR(SEARCH("T",D80)))</formula>
    </cfRule>
  </conditionalFormatting>
  <conditionalFormatting sqref="D80">
    <cfRule type="containsText" dxfId="989" priority="990" operator="containsText" text="TB">
      <formula>NOT(ISERROR(SEARCH("TB",D80)))</formula>
    </cfRule>
  </conditionalFormatting>
  <conditionalFormatting sqref="D83:D84">
    <cfRule type="containsText" dxfId="988" priority="987" operator="containsText" text="B">
      <formula>NOT(ISERROR(SEARCH("B",D83)))</formula>
    </cfRule>
    <cfRule type="containsText" dxfId="987" priority="988" operator="containsText" text="TB">
      <formula>NOT(ISERROR(SEARCH("TB",D83)))</formula>
    </cfRule>
    <cfRule type="containsText" dxfId="986" priority="989" operator="containsText" text="T">
      <formula>NOT(ISERROR(SEARCH("T",D83)))</formula>
    </cfRule>
  </conditionalFormatting>
  <conditionalFormatting sqref="D83:D84">
    <cfRule type="containsText" dxfId="985" priority="986" operator="containsText" text="TB">
      <formula>NOT(ISERROR(SEARCH("TB",D83)))</formula>
    </cfRule>
  </conditionalFormatting>
  <conditionalFormatting sqref="D85:D87">
    <cfRule type="containsText" dxfId="984" priority="983" operator="containsText" text="B">
      <formula>NOT(ISERROR(SEARCH("B",D85)))</formula>
    </cfRule>
    <cfRule type="containsText" dxfId="983" priority="984" operator="containsText" text="TB">
      <formula>NOT(ISERROR(SEARCH("TB",D85)))</formula>
    </cfRule>
    <cfRule type="containsText" dxfId="982" priority="985" operator="containsText" text="T">
      <formula>NOT(ISERROR(SEARCH("T",D85)))</formula>
    </cfRule>
  </conditionalFormatting>
  <conditionalFormatting sqref="D85:D87">
    <cfRule type="containsText" dxfId="981" priority="982" operator="containsText" text="TB">
      <formula>NOT(ISERROR(SEARCH("TB",D85)))</formula>
    </cfRule>
  </conditionalFormatting>
  <conditionalFormatting sqref="D89:D90">
    <cfRule type="containsText" dxfId="980" priority="979" operator="containsText" text="B">
      <formula>NOT(ISERROR(SEARCH("B",D89)))</formula>
    </cfRule>
    <cfRule type="containsText" dxfId="979" priority="980" operator="containsText" text="TB">
      <formula>NOT(ISERROR(SEARCH("TB",D89)))</formula>
    </cfRule>
    <cfRule type="containsText" dxfId="978" priority="981" operator="containsText" text="T">
      <formula>NOT(ISERROR(SEARCH("T",D89)))</formula>
    </cfRule>
  </conditionalFormatting>
  <conditionalFormatting sqref="D89:D90">
    <cfRule type="containsText" dxfId="977" priority="978" operator="containsText" text="TB">
      <formula>NOT(ISERROR(SEARCH("TB",D89)))</formula>
    </cfRule>
  </conditionalFormatting>
  <conditionalFormatting sqref="D94">
    <cfRule type="containsText" dxfId="976" priority="975" operator="containsText" text="B">
      <formula>NOT(ISERROR(SEARCH("B",D94)))</formula>
    </cfRule>
    <cfRule type="containsText" dxfId="975" priority="976" operator="containsText" text="TB">
      <formula>NOT(ISERROR(SEARCH("TB",D94)))</formula>
    </cfRule>
    <cfRule type="containsText" dxfId="974" priority="977" operator="containsText" text="T">
      <formula>NOT(ISERROR(SEARCH("T",D94)))</formula>
    </cfRule>
  </conditionalFormatting>
  <conditionalFormatting sqref="D94">
    <cfRule type="containsText" dxfId="973" priority="974" operator="containsText" text="TB">
      <formula>NOT(ISERROR(SEARCH("TB",D94)))</formula>
    </cfRule>
  </conditionalFormatting>
  <conditionalFormatting sqref="D95">
    <cfRule type="containsText" dxfId="972" priority="971" operator="containsText" text="B">
      <formula>NOT(ISERROR(SEARCH("B",D95)))</formula>
    </cfRule>
    <cfRule type="containsText" dxfId="971" priority="972" operator="containsText" text="TB">
      <formula>NOT(ISERROR(SEARCH("TB",D95)))</formula>
    </cfRule>
    <cfRule type="containsText" dxfId="970" priority="973" operator="containsText" text="T">
      <formula>NOT(ISERROR(SEARCH("T",D95)))</formula>
    </cfRule>
  </conditionalFormatting>
  <conditionalFormatting sqref="D95">
    <cfRule type="containsText" dxfId="969" priority="970" operator="containsText" text="TB">
      <formula>NOT(ISERROR(SEARCH("TB",D95)))</formula>
    </cfRule>
  </conditionalFormatting>
  <conditionalFormatting sqref="D99:D100">
    <cfRule type="containsText" dxfId="968" priority="967" operator="containsText" text="B">
      <formula>NOT(ISERROR(SEARCH("B",D99)))</formula>
    </cfRule>
    <cfRule type="containsText" dxfId="967" priority="968" operator="containsText" text="TB">
      <formula>NOT(ISERROR(SEARCH("TB",D99)))</formula>
    </cfRule>
    <cfRule type="containsText" dxfId="966" priority="969" operator="containsText" text="T">
      <formula>NOT(ISERROR(SEARCH("T",D99)))</formula>
    </cfRule>
  </conditionalFormatting>
  <conditionalFormatting sqref="D99:D100">
    <cfRule type="containsText" dxfId="965" priority="966" operator="containsText" text="TB">
      <formula>NOT(ISERROR(SEARCH("TB",D99)))</formula>
    </cfRule>
  </conditionalFormatting>
  <conditionalFormatting sqref="D103">
    <cfRule type="containsText" dxfId="964" priority="963" operator="containsText" text="B">
      <formula>NOT(ISERROR(SEARCH("B",D103)))</formula>
    </cfRule>
    <cfRule type="containsText" dxfId="963" priority="964" operator="containsText" text="TB">
      <formula>NOT(ISERROR(SEARCH("TB",D103)))</formula>
    </cfRule>
    <cfRule type="containsText" dxfId="962" priority="965" operator="containsText" text="T">
      <formula>NOT(ISERROR(SEARCH("T",D103)))</formula>
    </cfRule>
  </conditionalFormatting>
  <conditionalFormatting sqref="D103">
    <cfRule type="containsText" dxfId="961" priority="962" operator="containsText" text="TB">
      <formula>NOT(ISERROR(SEARCH("TB",D103)))</formula>
    </cfRule>
  </conditionalFormatting>
  <conditionalFormatting sqref="D71:D72">
    <cfRule type="containsText" dxfId="960" priority="959" operator="containsText" text="B">
      <formula>NOT(ISERROR(SEARCH("B",D71)))</formula>
    </cfRule>
    <cfRule type="containsText" dxfId="959" priority="960" operator="containsText" text="TB">
      <formula>NOT(ISERROR(SEARCH("TB",D71)))</formula>
    </cfRule>
    <cfRule type="containsText" dxfId="958" priority="961" operator="containsText" text="T">
      <formula>NOT(ISERROR(SEARCH("T",D71)))</formula>
    </cfRule>
  </conditionalFormatting>
  <conditionalFormatting sqref="D71:D72">
    <cfRule type="containsText" dxfId="957" priority="958" operator="containsText" text="TB">
      <formula>NOT(ISERROR(SEARCH("TB",D71)))</formula>
    </cfRule>
  </conditionalFormatting>
  <conditionalFormatting sqref="D76">
    <cfRule type="containsText" dxfId="956" priority="955" operator="containsText" text="B">
      <formula>NOT(ISERROR(SEARCH("B",D76)))</formula>
    </cfRule>
    <cfRule type="containsText" dxfId="955" priority="956" operator="containsText" text="TB">
      <formula>NOT(ISERROR(SEARCH("TB",D76)))</formula>
    </cfRule>
    <cfRule type="containsText" dxfId="954" priority="957" operator="containsText" text="T">
      <formula>NOT(ISERROR(SEARCH("T",D76)))</formula>
    </cfRule>
  </conditionalFormatting>
  <conditionalFormatting sqref="D76">
    <cfRule type="containsText" dxfId="953" priority="954" operator="containsText" text="TB">
      <formula>NOT(ISERROR(SEARCH("TB",D76)))</formula>
    </cfRule>
  </conditionalFormatting>
  <conditionalFormatting sqref="D78">
    <cfRule type="containsText" dxfId="952" priority="951" operator="containsText" text="B">
      <formula>NOT(ISERROR(SEARCH("B",D78)))</formula>
    </cfRule>
    <cfRule type="containsText" dxfId="951" priority="952" operator="containsText" text="TB">
      <formula>NOT(ISERROR(SEARCH("TB",D78)))</formula>
    </cfRule>
    <cfRule type="containsText" dxfId="950" priority="953" operator="containsText" text="T">
      <formula>NOT(ISERROR(SEARCH("T",D78)))</formula>
    </cfRule>
  </conditionalFormatting>
  <conditionalFormatting sqref="D78">
    <cfRule type="containsText" dxfId="949" priority="950" operator="containsText" text="TB">
      <formula>NOT(ISERROR(SEARCH("TB",D78)))</formula>
    </cfRule>
  </conditionalFormatting>
  <conditionalFormatting sqref="D79">
    <cfRule type="containsText" dxfId="948" priority="947" operator="containsText" text="B">
      <formula>NOT(ISERROR(SEARCH("B",D79)))</formula>
    </cfRule>
    <cfRule type="containsText" dxfId="947" priority="948" operator="containsText" text="TB">
      <formula>NOT(ISERROR(SEARCH("TB",D79)))</formula>
    </cfRule>
    <cfRule type="containsText" dxfId="946" priority="949" operator="containsText" text="T">
      <formula>NOT(ISERROR(SEARCH("T",D79)))</formula>
    </cfRule>
  </conditionalFormatting>
  <conditionalFormatting sqref="D79">
    <cfRule type="containsText" dxfId="945" priority="946" operator="containsText" text="TB">
      <formula>NOT(ISERROR(SEARCH("TB",D79)))</formula>
    </cfRule>
  </conditionalFormatting>
  <conditionalFormatting sqref="D91:D92">
    <cfRule type="containsText" dxfId="944" priority="943" operator="containsText" text="B">
      <formula>NOT(ISERROR(SEARCH("B",D91)))</formula>
    </cfRule>
    <cfRule type="containsText" dxfId="943" priority="944" operator="containsText" text="TB">
      <formula>NOT(ISERROR(SEARCH("TB",D91)))</formula>
    </cfRule>
    <cfRule type="containsText" dxfId="942" priority="945" operator="containsText" text="T">
      <formula>NOT(ISERROR(SEARCH("T",D91)))</formula>
    </cfRule>
  </conditionalFormatting>
  <conditionalFormatting sqref="D91:D92">
    <cfRule type="containsText" dxfId="941" priority="942" operator="containsText" text="TB">
      <formula>NOT(ISERROR(SEARCH("TB",D91)))</formula>
    </cfRule>
  </conditionalFormatting>
  <conditionalFormatting sqref="D108">
    <cfRule type="containsText" dxfId="940" priority="939" operator="containsText" text="B">
      <formula>NOT(ISERROR(SEARCH("B",D108)))</formula>
    </cfRule>
    <cfRule type="containsText" dxfId="939" priority="940" operator="containsText" text="TB">
      <formula>NOT(ISERROR(SEARCH("TB",D108)))</formula>
    </cfRule>
    <cfRule type="containsText" dxfId="938" priority="941" operator="containsText" text="T">
      <formula>NOT(ISERROR(SEARCH("T",D108)))</formula>
    </cfRule>
  </conditionalFormatting>
  <conditionalFormatting sqref="D108">
    <cfRule type="containsText" dxfId="937" priority="938" operator="containsText" text="TB">
      <formula>NOT(ISERROR(SEARCH("TB",D108)))</formula>
    </cfRule>
  </conditionalFormatting>
  <conditionalFormatting sqref="C122:AG122">
    <cfRule type="containsText" dxfId="936" priority="937" operator="containsText" text="TB">
      <formula>NOT(ISERROR(SEARCH("TB",C122)))</formula>
    </cfRule>
  </conditionalFormatting>
  <conditionalFormatting sqref="D25">
    <cfRule type="containsText" dxfId="935" priority="934" operator="containsText" text="B">
      <formula>NOT(ISERROR(SEARCH("B",D25)))</formula>
    </cfRule>
    <cfRule type="containsText" dxfId="934" priority="935" operator="containsText" text="TB">
      <formula>NOT(ISERROR(SEARCH("TB",D25)))</formula>
    </cfRule>
    <cfRule type="containsText" dxfId="933" priority="936" operator="containsText" text="T">
      <formula>NOT(ISERROR(SEARCH("T",D25)))</formula>
    </cfRule>
  </conditionalFormatting>
  <conditionalFormatting sqref="D25">
    <cfRule type="containsText" dxfId="932" priority="933" operator="containsText" text="TB">
      <formula>NOT(ISERROR(SEARCH("TB",D25)))</formula>
    </cfRule>
  </conditionalFormatting>
  <conditionalFormatting sqref="D26">
    <cfRule type="containsText" dxfId="931" priority="930" operator="containsText" text="B">
      <formula>NOT(ISERROR(SEARCH("B",D26)))</formula>
    </cfRule>
    <cfRule type="containsText" dxfId="930" priority="931" operator="containsText" text="TB">
      <formula>NOT(ISERROR(SEARCH("TB",D26)))</formula>
    </cfRule>
    <cfRule type="containsText" dxfId="929" priority="932" operator="containsText" text="T">
      <formula>NOT(ISERROR(SEARCH("T",D26)))</formula>
    </cfRule>
  </conditionalFormatting>
  <conditionalFormatting sqref="D26">
    <cfRule type="containsText" dxfId="928" priority="929" operator="containsText" text="TB">
      <formula>NOT(ISERROR(SEARCH("TB",D26)))</formula>
    </cfRule>
  </conditionalFormatting>
  <conditionalFormatting sqref="D38">
    <cfRule type="containsText" dxfId="927" priority="926" operator="containsText" text="B">
      <formula>NOT(ISERROR(SEARCH("B",D38)))</formula>
    </cfRule>
    <cfRule type="containsText" dxfId="926" priority="927" operator="containsText" text="TB">
      <formula>NOT(ISERROR(SEARCH("TB",D38)))</formula>
    </cfRule>
    <cfRule type="containsText" dxfId="925" priority="928" operator="containsText" text="T">
      <formula>NOT(ISERROR(SEARCH("T",D38)))</formula>
    </cfRule>
  </conditionalFormatting>
  <conditionalFormatting sqref="D38">
    <cfRule type="containsText" dxfId="924" priority="925" operator="containsText" text="TB">
      <formula>NOT(ISERROR(SEARCH("TB",D38)))</formula>
    </cfRule>
  </conditionalFormatting>
  <conditionalFormatting sqref="D11">
    <cfRule type="containsText" dxfId="923" priority="922" operator="containsText" text="B">
      <formula>NOT(ISERROR(SEARCH("B",D11)))</formula>
    </cfRule>
    <cfRule type="containsText" dxfId="922" priority="923" operator="containsText" text="TB">
      <formula>NOT(ISERROR(SEARCH("TB",D11)))</formula>
    </cfRule>
    <cfRule type="containsText" dxfId="921" priority="924" operator="containsText" text="T">
      <formula>NOT(ISERROR(SEARCH("T",D11)))</formula>
    </cfRule>
  </conditionalFormatting>
  <conditionalFormatting sqref="D11">
    <cfRule type="containsText" dxfId="920" priority="921" operator="containsText" text="TB">
      <formula>NOT(ISERROR(SEARCH("TB",D11)))</formula>
    </cfRule>
  </conditionalFormatting>
  <conditionalFormatting sqref="D48">
    <cfRule type="containsText" dxfId="919" priority="918" operator="containsText" text="B">
      <formula>NOT(ISERROR(SEARCH("B",D48)))</formula>
    </cfRule>
    <cfRule type="containsText" dxfId="918" priority="919" operator="containsText" text="TB">
      <formula>NOT(ISERROR(SEARCH("TB",D48)))</formula>
    </cfRule>
    <cfRule type="containsText" dxfId="917" priority="920" operator="containsText" text="T">
      <formula>NOT(ISERROR(SEARCH("T",D48)))</formula>
    </cfRule>
  </conditionalFormatting>
  <conditionalFormatting sqref="D48">
    <cfRule type="containsText" dxfId="916" priority="917" operator="containsText" text="TB">
      <formula>NOT(ISERROR(SEARCH("TB",D48)))</formula>
    </cfRule>
  </conditionalFormatting>
  <conditionalFormatting sqref="D9">
    <cfRule type="containsText" dxfId="915" priority="914" operator="containsText" text="B">
      <formula>NOT(ISERROR(SEARCH("B",D9)))</formula>
    </cfRule>
    <cfRule type="containsText" dxfId="914" priority="915" operator="containsText" text="TB">
      <formula>NOT(ISERROR(SEARCH("TB",D9)))</formula>
    </cfRule>
    <cfRule type="containsText" dxfId="913" priority="916" operator="containsText" text="T">
      <formula>NOT(ISERROR(SEARCH("T",D9)))</formula>
    </cfRule>
  </conditionalFormatting>
  <conditionalFormatting sqref="D9">
    <cfRule type="containsText" dxfId="912" priority="913" operator="containsText" text="TB">
      <formula>NOT(ISERROR(SEARCH("TB",D9)))</formula>
    </cfRule>
  </conditionalFormatting>
  <conditionalFormatting sqref="D21">
    <cfRule type="containsText" dxfId="911" priority="910" operator="containsText" text="B">
      <formula>NOT(ISERROR(SEARCH("B",D21)))</formula>
    </cfRule>
    <cfRule type="containsText" dxfId="910" priority="911" operator="containsText" text="TB">
      <formula>NOT(ISERROR(SEARCH("TB",D21)))</formula>
    </cfRule>
    <cfRule type="containsText" dxfId="909" priority="912" operator="containsText" text="T">
      <formula>NOT(ISERROR(SEARCH("T",D21)))</formula>
    </cfRule>
  </conditionalFormatting>
  <conditionalFormatting sqref="D21">
    <cfRule type="containsText" dxfId="908" priority="909" operator="containsText" text="TB">
      <formula>NOT(ISERROR(SEARCH("TB",D21)))</formula>
    </cfRule>
  </conditionalFormatting>
  <conditionalFormatting sqref="D29">
    <cfRule type="containsText" dxfId="907" priority="906" operator="containsText" text="B">
      <formula>NOT(ISERROR(SEARCH("B",D29)))</formula>
    </cfRule>
    <cfRule type="containsText" dxfId="906" priority="907" operator="containsText" text="TB">
      <formula>NOT(ISERROR(SEARCH("TB",D29)))</formula>
    </cfRule>
    <cfRule type="containsText" dxfId="905" priority="908" operator="containsText" text="T">
      <formula>NOT(ISERROR(SEARCH("T",D29)))</formula>
    </cfRule>
  </conditionalFormatting>
  <conditionalFormatting sqref="D29">
    <cfRule type="containsText" dxfId="904" priority="905" operator="containsText" text="TB">
      <formula>NOT(ISERROR(SEARCH("TB",D29)))</formula>
    </cfRule>
  </conditionalFormatting>
  <conditionalFormatting sqref="D31">
    <cfRule type="containsText" dxfId="903" priority="902" operator="containsText" text="B">
      <formula>NOT(ISERROR(SEARCH("B",D31)))</formula>
    </cfRule>
    <cfRule type="containsText" dxfId="902" priority="903" operator="containsText" text="TB">
      <formula>NOT(ISERROR(SEARCH("TB",D31)))</formula>
    </cfRule>
    <cfRule type="containsText" dxfId="901" priority="904" operator="containsText" text="T">
      <formula>NOT(ISERROR(SEARCH("T",D31)))</formula>
    </cfRule>
  </conditionalFormatting>
  <conditionalFormatting sqref="D31">
    <cfRule type="containsText" dxfId="900" priority="901" operator="containsText" text="TB">
      <formula>NOT(ISERROR(SEARCH("TB",D31)))</formula>
    </cfRule>
  </conditionalFormatting>
  <conditionalFormatting sqref="D40">
    <cfRule type="containsText" dxfId="899" priority="898" operator="containsText" text="B">
      <formula>NOT(ISERROR(SEARCH("B",D40)))</formula>
    </cfRule>
    <cfRule type="containsText" dxfId="898" priority="899" operator="containsText" text="TB">
      <formula>NOT(ISERROR(SEARCH("TB",D40)))</formula>
    </cfRule>
    <cfRule type="containsText" dxfId="897" priority="900" operator="containsText" text="T">
      <formula>NOT(ISERROR(SEARCH("T",D40)))</formula>
    </cfRule>
  </conditionalFormatting>
  <conditionalFormatting sqref="D40">
    <cfRule type="containsText" dxfId="896" priority="897" operator="containsText" text="TB">
      <formula>NOT(ISERROR(SEARCH("TB",D40)))</formula>
    </cfRule>
  </conditionalFormatting>
  <conditionalFormatting sqref="D16">
    <cfRule type="containsText" dxfId="895" priority="894" operator="containsText" text="B">
      <formula>NOT(ISERROR(SEARCH("B",D16)))</formula>
    </cfRule>
    <cfRule type="containsText" dxfId="894" priority="895" operator="containsText" text="TB">
      <formula>NOT(ISERROR(SEARCH("TB",D16)))</formula>
    </cfRule>
    <cfRule type="containsText" dxfId="893" priority="896" operator="containsText" text="T">
      <formula>NOT(ISERROR(SEARCH("T",D16)))</formula>
    </cfRule>
  </conditionalFormatting>
  <conditionalFormatting sqref="D16">
    <cfRule type="containsText" dxfId="892" priority="893" operator="containsText" text="TB">
      <formula>NOT(ISERROR(SEARCH("TB",D16)))</formula>
    </cfRule>
  </conditionalFormatting>
  <conditionalFormatting sqref="D47">
    <cfRule type="containsText" dxfId="891" priority="890" operator="containsText" text="B">
      <formula>NOT(ISERROR(SEARCH("B",D47)))</formula>
    </cfRule>
    <cfRule type="containsText" dxfId="890" priority="891" operator="containsText" text="TB">
      <formula>NOT(ISERROR(SEARCH("TB",D47)))</formula>
    </cfRule>
    <cfRule type="containsText" dxfId="889" priority="892" operator="containsText" text="T">
      <formula>NOT(ISERROR(SEARCH("T",D47)))</formula>
    </cfRule>
  </conditionalFormatting>
  <conditionalFormatting sqref="D47">
    <cfRule type="containsText" dxfId="888" priority="889" operator="containsText" text="TB">
      <formula>NOT(ISERROR(SEARCH("TB",D47)))</formula>
    </cfRule>
  </conditionalFormatting>
  <conditionalFormatting sqref="E11">
    <cfRule type="containsText" dxfId="887" priority="886" operator="containsText" text="B">
      <formula>NOT(ISERROR(SEARCH("B",E11)))</formula>
    </cfRule>
    <cfRule type="containsText" dxfId="886" priority="887" operator="containsText" text="TB">
      <formula>NOT(ISERROR(SEARCH("TB",E11)))</formula>
    </cfRule>
    <cfRule type="containsText" dxfId="885" priority="888" operator="containsText" text="T">
      <formula>NOT(ISERROR(SEARCH("T",E11)))</formula>
    </cfRule>
  </conditionalFormatting>
  <conditionalFormatting sqref="E11">
    <cfRule type="containsText" dxfId="884" priority="885" operator="containsText" text="TB">
      <formula>NOT(ISERROR(SEARCH("TB",E11)))</formula>
    </cfRule>
  </conditionalFormatting>
  <conditionalFormatting sqref="E15">
    <cfRule type="containsText" dxfId="883" priority="882" operator="containsText" text="B">
      <formula>NOT(ISERROR(SEARCH("B",E15)))</formula>
    </cfRule>
    <cfRule type="containsText" dxfId="882" priority="883" operator="containsText" text="TB">
      <formula>NOT(ISERROR(SEARCH("TB",E15)))</formula>
    </cfRule>
    <cfRule type="containsText" dxfId="881" priority="884" operator="containsText" text="T">
      <formula>NOT(ISERROR(SEARCH("T",E15)))</formula>
    </cfRule>
  </conditionalFormatting>
  <conditionalFormatting sqref="E15">
    <cfRule type="containsText" dxfId="880" priority="881" operator="containsText" text="TB">
      <formula>NOT(ISERROR(SEARCH("TB",E15)))</formula>
    </cfRule>
  </conditionalFormatting>
  <conditionalFormatting sqref="E21">
    <cfRule type="containsText" dxfId="879" priority="878" operator="containsText" text="B">
      <formula>NOT(ISERROR(SEARCH("B",E21)))</formula>
    </cfRule>
    <cfRule type="containsText" dxfId="878" priority="879" operator="containsText" text="TB">
      <formula>NOT(ISERROR(SEARCH("TB",E21)))</formula>
    </cfRule>
    <cfRule type="containsText" dxfId="877" priority="880" operator="containsText" text="T">
      <formula>NOT(ISERROR(SEARCH("T",E21)))</formula>
    </cfRule>
  </conditionalFormatting>
  <conditionalFormatting sqref="E21">
    <cfRule type="containsText" dxfId="876" priority="877" operator="containsText" text="TB">
      <formula>NOT(ISERROR(SEARCH("TB",E21)))</formula>
    </cfRule>
  </conditionalFormatting>
  <conditionalFormatting sqref="E27">
    <cfRule type="containsText" dxfId="875" priority="874" operator="containsText" text="B">
      <formula>NOT(ISERROR(SEARCH("B",E27)))</formula>
    </cfRule>
    <cfRule type="containsText" dxfId="874" priority="875" operator="containsText" text="TB">
      <formula>NOT(ISERROR(SEARCH("TB",E27)))</formula>
    </cfRule>
    <cfRule type="containsText" dxfId="873" priority="876" operator="containsText" text="T">
      <formula>NOT(ISERROR(SEARCH("T",E27)))</formula>
    </cfRule>
  </conditionalFormatting>
  <conditionalFormatting sqref="E27">
    <cfRule type="containsText" dxfId="872" priority="873" operator="containsText" text="TB">
      <formula>NOT(ISERROR(SEARCH("TB",E27)))</formula>
    </cfRule>
  </conditionalFormatting>
  <conditionalFormatting sqref="E31">
    <cfRule type="containsText" dxfId="871" priority="870" operator="containsText" text="B">
      <formula>NOT(ISERROR(SEARCH("B",E31)))</formula>
    </cfRule>
    <cfRule type="containsText" dxfId="870" priority="871" operator="containsText" text="TB">
      <formula>NOT(ISERROR(SEARCH("TB",E31)))</formula>
    </cfRule>
    <cfRule type="containsText" dxfId="869" priority="872" operator="containsText" text="T">
      <formula>NOT(ISERROR(SEARCH("T",E31)))</formula>
    </cfRule>
  </conditionalFormatting>
  <conditionalFormatting sqref="E31">
    <cfRule type="containsText" dxfId="868" priority="869" operator="containsText" text="TB">
      <formula>NOT(ISERROR(SEARCH("TB",E31)))</formula>
    </cfRule>
  </conditionalFormatting>
  <conditionalFormatting sqref="E42">
    <cfRule type="containsText" dxfId="867" priority="866" operator="containsText" text="B">
      <formula>NOT(ISERROR(SEARCH("B",E42)))</formula>
    </cfRule>
    <cfRule type="containsText" dxfId="866" priority="867" operator="containsText" text="TB">
      <formula>NOT(ISERROR(SEARCH("TB",E42)))</formula>
    </cfRule>
    <cfRule type="containsText" dxfId="865" priority="868" operator="containsText" text="T">
      <formula>NOT(ISERROR(SEARCH("T",E42)))</formula>
    </cfRule>
  </conditionalFormatting>
  <conditionalFormatting sqref="E42">
    <cfRule type="containsText" dxfId="864" priority="865" operator="containsText" text="TB">
      <formula>NOT(ISERROR(SEARCH("TB",E42)))</formula>
    </cfRule>
  </conditionalFormatting>
  <conditionalFormatting sqref="E121">
    <cfRule type="containsText" dxfId="863" priority="862" operator="containsText" text="B">
      <formula>NOT(ISERROR(SEARCH("B",E121)))</formula>
    </cfRule>
    <cfRule type="containsText" dxfId="862" priority="863" operator="containsText" text="TB">
      <formula>NOT(ISERROR(SEARCH("TB",E121)))</formula>
    </cfRule>
    <cfRule type="containsText" dxfId="861" priority="864" operator="containsText" text="T">
      <formula>NOT(ISERROR(SEARCH("T",E121)))</formula>
    </cfRule>
  </conditionalFormatting>
  <conditionalFormatting sqref="E121">
    <cfRule type="containsText" dxfId="860" priority="861" operator="containsText" text="TB">
      <formula>NOT(ISERROR(SEARCH("TB",E121)))</formula>
    </cfRule>
  </conditionalFormatting>
  <conditionalFormatting sqref="E49">
    <cfRule type="containsText" dxfId="859" priority="858" operator="containsText" text="B">
      <formula>NOT(ISERROR(SEARCH("B",E49)))</formula>
    </cfRule>
    <cfRule type="containsText" dxfId="858" priority="859" operator="containsText" text="TB">
      <formula>NOT(ISERROR(SEARCH("TB",E49)))</formula>
    </cfRule>
    <cfRule type="containsText" dxfId="857" priority="860" operator="containsText" text="T">
      <formula>NOT(ISERROR(SEARCH("T",E49)))</formula>
    </cfRule>
  </conditionalFormatting>
  <conditionalFormatting sqref="E49">
    <cfRule type="containsText" dxfId="856" priority="857" operator="containsText" text="TB">
      <formula>NOT(ISERROR(SEARCH("TB",E49)))</formula>
    </cfRule>
  </conditionalFormatting>
  <conditionalFormatting sqref="E30">
    <cfRule type="containsText" dxfId="855" priority="854" operator="containsText" text="B">
      <formula>NOT(ISERROR(SEARCH("B",E30)))</formula>
    </cfRule>
    <cfRule type="containsText" dxfId="854" priority="855" operator="containsText" text="TB">
      <formula>NOT(ISERROR(SEARCH("TB",E30)))</formula>
    </cfRule>
    <cfRule type="containsText" dxfId="853" priority="856" operator="containsText" text="T">
      <formula>NOT(ISERROR(SEARCH("T",E30)))</formula>
    </cfRule>
  </conditionalFormatting>
  <conditionalFormatting sqref="E30">
    <cfRule type="containsText" dxfId="852" priority="853" operator="containsText" text="TB">
      <formula>NOT(ISERROR(SEARCH("TB",E30)))</formula>
    </cfRule>
  </conditionalFormatting>
  <conditionalFormatting sqref="E137">
    <cfRule type="containsText" dxfId="851" priority="850" operator="containsText" text="B">
      <formula>NOT(ISERROR(SEARCH("B",E137)))</formula>
    </cfRule>
    <cfRule type="containsText" dxfId="850" priority="851" operator="containsText" text="TB">
      <formula>NOT(ISERROR(SEARCH("TB",E137)))</formula>
    </cfRule>
    <cfRule type="containsText" dxfId="849" priority="852" operator="containsText" text="T">
      <formula>NOT(ISERROR(SEARCH("T",E137)))</formula>
    </cfRule>
  </conditionalFormatting>
  <conditionalFormatting sqref="E137">
    <cfRule type="containsText" dxfId="848" priority="849" operator="containsText" text="TB">
      <formula>NOT(ISERROR(SEARCH("TB",E137)))</formula>
    </cfRule>
  </conditionalFormatting>
  <conditionalFormatting sqref="E148">
    <cfRule type="containsText" dxfId="847" priority="846" operator="containsText" text="B">
      <formula>NOT(ISERROR(SEARCH("B",E148)))</formula>
    </cfRule>
    <cfRule type="containsText" dxfId="846" priority="847" operator="containsText" text="TB">
      <formula>NOT(ISERROR(SEARCH("TB",E148)))</formula>
    </cfRule>
    <cfRule type="containsText" dxfId="845" priority="848" operator="containsText" text="T">
      <formula>NOT(ISERROR(SEARCH("T",E148)))</formula>
    </cfRule>
  </conditionalFormatting>
  <conditionalFormatting sqref="E148">
    <cfRule type="containsText" dxfId="844" priority="845" operator="containsText" text="TB">
      <formula>NOT(ISERROR(SEARCH("TB",E148)))</formula>
    </cfRule>
  </conditionalFormatting>
  <conditionalFormatting sqref="E7">
    <cfRule type="containsText" dxfId="843" priority="842" operator="containsText" text="B">
      <formula>NOT(ISERROR(SEARCH("B",E7)))</formula>
    </cfRule>
    <cfRule type="containsText" dxfId="842" priority="843" operator="containsText" text="TB">
      <formula>NOT(ISERROR(SEARCH("TB",E7)))</formula>
    </cfRule>
    <cfRule type="containsText" dxfId="841" priority="844" operator="containsText" text="T">
      <formula>NOT(ISERROR(SEARCH("T",E7)))</formula>
    </cfRule>
  </conditionalFormatting>
  <conditionalFormatting sqref="E7">
    <cfRule type="containsText" dxfId="840" priority="841" operator="containsText" text="TB">
      <formula>NOT(ISERROR(SEARCH("TB",E7)))</formula>
    </cfRule>
  </conditionalFormatting>
  <conditionalFormatting sqref="E14">
    <cfRule type="containsText" dxfId="839" priority="838" operator="containsText" text="B">
      <formula>NOT(ISERROR(SEARCH("B",E14)))</formula>
    </cfRule>
    <cfRule type="containsText" dxfId="838" priority="839" operator="containsText" text="TB">
      <formula>NOT(ISERROR(SEARCH("TB",E14)))</formula>
    </cfRule>
    <cfRule type="containsText" dxfId="837" priority="840" operator="containsText" text="T">
      <formula>NOT(ISERROR(SEARCH("T",E14)))</formula>
    </cfRule>
  </conditionalFormatting>
  <conditionalFormatting sqref="E14">
    <cfRule type="containsText" dxfId="836" priority="837" operator="containsText" text="TB">
      <formula>NOT(ISERROR(SEARCH("TB",E14)))</formula>
    </cfRule>
  </conditionalFormatting>
  <conditionalFormatting sqref="E39">
    <cfRule type="containsText" dxfId="835" priority="834" operator="containsText" text="B">
      <formula>NOT(ISERROR(SEARCH("B",E39)))</formula>
    </cfRule>
    <cfRule type="containsText" dxfId="834" priority="835" operator="containsText" text="TB">
      <formula>NOT(ISERROR(SEARCH("TB",E39)))</formula>
    </cfRule>
    <cfRule type="containsText" dxfId="833" priority="836" operator="containsText" text="T">
      <formula>NOT(ISERROR(SEARCH("T",E39)))</formula>
    </cfRule>
  </conditionalFormatting>
  <conditionalFormatting sqref="E39">
    <cfRule type="containsText" dxfId="832" priority="833" operator="containsText" text="TB">
      <formula>NOT(ISERROR(SEARCH("TB",E39)))</formula>
    </cfRule>
  </conditionalFormatting>
  <conditionalFormatting sqref="E36">
    <cfRule type="containsText" dxfId="831" priority="830" operator="containsText" text="B">
      <formula>NOT(ISERROR(SEARCH("B",E36)))</formula>
    </cfRule>
    <cfRule type="containsText" dxfId="830" priority="831" operator="containsText" text="TB">
      <formula>NOT(ISERROR(SEARCH("TB",E36)))</formula>
    </cfRule>
    <cfRule type="containsText" dxfId="829" priority="832" operator="containsText" text="T">
      <formula>NOT(ISERROR(SEARCH("T",E36)))</formula>
    </cfRule>
  </conditionalFormatting>
  <conditionalFormatting sqref="E36">
    <cfRule type="containsText" dxfId="828" priority="829" operator="containsText" text="TB">
      <formula>NOT(ISERROR(SEARCH("TB",E36)))</formula>
    </cfRule>
  </conditionalFormatting>
  <conditionalFormatting sqref="F11">
    <cfRule type="containsText" dxfId="827" priority="826" operator="containsText" text="B">
      <formula>NOT(ISERROR(SEARCH("B",F11)))</formula>
    </cfRule>
    <cfRule type="containsText" dxfId="826" priority="827" operator="containsText" text="TB">
      <formula>NOT(ISERROR(SEARCH("TB",F11)))</formula>
    </cfRule>
    <cfRule type="containsText" dxfId="825" priority="828" operator="containsText" text="T">
      <formula>NOT(ISERROR(SEARCH("T",F11)))</formula>
    </cfRule>
  </conditionalFormatting>
  <conditionalFormatting sqref="F11">
    <cfRule type="containsText" dxfId="824" priority="825" operator="containsText" text="TB">
      <formula>NOT(ISERROR(SEARCH("TB",F11)))</formula>
    </cfRule>
  </conditionalFormatting>
  <conditionalFormatting sqref="F167">
    <cfRule type="containsText" dxfId="823" priority="822" operator="containsText" text="B">
      <formula>NOT(ISERROR(SEARCH("B",F167)))</formula>
    </cfRule>
    <cfRule type="containsText" dxfId="822" priority="823" operator="containsText" text="TB">
      <formula>NOT(ISERROR(SEARCH("TB",F167)))</formula>
    </cfRule>
    <cfRule type="containsText" dxfId="821" priority="824" operator="containsText" text="T">
      <formula>NOT(ISERROR(SEARCH("T",F167)))</formula>
    </cfRule>
  </conditionalFormatting>
  <conditionalFormatting sqref="F167">
    <cfRule type="containsText" dxfId="820" priority="821" operator="containsText" text="TB">
      <formula>NOT(ISERROR(SEARCH("TB",F167)))</formula>
    </cfRule>
  </conditionalFormatting>
  <conditionalFormatting sqref="F13">
    <cfRule type="containsText" dxfId="819" priority="818" operator="containsText" text="B">
      <formula>NOT(ISERROR(SEARCH("B",F13)))</formula>
    </cfRule>
    <cfRule type="containsText" dxfId="818" priority="819" operator="containsText" text="TB">
      <formula>NOT(ISERROR(SEARCH("TB",F13)))</formula>
    </cfRule>
    <cfRule type="containsText" dxfId="817" priority="820" operator="containsText" text="T">
      <formula>NOT(ISERROR(SEARCH("T",F13)))</formula>
    </cfRule>
  </conditionalFormatting>
  <conditionalFormatting sqref="F13">
    <cfRule type="containsText" dxfId="816" priority="817" operator="containsText" text="TB">
      <formula>NOT(ISERROR(SEARCH("TB",F13)))</formula>
    </cfRule>
  </conditionalFormatting>
  <conditionalFormatting sqref="F19">
    <cfRule type="containsText" dxfId="815" priority="814" operator="containsText" text="B">
      <formula>NOT(ISERROR(SEARCH("B",F19)))</formula>
    </cfRule>
    <cfRule type="containsText" dxfId="814" priority="815" operator="containsText" text="TB">
      <formula>NOT(ISERROR(SEARCH("TB",F19)))</formula>
    </cfRule>
    <cfRule type="containsText" dxfId="813" priority="816" operator="containsText" text="T">
      <formula>NOT(ISERROR(SEARCH("T",F19)))</formula>
    </cfRule>
  </conditionalFormatting>
  <conditionalFormatting sqref="F19">
    <cfRule type="containsText" dxfId="812" priority="813" operator="containsText" text="TB">
      <formula>NOT(ISERROR(SEARCH("TB",F19)))</formula>
    </cfRule>
  </conditionalFormatting>
  <conditionalFormatting sqref="E48">
    <cfRule type="containsText" dxfId="811" priority="810" operator="containsText" text="B">
      <formula>NOT(ISERROR(SEARCH("B",E48)))</formula>
    </cfRule>
    <cfRule type="containsText" dxfId="810" priority="811" operator="containsText" text="TB">
      <formula>NOT(ISERROR(SEARCH("TB",E48)))</formula>
    </cfRule>
    <cfRule type="containsText" dxfId="809" priority="812" operator="containsText" text="T">
      <formula>NOT(ISERROR(SEARCH("T",E48)))</formula>
    </cfRule>
  </conditionalFormatting>
  <conditionalFormatting sqref="E48">
    <cfRule type="containsText" dxfId="808" priority="809" operator="containsText" text="TB">
      <formula>NOT(ISERROR(SEARCH("TB",E48)))</formula>
    </cfRule>
  </conditionalFormatting>
  <conditionalFormatting sqref="F41">
    <cfRule type="containsText" dxfId="807" priority="806" operator="containsText" text="B">
      <formula>NOT(ISERROR(SEARCH("B",F41)))</formula>
    </cfRule>
    <cfRule type="containsText" dxfId="806" priority="807" operator="containsText" text="TB">
      <formula>NOT(ISERROR(SEARCH("TB",F41)))</formula>
    </cfRule>
    <cfRule type="containsText" dxfId="805" priority="808" operator="containsText" text="T">
      <formula>NOT(ISERROR(SEARCH("T",F41)))</formula>
    </cfRule>
  </conditionalFormatting>
  <conditionalFormatting sqref="F41">
    <cfRule type="containsText" dxfId="804" priority="805" operator="containsText" text="TB">
      <formula>NOT(ISERROR(SEARCH("TB",F41)))</formula>
    </cfRule>
  </conditionalFormatting>
  <conditionalFormatting sqref="F28">
    <cfRule type="containsText" dxfId="803" priority="802" operator="containsText" text="B">
      <formula>NOT(ISERROR(SEARCH("B",F28)))</formula>
    </cfRule>
    <cfRule type="containsText" dxfId="802" priority="803" operator="containsText" text="TB">
      <formula>NOT(ISERROR(SEARCH("TB",F28)))</formula>
    </cfRule>
    <cfRule type="containsText" dxfId="801" priority="804" operator="containsText" text="T">
      <formula>NOT(ISERROR(SEARCH("T",F28)))</formula>
    </cfRule>
  </conditionalFormatting>
  <conditionalFormatting sqref="F28">
    <cfRule type="containsText" dxfId="800" priority="801" operator="containsText" text="TB">
      <formula>NOT(ISERROR(SEARCH("TB",F28)))</formula>
    </cfRule>
  </conditionalFormatting>
  <conditionalFormatting sqref="F51">
    <cfRule type="containsText" dxfId="799" priority="798" operator="containsText" text="B">
      <formula>NOT(ISERROR(SEARCH("B",F51)))</formula>
    </cfRule>
    <cfRule type="containsText" dxfId="798" priority="799" operator="containsText" text="TB">
      <formula>NOT(ISERROR(SEARCH("TB",F51)))</formula>
    </cfRule>
    <cfRule type="containsText" dxfId="797" priority="800" operator="containsText" text="T">
      <formula>NOT(ISERROR(SEARCH("T",F51)))</formula>
    </cfRule>
  </conditionalFormatting>
  <conditionalFormatting sqref="F51">
    <cfRule type="containsText" dxfId="796" priority="797" operator="containsText" text="TB">
      <formula>NOT(ISERROR(SEARCH("TB",F51)))</formula>
    </cfRule>
  </conditionalFormatting>
  <conditionalFormatting sqref="F23">
    <cfRule type="containsText" dxfId="795" priority="794" operator="containsText" text="B">
      <formula>NOT(ISERROR(SEARCH("B",F23)))</formula>
    </cfRule>
    <cfRule type="containsText" dxfId="794" priority="795" operator="containsText" text="TB">
      <formula>NOT(ISERROR(SEARCH("TB",F23)))</formula>
    </cfRule>
    <cfRule type="containsText" dxfId="793" priority="796" operator="containsText" text="T">
      <formula>NOT(ISERROR(SEARCH("T",F23)))</formula>
    </cfRule>
  </conditionalFormatting>
  <conditionalFormatting sqref="F23">
    <cfRule type="containsText" dxfId="792" priority="793" operator="containsText" text="TB">
      <formula>NOT(ISERROR(SEARCH("TB",F23)))</formula>
    </cfRule>
  </conditionalFormatting>
  <conditionalFormatting sqref="F35">
    <cfRule type="containsText" dxfId="791" priority="789" operator="containsText" text="TB">
      <formula>NOT(ISERROR(SEARCH("TB",F35)))</formula>
    </cfRule>
  </conditionalFormatting>
  <conditionalFormatting sqref="F35">
    <cfRule type="containsText" dxfId="790" priority="790" operator="containsText" text="B">
      <formula>NOT(ISERROR(SEARCH("B",F35)))</formula>
    </cfRule>
    <cfRule type="containsText" dxfId="789" priority="791" operator="containsText" text="TB">
      <formula>NOT(ISERROR(SEARCH("TB",F35)))</formula>
    </cfRule>
    <cfRule type="containsText" dxfId="788" priority="792" operator="containsText" text="T">
      <formula>NOT(ISERROR(SEARCH("T",F35)))</formula>
    </cfRule>
  </conditionalFormatting>
  <conditionalFormatting sqref="F43">
    <cfRule type="containsText" dxfId="787" priority="785" operator="containsText" text="TB">
      <formula>NOT(ISERROR(SEARCH("TB",F43)))</formula>
    </cfRule>
  </conditionalFormatting>
  <conditionalFormatting sqref="F43">
    <cfRule type="containsText" dxfId="786" priority="786" operator="containsText" text="B">
      <formula>NOT(ISERROR(SEARCH("B",F43)))</formula>
    </cfRule>
    <cfRule type="containsText" dxfId="785" priority="787" operator="containsText" text="TB">
      <formula>NOT(ISERROR(SEARCH("TB",F43)))</formula>
    </cfRule>
    <cfRule type="containsText" dxfId="784" priority="788" operator="containsText" text="T">
      <formula>NOT(ISERROR(SEARCH("T",F43)))</formula>
    </cfRule>
  </conditionalFormatting>
  <conditionalFormatting sqref="G15">
    <cfRule type="containsText" dxfId="783" priority="782" operator="containsText" text="B">
      <formula>NOT(ISERROR(SEARCH("B",G15)))</formula>
    </cfRule>
    <cfRule type="containsText" dxfId="782" priority="783" operator="containsText" text="TB">
      <formula>NOT(ISERROR(SEARCH("TB",G15)))</formula>
    </cfRule>
    <cfRule type="containsText" dxfId="781" priority="784" operator="containsText" text="T">
      <formula>NOT(ISERROR(SEARCH("T",G15)))</formula>
    </cfRule>
  </conditionalFormatting>
  <conditionalFormatting sqref="G15">
    <cfRule type="containsText" dxfId="780" priority="781" operator="containsText" text="TB">
      <formula>NOT(ISERROR(SEARCH("TB",G15)))</formula>
    </cfRule>
  </conditionalFormatting>
  <conditionalFormatting sqref="G9">
    <cfRule type="containsText" dxfId="779" priority="778" operator="containsText" text="B">
      <formula>NOT(ISERROR(SEARCH("B",G9)))</formula>
    </cfRule>
    <cfRule type="containsText" dxfId="778" priority="779" operator="containsText" text="TB">
      <formula>NOT(ISERROR(SEARCH("TB",G9)))</formula>
    </cfRule>
    <cfRule type="containsText" dxfId="777" priority="780" operator="containsText" text="T">
      <formula>NOT(ISERROR(SEARCH("T",G9)))</formula>
    </cfRule>
  </conditionalFormatting>
  <conditionalFormatting sqref="G9">
    <cfRule type="containsText" dxfId="776" priority="777" operator="containsText" text="TB">
      <formula>NOT(ISERROR(SEARCH("TB",G9)))</formula>
    </cfRule>
  </conditionalFormatting>
  <conditionalFormatting sqref="G49">
    <cfRule type="containsText" dxfId="775" priority="774" operator="containsText" text="B">
      <formula>NOT(ISERROR(SEARCH("B",G49)))</formula>
    </cfRule>
    <cfRule type="containsText" dxfId="774" priority="775" operator="containsText" text="TB">
      <formula>NOT(ISERROR(SEARCH("TB",G49)))</formula>
    </cfRule>
    <cfRule type="containsText" dxfId="773" priority="776" operator="containsText" text="T">
      <formula>NOT(ISERROR(SEARCH("T",G49)))</formula>
    </cfRule>
  </conditionalFormatting>
  <conditionalFormatting sqref="G49">
    <cfRule type="containsText" dxfId="772" priority="773" operator="containsText" text="TB">
      <formula>NOT(ISERROR(SEARCH("TB",G49)))</formula>
    </cfRule>
  </conditionalFormatting>
  <conditionalFormatting sqref="G35">
    <cfRule type="containsText" dxfId="771" priority="770" operator="containsText" text="B">
      <formula>NOT(ISERROR(SEARCH("B",G35)))</formula>
    </cfRule>
    <cfRule type="containsText" dxfId="770" priority="771" operator="containsText" text="TB">
      <formula>NOT(ISERROR(SEARCH("TB",G35)))</formula>
    </cfRule>
    <cfRule type="containsText" dxfId="769" priority="772" operator="containsText" text="T">
      <formula>NOT(ISERROR(SEARCH("T",G35)))</formula>
    </cfRule>
  </conditionalFormatting>
  <conditionalFormatting sqref="G35">
    <cfRule type="containsText" dxfId="768" priority="769" operator="containsText" text="TB">
      <formula>NOT(ISERROR(SEARCH("TB",G35)))</formula>
    </cfRule>
  </conditionalFormatting>
  <conditionalFormatting sqref="G29">
    <cfRule type="containsText" dxfId="767" priority="766" operator="containsText" text="B">
      <formula>NOT(ISERROR(SEARCH("B",G29)))</formula>
    </cfRule>
    <cfRule type="containsText" dxfId="766" priority="767" operator="containsText" text="TB">
      <formula>NOT(ISERROR(SEARCH("TB",G29)))</formula>
    </cfRule>
    <cfRule type="containsText" dxfId="765" priority="768" operator="containsText" text="T">
      <formula>NOT(ISERROR(SEARCH("T",G29)))</formula>
    </cfRule>
  </conditionalFormatting>
  <conditionalFormatting sqref="G29">
    <cfRule type="containsText" dxfId="764" priority="765" operator="containsText" text="TB">
      <formula>NOT(ISERROR(SEARCH("TB",G29)))</formula>
    </cfRule>
  </conditionalFormatting>
  <conditionalFormatting sqref="F137">
    <cfRule type="containsText" dxfId="763" priority="762" operator="containsText" text="B">
      <formula>NOT(ISERROR(SEARCH("B",F137)))</formula>
    </cfRule>
    <cfRule type="containsText" dxfId="762" priority="763" operator="containsText" text="TB">
      <formula>NOT(ISERROR(SEARCH("TB",F137)))</formula>
    </cfRule>
    <cfRule type="containsText" dxfId="761" priority="764" operator="containsText" text="T">
      <formula>NOT(ISERROR(SEARCH("T",F137)))</formula>
    </cfRule>
  </conditionalFormatting>
  <conditionalFormatting sqref="F137">
    <cfRule type="containsText" dxfId="760" priority="761" operator="containsText" text="TB">
      <formula>NOT(ISERROR(SEARCH("TB",F137)))</formula>
    </cfRule>
  </conditionalFormatting>
  <conditionalFormatting sqref="G31">
    <cfRule type="containsText" dxfId="759" priority="758" operator="containsText" text="B">
      <formula>NOT(ISERROR(SEARCH("B",G31)))</formula>
    </cfRule>
    <cfRule type="containsText" dxfId="758" priority="759" operator="containsText" text="TB">
      <formula>NOT(ISERROR(SEARCH("TB",G31)))</formula>
    </cfRule>
    <cfRule type="containsText" dxfId="757" priority="760" operator="containsText" text="T">
      <formula>NOT(ISERROR(SEARCH("T",G31)))</formula>
    </cfRule>
  </conditionalFormatting>
  <conditionalFormatting sqref="G31">
    <cfRule type="containsText" dxfId="756" priority="757" operator="containsText" text="TB">
      <formula>NOT(ISERROR(SEARCH("TB",G31)))</formula>
    </cfRule>
  </conditionalFormatting>
  <conditionalFormatting sqref="G37">
    <cfRule type="containsText" dxfId="755" priority="754" operator="containsText" text="B">
      <formula>NOT(ISERROR(SEARCH("B",G37)))</formula>
    </cfRule>
    <cfRule type="containsText" dxfId="754" priority="755" operator="containsText" text="TB">
      <formula>NOT(ISERROR(SEARCH("TB",G37)))</formula>
    </cfRule>
    <cfRule type="containsText" dxfId="753" priority="756" operator="containsText" text="T">
      <formula>NOT(ISERROR(SEARCH("T",G37)))</formula>
    </cfRule>
  </conditionalFormatting>
  <conditionalFormatting sqref="G37">
    <cfRule type="containsText" dxfId="752" priority="753" operator="containsText" text="TB">
      <formula>NOT(ISERROR(SEARCH("TB",G37)))</formula>
    </cfRule>
  </conditionalFormatting>
  <conditionalFormatting sqref="G46">
    <cfRule type="containsText" dxfId="751" priority="749" operator="containsText" text="TB">
      <formula>NOT(ISERROR(SEARCH("TB",G46)))</formula>
    </cfRule>
  </conditionalFormatting>
  <conditionalFormatting sqref="G46">
    <cfRule type="containsText" dxfId="750" priority="750" operator="containsText" text="B">
      <formula>NOT(ISERROR(SEARCH("B",G46)))</formula>
    </cfRule>
    <cfRule type="containsText" dxfId="749" priority="751" operator="containsText" text="TB">
      <formula>NOT(ISERROR(SEARCH("TB",G46)))</formula>
    </cfRule>
    <cfRule type="containsText" dxfId="748" priority="752" operator="containsText" text="T">
      <formula>NOT(ISERROR(SEARCH("T",G46)))</formula>
    </cfRule>
  </conditionalFormatting>
  <conditionalFormatting sqref="F48">
    <cfRule type="containsText" dxfId="747" priority="746" operator="containsText" text="B">
      <formula>NOT(ISERROR(SEARCH("B",F48)))</formula>
    </cfRule>
    <cfRule type="containsText" dxfId="746" priority="747" operator="containsText" text="TB">
      <formula>NOT(ISERROR(SEARCH("TB",F48)))</formula>
    </cfRule>
    <cfRule type="containsText" dxfId="745" priority="748" operator="containsText" text="T">
      <formula>NOT(ISERROR(SEARCH("T",F48)))</formula>
    </cfRule>
  </conditionalFormatting>
  <conditionalFormatting sqref="F48">
    <cfRule type="containsText" dxfId="744" priority="745" operator="containsText" text="TB">
      <formula>NOT(ISERROR(SEARCH("TB",F48)))</formula>
    </cfRule>
  </conditionalFormatting>
  <conditionalFormatting sqref="H15">
    <cfRule type="containsText" dxfId="743" priority="742" operator="containsText" text="B">
      <formula>NOT(ISERROR(SEARCH("B",H15)))</formula>
    </cfRule>
    <cfRule type="containsText" dxfId="742" priority="743" operator="containsText" text="TB">
      <formula>NOT(ISERROR(SEARCH("TB",H15)))</formula>
    </cfRule>
    <cfRule type="containsText" dxfId="741" priority="744" operator="containsText" text="T">
      <formula>NOT(ISERROR(SEARCH("T",H15)))</formula>
    </cfRule>
  </conditionalFormatting>
  <conditionalFormatting sqref="H15">
    <cfRule type="containsText" dxfId="740" priority="741" operator="containsText" text="TB">
      <formula>NOT(ISERROR(SEARCH("TB",H15)))</formula>
    </cfRule>
  </conditionalFormatting>
  <conditionalFormatting sqref="H47">
    <cfRule type="containsText" dxfId="739" priority="738" operator="containsText" text="B">
      <formula>NOT(ISERROR(SEARCH("B",H47)))</formula>
    </cfRule>
    <cfRule type="containsText" dxfId="738" priority="739" operator="containsText" text="TB">
      <formula>NOT(ISERROR(SEARCH("TB",H47)))</formula>
    </cfRule>
    <cfRule type="containsText" dxfId="737" priority="740" operator="containsText" text="T">
      <formula>NOT(ISERROR(SEARCH("T",H47)))</formula>
    </cfRule>
  </conditionalFormatting>
  <conditionalFormatting sqref="H47">
    <cfRule type="containsText" dxfId="736" priority="737" operator="containsText" text="TB">
      <formula>NOT(ISERROR(SEARCH("TB",H47)))</formula>
    </cfRule>
  </conditionalFormatting>
  <conditionalFormatting sqref="H10">
    <cfRule type="containsText" dxfId="735" priority="734" operator="containsText" text="B">
      <formula>NOT(ISERROR(SEARCH("B",H10)))</formula>
    </cfRule>
    <cfRule type="containsText" dxfId="734" priority="735" operator="containsText" text="TB">
      <formula>NOT(ISERROR(SEARCH("TB",H10)))</formula>
    </cfRule>
    <cfRule type="containsText" dxfId="733" priority="736" operator="containsText" text="T">
      <formula>NOT(ISERROR(SEARCH("T",H10)))</formula>
    </cfRule>
  </conditionalFormatting>
  <conditionalFormatting sqref="H10">
    <cfRule type="containsText" dxfId="732" priority="733" operator="containsText" text="TB">
      <formula>NOT(ISERROR(SEARCH("TB",H10)))</formula>
    </cfRule>
  </conditionalFormatting>
  <conditionalFormatting sqref="H19">
    <cfRule type="containsText" dxfId="731" priority="730" operator="containsText" text="B">
      <formula>NOT(ISERROR(SEARCH("B",H19)))</formula>
    </cfRule>
    <cfRule type="containsText" dxfId="730" priority="731" operator="containsText" text="TB">
      <formula>NOT(ISERROR(SEARCH("TB",H19)))</formula>
    </cfRule>
    <cfRule type="containsText" dxfId="729" priority="732" operator="containsText" text="T">
      <formula>NOT(ISERROR(SEARCH("T",H19)))</formula>
    </cfRule>
  </conditionalFormatting>
  <conditionalFormatting sqref="H19">
    <cfRule type="containsText" dxfId="728" priority="729" operator="containsText" text="TB">
      <formula>NOT(ISERROR(SEARCH("TB",H19)))</formula>
    </cfRule>
  </conditionalFormatting>
  <conditionalFormatting sqref="H16">
    <cfRule type="containsText" dxfId="727" priority="726" operator="containsText" text="B">
      <formula>NOT(ISERROR(SEARCH("B",H16)))</formula>
    </cfRule>
    <cfRule type="containsText" dxfId="726" priority="727" operator="containsText" text="TB">
      <formula>NOT(ISERROR(SEARCH("TB",H16)))</formula>
    </cfRule>
    <cfRule type="containsText" dxfId="725" priority="728" operator="containsText" text="T">
      <formula>NOT(ISERROR(SEARCH("T",H16)))</formula>
    </cfRule>
  </conditionalFormatting>
  <conditionalFormatting sqref="H16">
    <cfRule type="containsText" dxfId="724" priority="725" operator="containsText" text="TB">
      <formula>NOT(ISERROR(SEARCH("TB",H16)))</formula>
    </cfRule>
  </conditionalFormatting>
  <conditionalFormatting sqref="H14">
    <cfRule type="containsText" dxfId="723" priority="722" operator="containsText" text="B">
      <formula>NOT(ISERROR(SEARCH("B",H14)))</formula>
    </cfRule>
    <cfRule type="containsText" dxfId="722" priority="723" operator="containsText" text="TB">
      <formula>NOT(ISERROR(SEARCH("TB",H14)))</formula>
    </cfRule>
    <cfRule type="containsText" dxfId="721" priority="724" operator="containsText" text="T">
      <formula>NOT(ISERROR(SEARCH("T",H14)))</formula>
    </cfRule>
  </conditionalFormatting>
  <conditionalFormatting sqref="H14">
    <cfRule type="containsText" dxfId="720" priority="721" operator="containsText" text="TB">
      <formula>NOT(ISERROR(SEARCH("TB",H14)))</formula>
    </cfRule>
  </conditionalFormatting>
  <conditionalFormatting sqref="H51">
    <cfRule type="containsText" dxfId="719" priority="718" operator="containsText" text="B">
      <formula>NOT(ISERROR(SEARCH("B",H51)))</formula>
    </cfRule>
    <cfRule type="containsText" dxfId="718" priority="719" operator="containsText" text="TB">
      <formula>NOT(ISERROR(SEARCH("TB",H51)))</formula>
    </cfRule>
    <cfRule type="containsText" dxfId="717" priority="720" operator="containsText" text="T">
      <formula>NOT(ISERROR(SEARCH("T",H51)))</formula>
    </cfRule>
  </conditionalFormatting>
  <conditionalFormatting sqref="H51">
    <cfRule type="containsText" dxfId="716" priority="717" operator="containsText" text="TB">
      <formula>NOT(ISERROR(SEARCH("TB",H51)))</formula>
    </cfRule>
  </conditionalFormatting>
  <conditionalFormatting sqref="H38">
    <cfRule type="containsText" dxfId="715" priority="714" operator="containsText" text="B">
      <formula>NOT(ISERROR(SEARCH("B",H38)))</formula>
    </cfRule>
    <cfRule type="containsText" dxfId="714" priority="715" operator="containsText" text="TB">
      <formula>NOT(ISERROR(SEARCH("TB",H38)))</formula>
    </cfRule>
    <cfRule type="containsText" dxfId="713" priority="716" operator="containsText" text="T">
      <formula>NOT(ISERROR(SEARCH("T",H38)))</formula>
    </cfRule>
  </conditionalFormatting>
  <conditionalFormatting sqref="H38">
    <cfRule type="containsText" dxfId="712" priority="713" operator="containsText" text="TB">
      <formula>NOT(ISERROR(SEARCH("TB",H38)))</formula>
    </cfRule>
  </conditionalFormatting>
  <conditionalFormatting sqref="H30">
    <cfRule type="containsText" dxfId="711" priority="710" operator="containsText" text="B">
      <formula>NOT(ISERROR(SEARCH("B",H30)))</formula>
    </cfRule>
    <cfRule type="containsText" dxfId="710" priority="711" operator="containsText" text="TB">
      <formula>NOT(ISERROR(SEARCH("TB",H30)))</formula>
    </cfRule>
    <cfRule type="containsText" dxfId="709" priority="712" operator="containsText" text="T">
      <formula>NOT(ISERROR(SEARCH("T",H30)))</formula>
    </cfRule>
  </conditionalFormatting>
  <conditionalFormatting sqref="H30">
    <cfRule type="containsText" dxfId="708" priority="709" operator="containsText" text="TB">
      <formula>NOT(ISERROR(SEARCH("TB",H30)))</formula>
    </cfRule>
  </conditionalFormatting>
  <conditionalFormatting sqref="H48">
    <cfRule type="containsText" dxfId="707" priority="706" operator="containsText" text="B">
      <formula>NOT(ISERROR(SEARCH("B",H48)))</formula>
    </cfRule>
    <cfRule type="containsText" dxfId="706" priority="707" operator="containsText" text="TB">
      <formula>NOT(ISERROR(SEARCH("TB",H48)))</formula>
    </cfRule>
    <cfRule type="containsText" dxfId="705" priority="708" operator="containsText" text="T">
      <formula>NOT(ISERROR(SEARCH("T",H48)))</formula>
    </cfRule>
  </conditionalFormatting>
  <conditionalFormatting sqref="H48">
    <cfRule type="containsText" dxfId="704" priority="705" operator="containsText" text="TB">
      <formula>NOT(ISERROR(SEARCH("TB",H48)))</formula>
    </cfRule>
  </conditionalFormatting>
  <conditionalFormatting sqref="H28">
    <cfRule type="containsText" dxfId="703" priority="702" operator="containsText" text="B">
      <formula>NOT(ISERROR(SEARCH("B",H28)))</formula>
    </cfRule>
    <cfRule type="containsText" dxfId="702" priority="703" operator="containsText" text="TB">
      <formula>NOT(ISERROR(SEARCH("TB",H28)))</formula>
    </cfRule>
    <cfRule type="containsText" dxfId="701" priority="704" operator="containsText" text="T">
      <formula>NOT(ISERROR(SEARCH("T",H28)))</formula>
    </cfRule>
  </conditionalFormatting>
  <conditionalFormatting sqref="H28">
    <cfRule type="containsText" dxfId="700" priority="701" operator="containsText" text="TB">
      <formula>NOT(ISERROR(SEARCH("TB",H28)))</formula>
    </cfRule>
  </conditionalFormatting>
  <conditionalFormatting sqref="I49">
    <cfRule type="containsText" dxfId="699" priority="698" operator="containsText" text="B">
      <formula>NOT(ISERROR(SEARCH("B",I49)))</formula>
    </cfRule>
    <cfRule type="containsText" dxfId="698" priority="699" operator="containsText" text="TB">
      <formula>NOT(ISERROR(SEARCH("TB",I49)))</formula>
    </cfRule>
    <cfRule type="containsText" dxfId="697" priority="700" operator="containsText" text="T">
      <formula>NOT(ISERROR(SEARCH("T",I49)))</formula>
    </cfRule>
  </conditionalFormatting>
  <conditionalFormatting sqref="I49">
    <cfRule type="containsText" dxfId="696" priority="697" operator="containsText" text="TB">
      <formula>NOT(ISERROR(SEARCH("TB",I49)))</formula>
    </cfRule>
  </conditionalFormatting>
  <conditionalFormatting sqref="I13">
    <cfRule type="containsText" dxfId="695" priority="694" operator="containsText" text="B">
      <formula>NOT(ISERROR(SEARCH("B",I13)))</formula>
    </cfRule>
    <cfRule type="containsText" dxfId="694" priority="695" operator="containsText" text="TB">
      <formula>NOT(ISERROR(SEARCH("TB",I13)))</formula>
    </cfRule>
    <cfRule type="containsText" dxfId="693" priority="696" operator="containsText" text="T">
      <formula>NOT(ISERROR(SEARCH("T",I13)))</formula>
    </cfRule>
  </conditionalFormatting>
  <conditionalFormatting sqref="I13">
    <cfRule type="containsText" dxfId="692" priority="693" operator="containsText" text="TB">
      <formula>NOT(ISERROR(SEARCH("TB",I13)))</formula>
    </cfRule>
  </conditionalFormatting>
  <conditionalFormatting sqref="I30">
    <cfRule type="containsText" dxfId="691" priority="690" operator="containsText" text="B">
      <formula>NOT(ISERROR(SEARCH("B",I30)))</formula>
    </cfRule>
    <cfRule type="containsText" dxfId="690" priority="691" operator="containsText" text="TB">
      <formula>NOT(ISERROR(SEARCH("TB",I30)))</formula>
    </cfRule>
    <cfRule type="containsText" dxfId="689" priority="692" operator="containsText" text="T">
      <formula>NOT(ISERROR(SEARCH("T",I30)))</formula>
    </cfRule>
  </conditionalFormatting>
  <conditionalFormatting sqref="I30">
    <cfRule type="containsText" dxfId="688" priority="689" operator="containsText" text="TB">
      <formula>NOT(ISERROR(SEARCH("TB",I30)))</formula>
    </cfRule>
  </conditionalFormatting>
  <conditionalFormatting sqref="I21">
    <cfRule type="containsText" dxfId="687" priority="686" operator="containsText" text="B">
      <formula>NOT(ISERROR(SEARCH("B",I21)))</formula>
    </cfRule>
    <cfRule type="containsText" dxfId="686" priority="687" operator="containsText" text="TB">
      <formula>NOT(ISERROR(SEARCH("TB",I21)))</formula>
    </cfRule>
    <cfRule type="containsText" dxfId="685" priority="688" operator="containsText" text="T">
      <formula>NOT(ISERROR(SEARCH("T",I21)))</formula>
    </cfRule>
  </conditionalFormatting>
  <conditionalFormatting sqref="I21">
    <cfRule type="containsText" dxfId="684" priority="685" operator="containsText" text="TB">
      <formula>NOT(ISERROR(SEARCH("TB",I21)))</formula>
    </cfRule>
  </conditionalFormatting>
  <conditionalFormatting sqref="I43">
    <cfRule type="containsText" dxfId="683" priority="682" operator="containsText" text="B">
      <formula>NOT(ISERROR(SEARCH("B",I43)))</formula>
    </cfRule>
    <cfRule type="containsText" dxfId="682" priority="683" operator="containsText" text="TB">
      <formula>NOT(ISERROR(SEARCH("TB",I43)))</formula>
    </cfRule>
    <cfRule type="containsText" dxfId="681" priority="684" operator="containsText" text="T">
      <formula>NOT(ISERROR(SEARCH("T",I43)))</formula>
    </cfRule>
  </conditionalFormatting>
  <conditionalFormatting sqref="I43">
    <cfRule type="containsText" dxfId="680" priority="681" operator="containsText" text="TB">
      <formula>NOT(ISERROR(SEARCH("TB",I43)))</formula>
    </cfRule>
  </conditionalFormatting>
  <conditionalFormatting sqref="I18">
    <cfRule type="containsText" dxfId="679" priority="678" operator="containsText" text="B">
      <formula>NOT(ISERROR(SEARCH("B",I18)))</formula>
    </cfRule>
    <cfRule type="containsText" dxfId="678" priority="679" operator="containsText" text="TB">
      <formula>NOT(ISERROR(SEARCH("TB",I18)))</formula>
    </cfRule>
    <cfRule type="containsText" dxfId="677" priority="680" operator="containsText" text="T">
      <formula>NOT(ISERROR(SEARCH("T",I18)))</formula>
    </cfRule>
  </conditionalFormatting>
  <conditionalFormatting sqref="I18">
    <cfRule type="containsText" dxfId="676" priority="677" operator="containsText" text="TB">
      <formula>NOT(ISERROR(SEARCH("TB",I18)))</formula>
    </cfRule>
  </conditionalFormatting>
  <conditionalFormatting sqref="I38">
    <cfRule type="containsText" dxfId="675" priority="674" operator="containsText" text="B">
      <formula>NOT(ISERROR(SEARCH("B",I38)))</formula>
    </cfRule>
    <cfRule type="containsText" dxfId="674" priority="675" operator="containsText" text="TB">
      <formula>NOT(ISERROR(SEARCH("TB",I38)))</formula>
    </cfRule>
    <cfRule type="containsText" dxfId="673" priority="676" operator="containsText" text="T">
      <formula>NOT(ISERROR(SEARCH("T",I38)))</formula>
    </cfRule>
  </conditionalFormatting>
  <conditionalFormatting sqref="I38">
    <cfRule type="containsText" dxfId="672" priority="673" operator="containsText" text="TB">
      <formula>NOT(ISERROR(SEARCH("TB",I38)))</formula>
    </cfRule>
  </conditionalFormatting>
  <conditionalFormatting sqref="I16">
    <cfRule type="containsText" dxfId="671" priority="670" operator="containsText" text="B">
      <formula>NOT(ISERROR(SEARCH("B",I16)))</formula>
    </cfRule>
    <cfRule type="containsText" dxfId="670" priority="671" operator="containsText" text="TB">
      <formula>NOT(ISERROR(SEARCH("TB",I16)))</formula>
    </cfRule>
    <cfRule type="containsText" dxfId="669" priority="672" operator="containsText" text="T">
      <formula>NOT(ISERROR(SEARCH("T",I16)))</formula>
    </cfRule>
  </conditionalFormatting>
  <conditionalFormatting sqref="I16">
    <cfRule type="containsText" dxfId="668" priority="669" operator="containsText" text="TB">
      <formula>NOT(ISERROR(SEARCH("TB",I16)))</formula>
    </cfRule>
  </conditionalFormatting>
  <conditionalFormatting sqref="I28">
    <cfRule type="containsText" dxfId="667" priority="666" operator="containsText" text="B">
      <formula>NOT(ISERROR(SEARCH("B",I28)))</formula>
    </cfRule>
    <cfRule type="containsText" dxfId="666" priority="667" operator="containsText" text="TB">
      <formula>NOT(ISERROR(SEARCH("TB",I28)))</formula>
    </cfRule>
    <cfRule type="containsText" dxfId="665" priority="668" operator="containsText" text="T">
      <formula>NOT(ISERROR(SEARCH("T",I28)))</formula>
    </cfRule>
  </conditionalFormatting>
  <conditionalFormatting sqref="I28">
    <cfRule type="containsText" dxfId="664" priority="665" operator="containsText" text="TB">
      <formula>NOT(ISERROR(SEARCH("TB",I28)))</formula>
    </cfRule>
  </conditionalFormatting>
  <conditionalFormatting sqref="K12">
    <cfRule type="containsText" dxfId="663" priority="662" operator="containsText" text="B">
      <formula>NOT(ISERROR(SEARCH("B",K12)))</formula>
    </cfRule>
    <cfRule type="containsText" dxfId="662" priority="663" operator="containsText" text="TB">
      <formula>NOT(ISERROR(SEARCH("TB",K12)))</formula>
    </cfRule>
    <cfRule type="containsText" dxfId="661" priority="664" operator="containsText" text="T">
      <formula>NOT(ISERROR(SEARCH("T",K12)))</formula>
    </cfRule>
  </conditionalFormatting>
  <conditionalFormatting sqref="K12">
    <cfRule type="containsText" dxfId="660" priority="661" operator="containsText" text="TB">
      <formula>NOT(ISERROR(SEARCH("TB",K12)))</formula>
    </cfRule>
  </conditionalFormatting>
  <conditionalFormatting sqref="K30">
    <cfRule type="containsText" dxfId="659" priority="658" operator="containsText" text="B">
      <formula>NOT(ISERROR(SEARCH("B",K30)))</formula>
    </cfRule>
    <cfRule type="containsText" dxfId="658" priority="659" operator="containsText" text="TB">
      <formula>NOT(ISERROR(SEARCH("TB",K30)))</formula>
    </cfRule>
    <cfRule type="containsText" dxfId="657" priority="660" operator="containsText" text="T">
      <formula>NOT(ISERROR(SEARCH("T",K30)))</formula>
    </cfRule>
  </conditionalFormatting>
  <conditionalFormatting sqref="K30">
    <cfRule type="containsText" dxfId="656" priority="657" operator="containsText" text="TB">
      <formula>NOT(ISERROR(SEARCH("TB",K30)))</formula>
    </cfRule>
  </conditionalFormatting>
  <conditionalFormatting sqref="K24">
    <cfRule type="containsText" dxfId="655" priority="654" operator="containsText" text="B">
      <formula>NOT(ISERROR(SEARCH("B",K24)))</formula>
    </cfRule>
    <cfRule type="containsText" dxfId="654" priority="655" operator="containsText" text="TB">
      <formula>NOT(ISERROR(SEARCH("TB",K24)))</formula>
    </cfRule>
    <cfRule type="containsText" dxfId="653" priority="656" operator="containsText" text="T">
      <formula>NOT(ISERROR(SEARCH("T",K24)))</formula>
    </cfRule>
  </conditionalFormatting>
  <conditionalFormatting sqref="K24">
    <cfRule type="containsText" dxfId="652" priority="653" operator="containsText" text="TB">
      <formula>NOT(ISERROR(SEARCH("TB",K24)))</formula>
    </cfRule>
  </conditionalFormatting>
  <conditionalFormatting sqref="K40">
    <cfRule type="containsText" dxfId="651" priority="650" operator="containsText" text="B">
      <formula>NOT(ISERROR(SEARCH("B",K40)))</formula>
    </cfRule>
    <cfRule type="containsText" dxfId="650" priority="651" operator="containsText" text="TB">
      <formula>NOT(ISERROR(SEARCH("TB",K40)))</formula>
    </cfRule>
    <cfRule type="containsText" dxfId="649" priority="652" operator="containsText" text="T">
      <formula>NOT(ISERROR(SEARCH("T",K40)))</formula>
    </cfRule>
  </conditionalFormatting>
  <conditionalFormatting sqref="K40">
    <cfRule type="containsText" dxfId="648" priority="649" operator="containsText" text="TB">
      <formula>NOT(ISERROR(SEARCH("TB",K40)))</formula>
    </cfRule>
  </conditionalFormatting>
  <conditionalFormatting sqref="K15">
    <cfRule type="containsText" dxfId="647" priority="646" operator="containsText" text="B">
      <formula>NOT(ISERROR(SEARCH("B",K15)))</formula>
    </cfRule>
    <cfRule type="containsText" dxfId="646" priority="647" operator="containsText" text="TB">
      <formula>NOT(ISERROR(SEARCH("TB",K15)))</formula>
    </cfRule>
    <cfRule type="containsText" dxfId="645" priority="648" operator="containsText" text="T">
      <formula>NOT(ISERROR(SEARCH("T",K15)))</formula>
    </cfRule>
  </conditionalFormatting>
  <conditionalFormatting sqref="K15">
    <cfRule type="containsText" dxfId="644" priority="645" operator="containsText" text="TB">
      <formula>NOT(ISERROR(SEARCH("TB",K15)))</formula>
    </cfRule>
  </conditionalFormatting>
  <conditionalFormatting sqref="J20">
    <cfRule type="containsText" dxfId="643" priority="642" operator="containsText" text="B">
      <formula>NOT(ISERROR(SEARCH("B",J20)))</formula>
    </cfRule>
    <cfRule type="containsText" dxfId="642" priority="643" operator="containsText" text="TB">
      <formula>NOT(ISERROR(SEARCH("TB",J20)))</formula>
    </cfRule>
    <cfRule type="containsText" dxfId="641" priority="644" operator="containsText" text="T">
      <formula>NOT(ISERROR(SEARCH("T",J20)))</formula>
    </cfRule>
  </conditionalFormatting>
  <conditionalFormatting sqref="J20">
    <cfRule type="containsText" dxfId="640" priority="641" operator="containsText" text="TB">
      <formula>NOT(ISERROR(SEARCH("TB",J20)))</formula>
    </cfRule>
  </conditionalFormatting>
  <conditionalFormatting sqref="K20">
    <cfRule type="containsText" dxfId="639" priority="638" operator="containsText" text="B">
      <formula>NOT(ISERROR(SEARCH("B",K20)))</formula>
    </cfRule>
    <cfRule type="containsText" dxfId="638" priority="639" operator="containsText" text="TB">
      <formula>NOT(ISERROR(SEARCH("TB",K20)))</formula>
    </cfRule>
    <cfRule type="containsText" dxfId="637" priority="640" operator="containsText" text="T">
      <formula>NOT(ISERROR(SEARCH("T",K20)))</formula>
    </cfRule>
  </conditionalFormatting>
  <conditionalFormatting sqref="K20">
    <cfRule type="containsText" dxfId="636" priority="637" operator="containsText" text="TB">
      <formula>NOT(ISERROR(SEARCH("TB",K20)))</formula>
    </cfRule>
  </conditionalFormatting>
  <conditionalFormatting sqref="K31">
    <cfRule type="containsText" dxfId="635" priority="634" operator="containsText" text="B">
      <formula>NOT(ISERROR(SEARCH("B",K31)))</formula>
    </cfRule>
    <cfRule type="containsText" dxfId="634" priority="635" operator="containsText" text="TB">
      <formula>NOT(ISERROR(SEARCH("TB",K31)))</formula>
    </cfRule>
    <cfRule type="containsText" dxfId="633" priority="636" operator="containsText" text="T">
      <formula>NOT(ISERROR(SEARCH("T",K31)))</formula>
    </cfRule>
  </conditionalFormatting>
  <conditionalFormatting sqref="K31">
    <cfRule type="containsText" dxfId="632" priority="633" operator="containsText" text="TB">
      <formula>NOT(ISERROR(SEARCH("TB",K31)))</formula>
    </cfRule>
  </conditionalFormatting>
  <conditionalFormatting sqref="K42">
    <cfRule type="containsText" dxfId="631" priority="630" operator="containsText" text="B">
      <formula>NOT(ISERROR(SEARCH("B",K42)))</formula>
    </cfRule>
    <cfRule type="containsText" dxfId="630" priority="631" operator="containsText" text="TB">
      <formula>NOT(ISERROR(SEARCH("TB",K42)))</formula>
    </cfRule>
    <cfRule type="containsText" dxfId="629" priority="632" operator="containsText" text="T">
      <formula>NOT(ISERROR(SEARCH("T",K42)))</formula>
    </cfRule>
  </conditionalFormatting>
  <conditionalFormatting sqref="K42">
    <cfRule type="containsText" dxfId="628" priority="629" operator="containsText" text="TB">
      <formula>NOT(ISERROR(SEARCH("TB",K42)))</formula>
    </cfRule>
  </conditionalFormatting>
  <conditionalFormatting sqref="K22">
    <cfRule type="containsText" dxfId="627" priority="626" operator="containsText" text="B">
      <formula>NOT(ISERROR(SEARCH("B",K22)))</formula>
    </cfRule>
    <cfRule type="containsText" dxfId="626" priority="627" operator="containsText" text="TB">
      <formula>NOT(ISERROR(SEARCH("TB",K22)))</formula>
    </cfRule>
    <cfRule type="containsText" dxfId="625" priority="628" operator="containsText" text="T">
      <formula>NOT(ISERROR(SEARCH("T",K22)))</formula>
    </cfRule>
  </conditionalFormatting>
  <conditionalFormatting sqref="K22">
    <cfRule type="containsText" dxfId="624" priority="625" operator="containsText" text="TB">
      <formula>NOT(ISERROR(SEARCH("TB",K22)))</formula>
    </cfRule>
  </conditionalFormatting>
  <conditionalFormatting sqref="K36">
    <cfRule type="containsText" dxfId="623" priority="622" operator="containsText" text="B">
      <formula>NOT(ISERROR(SEARCH("B",K36)))</formula>
    </cfRule>
    <cfRule type="containsText" dxfId="622" priority="623" operator="containsText" text="TB">
      <formula>NOT(ISERROR(SEARCH("TB",K36)))</formula>
    </cfRule>
    <cfRule type="containsText" dxfId="621" priority="624" operator="containsText" text="T">
      <formula>NOT(ISERROR(SEARCH("T",K36)))</formula>
    </cfRule>
  </conditionalFormatting>
  <conditionalFormatting sqref="K36">
    <cfRule type="containsText" dxfId="620" priority="621" operator="containsText" text="TB">
      <formula>NOT(ISERROR(SEARCH("TB",K36)))</formula>
    </cfRule>
  </conditionalFormatting>
  <conditionalFormatting sqref="K11">
    <cfRule type="containsText" dxfId="619" priority="618" operator="containsText" text="B">
      <formula>NOT(ISERROR(SEARCH("B",K11)))</formula>
    </cfRule>
    <cfRule type="containsText" dxfId="618" priority="619" operator="containsText" text="TB">
      <formula>NOT(ISERROR(SEARCH("TB",K11)))</formula>
    </cfRule>
    <cfRule type="containsText" dxfId="617" priority="620" operator="containsText" text="T">
      <formula>NOT(ISERROR(SEARCH("T",K11)))</formula>
    </cfRule>
  </conditionalFormatting>
  <conditionalFormatting sqref="K11">
    <cfRule type="containsText" dxfId="616" priority="617" operator="containsText" text="TB">
      <formula>NOT(ISERROR(SEARCH("TB",K11)))</formula>
    </cfRule>
  </conditionalFormatting>
  <conditionalFormatting sqref="K28">
    <cfRule type="containsText" dxfId="615" priority="614" operator="containsText" text="B">
      <formula>NOT(ISERROR(SEARCH("B",K28)))</formula>
    </cfRule>
    <cfRule type="containsText" dxfId="614" priority="615" operator="containsText" text="TB">
      <formula>NOT(ISERROR(SEARCH("TB",K28)))</formula>
    </cfRule>
    <cfRule type="containsText" dxfId="613" priority="616" operator="containsText" text="T">
      <formula>NOT(ISERROR(SEARCH("T",K28)))</formula>
    </cfRule>
  </conditionalFormatting>
  <conditionalFormatting sqref="K28">
    <cfRule type="containsText" dxfId="612" priority="613" operator="containsText" text="TB">
      <formula>NOT(ISERROR(SEARCH("TB",K28)))</formula>
    </cfRule>
  </conditionalFormatting>
  <conditionalFormatting sqref="K33">
    <cfRule type="containsText" dxfId="611" priority="610" operator="containsText" text="B">
      <formula>NOT(ISERROR(SEARCH("B",K33)))</formula>
    </cfRule>
    <cfRule type="containsText" dxfId="610" priority="611" operator="containsText" text="TB">
      <formula>NOT(ISERROR(SEARCH("TB",K33)))</formula>
    </cfRule>
    <cfRule type="containsText" dxfId="609" priority="612" operator="containsText" text="T">
      <formula>NOT(ISERROR(SEARCH("T",K33)))</formula>
    </cfRule>
  </conditionalFormatting>
  <conditionalFormatting sqref="K33">
    <cfRule type="containsText" dxfId="608" priority="609" operator="containsText" text="TB">
      <formula>NOT(ISERROR(SEARCH("TB",K33)))</formula>
    </cfRule>
  </conditionalFormatting>
  <conditionalFormatting sqref="K45">
    <cfRule type="containsText" dxfId="607" priority="606" operator="containsText" text="B">
      <formula>NOT(ISERROR(SEARCH("B",K45)))</formula>
    </cfRule>
    <cfRule type="containsText" dxfId="606" priority="607" operator="containsText" text="TB">
      <formula>NOT(ISERROR(SEARCH("TB",K45)))</formula>
    </cfRule>
    <cfRule type="containsText" dxfId="605" priority="608" operator="containsText" text="T">
      <formula>NOT(ISERROR(SEARCH("T",K45)))</formula>
    </cfRule>
  </conditionalFormatting>
  <conditionalFormatting sqref="K45">
    <cfRule type="containsText" dxfId="604" priority="605" operator="containsText" text="TB">
      <formula>NOT(ISERROR(SEARCH("TB",K45)))</formula>
    </cfRule>
  </conditionalFormatting>
  <conditionalFormatting sqref="K16">
    <cfRule type="containsText" dxfId="603" priority="602" operator="containsText" text="B">
      <formula>NOT(ISERROR(SEARCH("B",K16)))</formula>
    </cfRule>
    <cfRule type="containsText" dxfId="602" priority="603" operator="containsText" text="TB">
      <formula>NOT(ISERROR(SEARCH("TB",K16)))</formula>
    </cfRule>
    <cfRule type="containsText" dxfId="601" priority="604" operator="containsText" text="T">
      <formula>NOT(ISERROR(SEARCH("T",K16)))</formula>
    </cfRule>
  </conditionalFormatting>
  <conditionalFormatting sqref="K16">
    <cfRule type="containsText" dxfId="600" priority="601" operator="containsText" text="TB">
      <formula>NOT(ISERROR(SEARCH("TB",K16)))</formula>
    </cfRule>
  </conditionalFormatting>
  <conditionalFormatting sqref="L14">
    <cfRule type="containsText" dxfId="599" priority="598" operator="containsText" text="B">
      <formula>NOT(ISERROR(SEARCH("B",L14)))</formula>
    </cfRule>
    <cfRule type="containsText" dxfId="598" priority="599" operator="containsText" text="TB">
      <formula>NOT(ISERROR(SEARCH("TB",L14)))</formula>
    </cfRule>
    <cfRule type="containsText" dxfId="597" priority="600" operator="containsText" text="T">
      <formula>NOT(ISERROR(SEARCH("T",L14)))</formula>
    </cfRule>
  </conditionalFormatting>
  <conditionalFormatting sqref="L14">
    <cfRule type="containsText" dxfId="596" priority="597" operator="containsText" text="TB">
      <formula>NOT(ISERROR(SEARCH("TB",L14)))</formula>
    </cfRule>
  </conditionalFormatting>
  <conditionalFormatting sqref="L11">
    <cfRule type="containsText" dxfId="595" priority="594" operator="containsText" text="B">
      <formula>NOT(ISERROR(SEARCH("B",L11)))</formula>
    </cfRule>
    <cfRule type="containsText" dxfId="594" priority="595" operator="containsText" text="TB">
      <formula>NOT(ISERROR(SEARCH("TB",L11)))</formula>
    </cfRule>
    <cfRule type="containsText" dxfId="593" priority="596" operator="containsText" text="T">
      <formula>NOT(ISERROR(SEARCH("T",L11)))</formula>
    </cfRule>
  </conditionalFormatting>
  <conditionalFormatting sqref="L11">
    <cfRule type="containsText" dxfId="592" priority="593" operator="containsText" text="TB">
      <formula>NOT(ISERROR(SEARCH("TB",L11)))</formula>
    </cfRule>
  </conditionalFormatting>
  <conditionalFormatting sqref="L16">
    <cfRule type="containsText" dxfId="591" priority="590" operator="containsText" text="B">
      <formula>NOT(ISERROR(SEARCH("B",L16)))</formula>
    </cfRule>
    <cfRule type="containsText" dxfId="590" priority="591" operator="containsText" text="TB">
      <formula>NOT(ISERROR(SEARCH("TB",L16)))</formula>
    </cfRule>
    <cfRule type="containsText" dxfId="589" priority="592" operator="containsText" text="T">
      <formula>NOT(ISERROR(SEARCH("T",L16)))</formula>
    </cfRule>
  </conditionalFormatting>
  <conditionalFormatting sqref="L16">
    <cfRule type="containsText" dxfId="588" priority="589" operator="containsText" text="TB">
      <formula>NOT(ISERROR(SEARCH("TB",L16)))</formula>
    </cfRule>
  </conditionalFormatting>
  <conditionalFormatting sqref="L38">
    <cfRule type="containsText" dxfId="587" priority="586" operator="containsText" text="B">
      <formula>NOT(ISERROR(SEARCH("B",L38)))</formula>
    </cfRule>
    <cfRule type="containsText" dxfId="586" priority="587" operator="containsText" text="TB">
      <formula>NOT(ISERROR(SEARCH("TB",L38)))</formula>
    </cfRule>
    <cfRule type="containsText" dxfId="585" priority="588" operator="containsText" text="T">
      <formula>NOT(ISERROR(SEARCH("T",L38)))</formula>
    </cfRule>
  </conditionalFormatting>
  <conditionalFormatting sqref="L38">
    <cfRule type="containsText" dxfId="584" priority="585" operator="containsText" text="TB">
      <formula>NOT(ISERROR(SEARCH("TB",L38)))</formula>
    </cfRule>
  </conditionalFormatting>
  <conditionalFormatting sqref="L51">
    <cfRule type="containsText" dxfId="583" priority="582" operator="containsText" text="B">
      <formula>NOT(ISERROR(SEARCH("B",L51)))</formula>
    </cfRule>
    <cfRule type="containsText" dxfId="582" priority="583" operator="containsText" text="TB">
      <formula>NOT(ISERROR(SEARCH("TB",L51)))</formula>
    </cfRule>
    <cfRule type="containsText" dxfId="581" priority="584" operator="containsText" text="T">
      <formula>NOT(ISERROR(SEARCH("T",L51)))</formula>
    </cfRule>
  </conditionalFormatting>
  <conditionalFormatting sqref="L51">
    <cfRule type="containsText" dxfId="580" priority="581" operator="containsText" text="TB">
      <formula>NOT(ISERROR(SEARCH("TB",L51)))</formula>
    </cfRule>
  </conditionalFormatting>
  <conditionalFormatting sqref="L50">
    <cfRule type="containsText" dxfId="579" priority="578" operator="containsText" text="B">
      <formula>NOT(ISERROR(SEARCH("B",L50)))</formula>
    </cfRule>
    <cfRule type="containsText" dxfId="578" priority="579" operator="containsText" text="TB">
      <formula>NOT(ISERROR(SEARCH("TB",L50)))</formula>
    </cfRule>
    <cfRule type="containsText" dxfId="577" priority="580" operator="containsText" text="T">
      <formula>NOT(ISERROR(SEARCH("T",L50)))</formula>
    </cfRule>
  </conditionalFormatting>
  <conditionalFormatting sqref="L50">
    <cfRule type="containsText" dxfId="576" priority="577" operator="containsText" text="TB">
      <formula>NOT(ISERROR(SEARCH("TB",L50)))</formula>
    </cfRule>
  </conditionalFormatting>
  <conditionalFormatting sqref="L135">
    <cfRule type="containsText" dxfId="575" priority="574" operator="containsText" text="B">
      <formula>NOT(ISERROR(SEARCH("B",L135)))</formula>
    </cfRule>
    <cfRule type="containsText" dxfId="574" priority="575" operator="containsText" text="TB">
      <formula>NOT(ISERROR(SEARCH("TB",L135)))</formula>
    </cfRule>
    <cfRule type="containsText" dxfId="573" priority="576" operator="containsText" text="T">
      <formula>NOT(ISERROR(SEARCH("T",L135)))</formula>
    </cfRule>
  </conditionalFormatting>
  <conditionalFormatting sqref="L135">
    <cfRule type="containsText" dxfId="572" priority="573" operator="containsText" text="TB">
      <formula>NOT(ISERROR(SEARCH("TB",L135)))</formula>
    </cfRule>
  </conditionalFormatting>
  <conditionalFormatting sqref="L141">
    <cfRule type="containsText" dxfId="571" priority="570" operator="containsText" text="B">
      <formula>NOT(ISERROR(SEARCH("B",L141)))</formula>
    </cfRule>
    <cfRule type="containsText" dxfId="570" priority="571" operator="containsText" text="TB">
      <formula>NOT(ISERROR(SEARCH("TB",L141)))</formula>
    </cfRule>
    <cfRule type="containsText" dxfId="569" priority="572" operator="containsText" text="T">
      <formula>NOT(ISERROR(SEARCH("T",L141)))</formula>
    </cfRule>
  </conditionalFormatting>
  <conditionalFormatting sqref="L141">
    <cfRule type="containsText" dxfId="568" priority="569" operator="containsText" text="TB">
      <formula>NOT(ISERROR(SEARCH("TB",L141)))</formula>
    </cfRule>
  </conditionalFormatting>
  <conditionalFormatting sqref="L34">
    <cfRule type="containsText" dxfId="567" priority="566" operator="containsText" text="B">
      <formula>NOT(ISERROR(SEARCH("B",L34)))</formula>
    </cfRule>
    <cfRule type="containsText" dxfId="566" priority="567" operator="containsText" text="TB">
      <formula>NOT(ISERROR(SEARCH("TB",L34)))</formula>
    </cfRule>
    <cfRule type="containsText" dxfId="565" priority="568" operator="containsText" text="T">
      <formula>NOT(ISERROR(SEARCH("T",L34)))</formula>
    </cfRule>
  </conditionalFormatting>
  <conditionalFormatting sqref="L34">
    <cfRule type="containsText" dxfId="564" priority="565" operator="containsText" text="TB">
      <formula>NOT(ISERROR(SEARCH("TB",L34)))</formula>
    </cfRule>
  </conditionalFormatting>
  <conditionalFormatting sqref="L137">
    <cfRule type="containsText" dxfId="563" priority="562" operator="containsText" text="B">
      <formula>NOT(ISERROR(SEARCH("B",L137)))</formula>
    </cfRule>
    <cfRule type="containsText" dxfId="562" priority="563" operator="containsText" text="TB">
      <formula>NOT(ISERROR(SEARCH("TB",L137)))</formula>
    </cfRule>
    <cfRule type="containsText" dxfId="561" priority="564" operator="containsText" text="T">
      <formula>NOT(ISERROR(SEARCH("T",L137)))</formula>
    </cfRule>
  </conditionalFormatting>
  <conditionalFormatting sqref="L137">
    <cfRule type="containsText" dxfId="560" priority="561" operator="containsText" text="TB">
      <formula>NOT(ISERROR(SEARCH("TB",L137)))</formula>
    </cfRule>
  </conditionalFormatting>
  <conditionalFormatting sqref="L48">
    <cfRule type="containsText" dxfId="559" priority="558" operator="containsText" text="B">
      <formula>NOT(ISERROR(SEARCH("B",L48)))</formula>
    </cfRule>
    <cfRule type="containsText" dxfId="558" priority="559" operator="containsText" text="TB">
      <formula>NOT(ISERROR(SEARCH("TB",L48)))</formula>
    </cfRule>
    <cfRule type="containsText" dxfId="557" priority="560" operator="containsText" text="T">
      <formula>NOT(ISERROR(SEARCH("T",L48)))</formula>
    </cfRule>
  </conditionalFormatting>
  <conditionalFormatting sqref="L48">
    <cfRule type="containsText" dxfId="556" priority="557" operator="containsText" text="TB">
      <formula>NOT(ISERROR(SEARCH("TB",L48)))</formula>
    </cfRule>
  </conditionalFormatting>
  <conditionalFormatting sqref="L47">
    <cfRule type="containsText" dxfId="555" priority="554" operator="containsText" text="B">
      <formula>NOT(ISERROR(SEARCH("B",L47)))</formula>
    </cfRule>
    <cfRule type="containsText" dxfId="554" priority="555" operator="containsText" text="TB">
      <formula>NOT(ISERROR(SEARCH("TB",L47)))</formula>
    </cfRule>
    <cfRule type="containsText" dxfId="553" priority="556" operator="containsText" text="T">
      <formula>NOT(ISERROR(SEARCH("T",L47)))</formula>
    </cfRule>
  </conditionalFormatting>
  <conditionalFormatting sqref="L47">
    <cfRule type="containsText" dxfId="552" priority="553" operator="containsText" text="TB">
      <formula>NOT(ISERROR(SEARCH("TB",L47)))</formula>
    </cfRule>
  </conditionalFormatting>
  <conditionalFormatting sqref="L23">
    <cfRule type="containsText" dxfId="551" priority="550" operator="containsText" text="B">
      <formula>NOT(ISERROR(SEARCH("B",L23)))</formula>
    </cfRule>
    <cfRule type="containsText" dxfId="550" priority="551" operator="containsText" text="TB">
      <formula>NOT(ISERROR(SEARCH("TB",L23)))</formula>
    </cfRule>
    <cfRule type="containsText" dxfId="549" priority="552" operator="containsText" text="T">
      <formula>NOT(ISERROR(SEARCH("T",L23)))</formula>
    </cfRule>
  </conditionalFormatting>
  <conditionalFormatting sqref="L23">
    <cfRule type="containsText" dxfId="548" priority="549" operator="containsText" text="TB">
      <formula>NOT(ISERROR(SEARCH("TB",L23)))</formula>
    </cfRule>
  </conditionalFormatting>
  <conditionalFormatting sqref="M15">
    <cfRule type="containsText" dxfId="547" priority="546" operator="containsText" text="B">
      <formula>NOT(ISERROR(SEARCH("B",M15)))</formula>
    </cfRule>
    <cfRule type="containsText" dxfId="546" priority="547" operator="containsText" text="TB">
      <formula>NOT(ISERROR(SEARCH("TB",M15)))</formula>
    </cfRule>
    <cfRule type="containsText" dxfId="545" priority="548" operator="containsText" text="T">
      <formula>NOT(ISERROR(SEARCH("T",M15)))</formula>
    </cfRule>
  </conditionalFormatting>
  <conditionalFormatting sqref="M15">
    <cfRule type="containsText" dxfId="544" priority="545" operator="containsText" text="TB">
      <formula>NOT(ISERROR(SEARCH("TB",M15)))</formula>
    </cfRule>
  </conditionalFormatting>
  <conditionalFormatting sqref="M45">
    <cfRule type="containsText" dxfId="543" priority="542" operator="containsText" text="B">
      <formula>NOT(ISERROR(SEARCH("B",M45)))</formula>
    </cfRule>
    <cfRule type="containsText" dxfId="542" priority="543" operator="containsText" text="TB">
      <formula>NOT(ISERROR(SEARCH("TB",M45)))</formula>
    </cfRule>
    <cfRule type="containsText" dxfId="541" priority="544" operator="containsText" text="T">
      <formula>NOT(ISERROR(SEARCH("T",M45)))</formula>
    </cfRule>
  </conditionalFormatting>
  <conditionalFormatting sqref="M45">
    <cfRule type="containsText" dxfId="540" priority="541" operator="containsText" text="TB">
      <formula>NOT(ISERROR(SEARCH("TB",M45)))</formula>
    </cfRule>
  </conditionalFormatting>
  <conditionalFormatting sqref="M35">
    <cfRule type="containsText" dxfId="539" priority="538" operator="containsText" text="B">
      <formula>NOT(ISERROR(SEARCH("B",M35)))</formula>
    </cfRule>
    <cfRule type="containsText" dxfId="538" priority="539" operator="containsText" text="TB">
      <formula>NOT(ISERROR(SEARCH("TB",M35)))</formula>
    </cfRule>
    <cfRule type="containsText" dxfId="537" priority="540" operator="containsText" text="T">
      <formula>NOT(ISERROR(SEARCH("T",M35)))</formula>
    </cfRule>
  </conditionalFormatting>
  <conditionalFormatting sqref="M35">
    <cfRule type="containsText" dxfId="536" priority="537" operator="containsText" text="TB">
      <formula>NOT(ISERROR(SEARCH("TB",M35)))</formula>
    </cfRule>
  </conditionalFormatting>
  <conditionalFormatting sqref="M34">
    <cfRule type="containsText" dxfId="535" priority="534" operator="containsText" text="B">
      <formula>NOT(ISERROR(SEARCH("B",M34)))</formula>
    </cfRule>
    <cfRule type="containsText" dxfId="534" priority="535" operator="containsText" text="TB">
      <formula>NOT(ISERROR(SEARCH("TB",M34)))</formula>
    </cfRule>
    <cfRule type="containsText" dxfId="533" priority="536" operator="containsText" text="T">
      <formula>NOT(ISERROR(SEARCH("T",M34)))</formula>
    </cfRule>
  </conditionalFormatting>
  <conditionalFormatting sqref="M34">
    <cfRule type="containsText" dxfId="532" priority="533" operator="containsText" text="TB">
      <formula>NOT(ISERROR(SEARCH("TB",M34)))</formula>
    </cfRule>
  </conditionalFormatting>
  <conditionalFormatting sqref="M167">
    <cfRule type="containsText" dxfId="531" priority="530" operator="containsText" text="B">
      <formula>NOT(ISERROR(SEARCH("B",M167)))</formula>
    </cfRule>
    <cfRule type="containsText" dxfId="530" priority="531" operator="containsText" text="TB">
      <formula>NOT(ISERROR(SEARCH("TB",M167)))</formula>
    </cfRule>
    <cfRule type="containsText" dxfId="529" priority="532" operator="containsText" text="T">
      <formula>NOT(ISERROR(SEARCH("T",M167)))</formula>
    </cfRule>
  </conditionalFormatting>
  <conditionalFormatting sqref="M167">
    <cfRule type="containsText" dxfId="528" priority="529" operator="containsText" text="TB">
      <formula>NOT(ISERROR(SEARCH("TB",M167)))</formula>
    </cfRule>
  </conditionalFormatting>
  <conditionalFormatting sqref="M32">
    <cfRule type="containsText" dxfId="527" priority="526" operator="containsText" text="B">
      <formula>NOT(ISERROR(SEARCH("B",M32)))</formula>
    </cfRule>
    <cfRule type="containsText" dxfId="526" priority="527" operator="containsText" text="TB">
      <formula>NOT(ISERROR(SEARCH("TB",M32)))</formula>
    </cfRule>
    <cfRule type="containsText" dxfId="525" priority="528" operator="containsText" text="T">
      <formula>NOT(ISERROR(SEARCH("T",M32)))</formula>
    </cfRule>
  </conditionalFormatting>
  <conditionalFormatting sqref="M32">
    <cfRule type="containsText" dxfId="524" priority="525" operator="containsText" text="TB">
      <formula>NOT(ISERROR(SEARCH("TB",M32)))</formula>
    </cfRule>
  </conditionalFormatting>
  <conditionalFormatting sqref="M9">
    <cfRule type="containsText" dxfId="523" priority="522" operator="containsText" text="B">
      <formula>NOT(ISERROR(SEARCH("B",M9)))</formula>
    </cfRule>
    <cfRule type="containsText" dxfId="522" priority="523" operator="containsText" text="TB">
      <formula>NOT(ISERROR(SEARCH("TB",M9)))</formula>
    </cfRule>
    <cfRule type="containsText" dxfId="521" priority="524" operator="containsText" text="T">
      <formula>NOT(ISERROR(SEARCH("T",M9)))</formula>
    </cfRule>
  </conditionalFormatting>
  <conditionalFormatting sqref="M9">
    <cfRule type="containsText" dxfId="520" priority="521" operator="containsText" text="TB">
      <formula>NOT(ISERROR(SEARCH("TB",M9)))</formula>
    </cfRule>
  </conditionalFormatting>
  <conditionalFormatting sqref="M16">
    <cfRule type="containsText" dxfId="519" priority="518" operator="containsText" text="B">
      <formula>NOT(ISERROR(SEARCH("B",M16)))</formula>
    </cfRule>
    <cfRule type="containsText" dxfId="518" priority="519" operator="containsText" text="TB">
      <formula>NOT(ISERROR(SEARCH("TB",M16)))</formula>
    </cfRule>
    <cfRule type="containsText" dxfId="517" priority="520" operator="containsText" text="T">
      <formula>NOT(ISERROR(SEARCH("T",M16)))</formula>
    </cfRule>
  </conditionalFormatting>
  <conditionalFormatting sqref="M16">
    <cfRule type="containsText" dxfId="516" priority="517" operator="containsText" text="TB">
      <formula>NOT(ISERROR(SEARCH("TB",M16)))</formula>
    </cfRule>
  </conditionalFormatting>
  <conditionalFormatting sqref="M21">
    <cfRule type="containsText" dxfId="515" priority="514" operator="containsText" text="B">
      <formula>NOT(ISERROR(SEARCH("B",M21)))</formula>
    </cfRule>
    <cfRule type="containsText" dxfId="514" priority="515" operator="containsText" text="TB">
      <formula>NOT(ISERROR(SEARCH("TB",M21)))</formula>
    </cfRule>
    <cfRule type="containsText" dxfId="513" priority="516" operator="containsText" text="T">
      <formula>NOT(ISERROR(SEARCH("T",M21)))</formula>
    </cfRule>
  </conditionalFormatting>
  <conditionalFormatting sqref="M21">
    <cfRule type="containsText" dxfId="512" priority="513" operator="containsText" text="TB">
      <formula>NOT(ISERROR(SEARCH("TB",M21)))</formula>
    </cfRule>
  </conditionalFormatting>
  <conditionalFormatting sqref="M29">
    <cfRule type="containsText" dxfId="511" priority="510" operator="containsText" text="B">
      <formula>NOT(ISERROR(SEARCH("B",M29)))</formula>
    </cfRule>
    <cfRule type="containsText" dxfId="510" priority="511" operator="containsText" text="TB">
      <formula>NOT(ISERROR(SEARCH("TB",M29)))</formula>
    </cfRule>
    <cfRule type="containsText" dxfId="509" priority="512" operator="containsText" text="T">
      <formula>NOT(ISERROR(SEARCH("T",M29)))</formula>
    </cfRule>
  </conditionalFormatting>
  <conditionalFormatting sqref="M29">
    <cfRule type="containsText" dxfId="508" priority="509" operator="containsText" text="TB">
      <formula>NOT(ISERROR(SEARCH("TB",M29)))</formula>
    </cfRule>
  </conditionalFormatting>
  <conditionalFormatting sqref="M40">
    <cfRule type="containsText" dxfId="507" priority="506" operator="containsText" text="B">
      <formula>NOT(ISERROR(SEARCH("B",M40)))</formula>
    </cfRule>
    <cfRule type="containsText" dxfId="506" priority="507" operator="containsText" text="TB">
      <formula>NOT(ISERROR(SEARCH("TB",M40)))</formula>
    </cfRule>
    <cfRule type="containsText" dxfId="505" priority="508" operator="containsText" text="T">
      <formula>NOT(ISERROR(SEARCH("T",M40)))</formula>
    </cfRule>
  </conditionalFormatting>
  <conditionalFormatting sqref="M40">
    <cfRule type="containsText" dxfId="504" priority="505" operator="containsText" text="TB">
      <formula>NOT(ISERROR(SEARCH("TB",M40)))</formula>
    </cfRule>
  </conditionalFormatting>
  <conditionalFormatting sqref="M42">
    <cfRule type="containsText" dxfId="503" priority="502" operator="containsText" text="B">
      <formula>NOT(ISERROR(SEARCH("B",M42)))</formula>
    </cfRule>
    <cfRule type="containsText" dxfId="502" priority="503" operator="containsText" text="TB">
      <formula>NOT(ISERROR(SEARCH("TB",M42)))</formula>
    </cfRule>
    <cfRule type="containsText" dxfId="501" priority="504" operator="containsText" text="T">
      <formula>NOT(ISERROR(SEARCH("T",M42)))</formula>
    </cfRule>
  </conditionalFormatting>
  <conditionalFormatting sqref="M42">
    <cfRule type="containsText" dxfId="500" priority="501" operator="containsText" text="TB">
      <formula>NOT(ISERROR(SEARCH("TB",M42)))</formula>
    </cfRule>
  </conditionalFormatting>
  <conditionalFormatting sqref="N9">
    <cfRule type="containsText" dxfId="499" priority="498" operator="containsText" text="B">
      <formula>NOT(ISERROR(SEARCH("B",N9)))</formula>
    </cfRule>
    <cfRule type="containsText" dxfId="498" priority="499" operator="containsText" text="TB">
      <formula>NOT(ISERROR(SEARCH("TB",N9)))</formula>
    </cfRule>
    <cfRule type="containsText" dxfId="497" priority="500" operator="containsText" text="T">
      <formula>NOT(ISERROR(SEARCH("T",N9)))</formula>
    </cfRule>
  </conditionalFormatting>
  <conditionalFormatting sqref="N9">
    <cfRule type="containsText" dxfId="496" priority="497" operator="containsText" text="TB">
      <formula>NOT(ISERROR(SEARCH("TB",N9)))</formula>
    </cfRule>
  </conditionalFormatting>
  <conditionalFormatting sqref="N42">
    <cfRule type="containsText" dxfId="495" priority="494" operator="containsText" text="B">
      <formula>NOT(ISERROR(SEARCH("B",N42)))</formula>
    </cfRule>
    <cfRule type="containsText" dxfId="494" priority="495" operator="containsText" text="TB">
      <formula>NOT(ISERROR(SEARCH("TB",N42)))</formula>
    </cfRule>
    <cfRule type="containsText" dxfId="493" priority="496" operator="containsText" text="T">
      <formula>NOT(ISERROR(SEARCH("T",N42)))</formula>
    </cfRule>
  </conditionalFormatting>
  <conditionalFormatting sqref="N42">
    <cfRule type="containsText" dxfId="492" priority="493" operator="containsText" text="TB">
      <formula>NOT(ISERROR(SEARCH("TB",N42)))</formula>
    </cfRule>
  </conditionalFormatting>
  <conditionalFormatting sqref="N21">
    <cfRule type="containsText" dxfId="491" priority="490" operator="containsText" text="B">
      <formula>NOT(ISERROR(SEARCH("B",N21)))</formula>
    </cfRule>
    <cfRule type="containsText" dxfId="490" priority="491" operator="containsText" text="TB">
      <formula>NOT(ISERROR(SEARCH("TB",N21)))</formula>
    </cfRule>
    <cfRule type="containsText" dxfId="489" priority="492" operator="containsText" text="T">
      <formula>NOT(ISERROR(SEARCH("T",N21)))</formula>
    </cfRule>
  </conditionalFormatting>
  <conditionalFormatting sqref="N21">
    <cfRule type="containsText" dxfId="488" priority="489" operator="containsText" text="TB">
      <formula>NOT(ISERROR(SEARCH("TB",N21)))</formula>
    </cfRule>
  </conditionalFormatting>
  <conditionalFormatting sqref="N18">
    <cfRule type="containsText" dxfId="487" priority="486" operator="containsText" text="B">
      <formula>NOT(ISERROR(SEARCH("B",N18)))</formula>
    </cfRule>
    <cfRule type="containsText" dxfId="486" priority="487" operator="containsText" text="TB">
      <formula>NOT(ISERROR(SEARCH("TB",N18)))</formula>
    </cfRule>
    <cfRule type="containsText" dxfId="485" priority="488" operator="containsText" text="T">
      <formula>NOT(ISERROR(SEARCH("T",N18)))</formula>
    </cfRule>
  </conditionalFormatting>
  <conditionalFormatting sqref="N18">
    <cfRule type="containsText" dxfId="484" priority="485" operator="containsText" text="TB">
      <formula>NOT(ISERROR(SEARCH("TB",N18)))</formula>
    </cfRule>
  </conditionalFormatting>
  <conditionalFormatting sqref="N28">
    <cfRule type="containsText" dxfId="483" priority="482" operator="containsText" text="B">
      <formula>NOT(ISERROR(SEARCH("B",N28)))</formula>
    </cfRule>
    <cfRule type="containsText" dxfId="482" priority="483" operator="containsText" text="TB">
      <formula>NOT(ISERROR(SEARCH("TB",N28)))</formula>
    </cfRule>
    <cfRule type="containsText" dxfId="481" priority="484" operator="containsText" text="T">
      <formula>NOT(ISERROR(SEARCH("T",N28)))</formula>
    </cfRule>
  </conditionalFormatting>
  <conditionalFormatting sqref="N28">
    <cfRule type="containsText" dxfId="480" priority="481" operator="containsText" text="TB">
      <formula>NOT(ISERROR(SEARCH("TB",N28)))</formula>
    </cfRule>
  </conditionalFormatting>
  <conditionalFormatting sqref="N39">
    <cfRule type="containsText" dxfId="479" priority="478" operator="containsText" text="B">
      <formula>NOT(ISERROR(SEARCH("B",N39)))</formula>
    </cfRule>
    <cfRule type="containsText" dxfId="478" priority="479" operator="containsText" text="TB">
      <formula>NOT(ISERROR(SEARCH("TB",N39)))</formula>
    </cfRule>
    <cfRule type="containsText" dxfId="477" priority="480" operator="containsText" text="T">
      <formula>NOT(ISERROR(SEARCH("T",N39)))</formula>
    </cfRule>
  </conditionalFormatting>
  <conditionalFormatting sqref="N39">
    <cfRule type="containsText" dxfId="476" priority="477" operator="containsText" text="TB">
      <formula>NOT(ISERROR(SEARCH("TB",N39)))</formula>
    </cfRule>
  </conditionalFormatting>
  <conditionalFormatting sqref="O169">
    <cfRule type="containsText" dxfId="475" priority="474" operator="containsText" text="B">
      <formula>NOT(ISERROR(SEARCH("B",O169)))</formula>
    </cfRule>
    <cfRule type="containsText" dxfId="474" priority="475" operator="containsText" text="TB">
      <formula>NOT(ISERROR(SEARCH("TB",O169)))</formula>
    </cfRule>
    <cfRule type="containsText" dxfId="473" priority="476" operator="containsText" text="T">
      <formula>NOT(ISERROR(SEARCH("T",O169)))</formula>
    </cfRule>
  </conditionalFormatting>
  <conditionalFormatting sqref="O169">
    <cfRule type="containsText" dxfId="472" priority="473" operator="containsText" text="TB">
      <formula>NOT(ISERROR(SEARCH("TB",O169)))</formula>
    </cfRule>
  </conditionalFormatting>
  <conditionalFormatting sqref="O40">
    <cfRule type="containsText" dxfId="471" priority="470" operator="containsText" text="B">
      <formula>NOT(ISERROR(SEARCH("B",O40)))</formula>
    </cfRule>
    <cfRule type="containsText" dxfId="470" priority="471" operator="containsText" text="TB">
      <formula>NOT(ISERROR(SEARCH("TB",O40)))</formula>
    </cfRule>
    <cfRule type="containsText" dxfId="469" priority="472" operator="containsText" text="T">
      <formula>NOT(ISERROR(SEARCH("T",O40)))</formula>
    </cfRule>
  </conditionalFormatting>
  <conditionalFormatting sqref="O40">
    <cfRule type="containsText" dxfId="468" priority="469" operator="containsText" text="TB">
      <formula>NOT(ISERROR(SEARCH("TB",O40)))</formula>
    </cfRule>
  </conditionalFormatting>
  <conditionalFormatting sqref="O42">
    <cfRule type="containsText" dxfId="467" priority="466" operator="containsText" text="B">
      <formula>NOT(ISERROR(SEARCH("B",O42)))</formula>
    </cfRule>
    <cfRule type="containsText" dxfId="466" priority="467" operator="containsText" text="TB">
      <formula>NOT(ISERROR(SEARCH("TB",O42)))</formula>
    </cfRule>
    <cfRule type="containsText" dxfId="465" priority="468" operator="containsText" text="T">
      <formula>NOT(ISERROR(SEARCH("T",O42)))</formula>
    </cfRule>
  </conditionalFormatting>
  <conditionalFormatting sqref="O42">
    <cfRule type="containsText" dxfId="464" priority="465" operator="containsText" text="TB">
      <formula>NOT(ISERROR(SEARCH("TB",O42)))</formula>
    </cfRule>
  </conditionalFormatting>
  <conditionalFormatting sqref="O162">
    <cfRule type="containsText" dxfId="463" priority="462" operator="containsText" text="B">
      <formula>NOT(ISERROR(SEARCH("B",O162)))</formula>
    </cfRule>
    <cfRule type="containsText" dxfId="462" priority="463" operator="containsText" text="TB">
      <formula>NOT(ISERROR(SEARCH("TB",O162)))</formula>
    </cfRule>
    <cfRule type="containsText" dxfId="461" priority="464" operator="containsText" text="T">
      <formula>NOT(ISERROR(SEARCH("T",O162)))</formula>
    </cfRule>
  </conditionalFormatting>
  <conditionalFormatting sqref="O162">
    <cfRule type="containsText" dxfId="460" priority="461" operator="containsText" text="TB">
      <formula>NOT(ISERROR(SEARCH("TB",O162)))</formula>
    </cfRule>
  </conditionalFormatting>
  <conditionalFormatting sqref="O45">
    <cfRule type="containsText" dxfId="459" priority="458" operator="containsText" text="B">
      <formula>NOT(ISERROR(SEARCH("B",O45)))</formula>
    </cfRule>
    <cfRule type="containsText" dxfId="458" priority="459" operator="containsText" text="TB">
      <formula>NOT(ISERROR(SEARCH("TB",O45)))</formula>
    </cfRule>
    <cfRule type="containsText" dxfId="457" priority="460" operator="containsText" text="T">
      <formula>NOT(ISERROR(SEARCH("T",O45)))</formula>
    </cfRule>
  </conditionalFormatting>
  <conditionalFormatting sqref="O45">
    <cfRule type="containsText" dxfId="456" priority="457" operator="containsText" text="TB">
      <formula>NOT(ISERROR(SEARCH("TB",O45)))</formula>
    </cfRule>
  </conditionalFormatting>
  <conditionalFormatting sqref="O28">
    <cfRule type="containsText" dxfId="455" priority="454" operator="containsText" text="B">
      <formula>NOT(ISERROR(SEARCH("B",O28)))</formula>
    </cfRule>
    <cfRule type="containsText" dxfId="454" priority="455" operator="containsText" text="TB">
      <formula>NOT(ISERROR(SEARCH("TB",O28)))</formula>
    </cfRule>
    <cfRule type="containsText" dxfId="453" priority="456" operator="containsText" text="T">
      <formula>NOT(ISERROR(SEARCH("T",O28)))</formula>
    </cfRule>
  </conditionalFormatting>
  <conditionalFormatting sqref="O28">
    <cfRule type="containsText" dxfId="452" priority="453" operator="containsText" text="TB">
      <formula>NOT(ISERROR(SEARCH("TB",O28)))</formula>
    </cfRule>
  </conditionalFormatting>
  <conditionalFormatting sqref="O12">
    <cfRule type="containsText" dxfId="451" priority="450" operator="containsText" text="B">
      <formula>NOT(ISERROR(SEARCH("B",O12)))</formula>
    </cfRule>
    <cfRule type="containsText" dxfId="450" priority="451" operator="containsText" text="TB">
      <formula>NOT(ISERROR(SEARCH("TB",O12)))</formula>
    </cfRule>
    <cfRule type="containsText" dxfId="449" priority="452" operator="containsText" text="T">
      <formula>NOT(ISERROR(SEARCH("T",O12)))</formula>
    </cfRule>
  </conditionalFormatting>
  <conditionalFormatting sqref="O12">
    <cfRule type="containsText" dxfId="448" priority="449" operator="containsText" text="TB">
      <formula>NOT(ISERROR(SEARCH("TB",O12)))</formula>
    </cfRule>
  </conditionalFormatting>
  <conditionalFormatting sqref="O16">
    <cfRule type="containsText" dxfId="447" priority="446" operator="containsText" text="B">
      <formula>NOT(ISERROR(SEARCH("B",O16)))</formula>
    </cfRule>
    <cfRule type="containsText" dxfId="446" priority="447" operator="containsText" text="TB">
      <formula>NOT(ISERROR(SEARCH("TB",O16)))</formula>
    </cfRule>
    <cfRule type="containsText" dxfId="445" priority="448" operator="containsText" text="T">
      <formula>NOT(ISERROR(SEARCH("T",O16)))</formula>
    </cfRule>
  </conditionalFormatting>
  <conditionalFormatting sqref="O16">
    <cfRule type="containsText" dxfId="444" priority="445" operator="containsText" text="TB">
      <formula>NOT(ISERROR(SEARCH("TB",O16)))</formula>
    </cfRule>
  </conditionalFormatting>
  <conditionalFormatting sqref="N14">
    <cfRule type="containsText" dxfId="443" priority="442" operator="containsText" text="B">
      <formula>NOT(ISERROR(SEARCH("B",N14)))</formula>
    </cfRule>
    <cfRule type="containsText" dxfId="442" priority="443" operator="containsText" text="TB">
      <formula>NOT(ISERROR(SEARCH("TB",N14)))</formula>
    </cfRule>
    <cfRule type="containsText" dxfId="441" priority="444" operator="containsText" text="T">
      <formula>NOT(ISERROR(SEARCH("T",N14)))</formula>
    </cfRule>
  </conditionalFormatting>
  <conditionalFormatting sqref="N14">
    <cfRule type="containsText" dxfId="440" priority="441" operator="containsText" text="TB">
      <formula>NOT(ISERROR(SEARCH("TB",N14)))</formula>
    </cfRule>
  </conditionalFormatting>
  <conditionalFormatting sqref="N15">
    <cfRule type="containsText" dxfId="439" priority="438" operator="containsText" text="B">
      <formula>NOT(ISERROR(SEARCH("B",N15)))</formula>
    </cfRule>
    <cfRule type="containsText" dxfId="438" priority="439" operator="containsText" text="TB">
      <formula>NOT(ISERROR(SEARCH("TB",N15)))</formula>
    </cfRule>
    <cfRule type="containsText" dxfId="437" priority="440" operator="containsText" text="T">
      <formula>NOT(ISERROR(SEARCH("T",N15)))</formula>
    </cfRule>
  </conditionalFormatting>
  <conditionalFormatting sqref="N15">
    <cfRule type="containsText" dxfId="436" priority="437" operator="containsText" text="TB">
      <formula>NOT(ISERROR(SEARCH("TB",N15)))</formula>
    </cfRule>
  </conditionalFormatting>
  <conditionalFormatting sqref="O20">
    <cfRule type="containsText" dxfId="435" priority="434" operator="containsText" text="B">
      <formula>NOT(ISERROR(SEARCH("B",O20)))</formula>
    </cfRule>
    <cfRule type="containsText" dxfId="434" priority="435" operator="containsText" text="TB">
      <formula>NOT(ISERROR(SEARCH("TB",O20)))</formula>
    </cfRule>
    <cfRule type="containsText" dxfId="433" priority="436" operator="containsText" text="T">
      <formula>NOT(ISERROR(SEARCH("T",O20)))</formula>
    </cfRule>
  </conditionalFormatting>
  <conditionalFormatting sqref="O20">
    <cfRule type="containsText" dxfId="432" priority="433" operator="containsText" text="TB">
      <formula>NOT(ISERROR(SEARCH("TB",O20)))</formula>
    </cfRule>
  </conditionalFormatting>
  <conditionalFormatting sqref="O21">
    <cfRule type="containsText" dxfId="431" priority="430" operator="containsText" text="B">
      <formula>NOT(ISERROR(SEARCH("B",O21)))</formula>
    </cfRule>
    <cfRule type="containsText" dxfId="430" priority="431" operator="containsText" text="TB">
      <formula>NOT(ISERROR(SEARCH("TB",O21)))</formula>
    </cfRule>
    <cfRule type="containsText" dxfId="429" priority="432" operator="containsText" text="T">
      <formula>NOT(ISERROR(SEARCH("T",O21)))</formula>
    </cfRule>
  </conditionalFormatting>
  <conditionalFormatting sqref="O21">
    <cfRule type="containsText" dxfId="428" priority="429" operator="containsText" text="TB">
      <formula>NOT(ISERROR(SEARCH("TB",O21)))</formula>
    </cfRule>
  </conditionalFormatting>
  <conditionalFormatting sqref="P20">
    <cfRule type="containsText" dxfId="427" priority="426" operator="containsText" text="B">
      <formula>NOT(ISERROR(SEARCH("B",P20)))</formula>
    </cfRule>
    <cfRule type="containsText" dxfId="426" priority="427" operator="containsText" text="TB">
      <formula>NOT(ISERROR(SEARCH("TB",P20)))</formula>
    </cfRule>
    <cfRule type="containsText" dxfId="425" priority="428" operator="containsText" text="T">
      <formula>NOT(ISERROR(SEARCH("T",P20)))</formula>
    </cfRule>
  </conditionalFormatting>
  <conditionalFormatting sqref="P20">
    <cfRule type="containsText" dxfId="424" priority="425" operator="containsText" text="TB">
      <formula>NOT(ISERROR(SEARCH("TB",P20)))</formula>
    </cfRule>
  </conditionalFormatting>
  <conditionalFormatting sqref="P169">
    <cfRule type="containsText" dxfId="423" priority="422" operator="containsText" text="B">
      <formula>NOT(ISERROR(SEARCH("B",P169)))</formula>
    </cfRule>
    <cfRule type="containsText" dxfId="422" priority="423" operator="containsText" text="TB">
      <formula>NOT(ISERROR(SEARCH("TB",P169)))</formula>
    </cfRule>
    <cfRule type="containsText" dxfId="421" priority="424" operator="containsText" text="T">
      <formula>NOT(ISERROR(SEARCH("T",P169)))</formula>
    </cfRule>
  </conditionalFormatting>
  <conditionalFormatting sqref="P169">
    <cfRule type="containsText" dxfId="420" priority="421" operator="containsText" text="TB">
      <formula>NOT(ISERROR(SEARCH("TB",P169)))</formula>
    </cfRule>
  </conditionalFormatting>
  <conditionalFormatting sqref="P23">
    <cfRule type="containsText" dxfId="419" priority="418" operator="containsText" text="B">
      <formula>NOT(ISERROR(SEARCH("B",P23)))</formula>
    </cfRule>
    <cfRule type="containsText" dxfId="418" priority="419" operator="containsText" text="TB">
      <formula>NOT(ISERROR(SEARCH("TB",P23)))</formula>
    </cfRule>
    <cfRule type="containsText" dxfId="417" priority="420" operator="containsText" text="T">
      <formula>NOT(ISERROR(SEARCH("T",P23)))</formula>
    </cfRule>
  </conditionalFormatting>
  <conditionalFormatting sqref="P23">
    <cfRule type="containsText" dxfId="416" priority="417" operator="containsText" text="TB">
      <formula>NOT(ISERROR(SEARCH("TB",P23)))</formula>
    </cfRule>
  </conditionalFormatting>
  <conditionalFormatting sqref="P155">
    <cfRule type="containsText" dxfId="415" priority="414" operator="containsText" text="B">
      <formula>NOT(ISERROR(SEARCH("B",P155)))</formula>
    </cfRule>
    <cfRule type="containsText" dxfId="414" priority="415" operator="containsText" text="TB">
      <formula>NOT(ISERROR(SEARCH("TB",P155)))</formula>
    </cfRule>
    <cfRule type="containsText" dxfId="413" priority="416" operator="containsText" text="T">
      <formula>NOT(ISERROR(SEARCH("T",P155)))</formula>
    </cfRule>
  </conditionalFormatting>
  <conditionalFormatting sqref="P155">
    <cfRule type="containsText" dxfId="412" priority="413" operator="containsText" text="TB">
      <formula>NOT(ISERROR(SEARCH("TB",P155)))</formula>
    </cfRule>
  </conditionalFormatting>
  <conditionalFormatting sqref="P45">
    <cfRule type="containsText" dxfId="411" priority="410" operator="containsText" text="B">
      <formula>NOT(ISERROR(SEARCH("B",P45)))</formula>
    </cfRule>
    <cfRule type="containsText" dxfId="410" priority="411" operator="containsText" text="TB">
      <formula>NOT(ISERROR(SEARCH("TB",P45)))</formula>
    </cfRule>
    <cfRule type="containsText" dxfId="409" priority="412" operator="containsText" text="T">
      <formula>NOT(ISERROR(SEARCH("T",P45)))</formula>
    </cfRule>
  </conditionalFormatting>
  <conditionalFormatting sqref="P45">
    <cfRule type="containsText" dxfId="408" priority="409" operator="containsText" text="TB">
      <formula>NOT(ISERROR(SEARCH("TB",P45)))</formula>
    </cfRule>
  </conditionalFormatting>
  <conditionalFormatting sqref="P16">
    <cfRule type="containsText" dxfId="407" priority="406" operator="containsText" text="B">
      <formula>NOT(ISERROR(SEARCH("B",P16)))</formula>
    </cfRule>
    <cfRule type="containsText" dxfId="406" priority="407" operator="containsText" text="TB">
      <formula>NOT(ISERROR(SEARCH("TB",P16)))</formula>
    </cfRule>
    <cfRule type="containsText" dxfId="405" priority="408" operator="containsText" text="T">
      <formula>NOT(ISERROR(SEARCH("T",P16)))</formula>
    </cfRule>
  </conditionalFormatting>
  <conditionalFormatting sqref="P16">
    <cfRule type="containsText" dxfId="404" priority="405" operator="containsText" text="TB">
      <formula>NOT(ISERROR(SEARCH("TB",P16)))</formula>
    </cfRule>
  </conditionalFormatting>
  <conditionalFormatting sqref="P15">
    <cfRule type="containsText" dxfId="403" priority="402" operator="containsText" text="B">
      <formula>NOT(ISERROR(SEARCH("B",P15)))</formula>
    </cfRule>
    <cfRule type="containsText" dxfId="402" priority="403" operator="containsText" text="TB">
      <formula>NOT(ISERROR(SEARCH("TB",P15)))</formula>
    </cfRule>
    <cfRule type="containsText" dxfId="401" priority="404" operator="containsText" text="T">
      <formula>NOT(ISERROR(SEARCH("T",P15)))</formula>
    </cfRule>
  </conditionalFormatting>
  <conditionalFormatting sqref="P15">
    <cfRule type="containsText" dxfId="400" priority="401" operator="containsText" text="TB">
      <formula>NOT(ISERROR(SEARCH("TB",P15)))</formula>
    </cfRule>
  </conditionalFormatting>
  <conditionalFormatting sqref="M33">
    <cfRule type="containsText" dxfId="399" priority="398" operator="containsText" text="B">
      <formula>NOT(ISERROR(SEARCH("B",M33)))</formula>
    </cfRule>
    <cfRule type="containsText" dxfId="398" priority="399" operator="containsText" text="TB">
      <formula>NOT(ISERROR(SEARCH("TB",M33)))</formula>
    </cfRule>
    <cfRule type="containsText" dxfId="397" priority="400" operator="containsText" text="T">
      <formula>NOT(ISERROR(SEARCH("T",M33)))</formula>
    </cfRule>
  </conditionalFormatting>
  <conditionalFormatting sqref="M33">
    <cfRule type="containsText" dxfId="396" priority="397" operator="containsText" text="TB">
      <formula>NOT(ISERROR(SEARCH("TB",M33)))</formula>
    </cfRule>
  </conditionalFormatting>
  <conditionalFormatting sqref="P33">
    <cfRule type="containsText" dxfId="395" priority="394" operator="containsText" text="B">
      <formula>NOT(ISERROR(SEARCH("B",P33)))</formula>
    </cfRule>
    <cfRule type="containsText" dxfId="394" priority="395" operator="containsText" text="TB">
      <formula>NOT(ISERROR(SEARCH("TB",P33)))</formula>
    </cfRule>
    <cfRule type="containsText" dxfId="393" priority="396" operator="containsText" text="T">
      <formula>NOT(ISERROR(SEARCH("T",P33)))</formula>
    </cfRule>
  </conditionalFormatting>
  <conditionalFormatting sqref="P33">
    <cfRule type="containsText" dxfId="392" priority="393" operator="containsText" text="TB">
      <formula>NOT(ISERROR(SEARCH("TB",P33)))</formula>
    </cfRule>
  </conditionalFormatting>
  <conditionalFormatting sqref="P48">
    <cfRule type="containsText" dxfId="391" priority="390" operator="containsText" text="B">
      <formula>NOT(ISERROR(SEARCH("B",P48)))</formula>
    </cfRule>
    <cfRule type="containsText" dxfId="390" priority="391" operator="containsText" text="TB">
      <formula>NOT(ISERROR(SEARCH("TB",P48)))</formula>
    </cfRule>
    <cfRule type="containsText" dxfId="389" priority="392" operator="containsText" text="T">
      <formula>NOT(ISERROR(SEARCH("T",P48)))</formula>
    </cfRule>
  </conditionalFormatting>
  <conditionalFormatting sqref="P48">
    <cfRule type="containsText" dxfId="388" priority="389" operator="containsText" text="TB">
      <formula>NOT(ISERROR(SEARCH("TB",P48)))</formula>
    </cfRule>
  </conditionalFormatting>
  <conditionalFormatting sqref="N48">
    <cfRule type="containsText" dxfId="387" priority="386" operator="containsText" text="B">
      <formula>NOT(ISERROR(SEARCH("B",N48)))</formula>
    </cfRule>
    <cfRule type="containsText" dxfId="386" priority="387" operator="containsText" text="TB">
      <formula>NOT(ISERROR(SEARCH("TB",N48)))</formula>
    </cfRule>
    <cfRule type="containsText" dxfId="385" priority="388" operator="containsText" text="T">
      <formula>NOT(ISERROR(SEARCH("T",N48)))</formula>
    </cfRule>
  </conditionalFormatting>
  <conditionalFormatting sqref="N48">
    <cfRule type="containsText" dxfId="384" priority="385" operator="containsText" text="TB">
      <formula>NOT(ISERROR(SEARCH("TB",N48)))</formula>
    </cfRule>
  </conditionalFormatting>
  <conditionalFormatting sqref="P11">
    <cfRule type="containsText" dxfId="383" priority="382" operator="containsText" text="B">
      <formula>NOT(ISERROR(SEARCH("B",P11)))</formula>
    </cfRule>
    <cfRule type="containsText" dxfId="382" priority="383" operator="containsText" text="TB">
      <formula>NOT(ISERROR(SEARCH("TB",P11)))</formula>
    </cfRule>
    <cfRule type="containsText" dxfId="381" priority="384" operator="containsText" text="T">
      <formula>NOT(ISERROR(SEARCH("T",P11)))</formula>
    </cfRule>
  </conditionalFormatting>
  <conditionalFormatting sqref="P11">
    <cfRule type="containsText" dxfId="380" priority="381" operator="containsText" text="TB">
      <formula>NOT(ISERROR(SEARCH("TB",P11)))</formula>
    </cfRule>
  </conditionalFormatting>
  <conditionalFormatting sqref="P37">
    <cfRule type="containsText" dxfId="379" priority="378" operator="containsText" text="B">
      <formula>NOT(ISERROR(SEARCH("B",P37)))</formula>
    </cfRule>
    <cfRule type="containsText" dxfId="378" priority="379" operator="containsText" text="TB">
      <formula>NOT(ISERROR(SEARCH("TB",P37)))</formula>
    </cfRule>
    <cfRule type="containsText" dxfId="377" priority="380" operator="containsText" text="T">
      <formula>NOT(ISERROR(SEARCH("T",P37)))</formula>
    </cfRule>
  </conditionalFormatting>
  <conditionalFormatting sqref="P37">
    <cfRule type="containsText" dxfId="376" priority="377" operator="containsText" text="TB">
      <formula>NOT(ISERROR(SEARCH("TB",P37)))</formula>
    </cfRule>
  </conditionalFormatting>
  <conditionalFormatting sqref="R161">
    <cfRule type="containsText" dxfId="375" priority="374" operator="containsText" text="B">
      <formula>NOT(ISERROR(SEARCH("B",R161)))</formula>
    </cfRule>
    <cfRule type="containsText" dxfId="374" priority="375" operator="containsText" text="TB">
      <formula>NOT(ISERROR(SEARCH("TB",R161)))</formula>
    </cfRule>
    <cfRule type="containsText" dxfId="373" priority="376" operator="containsText" text="T">
      <formula>NOT(ISERROR(SEARCH("T",R161)))</formula>
    </cfRule>
  </conditionalFormatting>
  <conditionalFormatting sqref="R161">
    <cfRule type="containsText" dxfId="372" priority="373" operator="containsText" text="TB">
      <formula>NOT(ISERROR(SEARCH("TB",R161)))</formula>
    </cfRule>
  </conditionalFormatting>
  <conditionalFormatting sqref="R15">
    <cfRule type="containsText" dxfId="371" priority="370" operator="containsText" text="B">
      <formula>NOT(ISERROR(SEARCH("B",R15)))</formula>
    </cfRule>
    <cfRule type="containsText" dxfId="370" priority="371" operator="containsText" text="TB">
      <formula>NOT(ISERROR(SEARCH("TB",R15)))</formula>
    </cfRule>
    <cfRule type="containsText" dxfId="369" priority="372" operator="containsText" text="T">
      <formula>NOT(ISERROR(SEARCH("T",R15)))</formula>
    </cfRule>
  </conditionalFormatting>
  <conditionalFormatting sqref="R15">
    <cfRule type="containsText" dxfId="368" priority="369" operator="containsText" text="TB">
      <formula>NOT(ISERROR(SEARCH("TB",R15)))</formula>
    </cfRule>
  </conditionalFormatting>
  <conditionalFormatting sqref="R16">
    <cfRule type="containsText" dxfId="367" priority="366" operator="containsText" text="B">
      <formula>NOT(ISERROR(SEARCH("B",R16)))</formula>
    </cfRule>
    <cfRule type="containsText" dxfId="366" priority="367" operator="containsText" text="TB">
      <formula>NOT(ISERROR(SEARCH("TB",R16)))</formula>
    </cfRule>
    <cfRule type="containsText" dxfId="365" priority="368" operator="containsText" text="T">
      <formula>NOT(ISERROR(SEARCH("T",R16)))</formula>
    </cfRule>
  </conditionalFormatting>
  <conditionalFormatting sqref="R16">
    <cfRule type="containsText" dxfId="364" priority="365" operator="containsText" text="TB">
      <formula>NOT(ISERROR(SEARCH("TB",R16)))</formula>
    </cfRule>
  </conditionalFormatting>
  <conditionalFormatting sqref="R20">
    <cfRule type="containsText" dxfId="363" priority="362" operator="containsText" text="B">
      <formula>NOT(ISERROR(SEARCH("B",R20)))</formula>
    </cfRule>
    <cfRule type="containsText" dxfId="362" priority="363" operator="containsText" text="TB">
      <formula>NOT(ISERROR(SEARCH("TB",R20)))</formula>
    </cfRule>
    <cfRule type="containsText" dxfId="361" priority="364" operator="containsText" text="T">
      <formula>NOT(ISERROR(SEARCH("T",R20)))</formula>
    </cfRule>
  </conditionalFormatting>
  <conditionalFormatting sqref="R20">
    <cfRule type="containsText" dxfId="360" priority="361" operator="containsText" text="TB">
      <formula>NOT(ISERROR(SEARCH("TB",R20)))</formula>
    </cfRule>
  </conditionalFormatting>
  <conditionalFormatting sqref="R24">
    <cfRule type="containsText" dxfId="359" priority="358" operator="containsText" text="B">
      <formula>NOT(ISERROR(SEARCH("B",R24)))</formula>
    </cfRule>
    <cfRule type="containsText" dxfId="358" priority="359" operator="containsText" text="TB">
      <formula>NOT(ISERROR(SEARCH("TB",R24)))</formula>
    </cfRule>
    <cfRule type="containsText" dxfId="357" priority="360" operator="containsText" text="T">
      <formula>NOT(ISERROR(SEARCH("T",R24)))</formula>
    </cfRule>
  </conditionalFormatting>
  <conditionalFormatting sqref="R24">
    <cfRule type="containsText" dxfId="356" priority="357" operator="containsText" text="TB">
      <formula>NOT(ISERROR(SEARCH("TB",R24)))</formula>
    </cfRule>
  </conditionalFormatting>
  <conditionalFormatting sqref="R28">
    <cfRule type="containsText" dxfId="355" priority="354" operator="containsText" text="B">
      <formula>NOT(ISERROR(SEARCH("B",R28)))</formula>
    </cfRule>
    <cfRule type="containsText" dxfId="354" priority="355" operator="containsText" text="TB">
      <formula>NOT(ISERROR(SEARCH("TB",R28)))</formula>
    </cfRule>
    <cfRule type="containsText" dxfId="353" priority="356" operator="containsText" text="T">
      <formula>NOT(ISERROR(SEARCH("T",R28)))</formula>
    </cfRule>
  </conditionalFormatting>
  <conditionalFormatting sqref="R28">
    <cfRule type="containsText" dxfId="352" priority="353" operator="containsText" text="TB">
      <formula>NOT(ISERROR(SEARCH("TB",R28)))</formula>
    </cfRule>
  </conditionalFormatting>
  <conditionalFormatting sqref="R31">
    <cfRule type="containsText" dxfId="351" priority="350" operator="containsText" text="B">
      <formula>NOT(ISERROR(SEARCH("B",R31)))</formula>
    </cfRule>
    <cfRule type="containsText" dxfId="350" priority="351" operator="containsText" text="TB">
      <formula>NOT(ISERROR(SEARCH("TB",R31)))</formula>
    </cfRule>
    <cfRule type="containsText" dxfId="349" priority="352" operator="containsText" text="T">
      <formula>NOT(ISERROR(SEARCH("T",R31)))</formula>
    </cfRule>
  </conditionalFormatting>
  <conditionalFormatting sqref="R31">
    <cfRule type="containsText" dxfId="348" priority="349" operator="containsText" text="TB">
      <formula>NOT(ISERROR(SEARCH("TB",R31)))</formula>
    </cfRule>
  </conditionalFormatting>
  <conditionalFormatting sqref="R46">
    <cfRule type="containsText" dxfId="347" priority="346" operator="containsText" text="B">
      <formula>NOT(ISERROR(SEARCH("B",R46)))</formula>
    </cfRule>
    <cfRule type="containsText" dxfId="346" priority="347" operator="containsText" text="TB">
      <formula>NOT(ISERROR(SEARCH("TB",R46)))</formula>
    </cfRule>
    <cfRule type="containsText" dxfId="345" priority="348" operator="containsText" text="T">
      <formula>NOT(ISERROR(SEARCH("T",R46)))</formula>
    </cfRule>
  </conditionalFormatting>
  <conditionalFormatting sqref="R46">
    <cfRule type="containsText" dxfId="344" priority="345" operator="containsText" text="TB">
      <formula>NOT(ISERROR(SEARCH("TB",R46)))</formula>
    </cfRule>
  </conditionalFormatting>
  <conditionalFormatting sqref="S147">
    <cfRule type="containsText" dxfId="343" priority="342" operator="containsText" text="B">
      <formula>NOT(ISERROR(SEARCH("B",S147)))</formula>
    </cfRule>
    <cfRule type="containsText" dxfId="342" priority="343" operator="containsText" text="TB">
      <formula>NOT(ISERROR(SEARCH("TB",S147)))</formula>
    </cfRule>
    <cfRule type="containsText" dxfId="341" priority="344" operator="containsText" text="T">
      <formula>NOT(ISERROR(SEARCH("T",S147)))</formula>
    </cfRule>
  </conditionalFormatting>
  <conditionalFormatting sqref="S147">
    <cfRule type="containsText" dxfId="340" priority="341" operator="containsText" text="TB">
      <formula>NOT(ISERROR(SEARCH("TB",S147)))</formula>
    </cfRule>
  </conditionalFormatting>
  <conditionalFormatting sqref="S44">
    <cfRule type="containsText" dxfId="339" priority="338" operator="containsText" text="B">
      <formula>NOT(ISERROR(SEARCH("B",S44)))</formula>
    </cfRule>
    <cfRule type="containsText" dxfId="338" priority="339" operator="containsText" text="TB">
      <formula>NOT(ISERROR(SEARCH("TB",S44)))</formula>
    </cfRule>
    <cfRule type="containsText" dxfId="337" priority="340" operator="containsText" text="T">
      <formula>NOT(ISERROR(SEARCH("T",S44)))</formula>
    </cfRule>
  </conditionalFormatting>
  <conditionalFormatting sqref="S44">
    <cfRule type="containsText" dxfId="336" priority="337" operator="containsText" text="TB">
      <formula>NOT(ISERROR(SEARCH("TB",S44)))</formula>
    </cfRule>
  </conditionalFormatting>
  <conditionalFormatting sqref="S38">
    <cfRule type="containsText" dxfId="335" priority="334" operator="containsText" text="B">
      <formula>NOT(ISERROR(SEARCH("B",S38)))</formula>
    </cfRule>
    <cfRule type="containsText" dxfId="334" priority="335" operator="containsText" text="TB">
      <formula>NOT(ISERROR(SEARCH("TB",S38)))</formula>
    </cfRule>
    <cfRule type="containsText" dxfId="333" priority="336" operator="containsText" text="T">
      <formula>NOT(ISERROR(SEARCH("T",S38)))</formula>
    </cfRule>
  </conditionalFormatting>
  <conditionalFormatting sqref="S38">
    <cfRule type="containsText" dxfId="332" priority="333" operator="containsText" text="TB">
      <formula>NOT(ISERROR(SEARCH("TB",S38)))</formula>
    </cfRule>
  </conditionalFormatting>
  <conditionalFormatting sqref="S20">
    <cfRule type="containsText" dxfId="331" priority="330" operator="containsText" text="B">
      <formula>NOT(ISERROR(SEARCH("B",S20)))</formula>
    </cfRule>
    <cfRule type="containsText" dxfId="330" priority="331" operator="containsText" text="TB">
      <formula>NOT(ISERROR(SEARCH("TB",S20)))</formula>
    </cfRule>
    <cfRule type="containsText" dxfId="329" priority="332" operator="containsText" text="T">
      <formula>NOT(ISERROR(SEARCH("T",S20)))</formula>
    </cfRule>
  </conditionalFormatting>
  <conditionalFormatting sqref="S20">
    <cfRule type="containsText" dxfId="328" priority="329" operator="containsText" text="TB">
      <formula>NOT(ISERROR(SEARCH("TB",S20)))</formula>
    </cfRule>
  </conditionalFormatting>
  <conditionalFormatting sqref="S14">
    <cfRule type="containsText" dxfId="327" priority="326" operator="containsText" text="B">
      <formula>NOT(ISERROR(SEARCH("B",S14)))</formula>
    </cfRule>
    <cfRule type="containsText" dxfId="326" priority="327" operator="containsText" text="TB">
      <formula>NOT(ISERROR(SEARCH("TB",S14)))</formula>
    </cfRule>
    <cfRule type="containsText" dxfId="325" priority="328" operator="containsText" text="T">
      <formula>NOT(ISERROR(SEARCH("T",S14)))</formula>
    </cfRule>
  </conditionalFormatting>
  <conditionalFormatting sqref="S14">
    <cfRule type="containsText" dxfId="324" priority="325" operator="containsText" text="TB">
      <formula>NOT(ISERROR(SEARCH("TB",S14)))</formula>
    </cfRule>
  </conditionalFormatting>
  <conditionalFormatting sqref="P50">
    <cfRule type="containsText" dxfId="323" priority="322" operator="containsText" text="B">
      <formula>NOT(ISERROR(SEARCH("B",P50)))</formula>
    </cfRule>
    <cfRule type="containsText" dxfId="322" priority="323" operator="containsText" text="TB">
      <formula>NOT(ISERROR(SEARCH("TB",P50)))</formula>
    </cfRule>
    <cfRule type="containsText" dxfId="321" priority="324" operator="containsText" text="T">
      <formula>NOT(ISERROR(SEARCH("T",P50)))</formula>
    </cfRule>
  </conditionalFormatting>
  <conditionalFormatting sqref="P50">
    <cfRule type="containsText" dxfId="320" priority="321" operator="containsText" text="TB">
      <formula>NOT(ISERROR(SEARCH("TB",P50)))</formula>
    </cfRule>
  </conditionalFormatting>
  <conditionalFormatting sqref="S47">
    <cfRule type="containsText" dxfId="319" priority="318" operator="containsText" text="B">
      <formula>NOT(ISERROR(SEARCH("B",S47)))</formula>
    </cfRule>
    <cfRule type="containsText" dxfId="318" priority="319" operator="containsText" text="TB">
      <formula>NOT(ISERROR(SEARCH("TB",S47)))</formula>
    </cfRule>
    <cfRule type="containsText" dxfId="317" priority="320" operator="containsText" text="T">
      <formula>NOT(ISERROR(SEARCH("T",S47)))</formula>
    </cfRule>
  </conditionalFormatting>
  <conditionalFormatting sqref="S47">
    <cfRule type="containsText" dxfId="316" priority="317" operator="containsText" text="TB">
      <formula>NOT(ISERROR(SEARCH("TB",S47)))</formula>
    </cfRule>
  </conditionalFormatting>
  <conditionalFormatting sqref="S40">
    <cfRule type="containsText" dxfId="315" priority="314" operator="containsText" text="B">
      <formula>NOT(ISERROR(SEARCH("B",S40)))</formula>
    </cfRule>
    <cfRule type="containsText" dxfId="314" priority="315" operator="containsText" text="TB">
      <formula>NOT(ISERROR(SEARCH("TB",S40)))</formula>
    </cfRule>
    <cfRule type="containsText" dxfId="313" priority="316" operator="containsText" text="T">
      <formula>NOT(ISERROR(SEARCH("T",S40)))</formula>
    </cfRule>
  </conditionalFormatting>
  <conditionalFormatting sqref="S40">
    <cfRule type="containsText" dxfId="312" priority="313" operator="containsText" text="TB">
      <formula>NOT(ISERROR(SEARCH("TB",S40)))</formula>
    </cfRule>
  </conditionalFormatting>
  <conditionalFormatting sqref="S13">
    <cfRule type="containsText" dxfId="311" priority="310" operator="containsText" text="B">
      <formula>NOT(ISERROR(SEARCH("B",S13)))</formula>
    </cfRule>
    <cfRule type="containsText" dxfId="310" priority="311" operator="containsText" text="TB">
      <formula>NOT(ISERROR(SEARCH("TB",S13)))</formula>
    </cfRule>
    <cfRule type="containsText" dxfId="309" priority="312" operator="containsText" text="T">
      <formula>NOT(ISERROR(SEARCH("T",S13)))</formula>
    </cfRule>
  </conditionalFormatting>
  <conditionalFormatting sqref="S13">
    <cfRule type="containsText" dxfId="308" priority="309" operator="containsText" text="TB">
      <formula>NOT(ISERROR(SEARCH("TB",S13)))</formula>
    </cfRule>
  </conditionalFormatting>
  <conditionalFormatting sqref="S46">
    <cfRule type="containsText" dxfId="307" priority="306" operator="containsText" text="B">
      <formula>NOT(ISERROR(SEARCH("B",S46)))</formula>
    </cfRule>
    <cfRule type="containsText" dxfId="306" priority="307" operator="containsText" text="TB">
      <formula>NOT(ISERROR(SEARCH("TB",S46)))</formula>
    </cfRule>
    <cfRule type="containsText" dxfId="305" priority="308" operator="containsText" text="T">
      <formula>NOT(ISERROR(SEARCH("T",S46)))</formula>
    </cfRule>
  </conditionalFormatting>
  <conditionalFormatting sqref="S46">
    <cfRule type="containsText" dxfId="304" priority="305" operator="containsText" text="TB">
      <formula>NOT(ISERROR(SEARCH("TB",S46)))</formula>
    </cfRule>
  </conditionalFormatting>
  <conditionalFormatting sqref="S17">
    <cfRule type="containsText" dxfId="303" priority="302" operator="containsText" text="B">
      <formula>NOT(ISERROR(SEARCH("B",S17)))</formula>
    </cfRule>
    <cfRule type="containsText" dxfId="302" priority="303" operator="containsText" text="TB">
      <formula>NOT(ISERROR(SEARCH("TB",S17)))</formula>
    </cfRule>
    <cfRule type="containsText" dxfId="301" priority="304" operator="containsText" text="T">
      <formula>NOT(ISERROR(SEARCH("T",S17)))</formula>
    </cfRule>
  </conditionalFormatting>
  <conditionalFormatting sqref="S17">
    <cfRule type="containsText" dxfId="300" priority="301" operator="containsText" text="TB">
      <formula>NOT(ISERROR(SEARCH("TB",S17)))</formula>
    </cfRule>
  </conditionalFormatting>
  <conditionalFormatting sqref="C52:D52">
    <cfRule type="containsText" dxfId="299" priority="298" operator="containsText" text="B">
      <formula>NOT(ISERROR(SEARCH("B",C52)))</formula>
    </cfRule>
    <cfRule type="containsText" dxfId="298" priority="299" operator="containsText" text="TB">
      <formula>NOT(ISERROR(SEARCH("TB",C52)))</formula>
    </cfRule>
    <cfRule type="containsText" dxfId="297" priority="300" operator="containsText" text="T">
      <formula>NOT(ISERROR(SEARCH("T",C52)))</formula>
    </cfRule>
  </conditionalFormatting>
  <conditionalFormatting sqref="C52:D52">
    <cfRule type="containsText" dxfId="296" priority="297" operator="containsText" text="TB">
      <formula>NOT(ISERROR(SEARCH("TB",C52)))</formula>
    </cfRule>
  </conditionalFormatting>
  <conditionalFormatting sqref="E52">
    <cfRule type="containsText" dxfId="295" priority="294" operator="containsText" text="B">
      <formula>NOT(ISERROR(SEARCH("B",E52)))</formula>
    </cfRule>
    <cfRule type="containsText" dxfId="294" priority="295" operator="containsText" text="TB">
      <formula>NOT(ISERROR(SEARCH("TB",E52)))</formula>
    </cfRule>
    <cfRule type="containsText" dxfId="293" priority="296" operator="containsText" text="T">
      <formula>NOT(ISERROR(SEARCH("T",E52)))</formula>
    </cfRule>
  </conditionalFormatting>
  <conditionalFormatting sqref="E52">
    <cfRule type="containsText" dxfId="292" priority="293" operator="containsText" text="TB">
      <formula>NOT(ISERROR(SEARCH("TB",E52)))</formula>
    </cfRule>
  </conditionalFormatting>
  <conditionalFormatting sqref="T53">
    <cfRule type="containsText" dxfId="291" priority="290" operator="containsText" text="B">
      <formula>NOT(ISERROR(SEARCH("B",T53)))</formula>
    </cfRule>
    <cfRule type="containsText" dxfId="290" priority="291" operator="containsText" text="TB">
      <formula>NOT(ISERROR(SEARCH("TB",T53)))</formula>
    </cfRule>
    <cfRule type="containsText" dxfId="289" priority="292" operator="containsText" text="T">
      <formula>NOT(ISERROR(SEARCH("T",T53)))</formula>
    </cfRule>
  </conditionalFormatting>
  <conditionalFormatting sqref="T53">
    <cfRule type="containsText" dxfId="288" priority="289" operator="containsText" text="TB">
      <formula>NOT(ISERROR(SEARCH("TB",T53)))</formula>
    </cfRule>
  </conditionalFormatting>
  <conditionalFormatting sqref="T12">
    <cfRule type="containsText" dxfId="287" priority="286" operator="containsText" text="B">
      <formula>NOT(ISERROR(SEARCH("B",T12)))</formula>
    </cfRule>
    <cfRule type="containsText" dxfId="286" priority="287" operator="containsText" text="TB">
      <formula>NOT(ISERROR(SEARCH("TB",T12)))</formula>
    </cfRule>
    <cfRule type="containsText" dxfId="285" priority="288" operator="containsText" text="T">
      <formula>NOT(ISERROR(SEARCH("T",T12)))</formula>
    </cfRule>
  </conditionalFormatting>
  <conditionalFormatting sqref="T12">
    <cfRule type="containsText" dxfId="284" priority="285" operator="containsText" text="TB">
      <formula>NOT(ISERROR(SEARCH("TB",T12)))</formula>
    </cfRule>
  </conditionalFormatting>
  <conditionalFormatting sqref="T15">
    <cfRule type="containsText" dxfId="283" priority="282" operator="containsText" text="B">
      <formula>NOT(ISERROR(SEARCH("B",T15)))</formula>
    </cfRule>
    <cfRule type="containsText" dxfId="282" priority="283" operator="containsText" text="TB">
      <formula>NOT(ISERROR(SEARCH("TB",T15)))</formula>
    </cfRule>
    <cfRule type="containsText" dxfId="281" priority="284" operator="containsText" text="T">
      <formula>NOT(ISERROR(SEARCH("T",T15)))</formula>
    </cfRule>
  </conditionalFormatting>
  <conditionalFormatting sqref="T15">
    <cfRule type="containsText" dxfId="280" priority="281" operator="containsText" text="TB">
      <formula>NOT(ISERROR(SEARCH("TB",T15)))</formula>
    </cfRule>
  </conditionalFormatting>
  <conditionalFormatting sqref="T20">
    <cfRule type="containsText" dxfId="279" priority="278" operator="containsText" text="B">
      <formula>NOT(ISERROR(SEARCH("B",T20)))</formula>
    </cfRule>
    <cfRule type="containsText" dxfId="278" priority="279" operator="containsText" text="TB">
      <formula>NOT(ISERROR(SEARCH("TB",T20)))</formula>
    </cfRule>
    <cfRule type="containsText" dxfId="277" priority="280" operator="containsText" text="T">
      <formula>NOT(ISERROR(SEARCH("T",T20)))</formula>
    </cfRule>
  </conditionalFormatting>
  <conditionalFormatting sqref="T20">
    <cfRule type="containsText" dxfId="276" priority="277" operator="containsText" text="TB">
      <formula>NOT(ISERROR(SEARCH("TB",T20)))</formula>
    </cfRule>
  </conditionalFormatting>
  <conditionalFormatting sqref="T50">
    <cfRule type="containsText" dxfId="275" priority="274" operator="containsText" text="B">
      <formula>NOT(ISERROR(SEARCH("B",T50)))</formula>
    </cfRule>
    <cfRule type="containsText" dxfId="274" priority="275" operator="containsText" text="TB">
      <formula>NOT(ISERROR(SEARCH("TB",T50)))</formula>
    </cfRule>
    <cfRule type="containsText" dxfId="273" priority="276" operator="containsText" text="T">
      <formula>NOT(ISERROR(SEARCH("T",T50)))</formula>
    </cfRule>
  </conditionalFormatting>
  <conditionalFormatting sqref="T50">
    <cfRule type="containsText" dxfId="272" priority="273" operator="containsText" text="TB">
      <formula>NOT(ISERROR(SEARCH("TB",T50)))</formula>
    </cfRule>
  </conditionalFormatting>
  <conditionalFormatting sqref="T21">
    <cfRule type="containsText" dxfId="271" priority="270" operator="containsText" text="B">
      <formula>NOT(ISERROR(SEARCH("B",T21)))</formula>
    </cfRule>
    <cfRule type="containsText" dxfId="270" priority="271" operator="containsText" text="TB">
      <formula>NOT(ISERROR(SEARCH("TB",T21)))</formula>
    </cfRule>
    <cfRule type="containsText" dxfId="269" priority="272" operator="containsText" text="T">
      <formula>NOT(ISERROR(SEARCH("T",T21)))</formula>
    </cfRule>
  </conditionalFormatting>
  <conditionalFormatting sqref="T21">
    <cfRule type="containsText" dxfId="268" priority="269" operator="containsText" text="TB">
      <formula>NOT(ISERROR(SEARCH("TB",T21)))</formula>
    </cfRule>
  </conditionalFormatting>
  <conditionalFormatting sqref="T42">
    <cfRule type="containsText" dxfId="267" priority="266" operator="containsText" text="B">
      <formula>NOT(ISERROR(SEARCH("B",T42)))</formula>
    </cfRule>
    <cfRule type="containsText" dxfId="266" priority="267" operator="containsText" text="TB">
      <formula>NOT(ISERROR(SEARCH("TB",T42)))</formula>
    </cfRule>
    <cfRule type="containsText" dxfId="265" priority="268" operator="containsText" text="T">
      <formula>NOT(ISERROR(SEARCH("T",T42)))</formula>
    </cfRule>
  </conditionalFormatting>
  <conditionalFormatting sqref="T42">
    <cfRule type="containsText" dxfId="264" priority="265" operator="containsText" text="TB">
      <formula>NOT(ISERROR(SEARCH("TB",T42)))</formula>
    </cfRule>
  </conditionalFormatting>
  <conditionalFormatting sqref="T39">
    <cfRule type="containsText" dxfId="263" priority="262" operator="containsText" text="B">
      <formula>NOT(ISERROR(SEARCH("B",T39)))</formula>
    </cfRule>
    <cfRule type="containsText" dxfId="262" priority="263" operator="containsText" text="TB">
      <formula>NOT(ISERROR(SEARCH("TB",T39)))</formula>
    </cfRule>
    <cfRule type="containsText" dxfId="261" priority="264" operator="containsText" text="T">
      <formula>NOT(ISERROR(SEARCH("T",T39)))</formula>
    </cfRule>
  </conditionalFormatting>
  <conditionalFormatting sqref="T39">
    <cfRule type="containsText" dxfId="260" priority="261" operator="containsText" text="TB">
      <formula>NOT(ISERROR(SEARCH("TB",T39)))</formula>
    </cfRule>
  </conditionalFormatting>
  <conditionalFormatting sqref="T36">
    <cfRule type="containsText" dxfId="259" priority="258" operator="containsText" text="B">
      <formula>NOT(ISERROR(SEARCH("B",T36)))</formula>
    </cfRule>
    <cfRule type="containsText" dxfId="258" priority="259" operator="containsText" text="TB">
      <formula>NOT(ISERROR(SEARCH("TB",T36)))</formula>
    </cfRule>
    <cfRule type="containsText" dxfId="257" priority="260" operator="containsText" text="T">
      <formula>NOT(ISERROR(SEARCH("T",T36)))</formula>
    </cfRule>
  </conditionalFormatting>
  <conditionalFormatting sqref="T36">
    <cfRule type="containsText" dxfId="256" priority="257" operator="containsText" text="TB">
      <formula>NOT(ISERROR(SEARCH("TB",T36)))</formula>
    </cfRule>
  </conditionalFormatting>
  <conditionalFormatting sqref="T41">
    <cfRule type="containsText" dxfId="255" priority="254" operator="containsText" text="B">
      <formula>NOT(ISERROR(SEARCH("B",T41)))</formula>
    </cfRule>
    <cfRule type="containsText" dxfId="254" priority="255" operator="containsText" text="TB">
      <formula>NOT(ISERROR(SEARCH("TB",T41)))</formula>
    </cfRule>
    <cfRule type="containsText" dxfId="253" priority="256" operator="containsText" text="T">
      <formula>NOT(ISERROR(SEARCH("T",T41)))</formula>
    </cfRule>
  </conditionalFormatting>
  <conditionalFormatting sqref="T41">
    <cfRule type="containsText" dxfId="252" priority="253" operator="containsText" text="TB">
      <formula>NOT(ISERROR(SEARCH("TB",T41)))</formula>
    </cfRule>
  </conditionalFormatting>
  <conditionalFormatting sqref="T23">
    <cfRule type="containsText" dxfId="251" priority="250" operator="containsText" text="B">
      <formula>NOT(ISERROR(SEARCH("B",T23)))</formula>
    </cfRule>
    <cfRule type="containsText" dxfId="250" priority="251" operator="containsText" text="TB">
      <formula>NOT(ISERROR(SEARCH("TB",T23)))</formula>
    </cfRule>
    <cfRule type="containsText" dxfId="249" priority="252" operator="containsText" text="T">
      <formula>NOT(ISERROR(SEARCH("T",T23)))</formula>
    </cfRule>
  </conditionalFormatting>
  <conditionalFormatting sqref="T23">
    <cfRule type="containsText" dxfId="248" priority="249" operator="containsText" text="TB">
      <formula>NOT(ISERROR(SEARCH("TB",T23)))</formula>
    </cfRule>
  </conditionalFormatting>
  <conditionalFormatting sqref="T29">
    <cfRule type="containsText" dxfId="247" priority="246" operator="containsText" text="B">
      <formula>NOT(ISERROR(SEARCH("B",T29)))</formula>
    </cfRule>
    <cfRule type="containsText" dxfId="246" priority="247" operator="containsText" text="TB">
      <formula>NOT(ISERROR(SEARCH("TB",T29)))</formula>
    </cfRule>
    <cfRule type="containsText" dxfId="245" priority="248" operator="containsText" text="T">
      <formula>NOT(ISERROR(SEARCH("T",T29)))</formula>
    </cfRule>
  </conditionalFormatting>
  <conditionalFormatting sqref="T29">
    <cfRule type="containsText" dxfId="244" priority="245" operator="containsText" text="TB">
      <formula>NOT(ISERROR(SEARCH("TB",T29)))</formula>
    </cfRule>
  </conditionalFormatting>
  <conditionalFormatting sqref="AB50">
    <cfRule type="containsText" dxfId="243" priority="242" operator="containsText" text="B">
      <formula>NOT(ISERROR(SEARCH("B",AB50)))</formula>
    </cfRule>
    <cfRule type="containsText" dxfId="242" priority="243" operator="containsText" text="TB">
      <formula>NOT(ISERROR(SEARCH("TB",AB50)))</formula>
    </cfRule>
    <cfRule type="containsText" dxfId="241" priority="244" operator="containsText" text="T">
      <formula>NOT(ISERROR(SEARCH("T",AB50)))</formula>
    </cfRule>
  </conditionalFormatting>
  <conditionalFormatting sqref="AB50">
    <cfRule type="containsText" dxfId="240" priority="241" operator="containsText" text="TB">
      <formula>NOT(ISERROR(SEARCH("TB",AB50)))</formula>
    </cfRule>
  </conditionalFormatting>
  <conditionalFormatting sqref="AB21">
    <cfRule type="containsText" dxfId="239" priority="238" operator="containsText" text="B">
      <formula>NOT(ISERROR(SEARCH("B",AB21)))</formula>
    </cfRule>
    <cfRule type="containsText" dxfId="238" priority="239" operator="containsText" text="TB">
      <formula>NOT(ISERROR(SEARCH("TB",AB21)))</formula>
    </cfRule>
    <cfRule type="containsText" dxfId="237" priority="240" operator="containsText" text="T">
      <formula>NOT(ISERROR(SEARCH("T",AB21)))</formula>
    </cfRule>
  </conditionalFormatting>
  <conditionalFormatting sqref="AB21">
    <cfRule type="containsText" dxfId="236" priority="237" operator="containsText" text="TB">
      <formula>NOT(ISERROR(SEARCH("TB",AB21)))</formula>
    </cfRule>
  </conditionalFormatting>
  <conditionalFormatting sqref="AB40">
    <cfRule type="containsText" dxfId="235" priority="234" operator="containsText" text="B">
      <formula>NOT(ISERROR(SEARCH("B",AB40)))</formula>
    </cfRule>
    <cfRule type="containsText" dxfId="234" priority="235" operator="containsText" text="TB">
      <formula>NOT(ISERROR(SEARCH("TB",AB40)))</formula>
    </cfRule>
    <cfRule type="containsText" dxfId="233" priority="236" operator="containsText" text="T">
      <formula>NOT(ISERROR(SEARCH("T",AB40)))</formula>
    </cfRule>
  </conditionalFormatting>
  <conditionalFormatting sqref="AB40">
    <cfRule type="containsText" dxfId="232" priority="233" operator="containsText" text="TB">
      <formula>NOT(ISERROR(SEARCH("TB",AB40)))</formula>
    </cfRule>
  </conditionalFormatting>
  <conditionalFormatting sqref="AB10">
    <cfRule type="containsText" dxfId="231" priority="230" operator="containsText" text="B">
      <formula>NOT(ISERROR(SEARCH("B",AB10)))</formula>
    </cfRule>
    <cfRule type="containsText" dxfId="230" priority="231" operator="containsText" text="TB">
      <formula>NOT(ISERROR(SEARCH("TB",AB10)))</formula>
    </cfRule>
    <cfRule type="containsText" dxfId="229" priority="232" operator="containsText" text="T">
      <formula>NOT(ISERROR(SEARCH("T",AB10)))</formula>
    </cfRule>
  </conditionalFormatting>
  <conditionalFormatting sqref="AB10">
    <cfRule type="containsText" dxfId="228" priority="229" operator="containsText" text="TB">
      <formula>NOT(ISERROR(SEARCH("TB",AB10)))</formula>
    </cfRule>
  </conditionalFormatting>
  <conditionalFormatting sqref="AB13">
    <cfRule type="containsText" dxfId="227" priority="226" operator="containsText" text="B">
      <formula>NOT(ISERROR(SEARCH("B",AB13)))</formula>
    </cfRule>
    <cfRule type="containsText" dxfId="226" priority="227" operator="containsText" text="TB">
      <formula>NOT(ISERROR(SEARCH("TB",AB13)))</formula>
    </cfRule>
    <cfRule type="containsText" dxfId="225" priority="228" operator="containsText" text="T">
      <formula>NOT(ISERROR(SEARCH("T",AB13)))</formula>
    </cfRule>
  </conditionalFormatting>
  <conditionalFormatting sqref="AB13">
    <cfRule type="containsText" dxfId="224" priority="225" operator="containsText" text="TB">
      <formula>NOT(ISERROR(SEARCH("TB",AB13)))</formula>
    </cfRule>
  </conditionalFormatting>
  <conditionalFormatting sqref="AB14">
    <cfRule type="containsText" dxfId="223" priority="222" operator="containsText" text="B">
      <formula>NOT(ISERROR(SEARCH("B",AB14)))</formula>
    </cfRule>
    <cfRule type="containsText" dxfId="222" priority="223" operator="containsText" text="TB">
      <formula>NOT(ISERROR(SEARCH("TB",AB14)))</formula>
    </cfRule>
    <cfRule type="containsText" dxfId="221" priority="224" operator="containsText" text="T">
      <formula>NOT(ISERROR(SEARCH("T",AB14)))</formula>
    </cfRule>
  </conditionalFormatting>
  <conditionalFormatting sqref="AB14">
    <cfRule type="containsText" dxfId="220" priority="221" operator="containsText" text="TB">
      <formula>NOT(ISERROR(SEARCH("TB",AB14)))</formula>
    </cfRule>
  </conditionalFormatting>
  <conditionalFormatting sqref="AB18">
    <cfRule type="containsText" dxfId="219" priority="218" operator="containsText" text="B">
      <formula>NOT(ISERROR(SEARCH("B",AB18)))</formula>
    </cfRule>
    <cfRule type="containsText" dxfId="218" priority="219" operator="containsText" text="TB">
      <formula>NOT(ISERROR(SEARCH("TB",AB18)))</formula>
    </cfRule>
    <cfRule type="containsText" dxfId="217" priority="220" operator="containsText" text="T">
      <formula>NOT(ISERROR(SEARCH("T",AB18)))</formula>
    </cfRule>
  </conditionalFormatting>
  <conditionalFormatting sqref="AB18">
    <cfRule type="containsText" dxfId="216" priority="217" operator="containsText" text="TB">
      <formula>NOT(ISERROR(SEARCH("TB",AB18)))</formula>
    </cfRule>
  </conditionalFormatting>
  <conditionalFormatting sqref="AB23">
    <cfRule type="containsText" dxfId="215" priority="214" operator="containsText" text="B">
      <formula>NOT(ISERROR(SEARCH("B",AB23)))</formula>
    </cfRule>
    <cfRule type="containsText" dxfId="214" priority="215" operator="containsText" text="TB">
      <formula>NOT(ISERROR(SEARCH("TB",AB23)))</formula>
    </cfRule>
    <cfRule type="containsText" dxfId="213" priority="216" operator="containsText" text="T">
      <formula>NOT(ISERROR(SEARCH("T",AB23)))</formula>
    </cfRule>
  </conditionalFormatting>
  <conditionalFormatting sqref="AB23">
    <cfRule type="containsText" dxfId="212" priority="213" operator="containsText" text="TB">
      <formula>NOT(ISERROR(SEARCH("TB",AB23)))</formula>
    </cfRule>
  </conditionalFormatting>
  <conditionalFormatting sqref="AB29">
    <cfRule type="containsText" dxfId="211" priority="210" operator="containsText" text="B">
      <formula>NOT(ISERROR(SEARCH("B",AB29)))</formula>
    </cfRule>
    <cfRule type="containsText" dxfId="210" priority="211" operator="containsText" text="TB">
      <formula>NOT(ISERROR(SEARCH("TB",AB29)))</formula>
    </cfRule>
    <cfRule type="containsText" dxfId="209" priority="212" operator="containsText" text="T">
      <formula>NOT(ISERROR(SEARCH("T",AB29)))</formula>
    </cfRule>
  </conditionalFormatting>
  <conditionalFormatting sqref="AB29">
    <cfRule type="containsText" dxfId="208" priority="209" operator="containsText" text="TB">
      <formula>NOT(ISERROR(SEARCH("TB",AB29)))</formula>
    </cfRule>
  </conditionalFormatting>
  <conditionalFormatting sqref="AB38">
    <cfRule type="containsText" dxfId="207" priority="206" operator="containsText" text="B">
      <formula>NOT(ISERROR(SEARCH("B",AB38)))</formula>
    </cfRule>
    <cfRule type="containsText" dxfId="206" priority="207" operator="containsText" text="TB">
      <formula>NOT(ISERROR(SEARCH("TB",AB38)))</formula>
    </cfRule>
    <cfRule type="containsText" dxfId="205" priority="208" operator="containsText" text="T">
      <formula>NOT(ISERROR(SEARCH("T",AB38)))</formula>
    </cfRule>
  </conditionalFormatting>
  <conditionalFormatting sqref="AB38">
    <cfRule type="containsText" dxfId="204" priority="205" operator="containsText" text="TB">
      <formula>NOT(ISERROR(SEARCH("TB",AB38)))</formula>
    </cfRule>
  </conditionalFormatting>
  <conditionalFormatting sqref="AB39">
    <cfRule type="containsText" dxfId="203" priority="202" operator="containsText" text="B">
      <formula>NOT(ISERROR(SEARCH("B",AB39)))</formula>
    </cfRule>
    <cfRule type="containsText" dxfId="202" priority="203" operator="containsText" text="TB">
      <formula>NOT(ISERROR(SEARCH("TB",AB39)))</formula>
    </cfRule>
    <cfRule type="containsText" dxfId="201" priority="204" operator="containsText" text="T">
      <formula>NOT(ISERROR(SEARCH("T",AB39)))</formula>
    </cfRule>
  </conditionalFormatting>
  <conditionalFormatting sqref="AB39">
    <cfRule type="containsText" dxfId="200" priority="201" operator="containsText" text="TB">
      <formula>NOT(ISERROR(SEARCH("TB",AB39)))</formula>
    </cfRule>
  </conditionalFormatting>
  <conditionalFormatting sqref="AB42">
    <cfRule type="containsText" dxfId="199" priority="198" operator="containsText" text="B">
      <formula>NOT(ISERROR(SEARCH("B",AB42)))</formula>
    </cfRule>
    <cfRule type="containsText" dxfId="198" priority="199" operator="containsText" text="TB">
      <formula>NOT(ISERROR(SEARCH("TB",AB42)))</formula>
    </cfRule>
    <cfRule type="containsText" dxfId="197" priority="200" operator="containsText" text="T">
      <formula>NOT(ISERROR(SEARCH("T",AB42)))</formula>
    </cfRule>
  </conditionalFormatting>
  <conditionalFormatting sqref="AB42">
    <cfRule type="containsText" dxfId="196" priority="197" operator="containsText" text="TB">
      <formula>NOT(ISERROR(SEARCH("TB",AB42)))</formula>
    </cfRule>
  </conditionalFormatting>
  <conditionalFormatting sqref="AB47">
    <cfRule type="containsText" dxfId="195" priority="194" operator="containsText" text="B">
      <formula>NOT(ISERROR(SEARCH("B",AB47)))</formula>
    </cfRule>
    <cfRule type="containsText" dxfId="194" priority="195" operator="containsText" text="TB">
      <formula>NOT(ISERROR(SEARCH("TB",AB47)))</formula>
    </cfRule>
    <cfRule type="containsText" dxfId="193" priority="196" operator="containsText" text="T">
      <formula>NOT(ISERROR(SEARCH("T",AB47)))</formula>
    </cfRule>
  </conditionalFormatting>
  <conditionalFormatting sqref="AB47">
    <cfRule type="containsText" dxfId="192" priority="193" operator="containsText" text="TB">
      <formula>NOT(ISERROR(SEARCH("TB",AB47)))</formula>
    </cfRule>
  </conditionalFormatting>
  <conditionalFormatting sqref="AB43">
    <cfRule type="containsText" dxfId="191" priority="190" operator="containsText" text="B">
      <formula>NOT(ISERROR(SEARCH("B",AB43)))</formula>
    </cfRule>
    <cfRule type="containsText" dxfId="190" priority="191" operator="containsText" text="TB">
      <formula>NOT(ISERROR(SEARCH("TB",AB43)))</formula>
    </cfRule>
    <cfRule type="containsText" dxfId="189" priority="192" operator="containsText" text="T">
      <formula>NOT(ISERROR(SEARCH("T",AB43)))</formula>
    </cfRule>
  </conditionalFormatting>
  <conditionalFormatting sqref="AB43">
    <cfRule type="containsText" dxfId="188" priority="189" operator="containsText" text="TB">
      <formula>NOT(ISERROR(SEARCH("TB",AB43)))</formula>
    </cfRule>
  </conditionalFormatting>
  <conditionalFormatting sqref="AB16">
    <cfRule type="containsText" dxfId="187" priority="186" operator="containsText" text="B">
      <formula>NOT(ISERROR(SEARCH("B",AB16)))</formula>
    </cfRule>
    <cfRule type="containsText" dxfId="186" priority="187" operator="containsText" text="TB">
      <formula>NOT(ISERROR(SEARCH("TB",AB16)))</formula>
    </cfRule>
    <cfRule type="containsText" dxfId="185" priority="188" operator="containsText" text="T">
      <formula>NOT(ISERROR(SEARCH("T",AB16)))</formula>
    </cfRule>
  </conditionalFormatting>
  <conditionalFormatting sqref="AB16">
    <cfRule type="containsText" dxfId="184" priority="185" operator="containsText" text="TB">
      <formula>NOT(ISERROR(SEARCH("TB",AB16)))</formula>
    </cfRule>
  </conditionalFormatting>
  <conditionalFormatting sqref="AB148">
    <cfRule type="containsText" dxfId="183" priority="182" operator="containsText" text="B">
      <formula>NOT(ISERROR(SEARCH("B",AB148)))</formula>
    </cfRule>
    <cfRule type="containsText" dxfId="182" priority="183" operator="containsText" text="TB">
      <formula>NOT(ISERROR(SEARCH("TB",AB148)))</formula>
    </cfRule>
    <cfRule type="containsText" dxfId="181" priority="184" operator="containsText" text="T">
      <formula>NOT(ISERROR(SEARCH("T",AB148)))</formula>
    </cfRule>
  </conditionalFormatting>
  <conditionalFormatting sqref="AB148">
    <cfRule type="containsText" dxfId="180" priority="181" operator="containsText" text="TB">
      <formula>NOT(ISERROR(SEARCH("TB",AB148)))</formula>
    </cfRule>
  </conditionalFormatting>
  <conditionalFormatting sqref="AB153">
    <cfRule type="containsText" dxfId="179" priority="178" operator="containsText" text="B">
      <formula>NOT(ISERROR(SEARCH("B",AB153)))</formula>
    </cfRule>
    <cfRule type="containsText" dxfId="178" priority="179" operator="containsText" text="TB">
      <formula>NOT(ISERROR(SEARCH("TB",AB153)))</formula>
    </cfRule>
    <cfRule type="containsText" dxfId="177" priority="180" operator="containsText" text="T">
      <formula>NOT(ISERROR(SEARCH("T",AB153)))</formula>
    </cfRule>
  </conditionalFormatting>
  <conditionalFormatting sqref="AB153">
    <cfRule type="containsText" dxfId="176" priority="177" operator="containsText" text="TB">
      <formula>NOT(ISERROR(SEARCH("TB",AB153)))</formula>
    </cfRule>
  </conditionalFormatting>
  <conditionalFormatting sqref="AB158">
    <cfRule type="containsText" dxfId="175" priority="174" operator="containsText" text="B">
      <formula>NOT(ISERROR(SEARCH("B",AB158)))</formula>
    </cfRule>
    <cfRule type="containsText" dxfId="174" priority="175" operator="containsText" text="TB">
      <formula>NOT(ISERROR(SEARCH("TB",AB158)))</formula>
    </cfRule>
    <cfRule type="containsText" dxfId="173" priority="176" operator="containsText" text="T">
      <formula>NOT(ISERROR(SEARCH("T",AB158)))</formula>
    </cfRule>
  </conditionalFormatting>
  <conditionalFormatting sqref="AB158">
    <cfRule type="containsText" dxfId="172" priority="173" operator="containsText" text="TB">
      <formula>NOT(ISERROR(SEARCH("TB",AB158)))</formula>
    </cfRule>
  </conditionalFormatting>
  <conditionalFormatting sqref="AB169">
    <cfRule type="containsText" dxfId="171" priority="170" operator="containsText" text="B">
      <formula>NOT(ISERROR(SEARCH("B",AB169)))</formula>
    </cfRule>
    <cfRule type="containsText" dxfId="170" priority="171" operator="containsText" text="TB">
      <formula>NOT(ISERROR(SEARCH("TB",AB169)))</formula>
    </cfRule>
    <cfRule type="containsText" dxfId="169" priority="172" operator="containsText" text="T">
      <formula>NOT(ISERROR(SEARCH("T",AB169)))</formula>
    </cfRule>
  </conditionalFormatting>
  <conditionalFormatting sqref="AB169">
    <cfRule type="containsText" dxfId="168" priority="169" operator="containsText" text="TB">
      <formula>NOT(ISERROR(SEARCH("TB",AB169)))</formula>
    </cfRule>
  </conditionalFormatting>
  <conditionalFormatting sqref="AB166">
    <cfRule type="containsText" dxfId="167" priority="166" operator="containsText" text="B">
      <formula>NOT(ISERROR(SEARCH("B",AB166)))</formula>
    </cfRule>
    <cfRule type="containsText" dxfId="166" priority="167" operator="containsText" text="TB">
      <formula>NOT(ISERROR(SEARCH("TB",AB166)))</formula>
    </cfRule>
    <cfRule type="containsText" dxfId="165" priority="168" operator="containsText" text="T">
      <formula>NOT(ISERROR(SEARCH("T",AB166)))</formula>
    </cfRule>
  </conditionalFormatting>
  <conditionalFormatting sqref="AB166">
    <cfRule type="containsText" dxfId="164" priority="165" operator="containsText" text="TB">
      <formula>NOT(ISERROR(SEARCH("TB",AB166)))</formula>
    </cfRule>
  </conditionalFormatting>
  <conditionalFormatting sqref="AB53">
    <cfRule type="containsText" dxfId="163" priority="162" operator="containsText" text="B">
      <formula>NOT(ISERROR(SEARCH("B",AB53)))</formula>
    </cfRule>
    <cfRule type="containsText" dxfId="162" priority="163" operator="containsText" text="TB">
      <formula>NOT(ISERROR(SEARCH("TB",AB53)))</formula>
    </cfRule>
    <cfRule type="containsText" dxfId="161" priority="164" operator="containsText" text="T">
      <formula>NOT(ISERROR(SEARCH("T",AB53)))</formula>
    </cfRule>
  </conditionalFormatting>
  <conditionalFormatting sqref="AB53">
    <cfRule type="containsText" dxfId="160" priority="161" operator="containsText" text="TB">
      <formula>NOT(ISERROR(SEARCH("TB",AB53)))</formula>
    </cfRule>
  </conditionalFormatting>
  <conditionalFormatting sqref="AB28">
    <cfRule type="containsText" dxfId="159" priority="158" operator="containsText" text="B">
      <formula>NOT(ISERROR(SEARCH("B",AB28)))</formula>
    </cfRule>
    <cfRule type="containsText" dxfId="158" priority="159" operator="containsText" text="TB">
      <formula>NOT(ISERROR(SEARCH("TB",AB28)))</formula>
    </cfRule>
    <cfRule type="containsText" dxfId="157" priority="160" operator="containsText" text="T">
      <formula>NOT(ISERROR(SEARCH("T",AB28)))</formula>
    </cfRule>
  </conditionalFormatting>
  <conditionalFormatting sqref="AB28">
    <cfRule type="containsText" dxfId="156" priority="157" operator="containsText" text="TB">
      <formula>NOT(ISERROR(SEARCH("TB",AB28)))</formula>
    </cfRule>
  </conditionalFormatting>
  <conditionalFormatting sqref="AB37">
    <cfRule type="containsText" dxfId="155" priority="154" operator="containsText" text="B">
      <formula>NOT(ISERROR(SEARCH("B",AB37)))</formula>
    </cfRule>
    <cfRule type="containsText" dxfId="154" priority="155" operator="containsText" text="TB">
      <formula>NOT(ISERROR(SEARCH("TB",AB37)))</formula>
    </cfRule>
    <cfRule type="containsText" dxfId="153" priority="156" operator="containsText" text="T">
      <formula>NOT(ISERROR(SEARCH("T",AB37)))</formula>
    </cfRule>
  </conditionalFormatting>
  <conditionalFormatting sqref="AB37">
    <cfRule type="containsText" dxfId="152" priority="153" operator="containsText" text="TB">
      <formula>NOT(ISERROR(SEARCH("TB",AB37)))</formula>
    </cfRule>
  </conditionalFormatting>
  <conditionalFormatting sqref="AB15">
    <cfRule type="containsText" dxfId="151" priority="150" operator="containsText" text="B">
      <formula>NOT(ISERROR(SEARCH("B",AB15)))</formula>
    </cfRule>
    <cfRule type="containsText" dxfId="150" priority="151" operator="containsText" text="TB">
      <formula>NOT(ISERROR(SEARCH("TB",AB15)))</formula>
    </cfRule>
    <cfRule type="containsText" dxfId="149" priority="152" operator="containsText" text="T">
      <formula>NOT(ISERROR(SEARCH("T",AB15)))</formula>
    </cfRule>
  </conditionalFormatting>
  <conditionalFormatting sqref="AB15">
    <cfRule type="containsText" dxfId="148" priority="149" operator="containsText" text="TB">
      <formula>NOT(ISERROR(SEARCH("TB",AB15)))</formula>
    </cfRule>
  </conditionalFormatting>
  <conditionalFormatting sqref="AB170">
    <cfRule type="containsText" dxfId="147" priority="146" operator="containsText" text="B">
      <formula>NOT(ISERROR(SEARCH("B",AB170)))</formula>
    </cfRule>
    <cfRule type="containsText" dxfId="146" priority="147" operator="containsText" text="TB">
      <formula>NOT(ISERROR(SEARCH("TB",AB170)))</formula>
    </cfRule>
    <cfRule type="containsText" dxfId="145" priority="148" operator="containsText" text="T">
      <formula>NOT(ISERROR(SEARCH("T",AB170)))</formula>
    </cfRule>
  </conditionalFormatting>
  <conditionalFormatting sqref="AB170">
    <cfRule type="containsText" dxfId="144" priority="145" operator="containsText" text="TB">
      <formula>NOT(ISERROR(SEARCH("TB",AB170)))</formula>
    </cfRule>
  </conditionalFormatting>
  <conditionalFormatting sqref="R171:R172">
    <cfRule type="containsText" dxfId="143" priority="142" operator="containsText" text="B">
      <formula>NOT(ISERROR(SEARCH("B",R171)))</formula>
    </cfRule>
    <cfRule type="containsText" dxfId="142" priority="143" operator="containsText" text="TB">
      <formula>NOT(ISERROR(SEARCH("TB",R171)))</formula>
    </cfRule>
    <cfRule type="containsText" dxfId="141" priority="144" operator="containsText" text="T">
      <formula>NOT(ISERROR(SEARCH("T",R171)))</formula>
    </cfRule>
  </conditionalFormatting>
  <conditionalFormatting sqref="R171:R172">
    <cfRule type="containsText" dxfId="140" priority="141" operator="containsText" text="TB">
      <formula>NOT(ISERROR(SEARCH("TB",R171)))</formula>
    </cfRule>
  </conditionalFormatting>
  <conditionalFormatting sqref="AC18">
    <cfRule type="containsText" dxfId="139" priority="138" operator="containsText" text="B">
      <formula>NOT(ISERROR(SEARCH("B",AC18)))</formula>
    </cfRule>
    <cfRule type="containsText" dxfId="138" priority="139" operator="containsText" text="TB">
      <formula>NOT(ISERROR(SEARCH("TB",AC18)))</formula>
    </cfRule>
    <cfRule type="containsText" dxfId="137" priority="140" operator="containsText" text="T">
      <formula>NOT(ISERROR(SEARCH("T",AC18)))</formula>
    </cfRule>
  </conditionalFormatting>
  <conditionalFormatting sqref="AC18">
    <cfRule type="containsText" dxfId="136" priority="137" operator="containsText" text="TB">
      <formula>NOT(ISERROR(SEARCH("TB",AC18)))</formula>
    </cfRule>
  </conditionalFormatting>
  <conditionalFormatting sqref="AC29">
    <cfRule type="containsText" dxfId="135" priority="134" operator="containsText" text="B">
      <formula>NOT(ISERROR(SEARCH("B",AC29)))</formula>
    </cfRule>
    <cfRule type="containsText" dxfId="134" priority="135" operator="containsText" text="TB">
      <formula>NOT(ISERROR(SEARCH("TB",AC29)))</formula>
    </cfRule>
    <cfRule type="containsText" dxfId="133" priority="136" operator="containsText" text="T">
      <formula>NOT(ISERROR(SEARCH("T",AC29)))</formula>
    </cfRule>
  </conditionalFormatting>
  <conditionalFormatting sqref="AC29">
    <cfRule type="containsText" dxfId="132" priority="133" operator="containsText" text="TB">
      <formula>NOT(ISERROR(SEARCH("TB",AC29)))</formula>
    </cfRule>
  </conditionalFormatting>
  <conditionalFormatting sqref="AC143">
    <cfRule type="containsText" dxfId="131" priority="130" operator="containsText" text="B">
      <formula>NOT(ISERROR(SEARCH("B",AC143)))</formula>
    </cfRule>
    <cfRule type="containsText" dxfId="130" priority="131" operator="containsText" text="TB">
      <formula>NOT(ISERROR(SEARCH("TB",AC143)))</formula>
    </cfRule>
    <cfRule type="containsText" dxfId="129" priority="132" operator="containsText" text="T">
      <formula>NOT(ISERROR(SEARCH("T",AC143)))</formula>
    </cfRule>
  </conditionalFormatting>
  <conditionalFormatting sqref="AC143">
    <cfRule type="containsText" dxfId="128" priority="129" operator="containsText" text="TB">
      <formula>NOT(ISERROR(SEARCH("TB",AC143)))</formula>
    </cfRule>
  </conditionalFormatting>
  <conditionalFormatting sqref="AD16">
    <cfRule type="containsText" dxfId="127" priority="126" operator="containsText" text="B">
      <formula>NOT(ISERROR(SEARCH("B",AD16)))</formula>
    </cfRule>
    <cfRule type="containsText" dxfId="126" priority="127" operator="containsText" text="TB">
      <formula>NOT(ISERROR(SEARCH("TB",AD16)))</formula>
    </cfRule>
    <cfRule type="containsText" dxfId="125" priority="128" operator="containsText" text="T">
      <formula>NOT(ISERROR(SEARCH("T",AD16)))</formula>
    </cfRule>
  </conditionalFormatting>
  <conditionalFormatting sqref="AD16">
    <cfRule type="containsText" dxfId="124" priority="125" operator="containsText" text="TB">
      <formula>NOT(ISERROR(SEARCH("TB",AD16)))</formula>
    </cfRule>
  </conditionalFormatting>
  <conditionalFormatting sqref="AC13">
    <cfRule type="containsText" dxfId="123" priority="122" operator="containsText" text="B">
      <formula>NOT(ISERROR(SEARCH("B",AC13)))</formula>
    </cfRule>
    <cfRule type="containsText" dxfId="122" priority="123" operator="containsText" text="TB">
      <formula>NOT(ISERROR(SEARCH("TB",AC13)))</formula>
    </cfRule>
    <cfRule type="containsText" dxfId="121" priority="124" operator="containsText" text="T">
      <formula>NOT(ISERROR(SEARCH("T",AC13)))</formula>
    </cfRule>
  </conditionalFormatting>
  <conditionalFormatting sqref="AC13">
    <cfRule type="containsText" dxfId="120" priority="121" operator="containsText" text="TB">
      <formula>NOT(ISERROR(SEARCH("TB",AC13)))</formula>
    </cfRule>
  </conditionalFormatting>
  <conditionalFormatting sqref="AC15">
    <cfRule type="containsText" dxfId="119" priority="118" operator="containsText" text="B">
      <formula>NOT(ISERROR(SEARCH("B",AC15)))</formula>
    </cfRule>
    <cfRule type="containsText" dxfId="118" priority="119" operator="containsText" text="TB">
      <formula>NOT(ISERROR(SEARCH("TB",AC15)))</formula>
    </cfRule>
    <cfRule type="containsText" dxfId="117" priority="120" operator="containsText" text="T">
      <formula>NOT(ISERROR(SEARCH("T",AC15)))</formula>
    </cfRule>
  </conditionalFormatting>
  <conditionalFormatting sqref="AC15">
    <cfRule type="containsText" dxfId="116" priority="117" operator="containsText" text="TB">
      <formula>NOT(ISERROR(SEARCH("TB",AC15)))</formula>
    </cfRule>
  </conditionalFormatting>
  <conditionalFormatting sqref="AC7">
    <cfRule type="containsText" dxfId="115" priority="114" operator="containsText" text="B">
      <formula>NOT(ISERROR(SEARCH("B",AC7)))</formula>
    </cfRule>
    <cfRule type="containsText" dxfId="114" priority="115" operator="containsText" text="TB">
      <formula>NOT(ISERROR(SEARCH("TB",AC7)))</formula>
    </cfRule>
    <cfRule type="containsText" dxfId="113" priority="116" operator="containsText" text="T">
      <formula>NOT(ISERROR(SEARCH("T",AC7)))</formula>
    </cfRule>
  </conditionalFormatting>
  <conditionalFormatting sqref="AC7">
    <cfRule type="containsText" dxfId="112" priority="113" operator="containsText" text="TB">
      <formula>NOT(ISERROR(SEARCH("TB",AC7)))</formula>
    </cfRule>
  </conditionalFormatting>
  <conditionalFormatting sqref="AD50">
    <cfRule type="containsText" dxfId="111" priority="110" operator="containsText" text="B">
      <formula>NOT(ISERROR(SEARCH("B",AD50)))</formula>
    </cfRule>
    <cfRule type="containsText" dxfId="110" priority="111" operator="containsText" text="TB">
      <formula>NOT(ISERROR(SEARCH("TB",AD50)))</formula>
    </cfRule>
    <cfRule type="containsText" dxfId="109" priority="112" operator="containsText" text="T">
      <formula>NOT(ISERROR(SEARCH("T",AD50)))</formula>
    </cfRule>
  </conditionalFormatting>
  <conditionalFormatting sqref="AD50">
    <cfRule type="containsText" dxfId="108" priority="109" operator="containsText" text="TB">
      <formula>NOT(ISERROR(SEARCH("TB",AD50)))</formula>
    </cfRule>
  </conditionalFormatting>
  <conditionalFormatting sqref="AD24">
    <cfRule type="containsText" dxfId="107" priority="106" operator="containsText" text="B">
      <formula>NOT(ISERROR(SEARCH("B",AD24)))</formula>
    </cfRule>
    <cfRule type="containsText" dxfId="106" priority="107" operator="containsText" text="TB">
      <formula>NOT(ISERROR(SEARCH("TB",AD24)))</formula>
    </cfRule>
    <cfRule type="containsText" dxfId="105" priority="108" operator="containsText" text="T">
      <formula>NOT(ISERROR(SEARCH("T",AD24)))</formula>
    </cfRule>
  </conditionalFormatting>
  <conditionalFormatting sqref="AD24">
    <cfRule type="containsText" dxfId="104" priority="105" operator="containsText" text="TB">
      <formula>NOT(ISERROR(SEARCH("TB",AD24)))</formula>
    </cfRule>
  </conditionalFormatting>
  <conditionalFormatting sqref="AD36">
    <cfRule type="containsText" dxfId="103" priority="102" operator="containsText" text="B">
      <formula>NOT(ISERROR(SEARCH("B",AD36)))</formula>
    </cfRule>
    <cfRule type="containsText" dxfId="102" priority="103" operator="containsText" text="TB">
      <formula>NOT(ISERROR(SEARCH("TB",AD36)))</formula>
    </cfRule>
    <cfRule type="containsText" dxfId="101" priority="104" operator="containsText" text="T">
      <formula>NOT(ISERROR(SEARCH("T",AD36)))</formula>
    </cfRule>
  </conditionalFormatting>
  <conditionalFormatting sqref="AD36">
    <cfRule type="containsText" dxfId="100" priority="101" operator="containsText" text="TB">
      <formula>NOT(ISERROR(SEARCH("TB",AD36)))</formula>
    </cfRule>
  </conditionalFormatting>
  <conditionalFormatting sqref="AD37">
    <cfRule type="containsText" dxfId="99" priority="98" operator="containsText" text="B">
      <formula>NOT(ISERROR(SEARCH("B",AD37)))</formula>
    </cfRule>
    <cfRule type="containsText" dxfId="98" priority="99" operator="containsText" text="TB">
      <formula>NOT(ISERROR(SEARCH("TB",AD37)))</formula>
    </cfRule>
    <cfRule type="containsText" dxfId="97" priority="100" operator="containsText" text="T">
      <formula>NOT(ISERROR(SEARCH("T",AD37)))</formula>
    </cfRule>
  </conditionalFormatting>
  <conditionalFormatting sqref="AD37">
    <cfRule type="containsText" dxfId="96" priority="97" operator="containsText" text="TB">
      <formula>NOT(ISERROR(SEARCH("TB",AD37)))</formula>
    </cfRule>
  </conditionalFormatting>
  <conditionalFormatting sqref="AD39">
    <cfRule type="containsText" dxfId="95" priority="94" operator="containsText" text="B">
      <formula>NOT(ISERROR(SEARCH("B",AD39)))</formula>
    </cfRule>
    <cfRule type="containsText" dxfId="94" priority="95" operator="containsText" text="TB">
      <formula>NOT(ISERROR(SEARCH("TB",AD39)))</formula>
    </cfRule>
    <cfRule type="containsText" dxfId="93" priority="96" operator="containsText" text="T">
      <formula>NOT(ISERROR(SEARCH("T",AD39)))</formula>
    </cfRule>
  </conditionalFormatting>
  <conditionalFormatting sqref="AD39">
    <cfRule type="containsText" dxfId="92" priority="93" operator="containsText" text="TB">
      <formula>NOT(ISERROR(SEARCH("TB",AD39)))</formula>
    </cfRule>
  </conditionalFormatting>
  <conditionalFormatting sqref="AD48">
    <cfRule type="containsText" dxfId="91" priority="90" operator="containsText" text="B">
      <formula>NOT(ISERROR(SEARCH("B",AD48)))</formula>
    </cfRule>
    <cfRule type="containsText" dxfId="90" priority="91" operator="containsText" text="TB">
      <formula>NOT(ISERROR(SEARCH("TB",AD48)))</formula>
    </cfRule>
    <cfRule type="containsText" dxfId="89" priority="92" operator="containsText" text="T">
      <formula>NOT(ISERROR(SEARCH("T",AD48)))</formula>
    </cfRule>
  </conditionalFormatting>
  <conditionalFormatting sqref="AD48">
    <cfRule type="containsText" dxfId="88" priority="89" operator="containsText" text="TB">
      <formula>NOT(ISERROR(SEARCH("TB",AD48)))</formula>
    </cfRule>
  </conditionalFormatting>
  <conditionalFormatting sqref="AF12">
    <cfRule type="containsText" dxfId="87" priority="86" operator="containsText" text="B">
      <formula>NOT(ISERROR(SEARCH("B",AF12)))</formula>
    </cfRule>
    <cfRule type="containsText" dxfId="86" priority="87" operator="containsText" text="TB">
      <formula>NOT(ISERROR(SEARCH("TB",AF12)))</formula>
    </cfRule>
    <cfRule type="containsText" dxfId="85" priority="88" operator="containsText" text="T">
      <formula>NOT(ISERROR(SEARCH("T",AF12)))</formula>
    </cfRule>
  </conditionalFormatting>
  <conditionalFormatting sqref="AF12">
    <cfRule type="containsText" dxfId="84" priority="85" operator="containsText" text="TB">
      <formula>NOT(ISERROR(SEARCH("TB",AF12)))</formula>
    </cfRule>
  </conditionalFormatting>
  <conditionalFormatting sqref="AF24">
    <cfRule type="containsText" dxfId="83" priority="82" operator="containsText" text="B">
      <formula>NOT(ISERROR(SEARCH("B",AF24)))</formula>
    </cfRule>
    <cfRule type="containsText" dxfId="82" priority="83" operator="containsText" text="TB">
      <formula>NOT(ISERROR(SEARCH("TB",AF24)))</formula>
    </cfRule>
    <cfRule type="containsText" dxfId="81" priority="84" operator="containsText" text="T">
      <formula>NOT(ISERROR(SEARCH("T",AF24)))</formula>
    </cfRule>
  </conditionalFormatting>
  <conditionalFormatting sqref="AF24">
    <cfRule type="containsText" dxfId="80" priority="81" operator="containsText" text="TB">
      <formula>NOT(ISERROR(SEARCH("TB",AF24)))</formula>
    </cfRule>
  </conditionalFormatting>
  <conditionalFormatting sqref="AF16">
    <cfRule type="containsText" dxfId="79" priority="78" operator="containsText" text="B">
      <formula>NOT(ISERROR(SEARCH("B",AF16)))</formula>
    </cfRule>
    <cfRule type="containsText" dxfId="78" priority="79" operator="containsText" text="TB">
      <formula>NOT(ISERROR(SEARCH("TB",AF16)))</formula>
    </cfRule>
    <cfRule type="containsText" dxfId="77" priority="80" operator="containsText" text="T">
      <formula>NOT(ISERROR(SEARCH("T",AF16)))</formula>
    </cfRule>
  </conditionalFormatting>
  <conditionalFormatting sqref="AF16">
    <cfRule type="containsText" dxfId="76" priority="77" operator="containsText" text="TB">
      <formula>NOT(ISERROR(SEARCH("TB",AF16)))</formula>
    </cfRule>
  </conditionalFormatting>
  <conditionalFormatting sqref="AF31">
    <cfRule type="containsText" dxfId="75" priority="74" operator="containsText" text="B">
      <formula>NOT(ISERROR(SEARCH("B",AF31)))</formula>
    </cfRule>
    <cfRule type="containsText" dxfId="74" priority="75" operator="containsText" text="TB">
      <formula>NOT(ISERROR(SEARCH("TB",AF31)))</formula>
    </cfRule>
    <cfRule type="containsText" dxfId="73" priority="76" operator="containsText" text="T">
      <formula>NOT(ISERROR(SEARCH("T",AF31)))</formula>
    </cfRule>
  </conditionalFormatting>
  <conditionalFormatting sqref="AF31">
    <cfRule type="containsText" dxfId="72" priority="73" operator="containsText" text="TB">
      <formula>NOT(ISERROR(SEARCH("TB",AF31)))</formula>
    </cfRule>
  </conditionalFormatting>
  <conditionalFormatting sqref="AF33">
    <cfRule type="containsText" dxfId="71" priority="70" operator="containsText" text="B">
      <formula>NOT(ISERROR(SEARCH("B",AF33)))</formula>
    </cfRule>
    <cfRule type="containsText" dxfId="70" priority="71" operator="containsText" text="TB">
      <formula>NOT(ISERROR(SEARCH("TB",AF33)))</formula>
    </cfRule>
    <cfRule type="containsText" dxfId="69" priority="72" operator="containsText" text="T">
      <formula>NOT(ISERROR(SEARCH("T",AF33)))</formula>
    </cfRule>
  </conditionalFormatting>
  <conditionalFormatting sqref="AF33">
    <cfRule type="containsText" dxfId="68" priority="69" operator="containsText" text="TB">
      <formula>NOT(ISERROR(SEARCH("TB",AF33)))</formula>
    </cfRule>
  </conditionalFormatting>
  <conditionalFormatting sqref="AF52">
    <cfRule type="containsText" dxfId="67" priority="66" operator="containsText" text="B">
      <formula>NOT(ISERROR(SEARCH("B",AF52)))</formula>
    </cfRule>
    <cfRule type="containsText" dxfId="66" priority="67" operator="containsText" text="TB">
      <formula>NOT(ISERROR(SEARCH("TB",AF52)))</formula>
    </cfRule>
    <cfRule type="containsText" dxfId="65" priority="68" operator="containsText" text="T">
      <formula>NOT(ISERROR(SEARCH("T",AF52)))</formula>
    </cfRule>
  </conditionalFormatting>
  <conditionalFormatting sqref="AF52">
    <cfRule type="containsText" dxfId="64" priority="65" operator="containsText" text="TB">
      <formula>NOT(ISERROR(SEARCH("TB",AF52)))</formula>
    </cfRule>
  </conditionalFormatting>
  <conditionalFormatting sqref="AF48">
    <cfRule type="containsText" dxfId="63" priority="62" operator="containsText" text="B">
      <formula>NOT(ISERROR(SEARCH("B",AF48)))</formula>
    </cfRule>
    <cfRule type="containsText" dxfId="62" priority="63" operator="containsText" text="TB">
      <formula>NOT(ISERROR(SEARCH("TB",AF48)))</formula>
    </cfRule>
    <cfRule type="containsText" dxfId="61" priority="64" operator="containsText" text="T">
      <formula>NOT(ISERROR(SEARCH("T",AF48)))</formula>
    </cfRule>
  </conditionalFormatting>
  <conditionalFormatting sqref="AF48">
    <cfRule type="containsText" dxfId="60" priority="61" operator="containsText" text="TB">
      <formula>NOT(ISERROR(SEARCH("TB",AF48)))</formula>
    </cfRule>
  </conditionalFormatting>
  <conditionalFormatting sqref="AF15">
    <cfRule type="containsText" dxfId="59" priority="58" operator="containsText" text="B">
      <formula>NOT(ISERROR(SEARCH("B",AF15)))</formula>
    </cfRule>
    <cfRule type="containsText" dxfId="58" priority="59" operator="containsText" text="TB">
      <formula>NOT(ISERROR(SEARCH("TB",AF15)))</formula>
    </cfRule>
    <cfRule type="containsText" dxfId="57" priority="60" operator="containsText" text="T">
      <formula>NOT(ISERROR(SEARCH("T",AF15)))</formula>
    </cfRule>
  </conditionalFormatting>
  <conditionalFormatting sqref="AF15">
    <cfRule type="containsText" dxfId="56" priority="57" operator="containsText" text="TB">
      <formula>NOT(ISERROR(SEARCH("TB",AF15)))</formula>
    </cfRule>
  </conditionalFormatting>
  <conditionalFormatting sqref="AF137">
    <cfRule type="containsText" dxfId="55" priority="54" operator="containsText" text="B">
      <formula>NOT(ISERROR(SEARCH("B",AF137)))</formula>
    </cfRule>
    <cfRule type="containsText" dxfId="54" priority="55" operator="containsText" text="TB">
      <formula>NOT(ISERROR(SEARCH("TB",AF137)))</formula>
    </cfRule>
    <cfRule type="containsText" dxfId="53" priority="56" operator="containsText" text="T">
      <formula>NOT(ISERROR(SEARCH("T",AF137)))</formula>
    </cfRule>
  </conditionalFormatting>
  <conditionalFormatting sqref="AF137">
    <cfRule type="containsText" dxfId="52" priority="53" operator="containsText" text="TB">
      <formula>NOT(ISERROR(SEARCH("TB",AF137)))</formula>
    </cfRule>
  </conditionalFormatting>
  <conditionalFormatting sqref="AG146">
    <cfRule type="containsText" dxfId="51" priority="50" operator="containsText" text="B">
      <formula>NOT(ISERROR(SEARCH("B",AG146)))</formula>
    </cfRule>
    <cfRule type="containsText" dxfId="50" priority="51" operator="containsText" text="TB">
      <formula>NOT(ISERROR(SEARCH("TB",AG146)))</formula>
    </cfRule>
    <cfRule type="containsText" dxfId="49" priority="52" operator="containsText" text="T">
      <formula>NOT(ISERROR(SEARCH("T",AG146)))</formula>
    </cfRule>
  </conditionalFormatting>
  <conditionalFormatting sqref="AG146">
    <cfRule type="containsText" dxfId="48" priority="49" operator="containsText" text="TB">
      <formula>NOT(ISERROR(SEARCH("TB",AG146)))</formula>
    </cfRule>
  </conditionalFormatting>
  <conditionalFormatting sqref="AG145">
    <cfRule type="containsText" dxfId="47" priority="46" operator="containsText" text="B">
      <formula>NOT(ISERROR(SEARCH("B",AG145)))</formula>
    </cfRule>
    <cfRule type="containsText" dxfId="46" priority="47" operator="containsText" text="TB">
      <formula>NOT(ISERROR(SEARCH("TB",AG145)))</formula>
    </cfRule>
    <cfRule type="containsText" dxfId="45" priority="48" operator="containsText" text="T">
      <formula>NOT(ISERROR(SEARCH("T",AG145)))</formula>
    </cfRule>
  </conditionalFormatting>
  <conditionalFormatting sqref="AG145">
    <cfRule type="containsText" dxfId="44" priority="45" operator="containsText" text="TB">
      <formula>NOT(ISERROR(SEARCH("TB",AG145)))</formula>
    </cfRule>
  </conditionalFormatting>
  <conditionalFormatting sqref="AG33">
    <cfRule type="containsText" dxfId="43" priority="42" operator="containsText" text="B">
      <formula>NOT(ISERROR(SEARCH("B",AG33)))</formula>
    </cfRule>
    <cfRule type="containsText" dxfId="42" priority="43" operator="containsText" text="TB">
      <formula>NOT(ISERROR(SEARCH("TB",AG33)))</formula>
    </cfRule>
    <cfRule type="containsText" dxfId="41" priority="44" operator="containsText" text="T">
      <formula>NOT(ISERROR(SEARCH("T",AG33)))</formula>
    </cfRule>
  </conditionalFormatting>
  <conditionalFormatting sqref="AG33">
    <cfRule type="containsText" dxfId="40" priority="41" operator="containsText" text="TB">
      <formula>NOT(ISERROR(SEARCH("TB",AG33)))</formula>
    </cfRule>
  </conditionalFormatting>
  <conditionalFormatting sqref="AG21">
    <cfRule type="containsText" dxfId="39" priority="38" operator="containsText" text="B">
      <formula>NOT(ISERROR(SEARCH("B",AG21)))</formula>
    </cfRule>
    <cfRule type="containsText" dxfId="38" priority="39" operator="containsText" text="TB">
      <formula>NOT(ISERROR(SEARCH("TB",AG21)))</formula>
    </cfRule>
    <cfRule type="containsText" dxfId="37" priority="40" operator="containsText" text="T">
      <formula>NOT(ISERROR(SEARCH("T",AG21)))</formula>
    </cfRule>
  </conditionalFormatting>
  <conditionalFormatting sqref="AG21">
    <cfRule type="containsText" dxfId="36" priority="37" operator="containsText" text="TB">
      <formula>NOT(ISERROR(SEARCH("TB",AG21)))</formula>
    </cfRule>
  </conditionalFormatting>
  <conditionalFormatting sqref="AG7">
    <cfRule type="containsText" dxfId="35" priority="34" operator="containsText" text="B">
      <formula>NOT(ISERROR(SEARCH("B",AG7)))</formula>
    </cfRule>
    <cfRule type="containsText" dxfId="34" priority="35" operator="containsText" text="TB">
      <formula>NOT(ISERROR(SEARCH("TB",AG7)))</formula>
    </cfRule>
    <cfRule type="containsText" dxfId="33" priority="36" operator="containsText" text="T">
      <formula>NOT(ISERROR(SEARCH("T",AG7)))</formula>
    </cfRule>
  </conditionalFormatting>
  <conditionalFormatting sqref="AG7">
    <cfRule type="containsText" dxfId="32" priority="33" operator="containsText" text="TB">
      <formula>NOT(ISERROR(SEARCH("TB",AG7)))</formula>
    </cfRule>
  </conditionalFormatting>
  <conditionalFormatting sqref="AG16">
    <cfRule type="containsText" dxfId="31" priority="30" operator="containsText" text="B">
      <formula>NOT(ISERROR(SEARCH("B",AG16)))</formula>
    </cfRule>
    <cfRule type="containsText" dxfId="30" priority="31" operator="containsText" text="TB">
      <formula>NOT(ISERROR(SEARCH("TB",AG16)))</formula>
    </cfRule>
    <cfRule type="containsText" dxfId="29" priority="32" operator="containsText" text="T">
      <formula>NOT(ISERROR(SEARCH("T",AG16)))</formula>
    </cfRule>
  </conditionalFormatting>
  <conditionalFormatting sqref="AG16">
    <cfRule type="containsText" dxfId="28" priority="29" operator="containsText" text="TB">
      <formula>NOT(ISERROR(SEARCH("TB",AG16)))</formula>
    </cfRule>
  </conditionalFormatting>
  <conditionalFormatting sqref="AF17">
    <cfRule type="containsText" dxfId="27" priority="26" operator="containsText" text="B">
      <formula>NOT(ISERROR(SEARCH("B",AF17)))</formula>
    </cfRule>
    <cfRule type="containsText" dxfId="26" priority="27" operator="containsText" text="TB">
      <formula>NOT(ISERROR(SEARCH("TB",AF17)))</formula>
    </cfRule>
    <cfRule type="containsText" dxfId="25" priority="28" operator="containsText" text="T">
      <formula>NOT(ISERROR(SEARCH("T",AF17)))</formula>
    </cfRule>
  </conditionalFormatting>
  <conditionalFormatting sqref="AF17">
    <cfRule type="containsText" dxfId="24" priority="25" operator="containsText" text="TB">
      <formula>NOT(ISERROR(SEARCH("TB",AF17)))</formula>
    </cfRule>
  </conditionalFormatting>
  <conditionalFormatting sqref="AG23">
    <cfRule type="containsText" dxfId="23" priority="22" operator="containsText" text="B">
      <formula>NOT(ISERROR(SEARCH("B",AG23)))</formula>
    </cfRule>
    <cfRule type="containsText" dxfId="22" priority="23" operator="containsText" text="TB">
      <formula>NOT(ISERROR(SEARCH("TB",AG23)))</formula>
    </cfRule>
    <cfRule type="containsText" dxfId="21" priority="24" operator="containsText" text="T">
      <formula>NOT(ISERROR(SEARCH("T",AG23)))</formula>
    </cfRule>
  </conditionalFormatting>
  <conditionalFormatting sqref="AG23">
    <cfRule type="containsText" dxfId="20" priority="21" operator="containsText" text="TB">
      <formula>NOT(ISERROR(SEARCH("TB",AG23)))</formula>
    </cfRule>
  </conditionalFormatting>
  <conditionalFormatting sqref="AG48">
    <cfRule type="containsText" dxfId="19" priority="18" operator="containsText" text="B">
      <formula>NOT(ISERROR(SEARCH("B",AG48)))</formula>
    </cfRule>
    <cfRule type="containsText" dxfId="18" priority="19" operator="containsText" text="TB">
      <formula>NOT(ISERROR(SEARCH("TB",AG48)))</formula>
    </cfRule>
    <cfRule type="containsText" dxfId="17" priority="20" operator="containsText" text="T">
      <formula>NOT(ISERROR(SEARCH("T",AG48)))</formula>
    </cfRule>
  </conditionalFormatting>
  <conditionalFormatting sqref="AG48">
    <cfRule type="containsText" dxfId="16" priority="17" operator="containsText" text="TB">
      <formula>NOT(ISERROR(SEARCH("TB",AG48)))</formula>
    </cfRule>
  </conditionalFormatting>
  <conditionalFormatting sqref="AG28">
    <cfRule type="containsText" dxfId="15" priority="14" operator="containsText" text="B">
      <formula>NOT(ISERROR(SEARCH("B",AG28)))</formula>
    </cfRule>
    <cfRule type="containsText" dxfId="14" priority="15" operator="containsText" text="TB">
      <formula>NOT(ISERROR(SEARCH("TB",AG28)))</formula>
    </cfRule>
    <cfRule type="containsText" dxfId="13" priority="16" operator="containsText" text="T">
      <formula>NOT(ISERROR(SEARCH("T",AG28)))</formula>
    </cfRule>
  </conditionalFormatting>
  <conditionalFormatting sqref="AG28">
    <cfRule type="containsText" dxfId="12" priority="13" operator="containsText" text="TB">
      <formula>NOT(ISERROR(SEARCH("TB",AG28)))</formula>
    </cfRule>
  </conditionalFormatting>
  <conditionalFormatting sqref="AB149">
    <cfRule type="containsText" dxfId="11" priority="10" operator="containsText" text="B">
      <formula>NOT(ISERROR(SEARCH("B",AB149)))</formula>
    </cfRule>
    <cfRule type="containsText" dxfId="10" priority="11" operator="containsText" text="TB">
      <formula>NOT(ISERROR(SEARCH("TB",AB149)))</formula>
    </cfRule>
    <cfRule type="containsText" dxfId="9" priority="12" operator="containsText" text="T">
      <formula>NOT(ISERROR(SEARCH("T",AB149)))</formula>
    </cfRule>
  </conditionalFormatting>
  <conditionalFormatting sqref="AB149">
    <cfRule type="containsText" dxfId="8" priority="9" operator="containsText" text="TB">
      <formula>NOT(ISERROR(SEARCH("TB",AB149)))</formula>
    </cfRule>
  </conditionalFormatting>
  <conditionalFormatting sqref="K149">
    <cfRule type="containsText" dxfId="7" priority="6" operator="containsText" text="B">
      <formula>NOT(ISERROR(SEARCH("B",K149)))</formula>
    </cfRule>
    <cfRule type="containsText" dxfId="6" priority="7" operator="containsText" text="TB">
      <formula>NOT(ISERROR(SEARCH("TB",K149)))</formula>
    </cfRule>
    <cfRule type="containsText" dxfId="5" priority="8" operator="containsText" text="T">
      <formula>NOT(ISERROR(SEARCH("T",K149)))</formula>
    </cfRule>
  </conditionalFormatting>
  <conditionalFormatting sqref="K149">
    <cfRule type="containsText" dxfId="4" priority="5" operator="containsText" text="TB">
      <formula>NOT(ISERROR(SEARCH("TB",K149)))</formula>
    </cfRule>
  </conditionalFormatting>
  <conditionalFormatting sqref="AB150">
    <cfRule type="containsText" dxfId="3" priority="2" operator="containsText" text="B">
      <formula>NOT(ISERROR(SEARCH("B",AB150)))</formula>
    </cfRule>
    <cfRule type="containsText" dxfId="2" priority="3" operator="containsText" text="TB">
      <formula>NOT(ISERROR(SEARCH("TB",AB150)))</formula>
    </cfRule>
    <cfRule type="containsText" dxfId="1" priority="4" operator="containsText" text="T">
      <formula>NOT(ISERROR(SEARCH("T",AB150)))</formula>
    </cfRule>
  </conditionalFormatting>
  <conditionalFormatting sqref="AB150">
    <cfRule type="containsText" dxfId="0" priority="1" operator="containsText" text="TB">
      <formula>NOT(ISERROR(SEARCH("TB",AB150)))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Lampiran</vt:lpstr>
      <vt:lpstr>Maret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Ariyani A.</dc:creator>
  <cp:lastModifiedBy>Ariyani A.</cp:lastModifiedBy>
  <dcterms:created xsi:type="dcterms:W3CDTF">2026-04-06T06:31:22Z</dcterms:created>
  <dcterms:modified xsi:type="dcterms:W3CDTF">2026-04-06T06:40:35Z</dcterms:modified>
</cp:coreProperties>
</file>