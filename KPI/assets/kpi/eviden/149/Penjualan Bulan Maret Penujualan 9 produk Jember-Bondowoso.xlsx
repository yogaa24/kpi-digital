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_Kerja\Pak arfin\"/>
    </mc:Choice>
  </mc:AlternateContent>
  <xr:revisionPtr revIDLastSave="0" documentId="13_ncr:1_{9FD972B6-A124-49C5-B897-94A894A9ECE3}" xr6:coauthVersionLast="47" xr6:coauthVersionMax="47" xr10:uidLastSave="{00000000-0000-0000-0000-000000000000}"/>
  <bookViews>
    <workbookView xWindow="-120" yWindow="-120" windowWidth="20730" windowHeight="11760" xr2:uid="{8F40596B-D07A-47DB-9101-75AD39A27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3" i="1" l="1"/>
  <c r="Q32" i="1"/>
</calcChain>
</file>

<file path=xl/sharedStrings.xml><?xml version="1.0" encoding="utf-8"?>
<sst xmlns="http://schemas.openxmlformats.org/spreadsheetml/2006/main" count="374" uniqueCount="137">
  <si>
    <t>cmar</t>
  </si>
  <si>
    <t>B26003158</t>
  </si>
  <si>
    <t>Jatim Timur</t>
  </si>
  <si>
    <t>MAHK01</t>
  </si>
  <si>
    <t>Mahkota/Cik Cuan</t>
  </si>
  <si>
    <t>Agustina</t>
  </si>
  <si>
    <t>Cumedak</t>
  </si>
  <si>
    <t>Jember</t>
  </si>
  <si>
    <t>Karisnail 6 PL</t>
  </si>
  <si>
    <t>QKARI03</t>
  </si>
  <si>
    <t>Karissnail 6 PL 50 X 200 gr (M2U)*</t>
  </si>
  <si>
    <t>Pack</t>
  </si>
  <si>
    <t>T26000263</t>
  </si>
  <si>
    <t>BINT41</t>
  </si>
  <si>
    <t>Bintang Tani/Turini</t>
  </si>
  <si>
    <t>Turini</t>
  </si>
  <si>
    <t>Dusun Cangkring Baru RT.001/RW.017, Kel. Cangkring, Kec. Jenggawah</t>
  </si>
  <si>
    <t>Ever Green</t>
  </si>
  <si>
    <t>QEVER04</t>
  </si>
  <si>
    <t>Ever Green Asam Amino 30 X 500 ml*</t>
  </si>
  <si>
    <t>Btl</t>
  </si>
  <si>
    <t>A26000420</t>
  </si>
  <si>
    <t>ONLI01</t>
  </si>
  <si>
    <t>Online Shop Shopee</t>
  </si>
  <si>
    <t>Karisma</t>
  </si>
  <si>
    <t>QEVER01</t>
  </si>
  <si>
    <t>Ever Green Asam Amino 20 X 1 ltr*</t>
  </si>
  <si>
    <t>D26003555</t>
  </si>
  <si>
    <t>TANI30</t>
  </si>
  <si>
    <t>Serba Hasil/Ansori</t>
  </si>
  <si>
    <t>Zainal Ansori</t>
  </si>
  <si>
    <t>Jl. Krakatau No. 51, Kencong</t>
  </si>
  <si>
    <t>Qiuvita</t>
  </si>
  <si>
    <t>QQIUV13</t>
  </si>
  <si>
    <t>Qiuvita Hijau 32.11.11 20 X 500 gr + Kaos*</t>
  </si>
  <si>
    <t>A26000431</t>
  </si>
  <si>
    <t>Glove 240 EC</t>
  </si>
  <si>
    <t>QGLOV03</t>
  </si>
  <si>
    <t>Glove 240 EC 40 X 250 ml*</t>
  </si>
  <si>
    <t>D26003628</t>
  </si>
  <si>
    <t>FAST06</t>
  </si>
  <si>
    <t>F Nganjuk</t>
  </si>
  <si>
    <t>Forum Agro Sukses Timur, PT</t>
  </si>
  <si>
    <t>Jl. Merak No. 88 RT.001/RW.005, Kel. Jubung, Kec. Sukorambi</t>
  </si>
  <si>
    <t>Paket Ulat</t>
  </si>
  <si>
    <t>QPAKE16</t>
  </si>
  <si>
    <t>Paket Ulat 20 X 1 paket</t>
  </si>
  <si>
    <t>Paket</t>
  </si>
  <si>
    <t>Z26000689</t>
  </si>
  <si>
    <t>RASK01</t>
  </si>
  <si>
    <t>Raska, UD</t>
  </si>
  <si>
    <t>Doni Sumariyono</t>
  </si>
  <si>
    <t>Promo Ampel, Wuluhan</t>
  </si>
  <si>
    <t>QGLOV01</t>
  </si>
  <si>
    <t>Glove 240 EC 50 X 100 ml*</t>
  </si>
  <si>
    <t>T26000312</t>
  </si>
  <si>
    <t>RIZK25</t>
  </si>
  <si>
    <t>Rizki Tani/Zainul</t>
  </si>
  <si>
    <t>Zainul Arifin</t>
  </si>
  <si>
    <t>Jalan Mr. Wahid , Kec. Ajung</t>
  </si>
  <si>
    <t>Biochems Vit B1+B6</t>
  </si>
  <si>
    <t>QBIOC10</t>
  </si>
  <si>
    <t>Biochems Vit B1+B6 30 X 500 ml</t>
  </si>
  <si>
    <t>B26003437</t>
  </si>
  <si>
    <t>SUMB96</t>
  </si>
  <si>
    <t>Sumber Tani/Eko Wardono</t>
  </si>
  <si>
    <t>Agro Tanindo Makmur, CV</t>
  </si>
  <si>
    <t>Dsn. Krajan, RT.001/RW.001, Sempolan, Silo</t>
  </si>
  <si>
    <t>Karimazu 590 EC</t>
  </si>
  <si>
    <t>QKARI15</t>
  </si>
  <si>
    <t>Karimazu 590 EC 50 X 100 ml (Label Baru)*</t>
  </si>
  <si>
    <t>D26003857</t>
  </si>
  <si>
    <t>CAHA17</t>
  </si>
  <si>
    <t>Cahaya Tani/Rudi</t>
  </si>
  <si>
    <t>Faiqotus Sholeha</t>
  </si>
  <si>
    <t>Dsn. Jambuan, RT.001/RW.017 Kel. Plalangan, Kec. Kalisat</t>
  </si>
  <si>
    <t>D26003964</t>
  </si>
  <si>
    <t>EKAJ02</t>
  </si>
  <si>
    <t>Eka Jaya/Eko</t>
  </si>
  <si>
    <t>Eko Prasetyo</t>
  </si>
  <si>
    <t>Krajan Lor No.13, RT.001/RW.006 Sumberrejo, Ambulu</t>
  </si>
  <si>
    <t>QEVER05</t>
  </si>
  <si>
    <t>Ever Green Asam Amino 40 X 250 ml</t>
  </si>
  <si>
    <t>QEVER03</t>
  </si>
  <si>
    <t>Ever Green Asam Humat 30 X 500 ml*</t>
  </si>
  <si>
    <t>D26003999</t>
  </si>
  <si>
    <t>TANI198</t>
  </si>
  <si>
    <t>Tani Sukses Abadi/Faisal</t>
  </si>
  <si>
    <t>Akhmad Faisal Lutfi</t>
  </si>
  <si>
    <t>Dusun Ponjen RT.001/RW.023 Kel. Kencong, Kec. Kencong</t>
  </si>
  <si>
    <t>B26003590</t>
  </si>
  <si>
    <t>FAJA23</t>
  </si>
  <si>
    <t>Fajar Tani/Alek</t>
  </si>
  <si>
    <t>Alek Sugiman</t>
  </si>
  <si>
    <t>Wuluhan</t>
  </si>
  <si>
    <t>D26004110</t>
  </si>
  <si>
    <t>C26000217</t>
  </si>
  <si>
    <t>KARI09</t>
  </si>
  <si>
    <t>Karisma Indoagro Universal, PT</t>
  </si>
  <si>
    <t>Jl. Semeru No. 89 RT.001/RW.004, Ajung</t>
  </si>
  <si>
    <t>Z26000784</t>
  </si>
  <si>
    <t>QQIUV11</t>
  </si>
  <si>
    <t>Qiuvita Biru 16.32.16 100 X 100 gr (Sample)</t>
  </si>
  <si>
    <t>Pcs</t>
  </si>
  <si>
    <t>QQIUV16</t>
  </si>
  <si>
    <t>Qiuvita Hijau 32.11.11 100 X 100 gr (Sample)</t>
  </si>
  <si>
    <t>QQIUV15</t>
  </si>
  <si>
    <t>Qiuvita Merah 16.11.32 100 X 100 gr (Sample)</t>
  </si>
  <si>
    <t>D26004451</t>
  </si>
  <si>
    <t>B26003851</t>
  </si>
  <si>
    <t>CIPT05</t>
  </si>
  <si>
    <t>Cipta Tani/Mohammad Rohim</t>
  </si>
  <si>
    <t>Mohammad Rohim</t>
  </si>
  <si>
    <t>Balung Kopi Krajan</t>
  </si>
  <si>
    <t>QBIOC09</t>
  </si>
  <si>
    <t>Biochems Vit B1+B6 20 X 1 ltr</t>
  </si>
  <si>
    <t>D26004473</t>
  </si>
  <si>
    <t>SAIL01</t>
  </si>
  <si>
    <t>Sai Lendra/Yudik Santoso</t>
  </si>
  <si>
    <t>Yudik Santoso</t>
  </si>
  <si>
    <t>Curah Nongko Tempurejo</t>
  </si>
  <si>
    <t>QQIUV12</t>
  </si>
  <si>
    <t>Qiuvita Biru 16.32.16 20 X 500 gr + Kaos*</t>
  </si>
  <si>
    <t>D26004505</t>
  </si>
  <si>
    <t>B26003945</t>
  </si>
  <si>
    <t>PERM02</t>
  </si>
  <si>
    <t>Permata, UD/Badar</t>
  </si>
  <si>
    <t>Badar</t>
  </si>
  <si>
    <t>Sukowono</t>
  </si>
  <si>
    <t>D26004586</t>
  </si>
  <si>
    <t>FAST07</t>
  </si>
  <si>
    <t>Harry Santoso</t>
  </si>
  <si>
    <t>D26004652</t>
  </si>
  <si>
    <t>QQIUV14</t>
  </si>
  <si>
    <t>Qiuvita Merah 16.11.32 20 X 500 gr + Kaos*</t>
  </si>
  <si>
    <t>Rata-rata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</si>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</sst>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d\-mmm\-yy;@"/>
    <numFmt numFmtId="165" formatCode="_(* #,##0.00_);_(* \(#,##0.00\);_(* &quot;-&quot;??_);_(@_)"/>
    <numFmt numFmtId="166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Khmer UI"/>
      <family val="2"/>
    </font>
    <font>
      <sz val="8"/>
      <name val="Khmer U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165" fontId="3" fillId="2" borderId="1" xfId="2" applyFont="1" applyFill="1" applyBorder="1" applyAlignment="1">
      <alignment vertical="center"/>
    </xf>
    <xf numFmtId="0" fontId="0" fillId="2" borderId="1" xfId="0" applyFill="1" applyBorder="1"/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165" fontId="3" fillId="2" borderId="0" xfId="2" applyFont="1" applyFill="1" applyBorder="1" applyAlignment="1">
      <alignment vertical="center"/>
    </xf>
    <xf numFmtId="0" fontId="0" fillId="2" borderId="0" xfId="0" applyFill="1"/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43" fontId="3" fillId="2" borderId="2" xfId="1" applyFont="1" applyFill="1" applyBorder="1" applyAlignment="1">
      <alignment vertical="center"/>
    </xf>
    <xf numFmtId="165" fontId="3" fillId="2" borderId="2" xfId="2" applyFont="1" applyFill="1" applyBorder="1" applyAlignment="1">
      <alignment vertical="center"/>
    </xf>
    <xf numFmtId="0" fontId="0" fillId="2" borderId="2" xfId="0" applyFill="1" applyBorder="1"/>
    <xf numFmtId="166" fontId="0" fillId="0" borderId="0" xfId="0" applyNumberFormat="1"/>
  </cellXfs>
  <cellStyles count="3">
    <cellStyle name="Comma" xfId="1" builtinId="3"/>
    <cellStyle name="Comma 104" xfId="2" xr:uid="{7E6C258B-C7CD-4E45-9CE4-2A61943E444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2BFF-1727-4684-8EEA-427E4DCD95F5}">
  <dimension ref="A1:Q33"/>
  <sheetViews>
    <sheetView tabSelected="1" topLeftCell="C9" zoomScale="80" workbookViewId="0">
      <selection activeCell="Q34" sqref="Q34"/>
    </sheetView>
  </sheetViews>
  <sheetFormatPr defaultRowHeight="15" x14ac:dyDescent="0.25"/>
  <cols>
    <col min="7" max="7" width="28.7109375" customWidth="1"/>
    <col min="8" max="8" width="31.85546875" customWidth="1"/>
    <col min="16" max="16" width="11.140625" customWidth="1"/>
    <col min="17" max="17" width="19.5703125" customWidth="1"/>
  </cols>
  <sheetData>
    <row r="1" spans="1:17" s="6" customFormat="1" x14ac:dyDescent="0.25">
      <c r="A1" s="1" t="s">
        <v>0</v>
      </c>
      <c r="B1" s="2">
        <v>46084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>
        <v>50</v>
      </c>
      <c r="N1" s="1" t="s">
        <v>11</v>
      </c>
      <c r="O1" s="4">
        <v>1</v>
      </c>
      <c r="P1" s="4">
        <v>10</v>
      </c>
      <c r="Q1" s="5">
        <v>1126126.1261261262</v>
      </c>
    </row>
    <row r="2" spans="1:17" s="12" customFormat="1" x14ac:dyDescent="0.25">
      <c r="A2" s="7" t="s">
        <v>0</v>
      </c>
      <c r="B2" s="8">
        <v>46084</v>
      </c>
      <c r="C2" s="7" t="s">
        <v>12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7</v>
      </c>
      <c r="J2" s="7" t="s">
        <v>17</v>
      </c>
      <c r="K2" s="7" t="s">
        <v>18</v>
      </c>
      <c r="L2" s="7" t="s">
        <v>19</v>
      </c>
      <c r="M2" s="9">
        <v>5</v>
      </c>
      <c r="N2" s="7" t="s">
        <v>20</v>
      </c>
      <c r="O2" s="10">
        <v>0.16666666666666666</v>
      </c>
      <c r="P2" s="10">
        <v>2.5</v>
      </c>
      <c r="Q2" s="11">
        <v>225225.22522522521</v>
      </c>
    </row>
    <row r="3" spans="1:17" s="12" customFormat="1" x14ac:dyDescent="0.25">
      <c r="A3" s="7" t="s">
        <v>0</v>
      </c>
      <c r="B3" s="8">
        <v>46087</v>
      </c>
      <c r="C3" s="7" t="s">
        <v>21</v>
      </c>
      <c r="D3" s="7" t="s">
        <v>2</v>
      </c>
      <c r="E3" s="7" t="s">
        <v>22</v>
      </c>
      <c r="F3" s="7" t="s">
        <v>23</v>
      </c>
      <c r="G3" s="7" t="s">
        <v>23</v>
      </c>
      <c r="H3" s="7" t="s">
        <v>24</v>
      </c>
      <c r="I3" s="7" t="s">
        <v>7</v>
      </c>
      <c r="J3" s="7" t="s">
        <v>17</v>
      </c>
      <c r="K3" s="7" t="s">
        <v>25</v>
      </c>
      <c r="L3" s="7" t="s">
        <v>26</v>
      </c>
      <c r="M3" s="9">
        <v>1</v>
      </c>
      <c r="N3" s="7" t="s">
        <v>20</v>
      </c>
      <c r="O3" s="10">
        <v>0.05</v>
      </c>
      <c r="P3" s="10">
        <v>1</v>
      </c>
      <c r="Q3" s="11">
        <v>99527.027027027012</v>
      </c>
    </row>
    <row r="4" spans="1:17" s="12" customFormat="1" x14ac:dyDescent="0.25">
      <c r="A4" s="7" t="s">
        <v>0</v>
      </c>
      <c r="B4" s="8">
        <v>46087</v>
      </c>
      <c r="C4" s="7" t="s">
        <v>27</v>
      </c>
      <c r="D4" s="7" t="s">
        <v>2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7</v>
      </c>
      <c r="J4" s="7" t="s">
        <v>32</v>
      </c>
      <c r="K4" s="7" t="s">
        <v>33</v>
      </c>
      <c r="L4" s="7" t="s">
        <v>34</v>
      </c>
      <c r="M4" s="9">
        <v>300</v>
      </c>
      <c r="N4" s="7" t="s">
        <v>11</v>
      </c>
      <c r="O4" s="10">
        <v>15</v>
      </c>
      <c r="P4" s="10">
        <v>150</v>
      </c>
      <c r="Q4" s="11">
        <v>12432432.43243243</v>
      </c>
    </row>
    <row r="5" spans="1:17" s="12" customFormat="1" x14ac:dyDescent="0.25">
      <c r="A5" s="7" t="s">
        <v>0</v>
      </c>
      <c r="B5" s="8">
        <v>46088</v>
      </c>
      <c r="C5" s="7" t="s">
        <v>35</v>
      </c>
      <c r="D5" s="7" t="s">
        <v>2</v>
      </c>
      <c r="E5" s="7" t="s">
        <v>22</v>
      </c>
      <c r="F5" s="7" t="s">
        <v>23</v>
      </c>
      <c r="G5" s="7" t="s">
        <v>23</v>
      </c>
      <c r="H5" s="7" t="s">
        <v>24</v>
      </c>
      <c r="I5" s="7" t="s">
        <v>7</v>
      </c>
      <c r="J5" s="7" t="s">
        <v>36</v>
      </c>
      <c r="K5" s="7" t="s">
        <v>37</v>
      </c>
      <c r="L5" s="7" t="s">
        <v>38</v>
      </c>
      <c r="M5" s="9">
        <v>1</v>
      </c>
      <c r="N5" s="7" t="s">
        <v>20</v>
      </c>
      <c r="O5" s="10">
        <v>2.5000000000000001E-2</v>
      </c>
      <c r="P5" s="10">
        <v>0.25</v>
      </c>
      <c r="Q5" s="11">
        <v>92581.08108108108</v>
      </c>
    </row>
    <row r="6" spans="1:17" s="12" customFormat="1" x14ac:dyDescent="0.25">
      <c r="A6" s="7" t="s">
        <v>0</v>
      </c>
      <c r="B6" s="8">
        <v>46088</v>
      </c>
      <c r="C6" s="7" t="s">
        <v>39</v>
      </c>
      <c r="D6" s="7" t="s">
        <v>2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7</v>
      </c>
      <c r="J6" s="7" t="s">
        <v>44</v>
      </c>
      <c r="K6" s="7" t="s">
        <v>45</v>
      </c>
      <c r="L6" s="7" t="s">
        <v>46</v>
      </c>
      <c r="M6" s="9">
        <v>502</v>
      </c>
      <c r="N6" s="7" t="s">
        <v>47</v>
      </c>
      <c r="O6" s="10">
        <v>25.1</v>
      </c>
      <c r="P6" s="10">
        <v>0.502</v>
      </c>
      <c r="Q6" s="11">
        <v>122108108.1081081</v>
      </c>
    </row>
    <row r="7" spans="1:17" s="12" customFormat="1" x14ac:dyDescent="0.25">
      <c r="A7" s="7" t="s">
        <v>0</v>
      </c>
      <c r="B7" s="8">
        <v>46090</v>
      </c>
      <c r="C7" s="7" t="s">
        <v>48</v>
      </c>
      <c r="D7" s="7" t="s">
        <v>2</v>
      </c>
      <c r="E7" s="7" t="s">
        <v>49</v>
      </c>
      <c r="F7" s="7" t="s">
        <v>50</v>
      </c>
      <c r="G7" s="7" t="s">
        <v>51</v>
      </c>
      <c r="H7" s="7" t="s">
        <v>52</v>
      </c>
      <c r="I7" s="7" t="s">
        <v>7</v>
      </c>
      <c r="J7" s="7" t="s">
        <v>36</v>
      </c>
      <c r="K7" s="7" t="s">
        <v>37</v>
      </c>
      <c r="L7" s="7" t="s">
        <v>38</v>
      </c>
      <c r="M7" s="9">
        <v>40</v>
      </c>
      <c r="N7" s="7" t="s">
        <v>20</v>
      </c>
      <c r="O7" s="10">
        <v>1</v>
      </c>
      <c r="P7" s="10">
        <v>10</v>
      </c>
      <c r="Q7" s="11">
        <v>2846846.8468468469</v>
      </c>
    </row>
    <row r="8" spans="1:17" s="12" customFormat="1" x14ac:dyDescent="0.25">
      <c r="A8" s="7" t="s">
        <v>0</v>
      </c>
      <c r="B8" s="8">
        <v>46090</v>
      </c>
      <c r="C8" s="7" t="s">
        <v>48</v>
      </c>
      <c r="D8" s="7" t="s">
        <v>2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7</v>
      </c>
      <c r="J8" s="7" t="s">
        <v>36</v>
      </c>
      <c r="K8" s="7" t="s">
        <v>53</v>
      </c>
      <c r="L8" s="7" t="s">
        <v>54</v>
      </c>
      <c r="M8" s="9">
        <v>50</v>
      </c>
      <c r="N8" s="7" t="s">
        <v>20</v>
      </c>
      <c r="O8" s="10">
        <v>1</v>
      </c>
      <c r="P8" s="10">
        <v>5</v>
      </c>
      <c r="Q8" s="11">
        <v>1463963.9639639638</v>
      </c>
    </row>
    <row r="9" spans="1:17" s="12" customFormat="1" x14ac:dyDescent="0.25">
      <c r="A9" s="7" t="s">
        <v>0</v>
      </c>
      <c r="B9" s="8">
        <v>46091</v>
      </c>
      <c r="C9" s="7" t="s">
        <v>55</v>
      </c>
      <c r="D9" s="7" t="s">
        <v>2</v>
      </c>
      <c r="E9" s="7" t="s">
        <v>56</v>
      </c>
      <c r="F9" s="7" t="s">
        <v>57</v>
      </c>
      <c r="G9" s="7" t="s">
        <v>58</v>
      </c>
      <c r="H9" s="7" t="s">
        <v>59</v>
      </c>
      <c r="I9" s="7" t="s">
        <v>7</v>
      </c>
      <c r="J9" s="7" t="s">
        <v>60</v>
      </c>
      <c r="K9" s="7" t="s">
        <v>61</v>
      </c>
      <c r="L9" s="7" t="s">
        <v>62</v>
      </c>
      <c r="M9" s="9">
        <v>10</v>
      </c>
      <c r="N9" s="7" t="s">
        <v>20</v>
      </c>
      <c r="O9" s="10">
        <v>0.33333333333333331</v>
      </c>
      <c r="P9" s="10">
        <v>5</v>
      </c>
      <c r="Q9" s="11">
        <v>405405.40540540538</v>
      </c>
    </row>
    <row r="10" spans="1:17" s="12" customFormat="1" x14ac:dyDescent="0.25">
      <c r="A10" s="7" t="s">
        <v>0</v>
      </c>
      <c r="B10" s="8">
        <v>46092</v>
      </c>
      <c r="C10" s="7" t="s">
        <v>63</v>
      </c>
      <c r="D10" s="7" t="s">
        <v>2</v>
      </c>
      <c r="E10" s="7" t="s">
        <v>64</v>
      </c>
      <c r="F10" s="7" t="s">
        <v>65</v>
      </c>
      <c r="G10" s="7" t="s">
        <v>66</v>
      </c>
      <c r="H10" s="7" t="s">
        <v>67</v>
      </c>
      <c r="I10" s="7" t="s">
        <v>7</v>
      </c>
      <c r="J10" s="7" t="s">
        <v>68</v>
      </c>
      <c r="K10" s="7" t="s">
        <v>69</v>
      </c>
      <c r="L10" s="7" t="s">
        <v>70</v>
      </c>
      <c r="M10" s="9">
        <v>50</v>
      </c>
      <c r="N10" s="7" t="s">
        <v>20</v>
      </c>
      <c r="O10" s="10">
        <v>1</v>
      </c>
      <c r="P10" s="10">
        <v>5</v>
      </c>
      <c r="Q10" s="11">
        <v>900900.90090090083</v>
      </c>
    </row>
    <row r="11" spans="1:17" s="12" customFormat="1" x14ac:dyDescent="0.25">
      <c r="A11" s="7" t="s">
        <v>0</v>
      </c>
      <c r="B11" s="8">
        <v>46092</v>
      </c>
      <c r="C11" s="7" t="s">
        <v>71</v>
      </c>
      <c r="D11" s="7" t="s">
        <v>2</v>
      </c>
      <c r="E11" s="7" t="s">
        <v>72</v>
      </c>
      <c r="F11" s="7" t="s">
        <v>73</v>
      </c>
      <c r="G11" s="7" t="s">
        <v>74</v>
      </c>
      <c r="H11" s="7" t="s">
        <v>75</v>
      </c>
      <c r="I11" s="7" t="s">
        <v>7</v>
      </c>
      <c r="J11" s="7" t="s">
        <v>8</v>
      </c>
      <c r="K11" s="7" t="s">
        <v>9</v>
      </c>
      <c r="L11" s="7" t="s">
        <v>10</v>
      </c>
      <c r="M11" s="9">
        <v>50</v>
      </c>
      <c r="N11" s="7" t="s">
        <v>11</v>
      </c>
      <c r="O11" s="10">
        <v>1</v>
      </c>
      <c r="P11" s="10">
        <v>10</v>
      </c>
      <c r="Q11" s="11">
        <v>1148648.6486486485</v>
      </c>
    </row>
    <row r="12" spans="1:17" s="12" customFormat="1" x14ac:dyDescent="0.25">
      <c r="A12" s="7" t="s">
        <v>0</v>
      </c>
      <c r="B12" s="8">
        <v>46093</v>
      </c>
      <c r="C12" s="7" t="s">
        <v>76</v>
      </c>
      <c r="D12" s="7" t="s">
        <v>2</v>
      </c>
      <c r="E12" s="7" t="s">
        <v>77</v>
      </c>
      <c r="F12" s="7" t="s">
        <v>78</v>
      </c>
      <c r="G12" s="7" t="s">
        <v>79</v>
      </c>
      <c r="H12" s="7" t="s">
        <v>80</v>
      </c>
      <c r="I12" s="7" t="s">
        <v>7</v>
      </c>
      <c r="J12" s="7" t="s">
        <v>17</v>
      </c>
      <c r="K12" s="7" t="s">
        <v>81</v>
      </c>
      <c r="L12" s="7" t="s">
        <v>82</v>
      </c>
      <c r="M12" s="9">
        <v>10</v>
      </c>
      <c r="N12" s="7" t="s">
        <v>20</v>
      </c>
      <c r="O12" s="10">
        <v>0.25</v>
      </c>
      <c r="P12" s="10">
        <v>2.5</v>
      </c>
      <c r="Q12" s="11">
        <v>270270.27027027024</v>
      </c>
    </row>
    <row r="13" spans="1:17" s="12" customFormat="1" x14ac:dyDescent="0.25">
      <c r="A13" s="7" t="s">
        <v>0</v>
      </c>
      <c r="B13" s="8">
        <v>46093</v>
      </c>
      <c r="C13" s="7" t="s">
        <v>76</v>
      </c>
      <c r="D13" s="7" t="s">
        <v>2</v>
      </c>
      <c r="E13" s="7" t="s">
        <v>77</v>
      </c>
      <c r="F13" s="7" t="s">
        <v>78</v>
      </c>
      <c r="G13" s="7" t="s">
        <v>79</v>
      </c>
      <c r="H13" s="7" t="s">
        <v>80</v>
      </c>
      <c r="I13" s="7" t="s">
        <v>7</v>
      </c>
      <c r="J13" s="7" t="s">
        <v>17</v>
      </c>
      <c r="K13" s="7" t="s">
        <v>83</v>
      </c>
      <c r="L13" s="7" t="s">
        <v>84</v>
      </c>
      <c r="M13" s="9">
        <v>5</v>
      </c>
      <c r="N13" s="7" t="s">
        <v>20</v>
      </c>
      <c r="O13" s="10">
        <v>0.16666666666666666</v>
      </c>
      <c r="P13" s="10">
        <v>2.5</v>
      </c>
      <c r="Q13" s="11">
        <v>225225.22522522521</v>
      </c>
    </row>
    <row r="14" spans="1:17" s="12" customFormat="1" x14ac:dyDescent="0.25">
      <c r="A14" s="7" t="s">
        <v>0</v>
      </c>
      <c r="B14" s="8">
        <v>46093</v>
      </c>
      <c r="C14" s="7" t="s">
        <v>76</v>
      </c>
      <c r="D14" s="7" t="s">
        <v>2</v>
      </c>
      <c r="E14" s="7" t="s">
        <v>77</v>
      </c>
      <c r="F14" s="7" t="s">
        <v>78</v>
      </c>
      <c r="G14" s="7" t="s">
        <v>79</v>
      </c>
      <c r="H14" s="7" t="s">
        <v>80</v>
      </c>
      <c r="I14" s="7" t="s">
        <v>7</v>
      </c>
      <c r="J14" s="7" t="s">
        <v>17</v>
      </c>
      <c r="K14" s="7" t="s">
        <v>18</v>
      </c>
      <c r="L14" s="7" t="s">
        <v>19</v>
      </c>
      <c r="M14" s="9">
        <v>5</v>
      </c>
      <c r="N14" s="7" t="s">
        <v>20</v>
      </c>
      <c r="O14" s="10">
        <v>0.16666666666666666</v>
      </c>
      <c r="P14" s="10">
        <v>2.5</v>
      </c>
      <c r="Q14" s="11">
        <v>225225.22522522521</v>
      </c>
    </row>
    <row r="15" spans="1:17" s="12" customFormat="1" x14ac:dyDescent="0.25">
      <c r="A15" s="7" t="s">
        <v>0</v>
      </c>
      <c r="B15" s="8">
        <v>46094</v>
      </c>
      <c r="C15" s="7" t="s">
        <v>85</v>
      </c>
      <c r="D15" s="7" t="s">
        <v>2</v>
      </c>
      <c r="E15" s="7" t="s">
        <v>86</v>
      </c>
      <c r="F15" s="7" t="s">
        <v>87</v>
      </c>
      <c r="G15" s="7" t="s">
        <v>88</v>
      </c>
      <c r="H15" s="7" t="s">
        <v>89</v>
      </c>
      <c r="I15" s="7" t="s">
        <v>7</v>
      </c>
      <c r="J15" s="7" t="s">
        <v>8</v>
      </c>
      <c r="K15" s="7" t="s">
        <v>9</v>
      </c>
      <c r="L15" s="7" t="s">
        <v>10</v>
      </c>
      <c r="M15" s="9">
        <v>100</v>
      </c>
      <c r="N15" s="7" t="s">
        <v>11</v>
      </c>
      <c r="O15" s="10">
        <v>2</v>
      </c>
      <c r="P15" s="10">
        <v>20</v>
      </c>
      <c r="Q15" s="11">
        <v>2297297.297297297</v>
      </c>
    </row>
    <row r="16" spans="1:17" s="12" customFormat="1" x14ac:dyDescent="0.25">
      <c r="A16" s="7" t="s">
        <v>0</v>
      </c>
      <c r="B16" s="8">
        <v>46097</v>
      </c>
      <c r="C16" s="7" t="s">
        <v>90</v>
      </c>
      <c r="D16" s="7" t="s">
        <v>2</v>
      </c>
      <c r="E16" s="7" t="s">
        <v>91</v>
      </c>
      <c r="F16" s="7" t="s">
        <v>92</v>
      </c>
      <c r="G16" s="7" t="s">
        <v>93</v>
      </c>
      <c r="H16" s="7" t="s">
        <v>94</v>
      </c>
      <c r="I16" s="7" t="s">
        <v>7</v>
      </c>
      <c r="J16" s="7" t="s">
        <v>36</v>
      </c>
      <c r="K16" s="7" t="s">
        <v>37</v>
      </c>
      <c r="L16" s="7" t="s">
        <v>38</v>
      </c>
      <c r="M16" s="9">
        <v>5</v>
      </c>
      <c r="N16" s="7" t="s">
        <v>20</v>
      </c>
      <c r="O16" s="10">
        <v>0.125</v>
      </c>
      <c r="P16" s="10">
        <v>1.25</v>
      </c>
      <c r="Q16" s="11">
        <v>364864.86486486485</v>
      </c>
    </row>
    <row r="17" spans="1:17" s="12" customFormat="1" x14ac:dyDescent="0.25">
      <c r="A17" s="7" t="s">
        <v>0</v>
      </c>
      <c r="B17" s="8">
        <v>46097</v>
      </c>
      <c r="C17" s="7" t="s">
        <v>90</v>
      </c>
      <c r="D17" s="7" t="s">
        <v>2</v>
      </c>
      <c r="E17" s="7" t="s">
        <v>91</v>
      </c>
      <c r="F17" s="7" t="s">
        <v>92</v>
      </c>
      <c r="G17" s="7" t="s">
        <v>93</v>
      </c>
      <c r="H17" s="7" t="s">
        <v>94</v>
      </c>
      <c r="I17" s="7" t="s">
        <v>7</v>
      </c>
      <c r="J17" s="7" t="s">
        <v>36</v>
      </c>
      <c r="K17" s="7" t="s">
        <v>53</v>
      </c>
      <c r="L17" s="7" t="s">
        <v>54</v>
      </c>
      <c r="M17" s="9">
        <v>4</v>
      </c>
      <c r="N17" s="7" t="s">
        <v>20</v>
      </c>
      <c r="O17" s="10">
        <v>0.08</v>
      </c>
      <c r="P17" s="10">
        <v>0.4</v>
      </c>
      <c r="Q17" s="11">
        <v>122522.52252252251</v>
      </c>
    </row>
    <row r="18" spans="1:17" s="12" customFormat="1" x14ac:dyDescent="0.25">
      <c r="A18" s="7" t="s">
        <v>0</v>
      </c>
      <c r="B18" s="8">
        <v>46097</v>
      </c>
      <c r="C18" s="7" t="s">
        <v>90</v>
      </c>
      <c r="D18" s="7" t="s">
        <v>2</v>
      </c>
      <c r="E18" s="7" t="s">
        <v>91</v>
      </c>
      <c r="F18" s="7" t="s">
        <v>92</v>
      </c>
      <c r="G18" s="7" t="s">
        <v>93</v>
      </c>
      <c r="H18" s="7" t="s">
        <v>94</v>
      </c>
      <c r="I18" s="7" t="s">
        <v>7</v>
      </c>
      <c r="J18" s="7" t="s">
        <v>36</v>
      </c>
      <c r="K18" s="7" t="s">
        <v>53</v>
      </c>
      <c r="L18" s="7" t="s">
        <v>54</v>
      </c>
      <c r="M18" s="9">
        <v>6</v>
      </c>
      <c r="N18" s="7" t="s">
        <v>20</v>
      </c>
      <c r="O18" s="10">
        <v>0.12</v>
      </c>
      <c r="P18" s="10">
        <v>0.60000000000000009</v>
      </c>
      <c r="Q18" s="11">
        <v>183783.78378378379</v>
      </c>
    </row>
    <row r="19" spans="1:17" s="12" customFormat="1" x14ac:dyDescent="0.25">
      <c r="A19" s="7" t="s">
        <v>0</v>
      </c>
      <c r="B19" s="8">
        <v>46097</v>
      </c>
      <c r="C19" s="7" t="s">
        <v>95</v>
      </c>
      <c r="D19" s="7" t="s">
        <v>2</v>
      </c>
      <c r="E19" s="7" t="s">
        <v>64</v>
      </c>
      <c r="F19" s="7" t="s">
        <v>65</v>
      </c>
      <c r="G19" s="7" t="s">
        <v>66</v>
      </c>
      <c r="H19" s="7" t="s">
        <v>67</v>
      </c>
      <c r="I19" s="7" t="s">
        <v>7</v>
      </c>
      <c r="J19" s="7" t="s">
        <v>8</v>
      </c>
      <c r="K19" s="7" t="s">
        <v>9</v>
      </c>
      <c r="L19" s="7" t="s">
        <v>10</v>
      </c>
      <c r="M19" s="9">
        <v>50</v>
      </c>
      <c r="N19" s="7" t="s">
        <v>11</v>
      </c>
      <c r="O19" s="10">
        <v>1</v>
      </c>
      <c r="P19" s="10">
        <v>10</v>
      </c>
      <c r="Q19" s="11">
        <v>1148648.6486486485</v>
      </c>
    </row>
    <row r="20" spans="1:17" s="12" customFormat="1" x14ac:dyDescent="0.25">
      <c r="A20" s="7" t="s">
        <v>0</v>
      </c>
      <c r="B20" s="8">
        <v>46099</v>
      </c>
      <c r="C20" s="7" t="s">
        <v>96</v>
      </c>
      <c r="D20" s="7" t="s">
        <v>2</v>
      </c>
      <c r="E20" s="7" t="s">
        <v>97</v>
      </c>
      <c r="F20" s="7" t="s">
        <v>98</v>
      </c>
      <c r="G20" s="7" t="s">
        <v>98</v>
      </c>
      <c r="H20" s="7" t="s">
        <v>99</v>
      </c>
      <c r="I20" s="7" t="s">
        <v>7</v>
      </c>
      <c r="J20" s="7" t="s">
        <v>17</v>
      </c>
      <c r="K20" s="7" t="s">
        <v>18</v>
      </c>
      <c r="L20" s="7" t="s">
        <v>19</v>
      </c>
      <c r="M20" s="9">
        <v>8</v>
      </c>
      <c r="N20" s="7" t="s">
        <v>20</v>
      </c>
      <c r="O20" s="10">
        <v>0.26666666666666666</v>
      </c>
      <c r="P20" s="10">
        <v>4</v>
      </c>
      <c r="Q20" s="11">
        <v>245045.04504504503</v>
      </c>
    </row>
    <row r="21" spans="1:17" s="12" customFormat="1" x14ac:dyDescent="0.25">
      <c r="A21" s="7" t="s">
        <v>0</v>
      </c>
      <c r="B21" s="8">
        <v>46099</v>
      </c>
      <c r="C21" s="7" t="s">
        <v>100</v>
      </c>
      <c r="D21" s="7" t="s">
        <v>2</v>
      </c>
      <c r="E21" s="7" t="s">
        <v>97</v>
      </c>
      <c r="F21" s="7" t="s">
        <v>98</v>
      </c>
      <c r="G21" s="7" t="s">
        <v>98</v>
      </c>
      <c r="H21" s="7" t="s">
        <v>99</v>
      </c>
      <c r="I21" s="7" t="s">
        <v>7</v>
      </c>
      <c r="J21" s="7" t="s">
        <v>32</v>
      </c>
      <c r="K21" s="7" t="s">
        <v>101</v>
      </c>
      <c r="L21" s="7" t="s">
        <v>102</v>
      </c>
      <c r="M21" s="9">
        <v>24</v>
      </c>
      <c r="N21" s="7" t="s">
        <v>103</v>
      </c>
      <c r="O21" s="10">
        <v>0.24</v>
      </c>
      <c r="P21" s="10">
        <v>2.4000000000000004</v>
      </c>
      <c r="Q21" s="11">
        <v>0</v>
      </c>
    </row>
    <row r="22" spans="1:17" s="12" customFormat="1" x14ac:dyDescent="0.25">
      <c r="A22" s="7" t="s">
        <v>0</v>
      </c>
      <c r="B22" s="8">
        <v>46099</v>
      </c>
      <c r="C22" s="7" t="s">
        <v>100</v>
      </c>
      <c r="D22" s="7" t="s">
        <v>2</v>
      </c>
      <c r="E22" s="7" t="s">
        <v>97</v>
      </c>
      <c r="F22" s="7" t="s">
        <v>98</v>
      </c>
      <c r="G22" s="7" t="s">
        <v>98</v>
      </c>
      <c r="H22" s="7" t="s">
        <v>99</v>
      </c>
      <c r="I22" s="7" t="s">
        <v>7</v>
      </c>
      <c r="J22" s="7" t="s">
        <v>32</v>
      </c>
      <c r="K22" s="7" t="s">
        <v>104</v>
      </c>
      <c r="L22" s="7" t="s">
        <v>105</v>
      </c>
      <c r="M22" s="9">
        <v>24</v>
      </c>
      <c r="N22" s="7" t="s">
        <v>11</v>
      </c>
      <c r="O22" s="10">
        <v>0.24</v>
      </c>
      <c r="P22" s="10">
        <v>2.4000000000000004</v>
      </c>
      <c r="Q22" s="11">
        <v>0</v>
      </c>
    </row>
    <row r="23" spans="1:17" s="12" customFormat="1" x14ac:dyDescent="0.25">
      <c r="A23" s="7" t="s">
        <v>0</v>
      </c>
      <c r="B23" s="8">
        <v>46099</v>
      </c>
      <c r="C23" s="7" t="s">
        <v>100</v>
      </c>
      <c r="D23" s="7" t="s">
        <v>2</v>
      </c>
      <c r="E23" s="7" t="s">
        <v>97</v>
      </c>
      <c r="F23" s="7" t="s">
        <v>98</v>
      </c>
      <c r="G23" s="7" t="s">
        <v>98</v>
      </c>
      <c r="H23" s="7" t="s">
        <v>99</v>
      </c>
      <c r="I23" s="7" t="s">
        <v>7</v>
      </c>
      <c r="J23" s="7" t="s">
        <v>32</v>
      </c>
      <c r="K23" s="7" t="s">
        <v>106</v>
      </c>
      <c r="L23" s="7" t="s">
        <v>107</v>
      </c>
      <c r="M23" s="9">
        <v>6</v>
      </c>
      <c r="N23" s="7" t="s">
        <v>11</v>
      </c>
      <c r="O23" s="10">
        <v>0.06</v>
      </c>
      <c r="P23" s="10">
        <v>0.60000000000000009</v>
      </c>
      <c r="Q23" s="11">
        <v>0</v>
      </c>
    </row>
    <row r="24" spans="1:17" s="12" customFormat="1" x14ac:dyDescent="0.25">
      <c r="A24" s="7" t="s">
        <v>0</v>
      </c>
      <c r="B24" s="8">
        <v>46099</v>
      </c>
      <c r="C24" s="7" t="s">
        <v>100</v>
      </c>
      <c r="D24" s="7" t="s">
        <v>2</v>
      </c>
      <c r="E24" s="7" t="s">
        <v>97</v>
      </c>
      <c r="F24" s="7" t="s">
        <v>98</v>
      </c>
      <c r="G24" s="7" t="s">
        <v>98</v>
      </c>
      <c r="H24" s="7" t="s">
        <v>99</v>
      </c>
      <c r="I24" s="7" t="s">
        <v>7</v>
      </c>
      <c r="J24" s="7" t="s">
        <v>32</v>
      </c>
      <c r="K24" s="7" t="s">
        <v>106</v>
      </c>
      <c r="L24" s="7" t="s">
        <v>107</v>
      </c>
      <c r="M24" s="9">
        <v>18</v>
      </c>
      <c r="N24" s="7" t="s">
        <v>11</v>
      </c>
      <c r="O24" s="10">
        <v>0.18</v>
      </c>
      <c r="P24" s="10">
        <v>1.8</v>
      </c>
      <c r="Q24" s="11">
        <v>0</v>
      </c>
    </row>
    <row r="25" spans="1:17" s="12" customFormat="1" x14ac:dyDescent="0.25">
      <c r="A25" s="7" t="s">
        <v>0</v>
      </c>
      <c r="B25" s="8">
        <v>46109</v>
      </c>
      <c r="C25" s="7" t="s">
        <v>108</v>
      </c>
      <c r="D25" s="7" t="s">
        <v>2</v>
      </c>
      <c r="E25" s="7" t="s">
        <v>91</v>
      </c>
      <c r="F25" s="7" t="s">
        <v>92</v>
      </c>
      <c r="G25" s="7" t="s">
        <v>93</v>
      </c>
      <c r="H25" s="7" t="s">
        <v>94</v>
      </c>
      <c r="I25" s="7" t="s">
        <v>7</v>
      </c>
      <c r="J25" s="7" t="s">
        <v>36</v>
      </c>
      <c r="K25" s="7" t="s">
        <v>53</v>
      </c>
      <c r="L25" s="7" t="s">
        <v>54</v>
      </c>
      <c r="M25" s="9">
        <v>10</v>
      </c>
      <c r="N25" s="7" t="s">
        <v>20</v>
      </c>
      <c r="O25" s="10">
        <v>0.2</v>
      </c>
      <c r="P25" s="10">
        <v>1</v>
      </c>
      <c r="Q25" s="11">
        <v>306306.30630630627</v>
      </c>
    </row>
    <row r="26" spans="1:17" s="12" customFormat="1" x14ac:dyDescent="0.25">
      <c r="A26" s="7" t="s">
        <v>0</v>
      </c>
      <c r="B26" s="8">
        <v>46111</v>
      </c>
      <c r="C26" s="7" t="s">
        <v>109</v>
      </c>
      <c r="D26" s="7" t="s">
        <v>2</v>
      </c>
      <c r="E26" s="7" t="s">
        <v>110</v>
      </c>
      <c r="F26" s="7" t="s">
        <v>111</v>
      </c>
      <c r="G26" s="7" t="s">
        <v>112</v>
      </c>
      <c r="H26" s="7" t="s">
        <v>113</v>
      </c>
      <c r="I26" s="7" t="s">
        <v>7</v>
      </c>
      <c r="J26" s="7" t="s">
        <v>60</v>
      </c>
      <c r="K26" s="7" t="s">
        <v>114</v>
      </c>
      <c r="L26" s="7" t="s">
        <v>115</v>
      </c>
      <c r="M26" s="9">
        <v>20</v>
      </c>
      <c r="N26" s="7" t="s">
        <v>20</v>
      </c>
      <c r="O26" s="10">
        <v>1</v>
      </c>
      <c r="P26" s="10">
        <v>20</v>
      </c>
      <c r="Q26" s="11">
        <v>1531531.5315315314</v>
      </c>
    </row>
    <row r="27" spans="1:17" s="12" customFormat="1" x14ac:dyDescent="0.25">
      <c r="A27" s="7" t="s">
        <v>0</v>
      </c>
      <c r="B27" s="8">
        <v>46111</v>
      </c>
      <c r="C27" s="7" t="s">
        <v>116</v>
      </c>
      <c r="D27" s="7" t="s">
        <v>2</v>
      </c>
      <c r="E27" s="7" t="s">
        <v>117</v>
      </c>
      <c r="F27" s="7" t="s">
        <v>118</v>
      </c>
      <c r="G27" s="7" t="s">
        <v>119</v>
      </c>
      <c r="H27" s="7" t="s">
        <v>120</v>
      </c>
      <c r="I27" s="7" t="s">
        <v>7</v>
      </c>
      <c r="J27" s="7" t="s">
        <v>32</v>
      </c>
      <c r="K27" s="7" t="s">
        <v>121</v>
      </c>
      <c r="L27" s="7" t="s">
        <v>122</v>
      </c>
      <c r="M27" s="9">
        <v>40</v>
      </c>
      <c r="N27" s="7" t="s">
        <v>11</v>
      </c>
      <c r="O27" s="10">
        <v>2</v>
      </c>
      <c r="P27" s="10">
        <v>20</v>
      </c>
      <c r="Q27" s="11">
        <v>1657657.6576576573</v>
      </c>
    </row>
    <row r="28" spans="1:17" s="12" customFormat="1" x14ac:dyDescent="0.25">
      <c r="A28" s="7" t="s">
        <v>0</v>
      </c>
      <c r="B28" s="8">
        <v>46111</v>
      </c>
      <c r="C28" s="7" t="s">
        <v>123</v>
      </c>
      <c r="D28" s="7" t="s">
        <v>2</v>
      </c>
      <c r="E28" s="7" t="s">
        <v>91</v>
      </c>
      <c r="F28" s="7" t="s">
        <v>92</v>
      </c>
      <c r="G28" s="7" t="s">
        <v>93</v>
      </c>
      <c r="H28" s="7" t="s">
        <v>94</v>
      </c>
      <c r="I28" s="7" t="s">
        <v>7</v>
      </c>
      <c r="J28" s="7" t="s">
        <v>36</v>
      </c>
      <c r="K28" s="7" t="s">
        <v>53</v>
      </c>
      <c r="L28" s="7" t="s">
        <v>54</v>
      </c>
      <c r="M28" s="9">
        <v>10</v>
      </c>
      <c r="N28" s="7" t="s">
        <v>20</v>
      </c>
      <c r="O28" s="10">
        <v>0.2</v>
      </c>
      <c r="P28" s="10">
        <v>1</v>
      </c>
      <c r="Q28" s="11">
        <v>306306.30630630627</v>
      </c>
    </row>
    <row r="29" spans="1:17" s="12" customFormat="1" x14ac:dyDescent="0.25">
      <c r="A29" s="7" t="s">
        <v>0</v>
      </c>
      <c r="B29" s="8">
        <v>46112</v>
      </c>
      <c r="C29" s="7" t="s">
        <v>124</v>
      </c>
      <c r="D29" s="7" t="s">
        <v>2</v>
      </c>
      <c r="E29" s="7" t="s">
        <v>125</v>
      </c>
      <c r="F29" s="7" t="s">
        <v>126</v>
      </c>
      <c r="G29" s="7" t="s">
        <v>127</v>
      </c>
      <c r="H29" s="7" t="s">
        <v>128</v>
      </c>
      <c r="I29" s="7" t="s">
        <v>7</v>
      </c>
      <c r="J29" s="7" t="s">
        <v>68</v>
      </c>
      <c r="K29" s="7" t="s">
        <v>69</v>
      </c>
      <c r="L29" s="7" t="s">
        <v>70</v>
      </c>
      <c r="M29" s="9">
        <v>100</v>
      </c>
      <c r="N29" s="7" t="s">
        <v>20</v>
      </c>
      <c r="O29" s="10">
        <v>2</v>
      </c>
      <c r="P29" s="10">
        <v>10</v>
      </c>
      <c r="Q29" s="11">
        <v>1801801.8018018017</v>
      </c>
    </row>
    <row r="30" spans="1:17" s="12" customFormat="1" x14ac:dyDescent="0.25">
      <c r="A30" s="7" t="s">
        <v>0</v>
      </c>
      <c r="B30" s="8">
        <v>46112</v>
      </c>
      <c r="C30" s="7" t="s">
        <v>129</v>
      </c>
      <c r="D30" s="7" t="s">
        <v>2</v>
      </c>
      <c r="E30" s="7" t="s">
        <v>130</v>
      </c>
      <c r="F30" s="7" t="s">
        <v>131</v>
      </c>
      <c r="G30" s="7" t="s">
        <v>42</v>
      </c>
      <c r="H30" s="7" t="s">
        <v>43</v>
      </c>
      <c r="I30" s="7" t="s">
        <v>7</v>
      </c>
      <c r="J30" s="7" t="s">
        <v>44</v>
      </c>
      <c r="K30" s="7" t="s">
        <v>45</v>
      </c>
      <c r="L30" s="7" t="s">
        <v>46</v>
      </c>
      <c r="M30" s="9">
        <v>760</v>
      </c>
      <c r="N30" s="7" t="s">
        <v>47</v>
      </c>
      <c r="O30" s="10">
        <v>38</v>
      </c>
      <c r="P30" s="10">
        <v>0.76</v>
      </c>
      <c r="Q30" s="11">
        <v>184864864.86486486</v>
      </c>
    </row>
    <row r="31" spans="1:17" s="18" customFormat="1" x14ac:dyDescent="0.25">
      <c r="A31" s="13" t="s">
        <v>0</v>
      </c>
      <c r="B31" s="14">
        <v>46112</v>
      </c>
      <c r="C31" s="13" t="s">
        <v>132</v>
      </c>
      <c r="D31" s="13" t="s">
        <v>2</v>
      </c>
      <c r="E31" s="13" t="s">
        <v>117</v>
      </c>
      <c r="F31" s="13" t="s">
        <v>118</v>
      </c>
      <c r="G31" s="13" t="s">
        <v>119</v>
      </c>
      <c r="H31" s="13" t="s">
        <v>120</v>
      </c>
      <c r="I31" s="13" t="s">
        <v>7</v>
      </c>
      <c r="J31" s="13" t="s">
        <v>32</v>
      </c>
      <c r="K31" s="13" t="s">
        <v>133</v>
      </c>
      <c r="L31" s="13" t="s">
        <v>134</v>
      </c>
      <c r="M31" s="15">
        <v>100</v>
      </c>
      <c r="N31" s="13" t="s">
        <v>11</v>
      </c>
      <c r="O31" s="16">
        <v>5</v>
      </c>
      <c r="P31" s="16">
        <v>50</v>
      </c>
      <c r="Q31" s="17">
        <v>4144144.1441441434</v>
      </c>
    </row>
    <row r="32" spans="1:17" x14ac:dyDescent="0.25">
      <c r="P32" t="s">
        <v>136</v>
      </c>
      <c r="Q32" s="19">
        <f>SUM(Q1:Q31)</f>
        <v>342545261.26126122</v>
      </c>
    </row>
    <row r="33" spans="16:17" x14ac:dyDescent="0.25">
      <c r="P33" t="s">
        <v>135</v>
      </c>
      <c r="Q33" s="19">
        <f>SUM(Q1:Q31)/27</f>
        <v>12686861.52819486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Fathor13</dc:creator>
  <cp:lastModifiedBy>Fathor13</cp:lastModifiedBy>
  <dcterms:created xsi:type="dcterms:W3CDTF">2026-04-14T06:17:25Z</dcterms:created>
  <dcterms:modified xsi:type="dcterms:W3CDTF">2026-04-21T13:07:14Z</dcterms:modified>
</cp:coreProperties>
</file>