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0_Kerja\"/>
    </mc:Choice>
  </mc:AlternateContent>
  <xr:revisionPtr revIDLastSave="0" documentId="13_ncr:1_{8CAB6DAE-6D16-4CC0-BDA8-C6C632EB2147}" xr6:coauthVersionLast="47" xr6:coauthVersionMax="47" xr10:uidLastSave="{00000000-0000-0000-0000-000000000000}"/>
  <bookViews>
    <workbookView xWindow="-120" yWindow="-120" windowWidth="20730" windowHeight="11760" xr2:uid="{EAF9C1FB-6C51-4BCC-93DC-7D8AC3726469}"/>
  </bookViews>
  <sheets>
    <sheet name="Penjualan" sheetId="2" r:id="rId1"/>
    <sheet name="Demoplot" sheetId="3" r:id="rId2"/>
    <sheet name="Testimoni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2" i="2" l="1"/>
  <c r="G122" i="2"/>
  <c r="H122" i="2"/>
  <c r="I122" i="2"/>
  <c r="J122" i="2"/>
  <c r="K122" i="2"/>
  <c r="L122" i="2"/>
  <c r="M122" i="2"/>
  <c r="N122" i="2"/>
  <c r="P122" i="2"/>
  <c r="Q122" i="2"/>
  <c r="F122" i="2"/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4" i="2"/>
</calcChain>
</file>

<file path=xl/sharedStrings.xml><?xml version="1.0" encoding="utf-8"?>
<sst xmlns="http://schemas.openxmlformats.org/spreadsheetml/2006/main" count="472" uniqueCount="209">
  <si>
    <t>Bondowoso</t>
  </si>
  <si>
    <t>Indah Tani/Endah</t>
  </si>
  <si>
    <t>Kumpul Tani/Hendro</t>
  </si>
  <si>
    <t>Perdana Jaya/Zainud</t>
  </si>
  <si>
    <t>Tani Jaya/Afuk</t>
  </si>
  <si>
    <t>Jember</t>
  </si>
  <si>
    <t>Agro Suci/Bety</t>
  </si>
  <si>
    <t>Arinda/KIU</t>
  </si>
  <si>
    <t>Bima Tani Jaya/Kevin Pratama</t>
  </si>
  <si>
    <t>Bintang Sejahtera</t>
  </si>
  <si>
    <t>Damar Batur Nusantara</t>
  </si>
  <si>
    <t>Eka Jaya/Eko</t>
  </si>
  <si>
    <t>Era Tani/Abdul Wakik</t>
  </si>
  <si>
    <t>Harry Santoso</t>
  </si>
  <si>
    <t>Karisma Indoagro Universal, PT</t>
  </si>
  <si>
    <t>Karisma/Agoes</t>
  </si>
  <si>
    <t>NN Asida</t>
  </si>
  <si>
    <t>NN Brodin</t>
  </si>
  <si>
    <t>NN Firman</t>
  </si>
  <si>
    <t>NN Winarni</t>
  </si>
  <si>
    <t>NN Wiyatmoko</t>
  </si>
  <si>
    <t>Online Shop Shopee</t>
  </si>
  <si>
    <t>Online Shop Tik tok</t>
  </si>
  <si>
    <t>Permata, UD/Badar</t>
  </si>
  <si>
    <t>Sai Lendra/Yudik Santoso</t>
  </si>
  <si>
    <t>Sekar Tani/Matori</t>
  </si>
  <si>
    <t>Tani Subur/Saiful</t>
  </si>
  <si>
    <t>Taufiq Hidayat</t>
  </si>
  <si>
    <t>Kota</t>
  </si>
  <si>
    <t>Nama Toko</t>
  </si>
  <si>
    <t>No</t>
  </si>
  <si>
    <t>Wilayah</t>
  </si>
  <si>
    <t>Sum of Ltr/Kg</t>
  </si>
  <si>
    <t>Sum of Value</t>
  </si>
  <si>
    <t>Total Sum of Ltr/Kg</t>
  </si>
  <si>
    <t>Total Sum of Value</t>
  </si>
  <si>
    <t>2022</t>
  </si>
  <si>
    <t>2023</t>
  </si>
  <si>
    <t>2024</t>
  </si>
  <si>
    <t>2025</t>
  </si>
  <si>
    <t>Jatim Timur</t>
  </si>
  <si>
    <t>Alvin Tani/Toha</t>
  </si>
  <si>
    <t>Bio Tani/Budi</t>
  </si>
  <si>
    <t>Estoh Tani/Sulistiyo</t>
  </si>
  <si>
    <t>Insan Tani, UD/Yohan</t>
  </si>
  <si>
    <t>Jaya Sejahtera/Dian Retno</t>
  </si>
  <si>
    <t>Karya Tani/Effendi</t>
  </si>
  <si>
    <t>Kumpul Tani 2/Heru</t>
  </si>
  <si>
    <t>Lestari Alam/Firqin</t>
  </si>
  <si>
    <t>Lestari Alam/Zidky</t>
  </si>
  <si>
    <t>Lestari, UD/Vikki</t>
  </si>
  <si>
    <t>Mitra Tani/Alfan</t>
  </si>
  <si>
    <t>Nara Tani/Santi</t>
  </si>
  <si>
    <t>Pos Tani/Busiyanto</t>
  </si>
  <si>
    <t>Sari Bumi/Alvin</t>
  </si>
  <si>
    <t>Sriwijaya/Dony</t>
  </si>
  <si>
    <t>Subur/Liang Han</t>
  </si>
  <si>
    <t>Sukses Tani/Ainul</t>
  </si>
  <si>
    <t>Sumber Jaya/Taufik</t>
  </si>
  <si>
    <t>Sumber Rejeki/Yuliatin</t>
  </si>
  <si>
    <t>Tani Sejati/Ahmad Syarifudin</t>
  </si>
  <si>
    <t>Agri Tani/Ikbal Febri</t>
  </si>
  <si>
    <t>Aiko Jaya Tani</t>
  </si>
  <si>
    <t>Al Badar/Badar, H</t>
  </si>
  <si>
    <t>Alif/KIU</t>
  </si>
  <si>
    <t>Alpha Nugroho Pujianto</t>
  </si>
  <si>
    <t>Aminah Jaya Tani/Slamet</t>
  </si>
  <si>
    <t>Ancilla Ikasari</t>
  </si>
  <si>
    <t>Anggun Puspita Rini</t>
  </si>
  <si>
    <t>Bagus Jbr</t>
  </si>
  <si>
    <t>Balyan Naksa Bandi Munif</t>
  </si>
  <si>
    <t>Berkah Kayra/Nuyun</t>
  </si>
  <si>
    <t>Bumi Jaya, UD/Farida</t>
  </si>
  <si>
    <t>Bunga Tani Sejahtera, CV</t>
  </si>
  <si>
    <t>Dafa Sejahtera/Heriawati</t>
  </si>
  <si>
    <t>Fajar Tani Makmur, CV</t>
  </si>
  <si>
    <t>Fino, Tani/Abd Halim</t>
  </si>
  <si>
    <t>Harapan Tani/Muhammad Fahrurrizal A</t>
  </si>
  <si>
    <t>Hendrianto</t>
  </si>
  <si>
    <t>Intani, Toko</t>
  </si>
  <si>
    <t>Ira Tani/Dani, H</t>
  </si>
  <si>
    <t>Joyo Tani/Wiwik</t>
  </si>
  <si>
    <t>Karya Tani, UD/Nanang</t>
  </si>
  <si>
    <t>Khayan Atmawijaya</t>
  </si>
  <si>
    <t>Kris Karisma</t>
  </si>
  <si>
    <t>M. Syaihu/Karisma</t>
  </si>
  <si>
    <t>Maju Tani/Dedi Kurniawan</t>
  </si>
  <si>
    <t>Merdeka Tani/Sugiono</t>
  </si>
  <si>
    <t>Misbahul Munir Balung</t>
  </si>
  <si>
    <t>Natalia</t>
  </si>
  <si>
    <t>NN Amirul</t>
  </si>
  <si>
    <t>NN Bahrul</t>
  </si>
  <si>
    <t>NN Biyanto</t>
  </si>
  <si>
    <t>NN Darmanto</t>
  </si>
  <si>
    <t>NN Fajariman</t>
  </si>
  <si>
    <t>NN Hendarso</t>
  </si>
  <si>
    <t>NN Jainul</t>
  </si>
  <si>
    <t>NN Marjuki</t>
  </si>
  <si>
    <t>NN Nanik</t>
  </si>
  <si>
    <t>NN Naning</t>
  </si>
  <si>
    <t>NN Siden</t>
  </si>
  <si>
    <t>NN Supangat</t>
  </si>
  <si>
    <t>NN Tarjiman</t>
  </si>
  <si>
    <t>NN Wisnu</t>
  </si>
  <si>
    <t>Novi Marufatul Jannah</t>
  </si>
  <si>
    <t>Podo Joyo/Lilik</t>
  </si>
  <si>
    <t>Rahma Tani, CV</t>
  </si>
  <si>
    <t>Restu Tani/Didik</t>
  </si>
  <si>
    <t>Rinal Jaya/Supriadi</t>
  </si>
  <si>
    <t>Riski Tani/Hadi</t>
  </si>
  <si>
    <t>Riyan Sales</t>
  </si>
  <si>
    <t>Sadar Sari/Farid Firdaus</t>
  </si>
  <si>
    <t>Sampurna Jaya/Khoirus Soleh</t>
  </si>
  <si>
    <t>Serba Hasil/Ansori</t>
  </si>
  <si>
    <t>Sido Kabul/Bintang</t>
  </si>
  <si>
    <t>Simpang Lima</t>
  </si>
  <si>
    <t>Sinar Rejeki/Suwito</t>
  </si>
  <si>
    <t>Slamet, Kios</t>
  </si>
  <si>
    <t>Slamet/Cin Ing</t>
  </si>
  <si>
    <t>Sobat Tani/Indra</t>
  </si>
  <si>
    <t>Suka Maju/Sariatun</t>
  </si>
  <si>
    <t>Sumber Rejeki/Iwan</t>
  </si>
  <si>
    <t>Sumber Rejeki/Suyadi</t>
  </si>
  <si>
    <t>Sumber Tani/Farid</t>
  </si>
  <si>
    <t>Sumber Telaga/Nurdin</t>
  </si>
  <si>
    <t>Tani Jaya/Darma</t>
  </si>
  <si>
    <t>Tani Jaya/Mul</t>
  </si>
  <si>
    <t>Tani Mulyo, UD/Bastian</t>
  </si>
  <si>
    <t>Tani Sejati/Aziz</t>
  </si>
  <si>
    <t>Tony Ivan Dorin</t>
  </si>
  <si>
    <t>Wahana Pundikarsa Abadi, PT</t>
  </si>
  <si>
    <t>Wika Agrotama</t>
  </si>
  <si>
    <t>Wira Tani, UD</t>
  </si>
  <si>
    <t>2026</t>
  </si>
  <si>
    <t>Jumlah</t>
  </si>
  <si>
    <t>Nama petani</t>
  </si>
  <si>
    <t>Alamat</t>
  </si>
  <si>
    <t>Nama Petani</t>
  </si>
  <si>
    <t>No. HP</t>
  </si>
  <si>
    <t>Produk demo karisma</t>
  </si>
  <si>
    <t>Produk petani</t>
  </si>
  <si>
    <t>Tanaman</t>
  </si>
  <si>
    <t>Umur tanaman</t>
  </si>
  <si>
    <t>Luas lahan</t>
  </si>
  <si>
    <t>No HP</t>
  </si>
  <si>
    <t>Luas lahan / jumlah pohon</t>
  </si>
  <si>
    <t>No.</t>
  </si>
  <si>
    <t>P. Haji Asmuni</t>
  </si>
  <si>
    <t>Padi</t>
  </si>
  <si>
    <t>Gumukmas, Kec. Wuluhan, Kab. Jember</t>
  </si>
  <si>
    <t>Qiuvita merah, Ev Asam amino, Biochem B1B6</t>
  </si>
  <si>
    <t xml:space="preserve">Jumlah aplikasi </t>
  </si>
  <si>
    <t>P. Asrofi</t>
  </si>
  <si>
    <t>P. Nurul</t>
  </si>
  <si>
    <t>P. Rikaton</t>
  </si>
  <si>
    <t>P. Hendrik</t>
  </si>
  <si>
    <t>P. Muslih</t>
  </si>
  <si>
    <t>P. Lamuji</t>
  </si>
  <si>
    <t>P. Sucipto</t>
  </si>
  <si>
    <t>Karangharjo, Kec. Gumukmas, Kab. Jember</t>
  </si>
  <si>
    <t>Karangduren, Kec. Balung, Kab. Jember</t>
  </si>
  <si>
    <t>Pontang, Kec. Ambulu, Kab. Jember</t>
  </si>
  <si>
    <t>Karanganyar, Kec. Ambulu, Kab. Jember</t>
  </si>
  <si>
    <t>Balung Kidul, Kec. Balung, Kab. Jember</t>
  </si>
  <si>
    <t>Dukuh Dempok, Kec. Wuluhan, Kab. Jember</t>
  </si>
  <si>
    <t>*082232068058</t>
  </si>
  <si>
    <t>*082141603606</t>
  </si>
  <si>
    <t>*085177418829</t>
  </si>
  <si>
    <t>*081234843217</t>
  </si>
  <si>
    <t>*082278365873</t>
  </si>
  <si>
    <t>*08133354060</t>
  </si>
  <si>
    <t>*087745961072</t>
  </si>
  <si>
    <t>*085142485282</t>
  </si>
  <si>
    <t>Qiuvita biru, Ev Asam amino, Biochem B1B6</t>
  </si>
  <si>
    <t>Ev asam amino, Qiuvita merah</t>
  </si>
  <si>
    <t>MKP</t>
  </si>
  <si>
    <t>P. Supri</t>
  </si>
  <si>
    <t>Gunungsari, Kec. Umbulsari, Kab. Jember</t>
  </si>
  <si>
    <t>*082337887953</t>
  </si>
  <si>
    <t>Evergreen Asam amino</t>
  </si>
  <si>
    <t>Ambition</t>
  </si>
  <si>
    <t>Jeruk</t>
  </si>
  <si>
    <t>5 Tahun</t>
  </si>
  <si>
    <t>2 Ha</t>
  </si>
  <si>
    <t>KCL</t>
  </si>
  <si>
    <t>MKP + Ultradap</t>
  </si>
  <si>
    <t>MKP / Gandasil B</t>
  </si>
  <si>
    <t>Cabe</t>
  </si>
  <si>
    <t>50-55</t>
  </si>
  <si>
    <t>45-55</t>
  </si>
  <si>
    <t>50-60</t>
  </si>
  <si>
    <t>45-50</t>
  </si>
  <si>
    <t>30-35</t>
  </si>
  <si>
    <t>P. Tamari</t>
  </si>
  <si>
    <t>Tamansari, Kec. Wuluhan, Kab, Jember</t>
  </si>
  <si>
    <t>*08133358904</t>
  </si>
  <si>
    <t>35 HST</t>
  </si>
  <si>
    <t>2500 m2</t>
  </si>
  <si>
    <t>Tgl Aplikasi</t>
  </si>
  <si>
    <t>60-70</t>
  </si>
  <si>
    <t>5 Maret</t>
  </si>
  <si>
    <t>23 Februari, 4 Maret</t>
  </si>
  <si>
    <t>23 Februari, 2 Maret</t>
  </si>
  <si>
    <t>27 Februari</t>
  </si>
  <si>
    <t>2 Maret</t>
  </si>
  <si>
    <t>6 Maret</t>
  </si>
  <si>
    <t>10 Maret</t>
  </si>
  <si>
    <t>KCL + Ambition</t>
  </si>
  <si>
    <t>MKP + Ev asam amino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</si>
</sst>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7" formatCode="_-* #,##0.00_-;\-* #,##0.00_-;_-* &quot;-&quot;??_-;_-@_-"/>
    <numFmt numFmtId="170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8"/>
      <name val="Khmer U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3" fontId="3" fillId="0" borderId="1" xfId="1" applyFont="1" applyFill="1" applyBorder="1" applyAlignment="1">
      <alignment vertical="center"/>
    </xf>
    <xf numFmtId="43" fontId="3" fillId="4" borderId="1" xfId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/>
    <xf numFmtId="0" fontId="0" fillId="0" borderId="1" xfId="0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43" fontId="10" fillId="0" borderId="0" xfId="4" applyFont="1" applyFill="1" applyAlignment="1">
      <alignment vertical="center"/>
    </xf>
    <xf numFmtId="170" fontId="10" fillId="5" borderId="5" xfId="4" applyNumberFormat="1" applyFont="1" applyFill="1" applyBorder="1" applyAlignment="1">
      <alignment vertical="center"/>
    </xf>
  </cellXfs>
  <cellStyles count="5">
    <cellStyle name="Comma" xfId="1" builtinId="3"/>
    <cellStyle name="Comma 104" xfId="4" xr:uid="{F149F1A5-7E0B-444D-8091-CEB1D00FE4F0}"/>
    <cellStyle name="Comma 2" xfId="2" xr:uid="{DC0C833C-3866-4DF0-9EE4-2D80FC44EB38}"/>
    <cellStyle name="Comma 3" xfId="3" xr:uid="{422501D4-154B-4A6B-BBCC-CA078530EDE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F9B5-49BC-4451-AAD7-877AF4CB49E5}">
  <dimension ref="B2:Q122"/>
  <sheetViews>
    <sheetView tabSelected="1" zoomScale="103" workbookViewId="0">
      <pane xSplit="10" ySplit="3" topLeftCell="O109" activePane="bottomRight" state="frozen"/>
      <selection pane="topRight" activeCell="K1" sqref="K1"/>
      <selection pane="bottomLeft" activeCell="A4" sqref="A4"/>
      <selection pane="bottomRight" activeCell="O124" sqref="O124"/>
    </sheetView>
  </sheetViews>
  <sheetFormatPr defaultRowHeight="15" x14ac:dyDescent="0.25"/>
  <cols>
    <col min="2" max="2" width="3.28515625" bestFit="1" customWidth="1"/>
    <col min="3" max="3" width="9.28515625" customWidth="1"/>
    <col min="4" max="4" width="10.140625" bestFit="1" customWidth="1"/>
    <col min="5" max="5" width="24.7109375" customWidth="1"/>
    <col min="6" max="15" width="14.42578125" customWidth="1"/>
    <col min="16" max="16" width="15.85546875" bestFit="1" customWidth="1"/>
    <col min="17" max="17" width="14.7109375" customWidth="1"/>
  </cols>
  <sheetData>
    <row r="2" spans="2:17" x14ac:dyDescent="0.25">
      <c r="B2" s="24" t="s">
        <v>30</v>
      </c>
      <c r="C2" s="24" t="s">
        <v>31</v>
      </c>
      <c r="D2" s="24" t="s">
        <v>28</v>
      </c>
      <c r="E2" s="24" t="s">
        <v>29</v>
      </c>
      <c r="F2" s="18" t="s">
        <v>32</v>
      </c>
      <c r="G2" s="19"/>
      <c r="H2" s="19"/>
      <c r="I2" s="19"/>
      <c r="J2" s="20"/>
      <c r="K2" s="18" t="s">
        <v>33</v>
      </c>
      <c r="L2" s="19"/>
      <c r="M2" s="19"/>
      <c r="N2" s="19"/>
      <c r="O2" s="20"/>
      <c r="P2" s="17" t="s">
        <v>34</v>
      </c>
      <c r="Q2" s="17" t="s">
        <v>35</v>
      </c>
    </row>
    <row r="3" spans="2:17" x14ac:dyDescent="0.25">
      <c r="B3" s="24"/>
      <c r="C3" s="24"/>
      <c r="D3" s="24"/>
      <c r="E3" s="24"/>
      <c r="F3" s="1" t="s">
        <v>36</v>
      </c>
      <c r="G3" s="1" t="s">
        <v>37</v>
      </c>
      <c r="H3" s="1" t="s">
        <v>38</v>
      </c>
      <c r="I3" s="1" t="s">
        <v>39</v>
      </c>
      <c r="J3" s="1" t="s">
        <v>133</v>
      </c>
      <c r="K3" s="1" t="s">
        <v>36</v>
      </c>
      <c r="L3" s="1" t="s">
        <v>37</v>
      </c>
      <c r="M3" s="1" t="s">
        <v>38</v>
      </c>
      <c r="N3" s="1" t="s">
        <v>39</v>
      </c>
      <c r="O3" s="1">
        <v>2026</v>
      </c>
      <c r="P3" s="17"/>
      <c r="Q3" s="17"/>
    </row>
    <row r="4" spans="2:17" x14ac:dyDescent="0.25">
      <c r="C4" s="2" t="s">
        <v>40</v>
      </c>
      <c r="D4" s="2" t="s">
        <v>0</v>
      </c>
      <c r="E4" s="2" t="s">
        <v>41</v>
      </c>
      <c r="F4" s="3">
        <v>0</v>
      </c>
      <c r="G4" s="3">
        <v>30</v>
      </c>
      <c r="H4" s="3">
        <v>90</v>
      </c>
      <c r="I4" s="3">
        <v>50</v>
      </c>
      <c r="J4" s="3">
        <v>0</v>
      </c>
      <c r="K4" s="3">
        <v>0</v>
      </c>
      <c r="L4" s="3">
        <v>2486486.4864864862</v>
      </c>
      <c r="M4" s="3">
        <v>7459459.4594594575</v>
      </c>
      <c r="N4" s="3">
        <v>4144144.144144143</v>
      </c>
      <c r="O4" s="3">
        <v>0</v>
      </c>
      <c r="P4" s="3">
        <f>SUM(F4:J4)</f>
        <v>170</v>
      </c>
      <c r="Q4" s="3">
        <v>14090090.090090089</v>
      </c>
    </row>
    <row r="5" spans="2:17" x14ac:dyDescent="0.25">
      <c r="C5" s="2" t="s">
        <v>40</v>
      </c>
      <c r="D5" s="2" t="s">
        <v>0</v>
      </c>
      <c r="E5" s="2" t="s">
        <v>42</v>
      </c>
      <c r="F5" s="3">
        <v>0</v>
      </c>
      <c r="G5" s="3">
        <v>110</v>
      </c>
      <c r="H5" s="3">
        <v>0</v>
      </c>
      <c r="I5" s="3">
        <v>0</v>
      </c>
      <c r="J5" s="3">
        <v>0</v>
      </c>
      <c r="K5" s="3">
        <v>0</v>
      </c>
      <c r="L5" s="3">
        <v>8288288.2882882869</v>
      </c>
      <c r="M5" s="3">
        <v>0</v>
      </c>
      <c r="N5" s="3">
        <v>0</v>
      </c>
      <c r="O5" s="3">
        <v>0</v>
      </c>
      <c r="P5" s="3">
        <f t="shared" ref="P5:P68" si="0">SUM(F5:J5)</f>
        <v>110</v>
      </c>
      <c r="Q5" s="3">
        <v>8288288.2882882869</v>
      </c>
    </row>
    <row r="6" spans="2:17" x14ac:dyDescent="0.25">
      <c r="C6" s="2" t="s">
        <v>40</v>
      </c>
      <c r="D6" s="2" t="s">
        <v>0</v>
      </c>
      <c r="E6" s="2" t="s">
        <v>43</v>
      </c>
      <c r="F6" s="3">
        <v>0</v>
      </c>
      <c r="G6" s="3">
        <v>1.5</v>
      </c>
      <c r="H6" s="3">
        <v>0</v>
      </c>
      <c r="I6" s="3">
        <v>0</v>
      </c>
      <c r="J6" s="3">
        <v>0</v>
      </c>
      <c r="K6" s="3">
        <v>0</v>
      </c>
      <c r="L6" s="3">
        <v>182432.43243243243</v>
      </c>
      <c r="M6" s="3">
        <v>0</v>
      </c>
      <c r="N6" s="3">
        <v>0</v>
      </c>
      <c r="O6" s="3">
        <v>0</v>
      </c>
      <c r="P6" s="3">
        <f t="shared" si="0"/>
        <v>1.5</v>
      </c>
      <c r="Q6" s="3">
        <v>182432.43243243243</v>
      </c>
    </row>
    <row r="7" spans="2:17" x14ac:dyDescent="0.25">
      <c r="C7" s="2" t="s">
        <v>40</v>
      </c>
      <c r="D7" s="2" t="s">
        <v>0</v>
      </c>
      <c r="E7" s="2" t="s">
        <v>1</v>
      </c>
      <c r="F7" s="3">
        <v>0</v>
      </c>
      <c r="G7" s="3">
        <v>49</v>
      </c>
      <c r="H7" s="3">
        <v>0</v>
      </c>
      <c r="I7" s="3">
        <v>0</v>
      </c>
      <c r="J7" s="3">
        <v>15</v>
      </c>
      <c r="K7" s="3">
        <v>0</v>
      </c>
      <c r="L7" s="3">
        <v>4216216.2162162149</v>
      </c>
      <c r="M7" s="3">
        <v>0</v>
      </c>
      <c r="N7" s="3">
        <v>0</v>
      </c>
      <c r="O7" s="3">
        <v>1256756.7567567567</v>
      </c>
      <c r="P7" s="3">
        <f t="shared" si="0"/>
        <v>64</v>
      </c>
      <c r="Q7" s="3">
        <v>4216216.2162162149</v>
      </c>
    </row>
    <row r="8" spans="2:17" x14ac:dyDescent="0.25">
      <c r="C8" s="2" t="s">
        <v>40</v>
      </c>
      <c r="D8" s="2" t="s">
        <v>0</v>
      </c>
      <c r="E8" s="2" t="s">
        <v>44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f t="shared" si="0"/>
        <v>1</v>
      </c>
      <c r="Q8" s="3">
        <v>0</v>
      </c>
    </row>
    <row r="9" spans="2:17" x14ac:dyDescent="0.25">
      <c r="C9" s="2" t="s">
        <v>40</v>
      </c>
      <c r="D9" s="2" t="s">
        <v>0</v>
      </c>
      <c r="E9" s="2" t="s">
        <v>45</v>
      </c>
      <c r="F9" s="3">
        <v>0</v>
      </c>
      <c r="G9" s="3">
        <v>0</v>
      </c>
      <c r="H9" s="3">
        <v>15.5</v>
      </c>
      <c r="I9" s="3">
        <v>0</v>
      </c>
      <c r="J9" s="3">
        <v>0</v>
      </c>
      <c r="K9" s="3">
        <v>0</v>
      </c>
      <c r="L9" s="3">
        <v>0</v>
      </c>
      <c r="M9" s="3">
        <v>1445945.9459459458</v>
      </c>
      <c r="N9" s="3">
        <v>0</v>
      </c>
      <c r="O9" s="3">
        <v>0</v>
      </c>
      <c r="P9" s="3">
        <f t="shared" si="0"/>
        <v>15.5</v>
      </c>
      <c r="Q9" s="3">
        <v>1445945.9459459458</v>
      </c>
    </row>
    <row r="10" spans="2:17" x14ac:dyDescent="0.25">
      <c r="C10" s="2" t="s">
        <v>40</v>
      </c>
      <c r="D10" s="2" t="s">
        <v>0</v>
      </c>
      <c r="E10" s="2" t="s">
        <v>46</v>
      </c>
      <c r="F10" s="3">
        <v>70</v>
      </c>
      <c r="G10" s="3">
        <v>30</v>
      </c>
      <c r="H10" s="3">
        <v>10</v>
      </c>
      <c r="I10" s="3">
        <v>0</v>
      </c>
      <c r="J10" s="3">
        <v>0</v>
      </c>
      <c r="K10" s="3">
        <v>4720720.7207207205</v>
      </c>
      <c r="L10" s="3">
        <v>2486486.4864864862</v>
      </c>
      <c r="M10" s="3">
        <v>828828.82882882864</v>
      </c>
      <c r="N10" s="3">
        <v>0</v>
      </c>
      <c r="O10" s="3">
        <v>0</v>
      </c>
      <c r="P10" s="3">
        <f t="shared" si="0"/>
        <v>110</v>
      </c>
      <c r="Q10" s="3">
        <v>8036036.036036035</v>
      </c>
    </row>
    <row r="11" spans="2:17" x14ac:dyDescent="0.25">
      <c r="C11" s="2" t="s">
        <v>40</v>
      </c>
      <c r="D11" s="2" t="s">
        <v>0</v>
      </c>
      <c r="E11" s="2" t="s">
        <v>47</v>
      </c>
      <c r="F11" s="3">
        <v>0</v>
      </c>
      <c r="G11" s="3">
        <v>15</v>
      </c>
      <c r="H11" s="3">
        <v>0</v>
      </c>
      <c r="I11" s="3">
        <v>0</v>
      </c>
      <c r="J11" s="3">
        <v>0</v>
      </c>
      <c r="K11" s="3">
        <v>0</v>
      </c>
      <c r="L11" s="3">
        <v>1243243.2432432431</v>
      </c>
      <c r="M11" s="3">
        <v>0</v>
      </c>
      <c r="N11" s="3">
        <v>0</v>
      </c>
      <c r="O11" s="3">
        <v>0</v>
      </c>
      <c r="P11" s="3">
        <f t="shared" si="0"/>
        <v>15</v>
      </c>
      <c r="Q11" s="3">
        <v>1243243.2432432431</v>
      </c>
    </row>
    <row r="12" spans="2:17" x14ac:dyDescent="0.25">
      <c r="C12" s="2" t="s">
        <v>40</v>
      </c>
      <c r="D12" s="2" t="s">
        <v>0</v>
      </c>
      <c r="E12" s="2" t="s">
        <v>2</v>
      </c>
      <c r="F12" s="3">
        <v>340</v>
      </c>
      <c r="G12" s="3">
        <v>110</v>
      </c>
      <c r="H12" s="3">
        <v>210</v>
      </c>
      <c r="I12" s="3">
        <v>20</v>
      </c>
      <c r="J12" s="3">
        <v>0</v>
      </c>
      <c r="K12" s="3">
        <v>23923832.923832923</v>
      </c>
      <c r="L12" s="3">
        <v>9891891.8918918893</v>
      </c>
      <c r="M12" s="3">
        <v>16576576.576576572</v>
      </c>
      <c r="N12" s="3">
        <v>1657657.6576576573</v>
      </c>
      <c r="O12" s="3">
        <v>0</v>
      </c>
      <c r="P12" s="3">
        <f t="shared" si="0"/>
        <v>680</v>
      </c>
      <c r="Q12" s="3">
        <v>52049959.049959041</v>
      </c>
    </row>
    <row r="13" spans="2:17" x14ac:dyDescent="0.25">
      <c r="C13" s="2" t="s">
        <v>40</v>
      </c>
      <c r="D13" s="2" t="s">
        <v>0</v>
      </c>
      <c r="E13" s="2" t="s">
        <v>48</v>
      </c>
      <c r="F13" s="3">
        <v>0</v>
      </c>
      <c r="G13" s="3">
        <v>9</v>
      </c>
      <c r="H13" s="3">
        <v>36</v>
      </c>
      <c r="I13" s="3">
        <v>0</v>
      </c>
      <c r="J13" s="3">
        <v>0</v>
      </c>
      <c r="K13" s="3">
        <v>0</v>
      </c>
      <c r="L13" s="3">
        <v>1094594.5945945946</v>
      </c>
      <c r="M13" s="3">
        <v>3499999.9999999991</v>
      </c>
      <c r="N13" s="3">
        <v>0</v>
      </c>
      <c r="O13" s="3">
        <v>0</v>
      </c>
      <c r="P13" s="3">
        <f t="shared" si="0"/>
        <v>45</v>
      </c>
      <c r="Q13" s="3">
        <v>4594594.5945945941</v>
      </c>
    </row>
    <row r="14" spans="2:17" x14ac:dyDescent="0.25">
      <c r="C14" s="2" t="s">
        <v>40</v>
      </c>
      <c r="D14" s="2" t="s">
        <v>0</v>
      </c>
      <c r="E14" s="2" t="s">
        <v>49</v>
      </c>
      <c r="F14" s="3">
        <v>0</v>
      </c>
      <c r="G14" s="3">
        <v>44.5</v>
      </c>
      <c r="H14" s="3">
        <v>0</v>
      </c>
      <c r="I14" s="3">
        <v>0</v>
      </c>
      <c r="J14" s="3">
        <v>0</v>
      </c>
      <c r="K14" s="3">
        <v>0</v>
      </c>
      <c r="L14" s="3">
        <v>4637387.3873873865</v>
      </c>
      <c r="M14" s="3">
        <v>0</v>
      </c>
      <c r="N14" s="3">
        <v>0</v>
      </c>
      <c r="O14" s="3">
        <v>0</v>
      </c>
      <c r="P14" s="3">
        <f t="shared" si="0"/>
        <v>44.5</v>
      </c>
      <c r="Q14" s="3">
        <v>4637387.3873873865</v>
      </c>
    </row>
    <row r="15" spans="2:17" x14ac:dyDescent="0.25">
      <c r="C15" s="2" t="s">
        <v>40</v>
      </c>
      <c r="D15" s="2" t="s">
        <v>0</v>
      </c>
      <c r="E15" s="2" t="s">
        <v>50</v>
      </c>
      <c r="F15" s="3">
        <v>0</v>
      </c>
      <c r="G15" s="3">
        <v>0</v>
      </c>
      <c r="H15" s="3">
        <v>5</v>
      </c>
      <c r="I15" s="3">
        <v>0</v>
      </c>
      <c r="J15" s="3">
        <v>0</v>
      </c>
      <c r="K15" s="3">
        <v>0</v>
      </c>
      <c r="L15" s="3">
        <v>0</v>
      </c>
      <c r="M15" s="3">
        <v>432432.43243243243</v>
      </c>
      <c r="N15" s="3">
        <v>0</v>
      </c>
      <c r="O15" s="3">
        <v>0</v>
      </c>
      <c r="P15" s="3">
        <f t="shared" si="0"/>
        <v>5</v>
      </c>
      <c r="Q15" s="3">
        <v>432432.43243243243</v>
      </c>
    </row>
    <row r="16" spans="2:17" x14ac:dyDescent="0.25">
      <c r="C16" s="2" t="s">
        <v>40</v>
      </c>
      <c r="D16" s="2" t="s">
        <v>0</v>
      </c>
      <c r="E16" s="2" t="s">
        <v>51</v>
      </c>
      <c r="F16" s="3">
        <v>30</v>
      </c>
      <c r="G16" s="3">
        <v>30</v>
      </c>
      <c r="H16" s="3">
        <v>10</v>
      </c>
      <c r="I16" s="3">
        <v>30</v>
      </c>
      <c r="J16" s="3">
        <v>0</v>
      </c>
      <c r="K16" s="3">
        <v>2126126.1261261259</v>
      </c>
      <c r="L16" s="3">
        <v>2486486.4864864862</v>
      </c>
      <c r="M16" s="3">
        <v>828828.82882882864</v>
      </c>
      <c r="N16" s="3">
        <v>2486486.4864864862</v>
      </c>
      <c r="O16" s="3">
        <v>0</v>
      </c>
      <c r="P16" s="3">
        <f t="shared" si="0"/>
        <v>100</v>
      </c>
      <c r="Q16" s="3">
        <v>7927927.9279279271</v>
      </c>
    </row>
    <row r="17" spans="3:17" x14ac:dyDescent="0.25">
      <c r="C17" s="2" t="s">
        <v>40</v>
      </c>
      <c r="D17" s="2" t="s">
        <v>0</v>
      </c>
      <c r="E17" s="2" t="s">
        <v>52</v>
      </c>
      <c r="F17" s="3">
        <v>0</v>
      </c>
      <c r="G17" s="3">
        <v>131.5</v>
      </c>
      <c r="H17" s="3">
        <v>0</v>
      </c>
      <c r="I17" s="3">
        <v>0</v>
      </c>
      <c r="J17" s="3">
        <v>0</v>
      </c>
      <c r="K17" s="3">
        <v>0</v>
      </c>
      <c r="L17" s="3">
        <v>11504504.5045045</v>
      </c>
      <c r="M17" s="3">
        <v>0</v>
      </c>
      <c r="N17" s="3">
        <v>0</v>
      </c>
      <c r="O17" s="3">
        <v>0</v>
      </c>
      <c r="P17" s="3">
        <f t="shared" si="0"/>
        <v>131.5</v>
      </c>
      <c r="Q17" s="3">
        <v>11504504.5045045</v>
      </c>
    </row>
    <row r="18" spans="3:17" x14ac:dyDescent="0.25">
      <c r="C18" s="2" t="s">
        <v>40</v>
      </c>
      <c r="D18" s="2" t="s">
        <v>0</v>
      </c>
      <c r="E18" s="2" t="s">
        <v>3</v>
      </c>
      <c r="F18" s="3">
        <v>0</v>
      </c>
      <c r="G18" s="3">
        <v>11</v>
      </c>
      <c r="H18" s="3">
        <v>11</v>
      </c>
      <c r="I18" s="3">
        <v>7.5</v>
      </c>
      <c r="J18" s="3">
        <v>0</v>
      </c>
      <c r="K18" s="3">
        <v>0</v>
      </c>
      <c r="L18" s="3">
        <v>950450.4504504503</v>
      </c>
      <c r="M18" s="3">
        <v>1148648.6486486485</v>
      </c>
      <c r="N18" s="3">
        <v>628378.37837837834</v>
      </c>
      <c r="O18" s="3">
        <v>0</v>
      </c>
      <c r="P18" s="3">
        <f t="shared" si="0"/>
        <v>29.5</v>
      </c>
      <c r="Q18" s="3">
        <v>2727477.4774774769</v>
      </c>
    </row>
    <row r="19" spans="3:17" x14ac:dyDescent="0.25">
      <c r="C19" s="2" t="s">
        <v>40</v>
      </c>
      <c r="D19" s="2" t="s">
        <v>0</v>
      </c>
      <c r="E19" s="2" t="s">
        <v>53</v>
      </c>
      <c r="F19" s="3">
        <v>10</v>
      </c>
      <c r="G19" s="3">
        <v>0</v>
      </c>
      <c r="H19" s="3">
        <v>10</v>
      </c>
      <c r="I19" s="3">
        <v>40</v>
      </c>
      <c r="J19" s="3">
        <v>0</v>
      </c>
      <c r="K19" s="3">
        <v>828828.82882882864</v>
      </c>
      <c r="L19" s="3">
        <v>0</v>
      </c>
      <c r="M19" s="3">
        <v>828828.82882882864</v>
      </c>
      <c r="N19" s="3">
        <v>3315315.3153153146</v>
      </c>
      <c r="O19" s="3">
        <v>0</v>
      </c>
      <c r="P19" s="3">
        <f t="shared" si="0"/>
        <v>60</v>
      </c>
      <c r="Q19" s="3">
        <v>4972972.9729729723</v>
      </c>
    </row>
    <row r="20" spans="3:17" x14ac:dyDescent="0.25">
      <c r="C20" s="2" t="s">
        <v>40</v>
      </c>
      <c r="D20" s="2" t="s">
        <v>0</v>
      </c>
      <c r="E20" s="2" t="s">
        <v>54</v>
      </c>
      <c r="F20" s="3">
        <v>60</v>
      </c>
      <c r="G20" s="3">
        <v>150</v>
      </c>
      <c r="H20" s="3">
        <v>10</v>
      </c>
      <c r="I20" s="3">
        <v>0</v>
      </c>
      <c r="J20" s="3">
        <v>0</v>
      </c>
      <c r="K20" s="3">
        <v>4600327.6003275998</v>
      </c>
      <c r="L20" s="3">
        <v>11603603.603603601</v>
      </c>
      <c r="M20" s="3">
        <v>828828.82882882864</v>
      </c>
      <c r="N20" s="3">
        <v>0</v>
      </c>
      <c r="O20" s="3">
        <v>0</v>
      </c>
      <c r="P20" s="3">
        <f t="shared" si="0"/>
        <v>220</v>
      </c>
      <c r="Q20" s="3">
        <v>17032760.032760032</v>
      </c>
    </row>
    <row r="21" spans="3:17" x14ac:dyDescent="0.25">
      <c r="C21" s="2" t="s">
        <v>40</v>
      </c>
      <c r="D21" s="2" t="s">
        <v>0</v>
      </c>
      <c r="E21" s="2" t="s">
        <v>55</v>
      </c>
      <c r="F21" s="3">
        <v>60</v>
      </c>
      <c r="G21" s="3">
        <v>30</v>
      </c>
      <c r="H21" s="3">
        <v>30</v>
      </c>
      <c r="I21" s="3">
        <v>0</v>
      </c>
      <c r="J21" s="3">
        <v>0</v>
      </c>
      <c r="K21" s="3">
        <v>4432432.4324324317</v>
      </c>
      <c r="L21" s="3">
        <v>2486486.4864864862</v>
      </c>
      <c r="M21" s="3">
        <v>2486486.4864864862</v>
      </c>
      <c r="N21" s="3">
        <v>0</v>
      </c>
      <c r="O21" s="3">
        <v>0</v>
      </c>
      <c r="P21" s="3">
        <f t="shared" si="0"/>
        <v>120</v>
      </c>
      <c r="Q21" s="3">
        <v>9405405.405405404</v>
      </c>
    </row>
    <row r="22" spans="3:17" x14ac:dyDescent="0.25">
      <c r="C22" s="2" t="s">
        <v>40</v>
      </c>
      <c r="D22" s="2" t="s">
        <v>0</v>
      </c>
      <c r="E22" s="2" t="s">
        <v>56</v>
      </c>
      <c r="F22" s="3">
        <v>90</v>
      </c>
      <c r="G22" s="3">
        <v>40</v>
      </c>
      <c r="H22" s="3">
        <v>10</v>
      </c>
      <c r="I22" s="3">
        <v>0</v>
      </c>
      <c r="J22" s="3">
        <v>0</v>
      </c>
      <c r="K22" s="3">
        <v>6162162.1621621605</v>
      </c>
      <c r="L22" s="3">
        <v>3315315.3153153146</v>
      </c>
      <c r="M22" s="3">
        <v>828828.82882882864</v>
      </c>
      <c r="N22" s="3">
        <v>0</v>
      </c>
      <c r="O22" s="3">
        <v>0</v>
      </c>
      <c r="P22" s="3">
        <f t="shared" si="0"/>
        <v>140</v>
      </c>
      <c r="Q22" s="3">
        <v>10306306.306306304</v>
      </c>
    </row>
    <row r="23" spans="3:17" x14ac:dyDescent="0.25">
      <c r="C23" s="2" t="s">
        <v>40</v>
      </c>
      <c r="D23" s="2" t="s">
        <v>0</v>
      </c>
      <c r="E23" s="2" t="s">
        <v>57</v>
      </c>
      <c r="F23" s="3">
        <v>0</v>
      </c>
      <c r="G23" s="3">
        <v>37</v>
      </c>
      <c r="H23" s="3">
        <v>20</v>
      </c>
      <c r="I23" s="3">
        <v>0</v>
      </c>
      <c r="J23" s="3">
        <v>0</v>
      </c>
      <c r="K23" s="3">
        <v>0</v>
      </c>
      <c r="L23" s="3">
        <v>3144144.1441441439</v>
      </c>
      <c r="M23" s="3">
        <v>1657657.6576576573</v>
      </c>
      <c r="N23" s="3">
        <v>0</v>
      </c>
      <c r="O23" s="3">
        <v>0</v>
      </c>
      <c r="P23" s="3">
        <f t="shared" si="0"/>
        <v>57</v>
      </c>
      <c r="Q23" s="3">
        <v>4801801.8018018007</v>
      </c>
    </row>
    <row r="24" spans="3:17" x14ac:dyDescent="0.25">
      <c r="C24" s="2" t="s">
        <v>40</v>
      </c>
      <c r="D24" s="2" t="s">
        <v>0</v>
      </c>
      <c r="E24" s="2" t="s">
        <v>58</v>
      </c>
      <c r="F24" s="3">
        <v>0</v>
      </c>
      <c r="G24" s="3">
        <v>1.5</v>
      </c>
      <c r="H24" s="3">
        <v>0</v>
      </c>
      <c r="I24" s="3">
        <v>0</v>
      </c>
      <c r="J24" s="3">
        <v>0</v>
      </c>
      <c r="K24" s="3">
        <v>0</v>
      </c>
      <c r="L24" s="3">
        <v>182432.43243243243</v>
      </c>
      <c r="M24" s="3">
        <v>0</v>
      </c>
      <c r="N24" s="3">
        <v>0</v>
      </c>
      <c r="O24" s="3">
        <v>0</v>
      </c>
      <c r="P24" s="3">
        <f t="shared" si="0"/>
        <v>1.5</v>
      </c>
      <c r="Q24" s="3">
        <v>182432.43243243243</v>
      </c>
    </row>
    <row r="25" spans="3:17" x14ac:dyDescent="0.25">
      <c r="C25" s="2" t="s">
        <v>40</v>
      </c>
      <c r="D25" s="2" t="s">
        <v>0</v>
      </c>
      <c r="E25" s="2" t="s">
        <v>59</v>
      </c>
      <c r="F25" s="3">
        <v>0</v>
      </c>
      <c r="G25" s="3">
        <v>6</v>
      </c>
      <c r="H25" s="3">
        <v>2</v>
      </c>
      <c r="I25" s="3">
        <v>0</v>
      </c>
      <c r="J25" s="3">
        <v>0</v>
      </c>
      <c r="K25" s="3">
        <v>0</v>
      </c>
      <c r="L25" s="3">
        <v>729729.7297297297</v>
      </c>
      <c r="M25" s="3">
        <v>243243.24324324323</v>
      </c>
      <c r="N25" s="3">
        <v>0</v>
      </c>
      <c r="O25" s="3">
        <v>0</v>
      </c>
      <c r="P25" s="3">
        <f t="shared" si="0"/>
        <v>8</v>
      </c>
      <c r="Q25" s="3">
        <v>972972.9729729729</v>
      </c>
    </row>
    <row r="26" spans="3:17" x14ac:dyDescent="0.25">
      <c r="C26" s="2" t="s">
        <v>40</v>
      </c>
      <c r="D26" s="2" t="s">
        <v>0</v>
      </c>
      <c r="E26" s="2" t="s">
        <v>4</v>
      </c>
      <c r="F26" s="3">
        <v>250</v>
      </c>
      <c r="G26" s="3">
        <v>0</v>
      </c>
      <c r="H26" s="3">
        <v>110</v>
      </c>
      <c r="I26" s="3">
        <v>110</v>
      </c>
      <c r="J26" s="3">
        <v>50</v>
      </c>
      <c r="K26" s="3">
        <v>20630630.630630627</v>
      </c>
      <c r="L26" s="3">
        <v>0</v>
      </c>
      <c r="M26" s="3">
        <v>8288288.2882882869</v>
      </c>
      <c r="N26" s="3">
        <v>8288288.2882882869</v>
      </c>
      <c r="O26" s="3">
        <v>4144144.1441441434</v>
      </c>
      <c r="P26" s="3">
        <f t="shared" si="0"/>
        <v>520</v>
      </c>
      <c r="Q26" s="3">
        <v>37207207.207207203</v>
      </c>
    </row>
    <row r="27" spans="3:17" x14ac:dyDescent="0.25">
      <c r="C27" s="2" t="s">
        <v>40</v>
      </c>
      <c r="D27" s="2" t="s">
        <v>0</v>
      </c>
      <c r="E27" s="2" t="s">
        <v>60</v>
      </c>
      <c r="F27" s="3">
        <v>0</v>
      </c>
      <c r="G27" s="3">
        <v>6</v>
      </c>
      <c r="H27" s="3">
        <v>0</v>
      </c>
      <c r="I27" s="3">
        <v>0</v>
      </c>
      <c r="J27" s="3">
        <v>0</v>
      </c>
      <c r="K27" s="3">
        <v>0</v>
      </c>
      <c r="L27" s="3">
        <v>729729.7297297297</v>
      </c>
      <c r="M27" s="3">
        <v>0</v>
      </c>
      <c r="N27" s="3">
        <v>0</v>
      </c>
      <c r="O27" s="3">
        <v>0</v>
      </c>
      <c r="P27" s="3">
        <f t="shared" si="0"/>
        <v>6</v>
      </c>
      <c r="Q27" s="3">
        <v>729729.7297297297</v>
      </c>
    </row>
    <row r="28" spans="3:17" x14ac:dyDescent="0.25">
      <c r="C28" s="2" t="s">
        <v>40</v>
      </c>
      <c r="D28" s="2" t="s">
        <v>5</v>
      </c>
      <c r="E28" s="2" t="s">
        <v>61</v>
      </c>
      <c r="F28" s="3">
        <v>0</v>
      </c>
      <c r="G28" s="3">
        <v>0</v>
      </c>
      <c r="H28" s="3">
        <v>7.5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f t="shared" si="0"/>
        <v>7.5</v>
      </c>
      <c r="Q28" s="3">
        <v>0</v>
      </c>
    </row>
    <row r="29" spans="3:17" x14ac:dyDescent="0.25">
      <c r="C29" s="2" t="s">
        <v>40</v>
      </c>
      <c r="D29" s="2" t="s">
        <v>5</v>
      </c>
      <c r="E29" s="2" t="s">
        <v>6</v>
      </c>
      <c r="F29" s="3">
        <v>0</v>
      </c>
      <c r="G29" s="3">
        <v>0.5</v>
      </c>
      <c r="H29" s="3">
        <v>0</v>
      </c>
      <c r="I29" s="3">
        <v>40</v>
      </c>
      <c r="J29" s="3">
        <v>0</v>
      </c>
      <c r="K29" s="3">
        <v>0</v>
      </c>
      <c r="L29" s="3">
        <v>63063.063063063055</v>
      </c>
      <c r="M29" s="3">
        <v>0</v>
      </c>
      <c r="N29" s="3">
        <v>3315315.3153153146</v>
      </c>
      <c r="O29" s="3">
        <v>0</v>
      </c>
      <c r="P29" s="3">
        <f t="shared" si="0"/>
        <v>40.5</v>
      </c>
      <c r="Q29" s="3">
        <v>3378378.3783783778</v>
      </c>
    </row>
    <row r="30" spans="3:17" x14ac:dyDescent="0.25">
      <c r="C30" s="2" t="s">
        <v>40</v>
      </c>
      <c r="D30" s="2" t="s">
        <v>5</v>
      </c>
      <c r="E30" s="2" t="s">
        <v>62</v>
      </c>
      <c r="F30" s="3">
        <v>0</v>
      </c>
      <c r="G30" s="3">
        <v>30</v>
      </c>
      <c r="H30" s="3">
        <v>0</v>
      </c>
      <c r="I30" s="3">
        <v>0</v>
      </c>
      <c r="J30" s="3">
        <v>0</v>
      </c>
      <c r="K30" s="3">
        <v>0</v>
      </c>
      <c r="L30" s="3">
        <v>2486486.4864864862</v>
      </c>
      <c r="M30" s="3">
        <v>0</v>
      </c>
      <c r="N30" s="3">
        <v>0</v>
      </c>
      <c r="O30" s="3">
        <v>0</v>
      </c>
      <c r="P30" s="3">
        <f t="shared" si="0"/>
        <v>30</v>
      </c>
      <c r="Q30" s="3">
        <v>2486486.4864864862</v>
      </c>
    </row>
    <row r="31" spans="3:17" x14ac:dyDescent="0.25">
      <c r="C31" s="2" t="s">
        <v>40</v>
      </c>
      <c r="D31" s="2" t="s">
        <v>5</v>
      </c>
      <c r="E31" s="2" t="s">
        <v>63</v>
      </c>
      <c r="F31" s="3">
        <v>10</v>
      </c>
      <c r="G31" s="3">
        <v>221</v>
      </c>
      <c r="H31" s="3">
        <v>90</v>
      </c>
      <c r="I31" s="3">
        <v>20</v>
      </c>
      <c r="J31" s="3">
        <v>0</v>
      </c>
      <c r="K31" s="3">
        <v>639639.63963963953</v>
      </c>
      <c r="L31" s="3">
        <v>16576576.576576572</v>
      </c>
      <c r="M31" s="3">
        <v>7459459.4594594575</v>
      </c>
      <c r="N31" s="3">
        <v>1657657.6576576573</v>
      </c>
      <c r="O31" s="3">
        <v>0</v>
      </c>
      <c r="P31" s="3">
        <f t="shared" si="0"/>
        <v>341</v>
      </c>
      <c r="Q31" s="3">
        <v>26333333.333333325</v>
      </c>
    </row>
    <row r="32" spans="3:17" x14ac:dyDescent="0.25">
      <c r="C32" s="2" t="s">
        <v>40</v>
      </c>
      <c r="D32" s="2" t="s">
        <v>5</v>
      </c>
      <c r="E32" s="2" t="s">
        <v>64</v>
      </c>
      <c r="F32" s="3">
        <v>0</v>
      </c>
      <c r="G32" s="3">
        <v>0</v>
      </c>
      <c r="H32" s="3">
        <v>0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381981.98198198195</v>
      </c>
      <c r="O32" s="3">
        <v>0</v>
      </c>
      <c r="P32" s="3">
        <f t="shared" si="0"/>
        <v>10</v>
      </c>
      <c r="Q32" s="3">
        <v>381981.98198198195</v>
      </c>
    </row>
    <row r="33" spans="3:17" x14ac:dyDescent="0.25">
      <c r="C33" s="2" t="s">
        <v>40</v>
      </c>
      <c r="D33" s="2" t="s">
        <v>5</v>
      </c>
      <c r="E33" s="2" t="s">
        <v>65</v>
      </c>
      <c r="F33" s="3">
        <v>1</v>
      </c>
      <c r="G33" s="3">
        <v>0</v>
      </c>
      <c r="H33" s="3">
        <v>0</v>
      </c>
      <c r="I33" s="3">
        <v>0</v>
      </c>
      <c r="J33" s="3">
        <v>0</v>
      </c>
      <c r="K33" s="3">
        <v>82882.88288288287</v>
      </c>
      <c r="L33" s="3">
        <v>0</v>
      </c>
      <c r="M33" s="3">
        <v>0</v>
      </c>
      <c r="N33" s="3">
        <v>0</v>
      </c>
      <c r="O33" s="3">
        <v>0</v>
      </c>
      <c r="P33" s="3">
        <f t="shared" si="0"/>
        <v>1</v>
      </c>
      <c r="Q33" s="3">
        <v>82882.88288288287</v>
      </c>
    </row>
    <row r="34" spans="3:17" x14ac:dyDescent="0.25">
      <c r="C34" s="2" t="s">
        <v>40</v>
      </c>
      <c r="D34" s="2" t="s">
        <v>5</v>
      </c>
      <c r="E34" s="2" t="s">
        <v>66</v>
      </c>
      <c r="F34" s="3">
        <v>8</v>
      </c>
      <c r="G34" s="3">
        <v>0</v>
      </c>
      <c r="H34" s="3">
        <v>0</v>
      </c>
      <c r="I34" s="3">
        <v>0</v>
      </c>
      <c r="J34" s="3">
        <v>0</v>
      </c>
      <c r="K34" s="3">
        <v>740540.54054054047</v>
      </c>
      <c r="L34" s="3">
        <v>0</v>
      </c>
      <c r="M34" s="3">
        <v>0</v>
      </c>
      <c r="N34" s="3">
        <v>0</v>
      </c>
      <c r="O34" s="3">
        <v>0</v>
      </c>
      <c r="P34" s="3">
        <f t="shared" si="0"/>
        <v>8</v>
      </c>
      <c r="Q34" s="3">
        <v>740540.54054054047</v>
      </c>
    </row>
    <row r="35" spans="3:17" x14ac:dyDescent="0.25">
      <c r="C35" s="2" t="s">
        <v>40</v>
      </c>
      <c r="D35" s="2" t="s">
        <v>5</v>
      </c>
      <c r="E35" s="2" t="s">
        <v>67</v>
      </c>
      <c r="F35" s="3">
        <v>0</v>
      </c>
      <c r="G35" s="3">
        <v>0.1</v>
      </c>
      <c r="H35" s="3">
        <v>0</v>
      </c>
      <c r="I35" s="3">
        <v>0</v>
      </c>
      <c r="J35" s="3">
        <v>0</v>
      </c>
      <c r="K35" s="3">
        <v>0</v>
      </c>
      <c r="L35" s="3">
        <v>13986.486486486485</v>
      </c>
      <c r="M35" s="3">
        <v>0</v>
      </c>
      <c r="N35" s="3">
        <v>0</v>
      </c>
      <c r="O35" s="3">
        <v>0</v>
      </c>
      <c r="P35" s="3">
        <f t="shared" si="0"/>
        <v>0.1</v>
      </c>
      <c r="Q35" s="3">
        <v>13986.486486486485</v>
      </c>
    </row>
    <row r="36" spans="3:17" x14ac:dyDescent="0.25">
      <c r="C36" s="2" t="s">
        <v>40</v>
      </c>
      <c r="D36" s="2" t="s">
        <v>5</v>
      </c>
      <c r="E36" s="2" t="s">
        <v>68</v>
      </c>
      <c r="F36" s="3">
        <v>2</v>
      </c>
      <c r="G36" s="3">
        <v>0</v>
      </c>
      <c r="H36" s="3">
        <v>0</v>
      </c>
      <c r="I36" s="3">
        <v>0</v>
      </c>
      <c r="J36" s="3">
        <v>0</v>
      </c>
      <c r="K36" s="3">
        <v>144144.14414414414</v>
      </c>
      <c r="L36" s="3">
        <v>0</v>
      </c>
      <c r="M36" s="3">
        <v>0</v>
      </c>
      <c r="N36" s="3">
        <v>0</v>
      </c>
      <c r="O36" s="3">
        <v>0</v>
      </c>
      <c r="P36" s="3">
        <f t="shared" si="0"/>
        <v>2</v>
      </c>
      <c r="Q36" s="3">
        <v>144144.14414414414</v>
      </c>
    </row>
    <row r="37" spans="3:17" x14ac:dyDescent="0.25">
      <c r="C37" s="2" t="s">
        <v>40</v>
      </c>
      <c r="D37" s="2" t="s">
        <v>5</v>
      </c>
      <c r="E37" s="2" t="s">
        <v>7</v>
      </c>
      <c r="F37" s="3">
        <v>0</v>
      </c>
      <c r="G37" s="3">
        <v>0</v>
      </c>
      <c r="H37" s="3">
        <v>0</v>
      </c>
      <c r="I37" s="3">
        <v>1.5</v>
      </c>
      <c r="J37" s="3">
        <v>0</v>
      </c>
      <c r="K37" s="3">
        <v>0</v>
      </c>
      <c r="L37" s="3">
        <v>0</v>
      </c>
      <c r="M37" s="3">
        <v>0</v>
      </c>
      <c r="N37" s="3">
        <v>124324.32432432431</v>
      </c>
      <c r="O37" s="3">
        <v>0</v>
      </c>
      <c r="P37" s="3">
        <f t="shared" si="0"/>
        <v>1.5</v>
      </c>
      <c r="Q37" s="3">
        <v>124324.32432432431</v>
      </c>
    </row>
    <row r="38" spans="3:17" x14ac:dyDescent="0.25">
      <c r="C38" s="2" t="s">
        <v>40</v>
      </c>
      <c r="D38" s="2" t="s">
        <v>5</v>
      </c>
      <c r="E38" s="2" t="s">
        <v>69</v>
      </c>
      <c r="F38" s="3">
        <v>1</v>
      </c>
      <c r="G38" s="3">
        <v>0</v>
      </c>
      <c r="H38" s="3">
        <v>0</v>
      </c>
      <c r="I38" s="3">
        <v>0</v>
      </c>
      <c r="J38" s="3">
        <v>0</v>
      </c>
      <c r="K38" s="3">
        <v>77272.727272727265</v>
      </c>
      <c r="L38" s="3">
        <v>0</v>
      </c>
      <c r="M38" s="3">
        <v>0</v>
      </c>
      <c r="N38" s="3">
        <v>0</v>
      </c>
      <c r="O38" s="3">
        <v>0</v>
      </c>
      <c r="P38" s="3">
        <f t="shared" si="0"/>
        <v>1</v>
      </c>
      <c r="Q38" s="3">
        <v>77272.727272727265</v>
      </c>
    </row>
    <row r="39" spans="3:17" x14ac:dyDescent="0.25">
      <c r="C39" s="2" t="s">
        <v>40</v>
      </c>
      <c r="D39" s="2" t="s">
        <v>5</v>
      </c>
      <c r="E39" s="2" t="s">
        <v>70</v>
      </c>
      <c r="F39" s="3">
        <v>4</v>
      </c>
      <c r="G39" s="3">
        <v>6</v>
      </c>
      <c r="H39" s="3">
        <v>0</v>
      </c>
      <c r="I39" s="3">
        <v>0</v>
      </c>
      <c r="J39" s="3">
        <v>0</v>
      </c>
      <c r="K39" s="3">
        <v>258181.81818181815</v>
      </c>
      <c r="L39" s="3">
        <v>502702.70270270261</v>
      </c>
      <c r="M39" s="3">
        <v>0</v>
      </c>
      <c r="N39" s="3">
        <v>0</v>
      </c>
      <c r="O39" s="3">
        <v>0</v>
      </c>
      <c r="P39" s="3">
        <f t="shared" si="0"/>
        <v>10</v>
      </c>
      <c r="Q39" s="3">
        <v>760884.52088452072</v>
      </c>
    </row>
    <row r="40" spans="3:17" x14ac:dyDescent="0.25">
      <c r="C40" s="2" t="s">
        <v>40</v>
      </c>
      <c r="D40" s="2" t="s">
        <v>5</v>
      </c>
      <c r="E40" s="2" t="s">
        <v>71</v>
      </c>
      <c r="F40" s="3">
        <v>0</v>
      </c>
      <c r="G40" s="3">
        <v>12</v>
      </c>
      <c r="H40" s="3">
        <v>0</v>
      </c>
      <c r="I40" s="3">
        <v>0</v>
      </c>
      <c r="J40" s="3">
        <v>0</v>
      </c>
      <c r="K40" s="3">
        <v>0</v>
      </c>
      <c r="L40" s="3">
        <v>1509009.0090090088</v>
      </c>
      <c r="M40" s="3">
        <v>0</v>
      </c>
      <c r="N40" s="3">
        <v>0</v>
      </c>
      <c r="O40" s="3">
        <v>0</v>
      </c>
      <c r="P40" s="3">
        <f t="shared" si="0"/>
        <v>12</v>
      </c>
      <c r="Q40" s="3">
        <v>1509009.0090090088</v>
      </c>
    </row>
    <row r="41" spans="3:17" x14ac:dyDescent="0.25">
      <c r="C41" s="2" t="s">
        <v>40</v>
      </c>
      <c r="D41" s="2" t="s">
        <v>5</v>
      </c>
      <c r="E41" s="2" t="s">
        <v>8</v>
      </c>
      <c r="F41" s="3">
        <v>0</v>
      </c>
      <c r="G41" s="3">
        <v>50</v>
      </c>
      <c r="H41" s="3">
        <v>32</v>
      </c>
      <c r="I41" s="3">
        <v>0</v>
      </c>
      <c r="J41" s="3">
        <v>0</v>
      </c>
      <c r="K41" s="3">
        <v>0</v>
      </c>
      <c r="L41" s="3">
        <v>4144144.144144143</v>
      </c>
      <c r="M41" s="3">
        <v>2652252.2522522518</v>
      </c>
      <c r="N41" s="3">
        <v>0</v>
      </c>
      <c r="O41" s="3">
        <v>0</v>
      </c>
      <c r="P41" s="3">
        <f t="shared" si="0"/>
        <v>82</v>
      </c>
      <c r="Q41" s="3">
        <v>6796396.3963963948</v>
      </c>
    </row>
    <row r="42" spans="3:17" x14ac:dyDescent="0.25">
      <c r="C42" s="2" t="s">
        <v>40</v>
      </c>
      <c r="D42" s="2" t="s">
        <v>5</v>
      </c>
      <c r="E42" s="2" t="s">
        <v>9</v>
      </c>
      <c r="F42" s="3">
        <v>110</v>
      </c>
      <c r="G42" s="3">
        <v>50</v>
      </c>
      <c r="H42" s="3">
        <v>190</v>
      </c>
      <c r="I42" s="3">
        <v>0</v>
      </c>
      <c r="J42" s="3">
        <v>0</v>
      </c>
      <c r="K42" s="3">
        <v>7477477.4774774779</v>
      </c>
      <c r="L42" s="3">
        <v>5306306.3063063063</v>
      </c>
      <c r="M42" s="3">
        <v>16081081.081081077</v>
      </c>
      <c r="N42" s="3">
        <v>0</v>
      </c>
      <c r="O42" s="3">
        <v>0</v>
      </c>
      <c r="P42" s="3">
        <f t="shared" si="0"/>
        <v>350</v>
      </c>
      <c r="Q42" s="3">
        <v>28864864.864864863</v>
      </c>
    </row>
    <row r="43" spans="3:17" x14ac:dyDescent="0.25">
      <c r="C43" s="2" t="s">
        <v>40</v>
      </c>
      <c r="D43" s="2" t="s">
        <v>5</v>
      </c>
      <c r="E43" s="2" t="s">
        <v>72</v>
      </c>
      <c r="F43" s="3">
        <v>20</v>
      </c>
      <c r="G43" s="3">
        <v>110</v>
      </c>
      <c r="H43" s="3">
        <v>0</v>
      </c>
      <c r="I43" s="3">
        <v>0</v>
      </c>
      <c r="J43" s="3">
        <v>0</v>
      </c>
      <c r="K43" s="3">
        <v>1279279.2792792791</v>
      </c>
      <c r="L43" s="3">
        <v>8288288.2882882869</v>
      </c>
      <c r="M43" s="3">
        <v>0</v>
      </c>
      <c r="N43" s="3">
        <v>0</v>
      </c>
      <c r="O43" s="3">
        <v>0</v>
      </c>
      <c r="P43" s="3">
        <f t="shared" si="0"/>
        <v>130</v>
      </c>
      <c r="Q43" s="3">
        <v>9567567.5675675664</v>
      </c>
    </row>
    <row r="44" spans="3:17" x14ac:dyDescent="0.25">
      <c r="C44" s="2" t="s">
        <v>40</v>
      </c>
      <c r="D44" s="2" t="s">
        <v>5</v>
      </c>
      <c r="E44" s="2" t="s">
        <v>73</v>
      </c>
      <c r="F44" s="3">
        <v>0</v>
      </c>
      <c r="G44" s="3">
        <v>0</v>
      </c>
      <c r="H44" s="3">
        <v>0</v>
      </c>
      <c r="I44" s="3">
        <v>140</v>
      </c>
      <c r="J44" s="3">
        <v>0</v>
      </c>
      <c r="K44" s="3">
        <v>0</v>
      </c>
      <c r="L44" s="3">
        <v>0</v>
      </c>
      <c r="M44" s="3">
        <v>0</v>
      </c>
      <c r="N44" s="3">
        <v>11351351.351351351</v>
      </c>
      <c r="O44" s="3">
        <v>0</v>
      </c>
      <c r="P44" s="3">
        <f t="shared" si="0"/>
        <v>140</v>
      </c>
      <c r="Q44" s="3">
        <v>11351351.351351351</v>
      </c>
    </row>
    <row r="45" spans="3:17" x14ac:dyDescent="0.25">
      <c r="C45" s="2" t="s">
        <v>40</v>
      </c>
      <c r="D45" s="2" t="s">
        <v>5</v>
      </c>
      <c r="E45" s="2" t="s">
        <v>74</v>
      </c>
      <c r="F45" s="3">
        <v>0</v>
      </c>
      <c r="G45" s="3">
        <v>0</v>
      </c>
      <c r="H45" s="3">
        <v>20</v>
      </c>
      <c r="I45" s="3">
        <v>0</v>
      </c>
      <c r="J45" s="3">
        <v>0</v>
      </c>
      <c r="K45" s="3">
        <v>0</v>
      </c>
      <c r="L45" s="3">
        <v>0</v>
      </c>
      <c r="M45" s="3">
        <v>1342342.3423423423</v>
      </c>
      <c r="N45" s="3">
        <v>0</v>
      </c>
      <c r="O45" s="3">
        <v>0</v>
      </c>
      <c r="P45" s="3">
        <f t="shared" si="0"/>
        <v>20</v>
      </c>
      <c r="Q45" s="3">
        <v>1342342.3423423423</v>
      </c>
    </row>
    <row r="46" spans="3:17" x14ac:dyDescent="0.25">
      <c r="C46" s="2" t="s">
        <v>40</v>
      </c>
      <c r="D46" s="2" t="s">
        <v>5</v>
      </c>
      <c r="E46" s="2" t="s">
        <v>10</v>
      </c>
      <c r="F46" s="3">
        <v>20</v>
      </c>
      <c r="G46" s="3">
        <v>220</v>
      </c>
      <c r="H46" s="3">
        <v>0</v>
      </c>
      <c r="I46" s="3">
        <v>0</v>
      </c>
      <c r="J46" s="3">
        <v>0</v>
      </c>
      <c r="K46" s="3">
        <v>1272727.2727272727</v>
      </c>
      <c r="L46" s="3">
        <v>16576576.576576576</v>
      </c>
      <c r="M46" s="3">
        <v>0</v>
      </c>
      <c r="N46" s="3">
        <v>0</v>
      </c>
      <c r="O46" s="3">
        <v>0</v>
      </c>
      <c r="P46" s="3">
        <f t="shared" si="0"/>
        <v>240</v>
      </c>
      <c r="Q46" s="3">
        <v>17849303.849303849</v>
      </c>
    </row>
    <row r="47" spans="3:17" x14ac:dyDescent="0.25">
      <c r="C47" s="2" t="s">
        <v>40</v>
      </c>
      <c r="D47" s="2" t="s">
        <v>5</v>
      </c>
      <c r="E47" s="2" t="s">
        <v>11</v>
      </c>
      <c r="F47" s="3">
        <v>20</v>
      </c>
      <c r="G47" s="3">
        <v>300</v>
      </c>
      <c r="H47" s="3">
        <v>30</v>
      </c>
      <c r="I47" s="3">
        <v>0</v>
      </c>
      <c r="J47" s="3">
        <v>0</v>
      </c>
      <c r="K47" s="3">
        <v>1657657.6576576573</v>
      </c>
      <c r="L47" s="3">
        <v>24864864.86486486</v>
      </c>
      <c r="M47" s="3">
        <v>2486486.4864864862</v>
      </c>
      <c r="N47" s="3">
        <v>0</v>
      </c>
      <c r="O47" s="3">
        <v>0</v>
      </c>
      <c r="P47" s="3">
        <f t="shared" si="0"/>
        <v>350</v>
      </c>
      <c r="Q47" s="3">
        <v>29009009.009009004</v>
      </c>
    </row>
    <row r="48" spans="3:17" x14ac:dyDescent="0.25">
      <c r="C48" s="2" t="s">
        <v>40</v>
      </c>
      <c r="D48" s="2" t="s">
        <v>5</v>
      </c>
      <c r="E48" s="2" t="s">
        <v>12</v>
      </c>
      <c r="F48" s="3">
        <v>0</v>
      </c>
      <c r="G48" s="3">
        <v>0</v>
      </c>
      <c r="H48" s="3">
        <v>64.5</v>
      </c>
      <c r="I48" s="3">
        <v>53</v>
      </c>
      <c r="J48" s="3">
        <v>0</v>
      </c>
      <c r="K48" s="3">
        <v>0</v>
      </c>
      <c r="L48" s="3">
        <v>0</v>
      </c>
      <c r="M48" s="3">
        <v>5794144.144144143</v>
      </c>
      <c r="N48" s="3">
        <v>4509009.0090090074</v>
      </c>
      <c r="O48" s="3">
        <v>0</v>
      </c>
      <c r="P48" s="3">
        <f t="shared" si="0"/>
        <v>117.5</v>
      </c>
      <c r="Q48" s="3">
        <v>10303153.153153151</v>
      </c>
    </row>
    <row r="49" spans="3:17" x14ac:dyDescent="0.25">
      <c r="C49" s="2" t="s">
        <v>40</v>
      </c>
      <c r="D49" s="2" t="s">
        <v>5</v>
      </c>
      <c r="E49" s="2" t="s">
        <v>75</v>
      </c>
      <c r="F49" s="3">
        <v>540</v>
      </c>
      <c r="G49" s="3">
        <v>1210</v>
      </c>
      <c r="H49" s="3">
        <v>1770</v>
      </c>
      <c r="I49" s="3">
        <v>0</v>
      </c>
      <c r="J49" s="3">
        <v>0</v>
      </c>
      <c r="K49" s="3">
        <v>45315315.315315306</v>
      </c>
      <c r="L49" s="3">
        <v>95045045.045045018</v>
      </c>
      <c r="M49" s="3">
        <v>138918918.91891888</v>
      </c>
      <c r="N49" s="3">
        <v>0</v>
      </c>
      <c r="O49" s="3">
        <v>0</v>
      </c>
      <c r="P49" s="3">
        <f t="shared" si="0"/>
        <v>3520</v>
      </c>
      <c r="Q49" s="3">
        <v>279279279.27927923</v>
      </c>
    </row>
    <row r="50" spans="3:17" x14ac:dyDescent="0.25">
      <c r="C50" s="2" t="s">
        <v>40</v>
      </c>
      <c r="D50" s="2" t="s">
        <v>5</v>
      </c>
      <c r="E50" s="2" t="s">
        <v>76</v>
      </c>
      <c r="F50" s="3">
        <v>0</v>
      </c>
      <c r="G50" s="3">
        <v>0</v>
      </c>
      <c r="H50" s="3">
        <v>0</v>
      </c>
      <c r="I50" s="3">
        <v>8.75</v>
      </c>
      <c r="J50" s="3">
        <v>0</v>
      </c>
      <c r="K50" s="3">
        <v>0</v>
      </c>
      <c r="L50" s="3">
        <v>0</v>
      </c>
      <c r="M50" s="3">
        <v>0</v>
      </c>
      <c r="N50" s="3">
        <v>599099.09909909905</v>
      </c>
      <c r="O50" s="3">
        <v>0</v>
      </c>
      <c r="P50" s="3">
        <f t="shared" si="0"/>
        <v>8.75</v>
      </c>
      <c r="Q50" s="3">
        <v>599099.09909909905</v>
      </c>
    </row>
    <row r="51" spans="3:17" x14ac:dyDescent="0.25">
      <c r="C51" s="2" t="s">
        <v>40</v>
      </c>
      <c r="D51" s="2" t="s">
        <v>5</v>
      </c>
      <c r="E51" s="2" t="s">
        <v>77</v>
      </c>
      <c r="F51" s="3">
        <v>10</v>
      </c>
      <c r="G51" s="3">
        <v>0</v>
      </c>
      <c r="H51" s="3">
        <v>0</v>
      </c>
      <c r="I51" s="3">
        <v>0</v>
      </c>
      <c r="J51" s="3">
        <v>0</v>
      </c>
      <c r="K51" s="3">
        <v>828828.82882882864</v>
      </c>
      <c r="L51" s="3">
        <v>0</v>
      </c>
      <c r="M51" s="3">
        <v>0</v>
      </c>
      <c r="N51" s="3">
        <v>0</v>
      </c>
      <c r="O51" s="3">
        <v>0</v>
      </c>
      <c r="P51" s="3">
        <f t="shared" si="0"/>
        <v>10</v>
      </c>
      <c r="Q51" s="3">
        <v>828828.82882882864</v>
      </c>
    </row>
    <row r="52" spans="3:17" x14ac:dyDescent="0.25">
      <c r="C52" s="2" t="s">
        <v>40</v>
      </c>
      <c r="D52" s="2" t="s">
        <v>5</v>
      </c>
      <c r="E52" s="2" t="s">
        <v>13</v>
      </c>
      <c r="F52" s="3">
        <v>1010</v>
      </c>
      <c r="G52" s="3">
        <v>800</v>
      </c>
      <c r="H52" s="3">
        <v>500</v>
      </c>
      <c r="I52" s="3">
        <v>600</v>
      </c>
      <c r="J52" s="3">
        <v>300</v>
      </c>
      <c r="K52" s="3">
        <v>73236691.236691222</v>
      </c>
      <c r="L52" s="3">
        <v>66306306.306306273</v>
      </c>
      <c r="M52" s="3">
        <v>41441441.441441432</v>
      </c>
      <c r="N52" s="3">
        <v>47207207.207207188</v>
      </c>
      <c r="O52" s="3">
        <v>15315315.315315314</v>
      </c>
      <c r="P52" s="3">
        <f t="shared" si="0"/>
        <v>3210</v>
      </c>
      <c r="Q52" s="3">
        <v>228191646.1916461</v>
      </c>
    </row>
    <row r="53" spans="3:17" x14ac:dyDescent="0.25">
      <c r="C53" s="2" t="s">
        <v>40</v>
      </c>
      <c r="D53" s="2" t="s">
        <v>5</v>
      </c>
      <c r="E53" s="2" t="s">
        <v>78</v>
      </c>
      <c r="F53" s="3">
        <v>0.5</v>
      </c>
      <c r="G53" s="3">
        <v>0</v>
      </c>
      <c r="H53" s="3">
        <v>0</v>
      </c>
      <c r="I53" s="3">
        <v>0</v>
      </c>
      <c r="J53" s="3">
        <v>0</v>
      </c>
      <c r="K53" s="3">
        <v>39639.639639639638</v>
      </c>
      <c r="L53" s="3">
        <v>0</v>
      </c>
      <c r="M53" s="3">
        <v>0</v>
      </c>
      <c r="N53" s="3">
        <v>0</v>
      </c>
      <c r="O53" s="3">
        <v>0</v>
      </c>
      <c r="P53" s="3">
        <f t="shared" si="0"/>
        <v>0.5</v>
      </c>
      <c r="Q53" s="3">
        <v>39639.639639639638</v>
      </c>
    </row>
    <row r="54" spans="3:17" x14ac:dyDescent="0.25">
      <c r="C54" s="2" t="s">
        <v>40</v>
      </c>
      <c r="D54" s="2" t="s">
        <v>5</v>
      </c>
      <c r="E54" s="2" t="s">
        <v>79</v>
      </c>
      <c r="F54" s="3">
        <v>5</v>
      </c>
      <c r="G54" s="3">
        <v>2</v>
      </c>
      <c r="H54" s="3">
        <v>0</v>
      </c>
      <c r="I54" s="3">
        <v>0</v>
      </c>
      <c r="J54" s="3">
        <v>0</v>
      </c>
      <c r="K54" s="3">
        <v>319819.81981981976</v>
      </c>
      <c r="L54" s="3">
        <v>252252.25225225222</v>
      </c>
      <c r="M54" s="3">
        <v>0</v>
      </c>
      <c r="N54" s="3">
        <v>0</v>
      </c>
      <c r="O54" s="3">
        <v>0</v>
      </c>
      <c r="P54" s="3">
        <f t="shared" si="0"/>
        <v>7</v>
      </c>
      <c r="Q54" s="3">
        <v>572072.07207207195</v>
      </c>
    </row>
    <row r="55" spans="3:17" x14ac:dyDescent="0.25">
      <c r="C55" s="2" t="s">
        <v>40</v>
      </c>
      <c r="D55" s="2" t="s">
        <v>5</v>
      </c>
      <c r="E55" s="2" t="s">
        <v>80</v>
      </c>
      <c r="F55" s="3">
        <v>10</v>
      </c>
      <c r="G55" s="3">
        <v>0</v>
      </c>
      <c r="H55" s="3">
        <v>0</v>
      </c>
      <c r="I55" s="3">
        <v>0</v>
      </c>
      <c r="J55" s="3">
        <v>0</v>
      </c>
      <c r="K55" s="3">
        <v>636363.63636363635</v>
      </c>
      <c r="L55" s="3">
        <v>0</v>
      </c>
      <c r="M55" s="3">
        <v>0</v>
      </c>
      <c r="N55" s="3">
        <v>0</v>
      </c>
      <c r="O55" s="3">
        <v>0</v>
      </c>
      <c r="P55" s="3">
        <f t="shared" si="0"/>
        <v>10</v>
      </c>
      <c r="Q55" s="3">
        <v>636363.63636363635</v>
      </c>
    </row>
    <row r="56" spans="3:17" x14ac:dyDescent="0.25">
      <c r="C56" s="2" t="s">
        <v>40</v>
      </c>
      <c r="D56" s="2" t="s">
        <v>5</v>
      </c>
      <c r="E56" s="2" t="s">
        <v>81</v>
      </c>
      <c r="F56" s="3">
        <v>0</v>
      </c>
      <c r="G56" s="3">
        <v>0</v>
      </c>
      <c r="H56" s="3">
        <v>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3315315.3153153146</v>
      </c>
      <c r="O56" s="3">
        <v>0</v>
      </c>
      <c r="P56" s="3">
        <f t="shared" si="0"/>
        <v>40</v>
      </c>
      <c r="Q56" s="3">
        <v>3315315.3153153146</v>
      </c>
    </row>
    <row r="57" spans="3:17" x14ac:dyDescent="0.25">
      <c r="C57" s="2" t="s">
        <v>40</v>
      </c>
      <c r="D57" s="2" t="s">
        <v>5</v>
      </c>
      <c r="E57" s="2" t="s">
        <v>14</v>
      </c>
      <c r="F57" s="3">
        <v>100.89999999999999</v>
      </c>
      <c r="G57" s="3">
        <v>84.5</v>
      </c>
      <c r="H57" s="3">
        <v>160.79999999999995</v>
      </c>
      <c r="I57" s="3">
        <v>51.099999999999987</v>
      </c>
      <c r="J57" s="3">
        <v>0</v>
      </c>
      <c r="K57" s="3">
        <v>4190322.6863226867</v>
      </c>
      <c r="L57" s="3">
        <v>3411654.054054054</v>
      </c>
      <c r="M57" s="3">
        <v>5126705.3423423404</v>
      </c>
      <c r="N57" s="3">
        <v>2107207.2072072071</v>
      </c>
      <c r="O57" s="3">
        <v>0</v>
      </c>
      <c r="P57" s="3">
        <f t="shared" si="0"/>
        <v>397.2999999999999</v>
      </c>
      <c r="Q57" s="3">
        <v>14835889.289926287</v>
      </c>
    </row>
    <row r="58" spans="3:17" x14ac:dyDescent="0.25">
      <c r="C58" s="2" t="s">
        <v>40</v>
      </c>
      <c r="D58" s="2" t="s">
        <v>5</v>
      </c>
      <c r="E58" s="2" t="s">
        <v>15</v>
      </c>
      <c r="F58" s="3">
        <v>0</v>
      </c>
      <c r="G58" s="3">
        <v>0</v>
      </c>
      <c r="H58" s="3">
        <v>5</v>
      </c>
      <c r="I58" s="3">
        <v>0.30000000000000004</v>
      </c>
      <c r="J58" s="3">
        <v>0</v>
      </c>
      <c r="K58" s="3">
        <v>0</v>
      </c>
      <c r="L58" s="3">
        <v>0</v>
      </c>
      <c r="M58" s="3">
        <v>150000</v>
      </c>
      <c r="N58" s="3">
        <v>9000</v>
      </c>
      <c r="O58" s="3">
        <v>0</v>
      </c>
      <c r="P58" s="3">
        <f t="shared" si="0"/>
        <v>5.3</v>
      </c>
      <c r="Q58" s="3">
        <v>159000</v>
      </c>
    </row>
    <row r="59" spans="3:17" x14ac:dyDescent="0.25">
      <c r="C59" s="2" t="s">
        <v>40</v>
      </c>
      <c r="D59" s="2" t="s">
        <v>5</v>
      </c>
      <c r="E59" s="2" t="s">
        <v>82</v>
      </c>
      <c r="F59" s="3">
        <v>10</v>
      </c>
      <c r="G59" s="3">
        <v>0</v>
      </c>
      <c r="H59" s="3">
        <v>22.5</v>
      </c>
      <c r="I59" s="3">
        <v>0</v>
      </c>
      <c r="J59" s="3">
        <v>0</v>
      </c>
      <c r="K59" s="3">
        <v>636363.63636363635</v>
      </c>
      <c r="L59" s="3">
        <v>0</v>
      </c>
      <c r="M59" s="3">
        <v>1549549.5495495494</v>
      </c>
      <c r="N59" s="3">
        <v>0</v>
      </c>
      <c r="O59" s="3">
        <v>0</v>
      </c>
      <c r="P59" s="3">
        <f t="shared" si="0"/>
        <v>32.5</v>
      </c>
      <c r="Q59" s="3">
        <v>2185913.1859131856</v>
      </c>
    </row>
    <row r="60" spans="3:17" x14ac:dyDescent="0.25">
      <c r="C60" s="2" t="s">
        <v>40</v>
      </c>
      <c r="D60" s="2" t="s">
        <v>5</v>
      </c>
      <c r="E60" s="2" t="s">
        <v>83</v>
      </c>
      <c r="F60" s="3">
        <v>0</v>
      </c>
      <c r="G60" s="3">
        <v>60</v>
      </c>
      <c r="H60" s="3">
        <v>40</v>
      </c>
      <c r="I60" s="3">
        <v>0</v>
      </c>
      <c r="J60" s="3">
        <v>0</v>
      </c>
      <c r="K60" s="3">
        <v>0</v>
      </c>
      <c r="L60" s="3">
        <v>4972972.9729729723</v>
      </c>
      <c r="M60" s="3">
        <v>3315315.3153153146</v>
      </c>
      <c r="N60" s="3">
        <v>0</v>
      </c>
      <c r="O60" s="3">
        <v>0</v>
      </c>
      <c r="P60" s="3">
        <f t="shared" si="0"/>
        <v>100</v>
      </c>
      <c r="Q60" s="3">
        <v>8288288.2882882869</v>
      </c>
    </row>
    <row r="61" spans="3:17" x14ac:dyDescent="0.25">
      <c r="C61" s="2" t="s">
        <v>40</v>
      </c>
      <c r="D61" s="2" t="s">
        <v>5</v>
      </c>
      <c r="E61" s="2" t="s">
        <v>84</v>
      </c>
      <c r="F61" s="3">
        <v>0.6</v>
      </c>
      <c r="G61" s="3">
        <v>0</v>
      </c>
      <c r="H61" s="3">
        <v>0.5</v>
      </c>
      <c r="I61" s="3">
        <v>0</v>
      </c>
      <c r="J61" s="3">
        <v>0</v>
      </c>
      <c r="K61" s="3">
        <v>43988.533988533985</v>
      </c>
      <c r="L61" s="3">
        <v>0</v>
      </c>
      <c r="M61" s="3">
        <v>42342.342342342337</v>
      </c>
      <c r="N61" s="3">
        <v>0</v>
      </c>
      <c r="O61" s="3">
        <v>0</v>
      </c>
      <c r="P61" s="3">
        <f t="shared" si="0"/>
        <v>1.1000000000000001</v>
      </c>
      <c r="Q61" s="3">
        <v>86330.876330876315</v>
      </c>
    </row>
    <row r="62" spans="3:17" x14ac:dyDescent="0.25">
      <c r="C62" s="2" t="s">
        <v>40</v>
      </c>
      <c r="D62" s="2" t="s">
        <v>5</v>
      </c>
      <c r="E62" s="2" t="s">
        <v>85</v>
      </c>
      <c r="F62" s="3">
        <v>0.5</v>
      </c>
      <c r="G62" s="3">
        <v>0</v>
      </c>
      <c r="H62" s="3">
        <v>0</v>
      </c>
      <c r="I62" s="3">
        <v>0</v>
      </c>
      <c r="J62" s="3">
        <v>0</v>
      </c>
      <c r="K62" s="3">
        <v>24545.454545454544</v>
      </c>
      <c r="L62" s="3">
        <v>0</v>
      </c>
      <c r="M62" s="3">
        <v>0</v>
      </c>
      <c r="N62" s="3">
        <v>0</v>
      </c>
      <c r="O62" s="3">
        <v>0</v>
      </c>
      <c r="P62" s="3">
        <f t="shared" si="0"/>
        <v>0.5</v>
      </c>
      <c r="Q62" s="3">
        <v>24545.454545454544</v>
      </c>
    </row>
    <row r="63" spans="3:17" x14ac:dyDescent="0.25">
      <c r="C63" s="2" t="s">
        <v>40</v>
      </c>
      <c r="D63" s="2" t="s">
        <v>5</v>
      </c>
      <c r="E63" s="2" t="s">
        <v>86</v>
      </c>
      <c r="F63" s="3">
        <v>7.5</v>
      </c>
      <c r="G63" s="3">
        <v>0</v>
      </c>
      <c r="H63" s="3">
        <v>0</v>
      </c>
      <c r="I63" s="3">
        <v>0</v>
      </c>
      <c r="J63" s="3">
        <v>0</v>
      </c>
      <c r="K63" s="3">
        <v>621621.62162162154</v>
      </c>
      <c r="L63" s="3">
        <v>0</v>
      </c>
      <c r="M63" s="3">
        <v>0</v>
      </c>
      <c r="N63" s="3">
        <v>0</v>
      </c>
      <c r="O63" s="3">
        <v>0</v>
      </c>
      <c r="P63" s="3">
        <f t="shared" si="0"/>
        <v>7.5</v>
      </c>
      <c r="Q63" s="3">
        <v>621621.62162162154</v>
      </c>
    </row>
    <row r="64" spans="3:17" x14ac:dyDescent="0.25">
      <c r="C64" s="2" t="s">
        <v>40</v>
      </c>
      <c r="D64" s="2" t="s">
        <v>5</v>
      </c>
      <c r="E64" s="2" t="s">
        <v>87</v>
      </c>
      <c r="F64" s="3">
        <v>0</v>
      </c>
      <c r="G64" s="3">
        <v>31</v>
      </c>
      <c r="H64" s="3">
        <v>330</v>
      </c>
      <c r="I64" s="3">
        <v>550</v>
      </c>
      <c r="J64" s="3">
        <v>0</v>
      </c>
      <c r="K64" s="3">
        <v>0</v>
      </c>
      <c r="L64" s="3">
        <v>2486486.4864864862</v>
      </c>
      <c r="M64" s="3">
        <v>24864864.86486486</v>
      </c>
      <c r="N64" s="3">
        <v>41441441.441441439</v>
      </c>
      <c r="O64" s="3">
        <v>0</v>
      </c>
      <c r="P64" s="3">
        <f t="shared" si="0"/>
        <v>911</v>
      </c>
      <c r="Q64" s="3">
        <v>68792792.792792782</v>
      </c>
    </row>
    <row r="65" spans="3:17" x14ac:dyDescent="0.25">
      <c r="C65" s="2" t="s">
        <v>40</v>
      </c>
      <c r="D65" s="2" t="s">
        <v>5</v>
      </c>
      <c r="E65" s="2" t="s">
        <v>88</v>
      </c>
      <c r="F65" s="3">
        <v>0</v>
      </c>
      <c r="G65" s="3">
        <v>0.2</v>
      </c>
      <c r="H65" s="3">
        <v>0</v>
      </c>
      <c r="I65" s="3">
        <v>0</v>
      </c>
      <c r="J65" s="3">
        <v>0</v>
      </c>
      <c r="K65" s="3">
        <v>0</v>
      </c>
      <c r="L65" s="3">
        <v>29729.729729729726</v>
      </c>
      <c r="M65" s="3">
        <v>0</v>
      </c>
      <c r="N65" s="3">
        <v>0</v>
      </c>
      <c r="O65" s="3">
        <v>0</v>
      </c>
      <c r="P65" s="3">
        <f t="shared" si="0"/>
        <v>0.2</v>
      </c>
      <c r="Q65" s="3">
        <v>29729.729729729726</v>
      </c>
    </row>
    <row r="66" spans="3:17" x14ac:dyDescent="0.25">
      <c r="C66" s="2" t="s">
        <v>40</v>
      </c>
      <c r="D66" s="2" t="s">
        <v>5</v>
      </c>
      <c r="E66" s="2" t="s">
        <v>89</v>
      </c>
      <c r="F66" s="3">
        <v>1.5</v>
      </c>
      <c r="G66" s="3">
        <v>0</v>
      </c>
      <c r="H66" s="3">
        <v>0</v>
      </c>
      <c r="I66" s="3">
        <v>0</v>
      </c>
      <c r="J66" s="3">
        <v>0</v>
      </c>
      <c r="K66" s="3">
        <v>108108.10810810811</v>
      </c>
      <c r="L66" s="3">
        <v>0</v>
      </c>
      <c r="M66" s="3">
        <v>0</v>
      </c>
      <c r="N66" s="3">
        <v>0</v>
      </c>
      <c r="O66" s="3">
        <v>0</v>
      </c>
      <c r="P66" s="3">
        <f t="shared" si="0"/>
        <v>1.5</v>
      </c>
      <c r="Q66" s="3">
        <v>108108.10810810811</v>
      </c>
    </row>
    <row r="67" spans="3:17" x14ac:dyDescent="0.25">
      <c r="C67" s="2" t="s">
        <v>40</v>
      </c>
      <c r="D67" s="2" t="s">
        <v>5</v>
      </c>
      <c r="E67" s="2" t="s">
        <v>90</v>
      </c>
      <c r="F67" s="3">
        <v>1.1000000000000001</v>
      </c>
      <c r="G67" s="3">
        <v>1.1000000000000001</v>
      </c>
      <c r="H67" s="3">
        <v>0</v>
      </c>
      <c r="I67" s="3">
        <v>0</v>
      </c>
      <c r="J67" s="3">
        <v>0</v>
      </c>
      <c r="K67" s="3">
        <v>83873.873873873861</v>
      </c>
      <c r="L67" s="3">
        <v>95495.495495495474</v>
      </c>
      <c r="M67" s="3">
        <v>0</v>
      </c>
      <c r="N67" s="3">
        <v>0</v>
      </c>
      <c r="O67" s="3">
        <v>0</v>
      </c>
      <c r="P67" s="3">
        <f t="shared" si="0"/>
        <v>2.2000000000000002</v>
      </c>
      <c r="Q67" s="3">
        <v>179369.36936936935</v>
      </c>
    </row>
    <row r="68" spans="3:17" x14ac:dyDescent="0.25">
      <c r="C68" s="2" t="s">
        <v>40</v>
      </c>
      <c r="D68" s="2" t="s">
        <v>5</v>
      </c>
      <c r="E68" s="2" t="s">
        <v>16</v>
      </c>
      <c r="F68" s="3">
        <v>0.2</v>
      </c>
      <c r="G68" s="3">
        <v>0</v>
      </c>
      <c r="H68" s="3">
        <v>1</v>
      </c>
      <c r="I68" s="3">
        <v>0</v>
      </c>
      <c r="J68" s="3">
        <v>0</v>
      </c>
      <c r="K68" s="3">
        <v>30630.630630630629</v>
      </c>
      <c r="L68" s="3">
        <v>0</v>
      </c>
      <c r="M68" s="3">
        <v>92000</v>
      </c>
      <c r="N68" s="3">
        <v>0</v>
      </c>
      <c r="O68" s="3">
        <v>0</v>
      </c>
      <c r="P68" s="3">
        <f t="shared" si="0"/>
        <v>1.2</v>
      </c>
      <c r="Q68" s="3">
        <v>122630.63063063062</v>
      </c>
    </row>
    <row r="69" spans="3:17" x14ac:dyDescent="0.25">
      <c r="C69" s="2" t="s">
        <v>40</v>
      </c>
      <c r="D69" s="2" t="s">
        <v>5</v>
      </c>
      <c r="E69" s="2" t="s">
        <v>91</v>
      </c>
      <c r="F69" s="3">
        <v>0</v>
      </c>
      <c r="G69" s="3">
        <v>0</v>
      </c>
      <c r="H69" s="3">
        <v>0.5</v>
      </c>
      <c r="I69" s="3">
        <v>0</v>
      </c>
      <c r="J69" s="3">
        <v>0</v>
      </c>
      <c r="K69" s="3">
        <v>0</v>
      </c>
      <c r="L69" s="3">
        <v>0</v>
      </c>
      <c r="M69" s="3">
        <v>41441.441441441435</v>
      </c>
      <c r="N69" s="3">
        <v>0</v>
      </c>
      <c r="O69" s="3">
        <v>0</v>
      </c>
      <c r="P69" s="3">
        <f t="shared" ref="P69:P121" si="1">SUM(F69:J69)</f>
        <v>0.5</v>
      </c>
      <c r="Q69" s="3">
        <v>41441.441441441435</v>
      </c>
    </row>
    <row r="70" spans="3:17" x14ac:dyDescent="0.25">
      <c r="C70" s="2" t="s">
        <v>40</v>
      </c>
      <c r="D70" s="2" t="s">
        <v>5</v>
      </c>
      <c r="E70" s="2" t="s">
        <v>92</v>
      </c>
      <c r="F70" s="3">
        <v>0.6</v>
      </c>
      <c r="G70" s="3">
        <v>0</v>
      </c>
      <c r="H70" s="3">
        <v>0</v>
      </c>
      <c r="I70" s="3">
        <v>1.5</v>
      </c>
      <c r="J70" s="3">
        <v>0</v>
      </c>
      <c r="K70" s="3">
        <v>42178.542178542179</v>
      </c>
      <c r="L70" s="3">
        <v>0</v>
      </c>
      <c r="M70" s="3">
        <v>0</v>
      </c>
      <c r="N70" s="3">
        <v>129729.72972972972</v>
      </c>
      <c r="O70" s="3">
        <v>0</v>
      </c>
      <c r="P70" s="3">
        <f t="shared" si="1"/>
        <v>2.1</v>
      </c>
      <c r="Q70" s="3">
        <v>171908.27190827188</v>
      </c>
    </row>
    <row r="71" spans="3:17" x14ac:dyDescent="0.25">
      <c r="C71" s="2" t="s">
        <v>40</v>
      </c>
      <c r="D71" s="2" t="s">
        <v>5</v>
      </c>
      <c r="E71" s="2" t="s">
        <v>17</v>
      </c>
      <c r="F71" s="3">
        <v>0</v>
      </c>
      <c r="G71" s="3">
        <v>0</v>
      </c>
      <c r="H71" s="3">
        <v>0.5</v>
      </c>
      <c r="I71" s="3">
        <v>0</v>
      </c>
      <c r="J71" s="3">
        <v>0</v>
      </c>
      <c r="K71" s="3">
        <v>0</v>
      </c>
      <c r="L71" s="3">
        <v>0</v>
      </c>
      <c r="M71" s="3">
        <v>41441.441441441435</v>
      </c>
      <c r="N71" s="3">
        <v>0</v>
      </c>
      <c r="O71" s="3">
        <v>0</v>
      </c>
      <c r="P71" s="3">
        <f t="shared" si="1"/>
        <v>0.5</v>
      </c>
      <c r="Q71" s="3">
        <v>41441.441441441435</v>
      </c>
    </row>
    <row r="72" spans="3:17" x14ac:dyDescent="0.25">
      <c r="C72" s="2" t="s">
        <v>40</v>
      </c>
      <c r="D72" s="2" t="s">
        <v>5</v>
      </c>
      <c r="E72" s="2" t="s">
        <v>93</v>
      </c>
      <c r="F72" s="3">
        <v>0</v>
      </c>
      <c r="G72" s="3">
        <v>0.5</v>
      </c>
      <c r="H72" s="3">
        <v>0.30000000000000004</v>
      </c>
      <c r="I72" s="3">
        <v>0</v>
      </c>
      <c r="J72" s="3">
        <v>0</v>
      </c>
      <c r="K72" s="3">
        <v>0</v>
      </c>
      <c r="L72" s="3">
        <v>42342.342342342337</v>
      </c>
      <c r="M72" s="3">
        <v>40540.540540540533</v>
      </c>
      <c r="N72" s="3">
        <v>0</v>
      </c>
      <c r="O72" s="3">
        <v>0</v>
      </c>
      <c r="P72" s="3">
        <f t="shared" si="1"/>
        <v>0.8</v>
      </c>
      <c r="Q72" s="3">
        <v>82882.88288288287</v>
      </c>
    </row>
    <row r="73" spans="3:17" x14ac:dyDescent="0.25">
      <c r="C73" s="2" t="s">
        <v>40</v>
      </c>
      <c r="D73" s="2" t="s">
        <v>5</v>
      </c>
      <c r="E73" s="2" t="s">
        <v>94</v>
      </c>
      <c r="F73" s="3">
        <v>0</v>
      </c>
      <c r="G73" s="3">
        <v>1</v>
      </c>
      <c r="H73" s="3">
        <v>0.5</v>
      </c>
      <c r="I73" s="3">
        <v>0</v>
      </c>
      <c r="J73" s="3">
        <v>0</v>
      </c>
      <c r="K73" s="3">
        <v>0</v>
      </c>
      <c r="L73" s="3">
        <v>90090.090090090089</v>
      </c>
      <c r="M73" s="3">
        <v>41891.891891891886</v>
      </c>
      <c r="N73" s="3">
        <v>0</v>
      </c>
      <c r="O73" s="3">
        <v>0</v>
      </c>
      <c r="P73" s="3">
        <f t="shared" si="1"/>
        <v>1.5</v>
      </c>
      <c r="Q73" s="3">
        <v>131981.98198198198</v>
      </c>
    </row>
    <row r="74" spans="3:17" x14ac:dyDescent="0.25">
      <c r="C74" s="2" t="s">
        <v>40</v>
      </c>
      <c r="D74" s="2" t="s">
        <v>5</v>
      </c>
      <c r="E74" s="2" t="s">
        <v>18</v>
      </c>
      <c r="F74" s="3">
        <v>1</v>
      </c>
      <c r="G74" s="3">
        <v>0</v>
      </c>
      <c r="H74" s="3">
        <v>0</v>
      </c>
      <c r="I74" s="3">
        <v>0.5</v>
      </c>
      <c r="J74" s="3">
        <v>0</v>
      </c>
      <c r="K74" s="3">
        <v>65454.545454545449</v>
      </c>
      <c r="L74" s="3">
        <v>0</v>
      </c>
      <c r="M74" s="3">
        <v>0</v>
      </c>
      <c r="N74" s="3">
        <v>43243.24324324324</v>
      </c>
      <c r="O74" s="3">
        <v>0</v>
      </c>
      <c r="P74" s="3">
        <f t="shared" si="1"/>
        <v>1.5</v>
      </c>
      <c r="Q74" s="3">
        <v>108697.7886977887</v>
      </c>
    </row>
    <row r="75" spans="3:17" x14ac:dyDescent="0.25">
      <c r="C75" s="2" t="s">
        <v>40</v>
      </c>
      <c r="D75" s="2" t="s">
        <v>5</v>
      </c>
      <c r="E75" s="2" t="s">
        <v>95</v>
      </c>
      <c r="F75" s="3">
        <v>10</v>
      </c>
      <c r="G75" s="3">
        <v>0</v>
      </c>
      <c r="H75" s="3">
        <v>0</v>
      </c>
      <c r="I75" s="3">
        <v>0</v>
      </c>
      <c r="J75" s="3">
        <v>0</v>
      </c>
      <c r="K75" s="3">
        <v>636363.63636363635</v>
      </c>
      <c r="L75" s="3">
        <v>0</v>
      </c>
      <c r="M75" s="3">
        <v>0</v>
      </c>
      <c r="N75" s="3">
        <v>0</v>
      </c>
      <c r="O75" s="3">
        <v>0</v>
      </c>
      <c r="P75" s="3">
        <f t="shared" si="1"/>
        <v>10</v>
      </c>
      <c r="Q75" s="3">
        <v>636363.63636363635</v>
      </c>
    </row>
    <row r="76" spans="3:17" x14ac:dyDescent="0.25">
      <c r="C76" s="2" t="s">
        <v>40</v>
      </c>
      <c r="D76" s="2" t="s">
        <v>5</v>
      </c>
      <c r="E76" s="2" t="s">
        <v>96</v>
      </c>
      <c r="F76" s="3">
        <v>0</v>
      </c>
      <c r="G76" s="3">
        <v>0</v>
      </c>
      <c r="H76" s="3">
        <v>0</v>
      </c>
      <c r="I76" s="3">
        <v>0.5</v>
      </c>
      <c r="J76" s="3">
        <v>0</v>
      </c>
      <c r="K76" s="3">
        <v>0</v>
      </c>
      <c r="L76" s="3">
        <v>0</v>
      </c>
      <c r="M76" s="3">
        <v>0</v>
      </c>
      <c r="N76" s="3">
        <v>43243.24324324324</v>
      </c>
      <c r="O76" s="3">
        <v>0</v>
      </c>
      <c r="P76" s="3">
        <f t="shared" si="1"/>
        <v>0.5</v>
      </c>
      <c r="Q76" s="3">
        <v>43243.24324324324</v>
      </c>
    </row>
    <row r="77" spans="3:17" x14ac:dyDescent="0.25">
      <c r="C77" s="2" t="s">
        <v>40</v>
      </c>
      <c r="D77" s="2" t="s">
        <v>5</v>
      </c>
      <c r="E77" s="2" t="s">
        <v>97</v>
      </c>
      <c r="F77" s="3">
        <v>0</v>
      </c>
      <c r="G77" s="3">
        <v>0.2</v>
      </c>
      <c r="H77" s="3">
        <v>0.5</v>
      </c>
      <c r="I77" s="3">
        <v>0</v>
      </c>
      <c r="J77" s="3">
        <v>0</v>
      </c>
      <c r="K77" s="3">
        <v>0</v>
      </c>
      <c r="L77" s="3">
        <v>27027.027027027023</v>
      </c>
      <c r="M77" s="3">
        <v>45045.045045045044</v>
      </c>
      <c r="N77" s="3">
        <v>0</v>
      </c>
      <c r="O77" s="3">
        <v>0</v>
      </c>
      <c r="P77" s="3">
        <f t="shared" si="1"/>
        <v>0.7</v>
      </c>
      <c r="Q77" s="3">
        <v>72072.072072072071</v>
      </c>
    </row>
    <row r="78" spans="3:17" x14ac:dyDescent="0.25">
      <c r="C78" s="2" t="s">
        <v>40</v>
      </c>
      <c r="D78" s="2" t="s">
        <v>5</v>
      </c>
      <c r="E78" s="2" t="s">
        <v>98</v>
      </c>
      <c r="F78" s="3">
        <v>0</v>
      </c>
      <c r="G78" s="3">
        <v>0</v>
      </c>
      <c r="H78" s="3">
        <v>0.1</v>
      </c>
      <c r="I78" s="3">
        <v>0</v>
      </c>
      <c r="J78" s="3">
        <v>0</v>
      </c>
      <c r="K78" s="3">
        <v>0</v>
      </c>
      <c r="L78" s="3">
        <v>0</v>
      </c>
      <c r="M78" s="3">
        <v>15315.315315315314</v>
      </c>
      <c r="N78" s="3">
        <v>0</v>
      </c>
      <c r="O78" s="3">
        <v>0</v>
      </c>
      <c r="P78" s="3">
        <f t="shared" si="1"/>
        <v>0.1</v>
      </c>
      <c r="Q78" s="3">
        <v>15315.315315315314</v>
      </c>
    </row>
    <row r="79" spans="3:17" x14ac:dyDescent="0.25">
      <c r="C79" s="2" t="s">
        <v>40</v>
      </c>
      <c r="D79" s="2" t="s">
        <v>5</v>
      </c>
      <c r="E79" s="2" t="s">
        <v>99</v>
      </c>
      <c r="F79" s="3">
        <v>0.2</v>
      </c>
      <c r="G79" s="3">
        <v>0.2</v>
      </c>
      <c r="H79" s="3">
        <v>0</v>
      </c>
      <c r="I79" s="3">
        <v>0</v>
      </c>
      <c r="J79" s="3">
        <v>0</v>
      </c>
      <c r="K79" s="3">
        <v>27027.027027027023</v>
      </c>
      <c r="L79" s="3">
        <v>26126.126126126124</v>
      </c>
      <c r="M79" s="3">
        <v>0</v>
      </c>
      <c r="N79" s="3">
        <v>0</v>
      </c>
      <c r="O79" s="3">
        <v>0</v>
      </c>
      <c r="P79" s="3">
        <f t="shared" si="1"/>
        <v>0.4</v>
      </c>
      <c r="Q79" s="3">
        <v>53153.153153153151</v>
      </c>
    </row>
    <row r="80" spans="3:17" x14ac:dyDescent="0.25">
      <c r="C80" s="2" t="s">
        <v>40</v>
      </c>
      <c r="D80" s="2" t="s">
        <v>5</v>
      </c>
      <c r="E80" s="2" t="s">
        <v>100</v>
      </c>
      <c r="F80" s="3">
        <v>0</v>
      </c>
      <c r="G80" s="3">
        <v>0</v>
      </c>
      <c r="H80" s="3">
        <v>0</v>
      </c>
      <c r="I80" s="3">
        <v>0.2</v>
      </c>
      <c r="J80" s="3">
        <v>0</v>
      </c>
      <c r="K80" s="3">
        <v>0</v>
      </c>
      <c r="L80" s="3">
        <v>0</v>
      </c>
      <c r="M80" s="3">
        <v>0</v>
      </c>
      <c r="N80" s="3">
        <v>25225.225225225222</v>
      </c>
      <c r="O80" s="3">
        <v>0</v>
      </c>
      <c r="P80" s="3">
        <f t="shared" si="1"/>
        <v>0.2</v>
      </c>
      <c r="Q80" s="3">
        <v>25225.225225225222</v>
      </c>
    </row>
    <row r="81" spans="3:17" x14ac:dyDescent="0.25">
      <c r="C81" s="2" t="s">
        <v>40</v>
      </c>
      <c r="D81" s="2" t="s">
        <v>5</v>
      </c>
      <c r="E81" s="2" t="s">
        <v>101</v>
      </c>
      <c r="F81" s="3">
        <v>0.2</v>
      </c>
      <c r="G81" s="3">
        <v>0.5</v>
      </c>
      <c r="H81" s="3">
        <v>0</v>
      </c>
      <c r="I81" s="3">
        <v>0</v>
      </c>
      <c r="J81" s="3">
        <v>0</v>
      </c>
      <c r="K81" s="3">
        <v>31531.531531531527</v>
      </c>
      <c r="L81" s="3">
        <v>42342.342342342337</v>
      </c>
      <c r="M81" s="3">
        <v>0</v>
      </c>
      <c r="N81" s="3">
        <v>0</v>
      </c>
      <c r="O81" s="3">
        <v>0</v>
      </c>
      <c r="P81" s="3">
        <f t="shared" si="1"/>
        <v>0.7</v>
      </c>
      <c r="Q81" s="3">
        <v>73873.873873873861</v>
      </c>
    </row>
    <row r="82" spans="3:17" x14ac:dyDescent="0.25">
      <c r="C82" s="2" t="s">
        <v>40</v>
      </c>
      <c r="D82" s="2" t="s">
        <v>5</v>
      </c>
      <c r="E82" s="2" t="s">
        <v>102</v>
      </c>
      <c r="F82" s="3">
        <v>0</v>
      </c>
      <c r="G82" s="3">
        <v>0.5</v>
      </c>
      <c r="H82" s="3">
        <v>0</v>
      </c>
      <c r="I82" s="3">
        <v>0</v>
      </c>
      <c r="J82" s="3">
        <v>0</v>
      </c>
      <c r="K82" s="3">
        <v>0</v>
      </c>
      <c r="L82" s="3">
        <v>41441.441441441435</v>
      </c>
      <c r="M82" s="3">
        <v>0</v>
      </c>
      <c r="N82" s="3">
        <v>0</v>
      </c>
      <c r="O82" s="3">
        <v>0</v>
      </c>
      <c r="P82" s="3">
        <f t="shared" si="1"/>
        <v>0.5</v>
      </c>
      <c r="Q82" s="3">
        <v>41441.441441441435</v>
      </c>
    </row>
    <row r="83" spans="3:17" x14ac:dyDescent="0.25">
      <c r="C83" s="2" t="s">
        <v>40</v>
      </c>
      <c r="D83" s="2" t="s">
        <v>5</v>
      </c>
      <c r="E83" s="2" t="s">
        <v>19</v>
      </c>
      <c r="F83" s="3">
        <v>0.9</v>
      </c>
      <c r="G83" s="3">
        <v>0</v>
      </c>
      <c r="H83" s="3">
        <v>0</v>
      </c>
      <c r="I83" s="3">
        <v>0</v>
      </c>
      <c r="J83" s="3">
        <v>1.5</v>
      </c>
      <c r="K83" s="3">
        <v>86781.326781326774</v>
      </c>
      <c r="L83" s="3">
        <v>0</v>
      </c>
      <c r="M83" s="3">
        <v>0</v>
      </c>
      <c r="N83" s="3">
        <v>0</v>
      </c>
      <c r="O83" s="3">
        <v>129729.72972972972</v>
      </c>
      <c r="P83" s="3">
        <f t="shared" si="1"/>
        <v>2.4</v>
      </c>
      <c r="Q83" s="3">
        <v>86781.326781326774</v>
      </c>
    </row>
    <row r="84" spans="3:17" x14ac:dyDescent="0.25">
      <c r="C84" s="2" t="s">
        <v>40</v>
      </c>
      <c r="D84" s="2" t="s">
        <v>5</v>
      </c>
      <c r="E84" s="2" t="s">
        <v>103</v>
      </c>
      <c r="F84" s="3">
        <v>0.6</v>
      </c>
      <c r="G84" s="3">
        <v>0</v>
      </c>
      <c r="H84" s="3">
        <v>0</v>
      </c>
      <c r="I84" s="3">
        <v>0</v>
      </c>
      <c r="J84" s="3">
        <v>0</v>
      </c>
      <c r="K84" s="3">
        <v>46240.786240786234</v>
      </c>
      <c r="L84" s="3">
        <v>0</v>
      </c>
      <c r="M84" s="3">
        <v>0</v>
      </c>
      <c r="N84" s="3">
        <v>0</v>
      </c>
      <c r="O84" s="3">
        <v>0</v>
      </c>
      <c r="P84" s="3">
        <f t="shared" si="1"/>
        <v>0.6</v>
      </c>
      <c r="Q84" s="3">
        <v>46240.786240786234</v>
      </c>
    </row>
    <row r="85" spans="3:17" x14ac:dyDescent="0.25">
      <c r="C85" s="2" t="s">
        <v>40</v>
      </c>
      <c r="D85" s="2" t="s">
        <v>5</v>
      </c>
      <c r="E85" s="2" t="s">
        <v>20</v>
      </c>
      <c r="F85" s="3">
        <v>0</v>
      </c>
      <c r="G85" s="3">
        <v>6.5</v>
      </c>
      <c r="H85" s="3">
        <v>0</v>
      </c>
      <c r="I85" s="3">
        <v>0</v>
      </c>
      <c r="J85" s="3">
        <v>0</v>
      </c>
      <c r="K85" s="3">
        <v>0</v>
      </c>
      <c r="L85" s="3">
        <v>585585.58558558556</v>
      </c>
      <c r="M85" s="3">
        <v>0</v>
      </c>
      <c r="N85" s="3">
        <v>0</v>
      </c>
      <c r="O85" s="3">
        <v>0</v>
      </c>
      <c r="P85" s="3">
        <f t="shared" si="1"/>
        <v>6.5</v>
      </c>
      <c r="Q85" s="3">
        <v>585585.58558558556</v>
      </c>
    </row>
    <row r="86" spans="3:17" x14ac:dyDescent="0.25">
      <c r="C86" s="2" t="s">
        <v>40</v>
      </c>
      <c r="D86" s="2" t="s">
        <v>5</v>
      </c>
      <c r="E86" s="2" t="s">
        <v>104</v>
      </c>
      <c r="F86" s="3">
        <v>0</v>
      </c>
      <c r="G86" s="3">
        <v>0</v>
      </c>
      <c r="H86" s="3">
        <v>0</v>
      </c>
      <c r="I86" s="3">
        <v>5</v>
      </c>
      <c r="J86" s="3">
        <v>0</v>
      </c>
      <c r="K86" s="3">
        <v>0</v>
      </c>
      <c r="L86" s="3">
        <v>0</v>
      </c>
      <c r="M86" s="3">
        <v>0</v>
      </c>
      <c r="N86" s="3">
        <v>472972.9729729729</v>
      </c>
      <c r="O86" s="3">
        <v>0</v>
      </c>
      <c r="P86" s="3">
        <f t="shared" si="1"/>
        <v>5</v>
      </c>
      <c r="Q86" s="3">
        <v>472972.9729729729</v>
      </c>
    </row>
    <row r="87" spans="3:17" x14ac:dyDescent="0.25">
      <c r="C87" s="2" t="s">
        <v>40</v>
      </c>
      <c r="D87" s="2" t="s">
        <v>5</v>
      </c>
      <c r="E87" s="2" t="s">
        <v>21</v>
      </c>
      <c r="F87" s="3">
        <v>0</v>
      </c>
      <c r="G87" s="3">
        <v>0</v>
      </c>
      <c r="H87" s="3">
        <v>0</v>
      </c>
      <c r="I87" s="3">
        <v>1</v>
      </c>
      <c r="J87" s="3">
        <v>1</v>
      </c>
      <c r="K87" s="3">
        <v>0</v>
      </c>
      <c r="L87" s="3">
        <v>0</v>
      </c>
      <c r="M87" s="3">
        <v>0</v>
      </c>
      <c r="N87" s="3">
        <v>96234.234234234231</v>
      </c>
      <c r="O87" s="3">
        <v>108792.79279279278</v>
      </c>
      <c r="P87" s="3">
        <f t="shared" si="1"/>
        <v>2</v>
      </c>
      <c r="Q87" s="3">
        <v>96234.234234234231</v>
      </c>
    </row>
    <row r="88" spans="3:17" x14ac:dyDescent="0.25">
      <c r="C88" s="2" t="s">
        <v>40</v>
      </c>
      <c r="D88" s="2" t="s">
        <v>5</v>
      </c>
      <c r="E88" s="2" t="s">
        <v>22</v>
      </c>
      <c r="F88" s="3">
        <v>0</v>
      </c>
      <c r="G88" s="3">
        <v>0</v>
      </c>
      <c r="H88" s="3">
        <v>0</v>
      </c>
      <c r="I88" s="3">
        <v>1.5</v>
      </c>
      <c r="J88" s="3">
        <v>3</v>
      </c>
      <c r="K88" s="3">
        <v>0</v>
      </c>
      <c r="L88" s="3">
        <v>0</v>
      </c>
      <c r="M88" s="3">
        <v>0</v>
      </c>
      <c r="N88" s="3">
        <v>166576.57657657657</v>
      </c>
      <c r="O88" s="26">
        <v>318918.91891891888</v>
      </c>
      <c r="P88" s="3">
        <f t="shared" si="1"/>
        <v>4.5</v>
      </c>
      <c r="Q88" s="3">
        <v>166576.57657657657</v>
      </c>
    </row>
    <row r="89" spans="3:17" x14ac:dyDescent="0.25">
      <c r="C89" s="2" t="s">
        <v>40</v>
      </c>
      <c r="D89" s="2" t="s">
        <v>5</v>
      </c>
      <c r="E89" s="2" t="s">
        <v>23</v>
      </c>
      <c r="F89" s="3">
        <v>30</v>
      </c>
      <c r="G89" s="3">
        <v>0</v>
      </c>
      <c r="H89" s="3">
        <v>0</v>
      </c>
      <c r="I89" s="3">
        <v>0</v>
      </c>
      <c r="J89" s="3">
        <v>0</v>
      </c>
      <c r="K89" s="3">
        <v>1909090.9090909092</v>
      </c>
      <c r="L89" s="3">
        <v>0</v>
      </c>
      <c r="M89" s="3">
        <v>0</v>
      </c>
      <c r="N89" s="3">
        <v>0</v>
      </c>
      <c r="O89" s="3">
        <v>0</v>
      </c>
      <c r="P89" s="3">
        <f t="shared" si="1"/>
        <v>30</v>
      </c>
      <c r="Q89" s="3">
        <v>1909090.9090909092</v>
      </c>
    </row>
    <row r="90" spans="3:17" x14ac:dyDescent="0.25">
      <c r="C90" s="2" t="s">
        <v>40</v>
      </c>
      <c r="D90" s="2" t="s">
        <v>5</v>
      </c>
      <c r="E90" s="2" t="s">
        <v>105</v>
      </c>
      <c r="F90" s="3">
        <v>0</v>
      </c>
      <c r="G90" s="3">
        <v>0</v>
      </c>
      <c r="H90" s="3">
        <v>0</v>
      </c>
      <c r="I90" s="3">
        <v>20</v>
      </c>
      <c r="J90" s="3">
        <v>0</v>
      </c>
      <c r="K90" s="3">
        <v>0</v>
      </c>
      <c r="L90" s="3">
        <v>0</v>
      </c>
      <c r="M90" s="3">
        <v>0</v>
      </c>
      <c r="N90" s="3">
        <v>1657657.6576576573</v>
      </c>
      <c r="O90" s="3">
        <v>0</v>
      </c>
      <c r="P90" s="3">
        <f t="shared" si="1"/>
        <v>20</v>
      </c>
      <c r="Q90" s="3">
        <v>1657657.6576576573</v>
      </c>
    </row>
    <row r="91" spans="3:17" x14ac:dyDescent="0.25">
      <c r="C91" s="2" t="s">
        <v>40</v>
      </c>
      <c r="D91" s="2" t="s">
        <v>5</v>
      </c>
      <c r="E91" s="2" t="s">
        <v>106</v>
      </c>
      <c r="F91" s="3">
        <v>30</v>
      </c>
      <c r="G91" s="3">
        <v>0</v>
      </c>
      <c r="H91" s="3">
        <v>0</v>
      </c>
      <c r="I91" s="3">
        <v>0</v>
      </c>
      <c r="J91" s="3">
        <v>0</v>
      </c>
      <c r="K91" s="3">
        <v>1918918.9189189186</v>
      </c>
      <c r="L91" s="3">
        <v>0</v>
      </c>
      <c r="M91" s="3">
        <v>0</v>
      </c>
      <c r="N91" s="3">
        <v>0</v>
      </c>
      <c r="O91" s="3">
        <v>0</v>
      </c>
      <c r="P91" s="3">
        <f t="shared" si="1"/>
        <v>30</v>
      </c>
      <c r="Q91" s="3">
        <v>1918918.9189189186</v>
      </c>
    </row>
    <row r="92" spans="3:17" x14ac:dyDescent="0.25">
      <c r="C92" s="2" t="s">
        <v>40</v>
      </c>
      <c r="D92" s="2" t="s">
        <v>5</v>
      </c>
      <c r="E92" s="2" t="s">
        <v>107</v>
      </c>
      <c r="F92" s="3">
        <v>70</v>
      </c>
      <c r="G92" s="3">
        <v>0</v>
      </c>
      <c r="H92" s="3">
        <v>0</v>
      </c>
      <c r="I92" s="3">
        <v>0</v>
      </c>
      <c r="J92" s="3">
        <v>0</v>
      </c>
      <c r="K92" s="3">
        <v>4474201.4742014734</v>
      </c>
      <c r="L92" s="3">
        <v>0</v>
      </c>
      <c r="M92" s="3">
        <v>0</v>
      </c>
      <c r="N92" s="3">
        <v>0</v>
      </c>
      <c r="O92" s="3">
        <v>0</v>
      </c>
      <c r="P92" s="3">
        <f t="shared" si="1"/>
        <v>70</v>
      </c>
      <c r="Q92" s="3">
        <v>4474201.4742014734</v>
      </c>
    </row>
    <row r="93" spans="3:17" x14ac:dyDescent="0.25">
      <c r="C93" s="2" t="s">
        <v>40</v>
      </c>
      <c r="D93" s="2" t="s">
        <v>5</v>
      </c>
      <c r="E93" s="2" t="s">
        <v>108</v>
      </c>
      <c r="F93" s="3">
        <v>20</v>
      </c>
      <c r="G93" s="3">
        <v>0</v>
      </c>
      <c r="H93" s="3">
        <v>0</v>
      </c>
      <c r="I93" s="3">
        <v>0</v>
      </c>
      <c r="J93" s="3">
        <v>0</v>
      </c>
      <c r="K93" s="3">
        <v>1297297.2972972973</v>
      </c>
      <c r="L93" s="3">
        <v>0</v>
      </c>
      <c r="M93" s="3">
        <v>0</v>
      </c>
      <c r="N93" s="3">
        <v>0</v>
      </c>
      <c r="O93" s="3">
        <v>0</v>
      </c>
      <c r="P93" s="3">
        <f t="shared" si="1"/>
        <v>20</v>
      </c>
      <c r="Q93" s="3">
        <v>1297297.2972972973</v>
      </c>
    </row>
    <row r="94" spans="3:17" x14ac:dyDescent="0.25">
      <c r="C94" s="2" t="s">
        <v>40</v>
      </c>
      <c r="D94" s="2" t="s">
        <v>5</v>
      </c>
      <c r="E94" s="2" t="s">
        <v>109</v>
      </c>
      <c r="F94" s="3">
        <v>40</v>
      </c>
      <c r="G94" s="3">
        <v>110</v>
      </c>
      <c r="H94" s="3">
        <v>30</v>
      </c>
      <c r="I94" s="3">
        <v>0</v>
      </c>
      <c r="J94" s="3">
        <v>0</v>
      </c>
      <c r="K94" s="3">
        <v>2594594.5945945946</v>
      </c>
      <c r="L94" s="3">
        <v>8288288.2882882869</v>
      </c>
      <c r="M94" s="3">
        <v>3648648.6486486485</v>
      </c>
      <c r="N94" s="3">
        <v>0</v>
      </c>
      <c r="O94" s="3">
        <v>0</v>
      </c>
      <c r="P94" s="3">
        <f t="shared" si="1"/>
        <v>180</v>
      </c>
      <c r="Q94" s="3">
        <v>14531531.531531531</v>
      </c>
    </row>
    <row r="95" spans="3:17" x14ac:dyDescent="0.25">
      <c r="C95" s="2" t="s">
        <v>40</v>
      </c>
      <c r="D95" s="2" t="s">
        <v>5</v>
      </c>
      <c r="E95" s="2" t="s">
        <v>110</v>
      </c>
      <c r="F95" s="3">
        <v>0</v>
      </c>
      <c r="G95" s="3">
        <v>0</v>
      </c>
      <c r="H95" s="3">
        <v>0</v>
      </c>
      <c r="I95" s="3">
        <v>0.1</v>
      </c>
      <c r="J95" s="3">
        <v>0</v>
      </c>
      <c r="K95" s="3">
        <v>0</v>
      </c>
      <c r="L95" s="3">
        <v>0</v>
      </c>
      <c r="M95" s="3">
        <v>0</v>
      </c>
      <c r="N95" s="3">
        <v>14189.189189189188</v>
      </c>
      <c r="O95" s="3">
        <v>0</v>
      </c>
      <c r="P95" s="3">
        <f t="shared" si="1"/>
        <v>0.1</v>
      </c>
      <c r="Q95" s="3">
        <v>14189.189189189188</v>
      </c>
    </row>
    <row r="96" spans="3:17" x14ac:dyDescent="0.25">
      <c r="C96" s="2" t="s">
        <v>40</v>
      </c>
      <c r="D96" s="2" t="s">
        <v>5</v>
      </c>
      <c r="E96" s="2" t="s">
        <v>111</v>
      </c>
      <c r="F96" s="3">
        <v>0</v>
      </c>
      <c r="G96" s="3">
        <v>1</v>
      </c>
      <c r="H96" s="3">
        <v>0</v>
      </c>
      <c r="I96" s="3">
        <v>0</v>
      </c>
      <c r="J96" s="3">
        <v>0</v>
      </c>
      <c r="K96" s="3">
        <v>0</v>
      </c>
      <c r="L96" s="3">
        <v>126126.12612612611</v>
      </c>
      <c r="M96" s="3">
        <v>0</v>
      </c>
      <c r="N96" s="3">
        <v>0</v>
      </c>
      <c r="O96" s="3">
        <v>0</v>
      </c>
      <c r="P96" s="3">
        <f t="shared" si="1"/>
        <v>1</v>
      </c>
      <c r="Q96" s="3">
        <v>126126.12612612611</v>
      </c>
    </row>
    <row r="97" spans="3:17" x14ac:dyDescent="0.25">
      <c r="C97" s="2" t="s">
        <v>40</v>
      </c>
      <c r="D97" s="2" t="s">
        <v>5</v>
      </c>
      <c r="E97" s="2" t="s">
        <v>24</v>
      </c>
      <c r="F97" s="3">
        <v>50</v>
      </c>
      <c r="G97" s="3">
        <v>120</v>
      </c>
      <c r="H97" s="3">
        <v>30</v>
      </c>
      <c r="I97" s="3">
        <v>130</v>
      </c>
      <c r="J97" s="3">
        <v>0</v>
      </c>
      <c r="K97" s="3">
        <v>3198198.1981981979</v>
      </c>
      <c r="L97" s="3">
        <v>9945945.9459459446</v>
      </c>
      <c r="M97" s="3">
        <v>2486486.4864864862</v>
      </c>
      <c r="N97" s="3">
        <v>10774774.774774771</v>
      </c>
      <c r="O97" s="3">
        <v>0</v>
      </c>
      <c r="P97" s="3">
        <f t="shared" si="1"/>
        <v>330</v>
      </c>
      <c r="Q97" s="3">
        <v>26405405.405405398</v>
      </c>
    </row>
    <row r="98" spans="3:17" x14ac:dyDescent="0.25">
      <c r="C98" s="2" t="s">
        <v>40</v>
      </c>
      <c r="D98" s="2" t="s">
        <v>5</v>
      </c>
      <c r="E98" s="2" t="s">
        <v>112</v>
      </c>
      <c r="F98" s="3">
        <v>5</v>
      </c>
      <c r="G98" s="3">
        <v>0</v>
      </c>
      <c r="H98" s="3">
        <v>0</v>
      </c>
      <c r="I98" s="3">
        <v>0</v>
      </c>
      <c r="J98" s="3">
        <v>0</v>
      </c>
      <c r="K98" s="3">
        <v>319819.81981981976</v>
      </c>
      <c r="L98" s="3">
        <v>0</v>
      </c>
      <c r="M98" s="3">
        <v>0</v>
      </c>
      <c r="N98" s="3">
        <v>0</v>
      </c>
      <c r="O98" s="3">
        <v>0</v>
      </c>
      <c r="P98" s="3">
        <f t="shared" si="1"/>
        <v>5</v>
      </c>
      <c r="Q98" s="3">
        <v>319819.81981981976</v>
      </c>
    </row>
    <row r="99" spans="3:17" x14ac:dyDescent="0.25">
      <c r="C99" s="2" t="s">
        <v>40</v>
      </c>
      <c r="D99" s="2" t="s">
        <v>5</v>
      </c>
      <c r="E99" s="2" t="s">
        <v>25</v>
      </c>
      <c r="F99" s="3">
        <v>250</v>
      </c>
      <c r="G99" s="3">
        <v>115</v>
      </c>
      <c r="H99" s="3">
        <v>0</v>
      </c>
      <c r="I99" s="3">
        <v>0</v>
      </c>
      <c r="J99" s="3">
        <v>0</v>
      </c>
      <c r="K99" s="3">
        <v>15909090.909090908</v>
      </c>
      <c r="L99" s="3">
        <v>8288288.2882882869</v>
      </c>
      <c r="M99" s="3">
        <v>0</v>
      </c>
      <c r="N99" s="3">
        <v>0</v>
      </c>
      <c r="O99" s="3">
        <v>0</v>
      </c>
      <c r="P99" s="3">
        <f t="shared" si="1"/>
        <v>365</v>
      </c>
      <c r="Q99" s="3">
        <v>24197379.197379194</v>
      </c>
    </row>
    <row r="100" spans="3:17" x14ac:dyDescent="0.25">
      <c r="C100" s="2" t="s">
        <v>40</v>
      </c>
      <c r="D100" s="2" t="s">
        <v>5</v>
      </c>
      <c r="E100" s="2" t="s">
        <v>113</v>
      </c>
      <c r="F100" s="3">
        <v>200</v>
      </c>
      <c r="G100" s="3">
        <v>0</v>
      </c>
      <c r="H100" s="3">
        <v>0</v>
      </c>
      <c r="I100" s="3">
        <v>0</v>
      </c>
      <c r="J100" s="3">
        <v>0</v>
      </c>
      <c r="K100" s="3">
        <v>12792792.792792792</v>
      </c>
      <c r="L100" s="3">
        <v>0</v>
      </c>
      <c r="M100" s="3">
        <v>0</v>
      </c>
      <c r="N100" s="3">
        <v>0</v>
      </c>
      <c r="O100" s="3">
        <v>0</v>
      </c>
      <c r="P100" s="3">
        <f t="shared" si="1"/>
        <v>200</v>
      </c>
      <c r="Q100" s="3">
        <v>12792792.792792792</v>
      </c>
    </row>
    <row r="101" spans="3:17" x14ac:dyDescent="0.25">
      <c r="C101" s="2" t="s">
        <v>40</v>
      </c>
      <c r="D101" s="2" t="s">
        <v>5</v>
      </c>
      <c r="E101" s="2" t="s">
        <v>114</v>
      </c>
      <c r="F101" s="3">
        <v>80</v>
      </c>
      <c r="G101" s="3">
        <v>0</v>
      </c>
      <c r="H101" s="3">
        <v>0</v>
      </c>
      <c r="I101" s="3">
        <v>0</v>
      </c>
      <c r="J101" s="3">
        <v>0</v>
      </c>
      <c r="K101" s="3">
        <v>5146928.7469287449</v>
      </c>
      <c r="L101" s="3">
        <v>0</v>
      </c>
      <c r="M101" s="3">
        <v>0</v>
      </c>
      <c r="N101" s="3">
        <v>0</v>
      </c>
      <c r="O101" s="3">
        <v>0</v>
      </c>
      <c r="P101" s="3">
        <f t="shared" si="1"/>
        <v>80</v>
      </c>
      <c r="Q101" s="3">
        <v>5146928.7469287449</v>
      </c>
    </row>
    <row r="102" spans="3:17" x14ac:dyDescent="0.25">
      <c r="C102" s="2" t="s">
        <v>40</v>
      </c>
      <c r="D102" s="2" t="s">
        <v>5</v>
      </c>
      <c r="E102" s="2" t="s">
        <v>115</v>
      </c>
      <c r="F102" s="3">
        <v>0</v>
      </c>
      <c r="G102" s="3">
        <v>0</v>
      </c>
      <c r="H102" s="3">
        <v>0</v>
      </c>
      <c r="I102" s="3">
        <v>20</v>
      </c>
      <c r="J102" s="3">
        <v>0</v>
      </c>
      <c r="K102" s="3">
        <v>0</v>
      </c>
      <c r="L102" s="3">
        <v>0</v>
      </c>
      <c r="M102" s="3">
        <v>0</v>
      </c>
      <c r="N102" s="3">
        <v>1657657.6576576573</v>
      </c>
      <c r="O102" s="3">
        <v>0</v>
      </c>
      <c r="P102" s="3">
        <f t="shared" si="1"/>
        <v>20</v>
      </c>
      <c r="Q102" s="3">
        <v>1657657.6576576573</v>
      </c>
    </row>
    <row r="103" spans="3:17" x14ac:dyDescent="0.25">
      <c r="C103" s="2" t="s">
        <v>40</v>
      </c>
      <c r="D103" s="2" t="s">
        <v>5</v>
      </c>
      <c r="E103" s="2" t="s">
        <v>116</v>
      </c>
      <c r="F103" s="3">
        <v>0</v>
      </c>
      <c r="G103" s="3">
        <v>11.5</v>
      </c>
      <c r="H103" s="3">
        <v>0</v>
      </c>
      <c r="I103" s="3">
        <v>0</v>
      </c>
      <c r="J103" s="3">
        <v>0</v>
      </c>
      <c r="K103" s="3">
        <v>0</v>
      </c>
      <c r="L103" s="3">
        <v>1027027.0270270269</v>
      </c>
      <c r="M103" s="3">
        <v>0</v>
      </c>
      <c r="N103" s="3">
        <v>0</v>
      </c>
      <c r="O103" s="3">
        <v>0</v>
      </c>
      <c r="P103" s="3">
        <f t="shared" si="1"/>
        <v>11.5</v>
      </c>
      <c r="Q103" s="3">
        <v>1027027.0270270269</v>
      </c>
    </row>
    <row r="104" spans="3:17" x14ac:dyDescent="0.25">
      <c r="C104" s="2" t="s">
        <v>40</v>
      </c>
      <c r="D104" s="2" t="s">
        <v>5</v>
      </c>
      <c r="E104" s="2" t="s">
        <v>117</v>
      </c>
      <c r="F104" s="3">
        <v>0</v>
      </c>
      <c r="G104" s="3">
        <v>6.5</v>
      </c>
      <c r="H104" s="3">
        <v>0</v>
      </c>
      <c r="I104" s="3">
        <v>0</v>
      </c>
      <c r="J104" s="3">
        <v>0</v>
      </c>
      <c r="K104" s="3">
        <v>0</v>
      </c>
      <c r="L104" s="3">
        <v>849099.09909909917</v>
      </c>
      <c r="M104" s="3">
        <v>0</v>
      </c>
      <c r="N104" s="3">
        <v>0</v>
      </c>
      <c r="O104" s="3">
        <v>0</v>
      </c>
      <c r="P104" s="3">
        <f t="shared" si="1"/>
        <v>6.5</v>
      </c>
      <c r="Q104" s="3">
        <v>849099.09909909917</v>
      </c>
    </row>
    <row r="105" spans="3:17" x14ac:dyDescent="0.25">
      <c r="C105" s="2" t="s">
        <v>40</v>
      </c>
      <c r="D105" s="2" t="s">
        <v>5</v>
      </c>
      <c r="E105" s="2" t="s">
        <v>118</v>
      </c>
      <c r="F105" s="3">
        <v>0</v>
      </c>
      <c r="G105" s="3">
        <v>160</v>
      </c>
      <c r="H105" s="3">
        <v>0</v>
      </c>
      <c r="I105" s="3">
        <v>0</v>
      </c>
      <c r="J105" s="3">
        <v>0</v>
      </c>
      <c r="K105" s="3">
        <v>0</v>
      </c>
      <c r="L105" s="3">
        <v>12252252.252252251</v>
      </c>
      <c r="M105" s="3">
        <v>0</v>
      </c>
      <c r="N105" s="3">
        <v>0</v>
      </c>
      <c r="O105" s="3">
        <v>0</v>
      </c>
      <c r="P105" s="3">
        <f t="shared" si="1"/>
        <v>160</v>
      </c>
      <c r="Q105" s="3">
        <v>12252252.252252251</v>
      </c>
    </row>
    <row r="106" spans="3:17" x14ac:dyDescent="0.25">
      <c r="C106" s="2" t="s">
        <v>40</v>
      </c>
      <c r="D106" s="2" t="s">
        <v>5</v>
      </c>
      <c r="E106" s="2" t="s">
        <v>119</v>
      </c>
      <c r="F106" s="3">
        <v>0</v>
      </c>
      <c r="G106" s="3">
        <v>0</v>
      </c>
      <c r="H106" s="3">
        <v>20</v>
      </c>
      <c r="I106" s="3">
        <v>0</v>
      </c>
      <c r="J106" s="3">
        <v>0</v>
      </c>
      <c r="K106" s="3">
        <v>0</v>
      </c>
      <c r="L106" s="3">
        <v>0</v>
      </c>
      <c r="M106" s="3">
        <v>1657657.6576576573</v>
      </c>
      <c r="N106" s="3">
        <v>0</v>
      </c>
      <c r="O106" s="3">
        <v>0</v>
      </c>
      <c r="P106" s="3">
        <f t="shared" si="1"/>
        <v>20</v>
      </c>
      <c r="Q106" s="3">
        <v>1657657.6576576573</v>
      </c>
    </row>
    <row r="107" spans="3:17" x14ac:dyDescent="0.25">
      <c r="C107" s="2" t="s">
        <v>40</v>
      </c>
      <c r="D107" s="2" t="s">
        <v>5</v>
      </c>
      <c r="E107" s="2" t="s">
        <v>120</v>
      </c>
      <c r="F107" s="3">
        <v>0</v>
      </c>
      <c r="G107" s="3">
        <v>5.5</v>
      </c>
      <c r="H107" s="3">
        <v>0</v>
      </c>
      <c r="I107" s="3">
        <v>0</v>
      </c>
      <c r="J107" s="3">
        <v>0</v>
      </c>
      <c r="K107" s="3">
        <v>0</v>
      </c>
      <c r="L107" s="3">
        <v>513963.96396396391</v>
      </c>
      <c r="M107" s="3">
        <v>0</v>
      </c>
      <c r="N107" s="3">
        <v>0</v>
      </c>
      <c r="O107" s="3">
        <v>0</v>
      </c>
      <c r="P107" s="3">
        <f t="shared" si="1"/>
        <v>5.5</v>
      </c>
      <c r="Q107" s="3">
        <v>513963.96396396391</v>
      </c>
    </row>
    <row r="108" spans="3:17" x14ac:dyDescent="0.25">
      <c r="C108" s="2" t="s">
        <v>40</v>
      </c>
      <c r="D108" s="2" t="s">
        <v>5</v>
      </c>
      <c r="E108" s="2" t="s">
        <v>121</v>
      </c>
      <c r="F108" s="3">
        <v>0</v>
      </c>
      <c r="G108" s="3">
        <v>260</v>
      </c>
      <c r="H108" s="3">
        <v>0</v>
      </c>
      <c r="I108" s="3">
        <v>0</v>
      </c>
      <c r="J108" s="3">
        <v>0</v>
      </c>
      <c r="K108" s="3">
        <v>0</v>
      </c>
      <c r="L108" s="3">
        <v>18738738.738738734</v>
      </c>
      <c r="M108" s="3">
        <v>0</v>
      </c>
      <c r="N108" s="3">
        <v>0</v>
      </c>
      <c r="O108" s="3">
        <v>0</v>
      </c>
      <c r="P108" s="3">
        <f t="shared" si="1"/>
        <v>260</v>
      </c>
      <c r="Q108" s="3">
        <v>18738738.738738734</v>
      </c>
    </row>
    <row r="109" spans="3:17" x14ac:dyDescent="0.25">
      <c r="C109" s="2" t="s">
        <v>40</v>
      </c>
      <c r="D109" s="2" t="s">
        <v>5</v>
      </c>
      <c r="E109" s="2" t="s">
        <v>122</v>
      </c>
      <c r="F109" s="3">
        <v>0</v>
      </c>
      <c r="G109" s="3">
        <v>0</v>
      </c>
      <c r="H109" s="3">
        <v>0</v>
      </c>
      <c r="I109" s="3">
        <v>130</v>
      </c>
      <c r="J109" s="3">
        <v>0</v>
      </c>
      <c r="K109" s="3">
        <v>0</v>
      </c>
      <c r="L109" s="3">
        <v>0</v>
      </c>
      <c r="M109" s="3">
        <v>0</v>
      </c>
      <c r="N109" s="3">
        <v>9945945.9459459446</v>
      </c>
      <c r="O109" s="3">
        <v>0</v>
      </c>
      <c r="P109" s="3">
        <f t="shared" si="1"/>
        <v>130</v>
      </c>
      <c r="Q109" s="3">
        <v>9945945.9459459446</v>
      </c>
    </row>
    <row r="110" spans="3:17" x14ac:dyDescent="0.25">
      <c r="C110" s="2" t="s">
        <v>40</v>
      </c>
      <c r="D110" s="2" t="s">
        <v>5</v>
      </c>
      <c r="E110" s="2" t="s">
        <v>123</v>
      </c>
      <c r="F110" s="3">
        <v>16</v>
      </c>
      <c r="G110" s="3">
        <v>0</v>
      </c>
      <c r="H110" s="3">
        <v>0</v>
      </c>
      <c r="I110" s="3">
        <v>0</v>
      </c>
      <c r="J110" s="3">
        <v>0</v>
      </c>
      <c r="K110" s="3">
        <v>1039066.339066339</v>
      </c>
      <c r="L110" s="3">
        <v>0</v>
      </c>
      <c r="M110" s="3">
        <v>0</v>
      </c>
      <c r="N110" s="3">
        <v>0</v>
      </c>
      <c r="O110" s="3">
        <v>0</v>
      </c>
      <c r="P110" s="3">
        <f t="shared" si="1"/>
        <v>16</v>
      </c>
      <c r="Q110" s="3">
        <v>1039066.339066339</v>
      </c>
    </row>
    <row r="111" spans="3:17" x14ac:dyDescent="0.25">
      <c r="C111" s="2" t="s">
        <v>40</v>
      </c>
      <c r="D111" s="2" t="s">
        <v>5</v>
      </c>
      <c r="E111" s="2" t="s">
        <v>124</v>
      </c>
      <c r="F111" s="3">
        <v>20</v>
      </c>
      <c r="G111" s="3">
        <v>0</v>
      </c>
      <c r="H111" s="3">
        <v>0</v>
      </c>
      <c r="I111" s="3">
        <v>0</v>
      </c>
      <c r="J111" s="3">
        <v>0</v>
      </c>
      <c r="K111" s="3">
        <v>1657657.6576576573</v>
      </c>
      <c r="L111" s="3">
        <v>0</v>
      </c>
      <c r="M111" s="3">
        <v>0</v>
      </c>
      <c r="N111" s="3">
        <v>0</v>
      </c>
      <c r="O111" s="3">
        <v>0</v>
      </c>
      <c r="P111" s="3">
        <f t="shared" si="1"/>
        <v>20</v>
      </c>
      <c r="Q111" s="3">
        <v>1657657.6576576573</v>
      </c>
    </row>
    <row r="112" spans="3:17" x14ac:dyDescent="0.25">
      <c r="C112" s="2" t="s">
        <v>40</v>
      </c>
      <c r="D112" s="2" t="s">
        <v>5</v>
      </c>
      <c r="E112" s="2" t="s">
        <v>125</v>
      </c>
      <c r="F112" s="3">
        <v>10</v>
      </c>
      <c r="G112" s="3">
        <v>7.5</v>
      </c>
      <c r="H112" s="3">
        <v>0</v>
      </c>
      <c r="I112" s="3">
        <v>0</v>
      </c>
      <c r="J112" s="3">
        <v>0</v>
      </c>
      <c r="K112" s="3">
        <v>636363.63636363635</v>
      </c>
      <c r="L112" s="3">
        <v>626126.12612612604</v>
      </c>
      <c r="M112" s="3">
        <v>0</v>
      </c>
      <c r="N112" s="3">
        <v>0</v>
      </c>
      <c r="O112" s="3">
        <v>0</v>
      </c>
      <c r="P112" s="3">
        <f t="shared" si="1"/>
        <v>17.5</v>
      </c>
      <c r="Q112" s="3">
        <v>1262489.7624897624</v>
      </c>
    </row>
    <row r="113" spans="3:17" x14ac:dyDescent="0.25">
      <c r="C113" s="2" t="s">
        <v>40</v>
      </c>
      <c r="D113" s="2" t="s">
        <v>5</v>
      </c>
      <c r="E113" s="2" t="s">
        <v>126</v>
      </c>
      <c r="F113" s="3">
        <v>100</v>
      </c>
      <c r="G113" s="3">
        <v>40</v>
      </c>
      <c r="H113" s="3">
        <v>60</v>
      </c>
      <c r="I113" s="3">
        <v>20</v>
      </c>
      <c r="J113" s="3">
        <v>0</v>
      </c>
      <c r="K113" s="3">
        <v>6941031.9410319403</v>
      </c>
      <c r="L113" s="3">
        <v>3315315.3153153146</v>
      </c>
      <c r="M113" s="3">
        <v>4972972.9729729723</v>
      </c>
      <c r="N113" s="3">
        <v>1657657.6576576573</v>
      </c>
      <c r="O113" s="3">
        <v>0</v>
      </c>
      <c r="P113" s="3">
        <f t="shared" si="1"/>
        <v>220</v>
      </c>
      <c r="Q113" s="3">
        <v>16886977.886977885</v>
      </c>
    </row>
    <row r="114" spans="3:17" x14ac:dyDescent="0.25">
      <c r="C114" s="2" t="s">
        <v>40</v>
      </c>
      <c r="D114" s="2" t="s">
        <v>5</v>
      </c>
      <c r="E114" s="2" t="s">
        <v>127</v>
      </c>
      <c r="F114" s="3">
        <v>10</v>
      </c>
      <c r="G114" s="3">
        <v>0</v>
      </c>
      <c r="H114" s="3">
        <v>0</v>
      </c>
      <c r="I114" s="3">
        <v>0</v>
      </c>
      <c r="J114" s="3">
        <v>0</v>
      </c>
      <c r="K114" s="3">
        <v>648648.64864864864</v>
      </c>
      <c r="L114" s="3">
        <v>0</v>
      </c>
      <c r="M114" s="3">
        <v>0</v>
      </c>
      <c r="N114" s="3">
        <v>0</v>
      </c>
      <c r="O114" s="3">
        <v>0</v>
      </c>
      <c r="P114" s="3">
        <f t="shared" si="1"/>
        <v>10</v>
      </c>
      <c r="Q114" s="3">
        <v>648648.64864864864</v>
      </c>
    </row>
    <row r="115" spans="3:17" x14ac:dyDescent="0.25">
      <c r="C115" s="2" t="s">
        <v>40</v>
      </c>
      <c r="D115" s="2" t="s">
        <v>5</v>
      </c>
      <c r="E115" s="2" t="s">
        <v>128</v>
      </c>
      <c r="F115" s="3">
        <v>0</v>
      </c>
      <c r="G115" s="3">
        <v>7.5</v>
      </c>
      <c r="H115" s="3">
        <v>0</v>
      </c>
      <c r="I115" s="3">
        <v>0</v>
      </c>
      <c r="J115" s="3">
        <v>0</v>
      </c>
      <c r="K115" s="3">
        <v>0</v>
      </c>
      <c r="L115" s="3">
        <v>912162.16216216201</v>
      </c>
      <c r="M115" s="3">
        <v>0</v>
      </c>
      <c r="N115" s="3">
        <v>0</v>
      </c>
      <c r="O115" s="3">
        <v>0</v>
      </c>
      <c r="P115" s="3">
        <f t="shared" si="1"/>
        <v>7.5</v>
      </c>
      <c r="Q115" s="3">
        <v>912162.16216216201</v>
      </c>
    </row>
    <row r="116" spans="3:17" x14ac:dyDescent="0.25">
      <c r="C116" s="2" t="s">
        <v>40</v>
      </c>
      <c r="D116" s="2" t="s">
        <v>5</v>
      </c>
      <c r="E116" s="2" t="s">
        <v>26</v>
      </c>
      <c r="F116" s="3">
        <v>0</v>
      </c>
      <c r="G116" s="3">
        <v>7</v>
      </c>
      <c r="H116" s="3">
        <v>24.25</v>
      </c>
      <c r="I116" s="3">
        <v>0</v>
      </c>
      <c r="J116" s="3">
        <v>0</v>
      </c>
      <c r="K116" s="3">
        <v>0</v>
      </c>
      <c r="L116" s="3">
        <v>851351.35135135136</v>
      </c>
      <c r="M116" s="3">
        <v>1945945.9459459456</v>
      </c>
      <c r="N116" s="3">
        <v>0</v>
      </c>
      <c r="O116" s="3">
        <v>0</v>
      </c>
      <c r="P116" s="3">
        <f t="shared" si="1"/>
        <v>31.25</v>
      </c>
      <c r="Q116" s="3">
        <v>2797297.297297297</v>
      </c>
    </row>
    <row r="117" spans="3:17" x14ac:dyDescent="0.25">
      <c r="C117" s="2" t="s">
        <v>40</v>
      </c>
      <c r="D117" s="2" t="s">
        <v>5</v>
      </c>
      <c r="E117" s="2" t="s">
        <v>27</v>
      </c>
      <c r="F117" s="3">
        <v>4.2</v>
      </c>
      <c r="G117" s="3">
        <v>1.5</v>
      </c>
      <c r="H117" s="3">
        <v>0.5</v>
      </c>
      <c r="I117" s="3">
        <v>2.5</v>
      </c>
      <c r="J117" s="3">
        <v>1.5</v>
      </c>
      <c r="K117" s="3">
        <v>340122.85012285016</v>
      </c>
      <c r="L117" s="3">
        <v>126126.12612612611</v>
      </c>
      <c r="M117" s="3">
        <v>42342.342342342337</v>
      </c>
      <c r="N117" s="3">
        <v>207207.20720720716</v>
      </c>
      <c r="O117" s="25">
        <v>124324.32432432431</v>
      </c>
      <c r="P117" s="3">
        <f t="shared" si="1"/>
        <v>10.199999999999999</v>
      </c>
      <c r="Q117" s="3">
        <v>715798.52579852566</v>
      </c>
    </row>
    <row r="118" spans="3:17" x14ac:dyDescent="0.25">
      <c r="C118" s="2" t="s">
        <v>40</v>
      </c>
      <c r="D118" s="2" t="s">
        <v>5</v>
      </c>
      <c r="E118" s="2" t="s">
        <v>129</v>
      </c>
      <c r="F118" s="3">
        <v>0</v>
      </c>
      <c r="G118" s="3">
        <v>20</v>
      </c>
      <c r="H118" s="3">
        <v>0</v>
      </c>
      <c r="I118" s="3">
        <v>0</v>
      </c>
      <c r="J118" s="3">
        <v>0</v>
      </c>
      <c r="K118" s="3">
        <v>0</v>
      </c>
      <c r="L118" s="3">
        <v>1850450.4504504502</v>
      </c>
      <c r="M118" s="3">
        <v>0</v>
      </c>
      <c r="N118" s="3">
        <v>0</v>
      </c>
      <c r="O118" s="3">
        <v>0</v>
      </c>
      <c r="P118" s="3">
        <f t="shared" si="1"/>
        <v>20</v>
      </c>
      <c r="Q118" s="3">
        <v>1850450.4504504502</v>
      </c>
    </row>
    <row r="119" spans="3:17" x14ac:dyDescent="0.25">
      <c r="C119" s="2" t="s">
        <v>40</v>
      </c>
      <c r="D119" s="2" t="s">
        <v>5</v>
      </c>
      <c r="E119" s="2" t="s">
        <v>130</v>
      </c>
      <c r="F119" s="3">
        <v>0</v>
      </c>
      <c r="G119" s="3">
        <v>60</v>
      </c>
      <c r="H119" s="3">
        <v>0</v>
      </c>
      <c r="I119" s="3">
        <v>0</v>
      </c>
      <c r="J119" s="3">
        <v>0</v>
      </c>
      <c r="K119" s="3">
        <v>0</v>
      </c>
      <c r="L119" s="3">
        <v>4972972.9729729714</v>
      </c>
      <c r="M119" s="3">
        <v>0</v>
      </c>
      <c r="N119" s="3">
        <v>0</v>
      </c>
      <c r="O119" s="3">
        <v>0</v>
      </c>
      <c r="P119" s="3">
        <f t="shared" si="1"/>
        <v>60</v>
      </c>
      <c r="Q119" s="3">
        <v>4972972.9729729714</v>
      </c>
    </row>
    <row r="120" spans="3:17" x14ac:dyDescent="0.25">
      <c r="C120" s="2" t="s">
        <v>40</v>
      </c>
      <c r="D120" s="2" t="s">
        <v>5</v>
      </c>
      <c r="E120" s="2" t="s">
        <v>131</v>
      </c>
      <c r="F120" s="3">
        <v>0</v>
      </c>
      <c r="G120" s="3">
        <v>35</v>
      </c>
      <c r="H120" s="3">
        <v>20</v>
      </c>
      <c r="I120" s="3">
        <v>0</v>
      </c>
      <c r="J120" s="3">
        <v>0</v>
      </c>
      <c r="K120" s="3">
        <v>0</v>
      </c>
      <c r="L120" s="3">
        <v>2900900.9009009004</v>
      </c>
      <c r="M120" s="3">
        <v>1662162.1621621619</v>
      </c>
      <c r="N120" s="3">
        <v>0</v>
      </c>
      <c r="O120" s="3">
        <v>0</v>
      </c>
      <c r="P120" s="3">
        <f t="shared" si="1"/>
        <v>55</v>
      </c>
      <c r="Q120" s="3">
        <v>4563063.0630630627</v>
      </c>
    </row>
    <row r="121" spans="3:17" x14ac:dyDescent="0.25">
      <c r="C121" s="2" t="s">
        <v>40</v>
      </c>
      <c r="D121" s="2" t="s">
        <v>5</v>
      </c>
      <c r="E121" s="2" t="s">
        <v>132</v>
      </c>
      <c r="F121" s="3">
        <v>45</v>
      </c>
      <c r="G121" s="3">
        <v>20</v>
      </c>
      <c r="H121" s="3">
        <v>0</v>
      </c>
      <c r="I121" s="3">
        <v>10</v>
      </c>
      <c r="J121" s="3">
        <v>0</v>
      </c>
      <c r="K121" s="3">
        <v>3259213.7592137586</v>
      </c>
      <c r="L121" s="3">
        <v>1657657.6576576573</v>
      </c>
      <c r="M121" s="3">
        <v>0</v>
      </c>
      <c r="N121" s="3">
        <v>828828.82882882864</v>
      </c>
      <c r="O121" s="3">
        <v>0</v>
      </c>
      <c r="P121" s="3">
        <f t="shared" si="1"/>
        <v>75</v>
      </c>
      <c r="Q121" s="3">
        <v>5745700.2457002439</v>
      </c>
    </row>
    <row r="122" spans="3:17" x14ac:dyDescent="0.25">
      <c r="C122" s="21" t="s">
        <v>134</v>
      </c>
      <c r="D122" s="22"/>
      <c r="E122" s="23"/>
      <c r="F122" s="4">
        <f>SUM(F4:F121)</f>
        <v>3798.4999999999991</v>
      </c>
      <c r="G122" s="4">
        <f t="shared" ref="G122:Q122" si="2">SUM(G4:G121)</f>
        <v>5027.7999999999993</v>
      </c>
      <c r="H122" s="4">
        <f t="shared" si="2"/>
        <v>4030.4500000000003</v>
      </c>
      <c r="I122" s="4">
        <f t="shared" si="2"/>
        <v>2114.9499999999998</v>
      </c>
      <c r="J122" s="4">
        <f t="shared" si="2"/>
        <v>372</v>
      </c>
      <c r="K122" s="4">
        <f t="shared" si="2"/>
        <v>272189593.77559364</v>
      </c>
      <c r="L122" s="4">
        <f t="shared" si="2"/>
        <v>402689604.50450432</v>
      </c>
      <c r="M122" s="4">
        <f t="shared" si="2"/>
        <v>315341678.31531507</v>
      </c>
      <c r="N122" s="4">
        <f t="shared" si="2"/>
        <v>164260324.32432434</v>
      </c>
      <c r="O122" s="4">
        <f t="shared" si="2"/>
        <v>21397981.981981982</v>
      </c>
      <c r="P122" s="4">
        <f t="shared" si="2"/>
        <v>15343.700000000004</v>
      </c>
      <c r="Q122" s="4">
        <f t="shared" si="2"/>
        <v>1154481200.9197376</v>
      </c>
    </row>
  </sheetData>
  <mergeCells count="9">
    <mergeCell ref="Q2:Q3"/>
    <mergeCell ref="F2:J2"/>
    <mergeCell ref="C122:E122"/>
    <mergeCell ref="P2:P3"/>
    <mergeCell ref="B2:B3"/>
    <mergeCell ref="C2:C3"/>
    <mergeCell ref="D2:D3"/>
    <mergeCell ref="E2:E3"/>
    <mergeCell ref="K2:O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16F5-5CAE-491D-8488-CEF2A6E7AFD9}">
  <dimension ref="A3:K11"/>
  <sheetViews>
    <sheetView topLeftCell="A2" zoomScale="97" zoomScaleNormal="400" workbookViewId="0">
      <pane xSplit="2" topLeftCell="D1" activePane="topRight" state="frozen"/>
      <selection pane="topRight" activeCell="E20" sqref="E20"/>
    </sheetView>
  </sheetViews>
  <sheetFormatPr defaultRowHeight="15" x14ac:dyDescent="0.25"/>
  <cols>
    <col min="1" max="1" width="4.140625" bestFit="1" customWidth="1"/>
    <col min="2" max="2" width="17.28515625" customWidth="1"/>
    <col min="3" max="3" width="41.85546875" customWidth="1"/>
    <col min="4" max="4" width="18" customWidth="1"/>
    <col min="5" max="5" width="42.42578125" bestFit="1" customWidth="1"/>
    <col min="6" max="6" width="29.28515625" customWidth="1"/>
    <col min="7" max="7" width="15.28515625" style="5" customWidth="1"/>
    <col min="8" max="8" width="32.5703125" style="5" customWidth="1"/>
    <col min="9" max="9" width="9" bestFit="1" customWidth="1"/>
    <col min="10" max="10" width="14.28515625" bestFit="1" customWidth="1"/>
    <col min="11" max="11" width="10.140625" bestFit="1" customWidth="1"/>
  </cols>
  <sheetData>
    <row r="3" spans="1:11" ht="30" x14ac:dyDescent="0.25">
      <c r="A3" s="10" t="s">
        <v>146</v>
      </c>
      <c r="B3" s="10" t="s">
        <v>137</v>
      </c>
      <c r="C3" s="10" t="s">
        <v>136</v>
      </c>
      <c r="D3" s="10" t="s">
        <v>138</v>
      </c>
      <c r="E3" s="10" t="s">
        <v>139</v>
      </c>
      <c r="F3" s="10" t="s">
        <v>140</v>
      </c>
      <c r="G3" s="11" t="s">
        <v>151</v>
      </c>
      <c r="H3" s="11" t="s">
        <v>198</v>
      </c>
      <c r="I3" s="10" t="s">
        <v>141</v>
      </c>
      <c r="J3" s="10" t="s">
        <v>142</v>
      </c>
      <c r="K3" s="10" t="s">
        <v>143</v>
      </c>
    </row>
    <row r="4" spans="1:11" x14ac:dyDescent="0.25">
      <c r="A4" s="12">
        <v>1</v>
      </c>
      <c r="B4" s="8" t="s">
        <v>147</v>
      </c>
      <c r="C4" s="13" t="s">
        <v>149</v>
      </c>
      <c r="D4" s="14" t="s">
        <v>166</v>
      </c>
      <c r="E4" s="13" t="s">
        <v>150</v>
      </c>
      <c r="F4" s="13" t="s">
        <v>175</v>
      </c>
      <c r="G4" s="15">
        <v>2</v>
      </c>
      <c r="H4" s="16" t="s">
        <v>202</v>
      </c>
      <c r="I4" s="13" t="s">
        <v>148</v>
      </c>
      <c r="J4" s="13" t="s">
        <v>188</v>
      </c>
      <c r="K4" s="8">
        <v>2400</v>
      </c>
    </row>
    <row r="5" spans="1:11" x14ac:dyDescent="0.25">
      <c r="A5" s="12">
        <v>2</v>
      </c>
      <c r="B5" s="13" t="s">
        <v>152</v>
      </c>
      <c r="C5" s="13" t="s">
        <v>159</v>
      </c>
      <c r="D5" s="13" t="s">
        <v>167</v>
      </c>
      <c r="E5" s="13" t="s">
        <v>173</v>
      </c>
      <c r="F5" s="13" t="s">
        <v>175</v>
      </c>
      <c r="G5" s="15">
        <v>2</v>
      </c>
      <c r="H5" s="16" t="s">
        <v>201</v>
      </c>
      <c r="I5" s="13" t="s">
        <v>148</v>
      </c>
      <c r="J5" s="13" t="s">
        <v>189</v>
      </c>
      <c r="K5" s="13">
        <v>1200</v>
      </c>
    </row>
    <row r="6" spans="1:11" x14ac:dyDescent="0.25">
      <c r="A6" s="12">
        <v>3</v>
      </c>
      <c r="B6" s="13" t="s">
        <v>153</v>
      </c>
      <c r="C6" s="13" t="s">
        <v>160</v>
      </c>
      <c r="D6" s="13" t="s">
        <v>168</v>
      </c>
      <c r="E6" s="13" t="s">
        <v>150</v>
      </c>
      <c r="F6" s="13" t="s">
        <v>184</v>
      </c>
      <c r="G6" s="15">
        <v>1</v>
      </c>
      <c r="H6" s="16" t="s">
        <v>203</v>
      </c>
      <c r="I6" s="13" t="s">
        <v>148</v>
      </c>
      <c r="J6" s="13" t="s">
        <v>190</v>
      </c>
      <c r="K6" s="13">
        <v>2500</v>
      </c>
    </row>
    <row r="7" spans="1:11" x14ac:dyDescent="0.25">
      <c r="A7" s="12">
        <v>4</v>
      </c>
      <c r="B7" s="13" t="s">
        <v>154</v>
      </c>
      <c r="C7" s="13" t="s">
        <v>161</v>
      </c>
      <c r="D7" s="13" t="s">
        <v>169</v>
      </c>
      <c r="E7" s="13" t="s">
        <v>150</v>
      </c>
      <c r="F7" s="13" t="s">
        <v>175</v>
      </c>
      <c r="G7" s="15">
        <v>1</v>
      </c>
      <c r="H7" s="16" t="s">
        <v>200</v>
      </c>
      <c r="I7" s="13" t="s">
        <v>148</v>
      </c>
      <c r="J7" s="13" t="s">
        <v>188</v>
      </c>
      <c r="K7" s="13">
        <v>2500</v>
      </c>
    </row>
    <row r="8" spans="1:11" x14ac:dyDescent="0.25">
      <c r="A8" s="12">
        <v>5</v>
      </c>
      <c r="B8" s="13" t="s">
        <v>155</v>
      </c>
      <c r="C8" s="13" t="s">
        <v>162</v>
      </c>
      <c r="D8" s="13" t="s">
        <v>170</v>
      </c>
      <c r="E8" s="13" t="s">
        <v>150</v>
      </c>
      <c r="F8" s="13" t="s">
        <v>186</v>
      </c>
      <c r="G8" s="15">
        <v>1</v>
      </c>
      <c r="H8" s="16" t="s">
        <v>200</v>
      </c>
      <c r="I8" s="13" t="s">
        <v>148</v>
      </c>
      <c r="J8" s="13" t="s">
        <v>188</v>
      </c>
      <c r="K8" s="13">
        <v>2500</v>
      </c>
    </row>
    <row r="9" spans="1:11" x14ac:dyDescent="0.25">
      <c r="A9" s="12">
        <v>6</v>
      </c>
      <c r="B9" s="13" t="s">
        <v>156</v>
      </c>
      <c r="C9" s="13" t="s">
        <v>163</v>
      </c>
      <c r="D9" s="13" t="s">
        <v>171</v>
      </c>
      <c r="E9" s="13" t="s">
        <v>173</v>
      </c>
      <c r="F9" s="13" t="s">
        <v>185</v>
      </c>
      <c r="G9" s="15">
        <v>1</v>
      </c>
      <c r="H9" s="16" t="s">
        <v>204</v>
      </c>
      <c r="I9" s="13" t="s">
        <v>148</v>
      </c>
      <c r="J9" s="13" t="s">
        <v>191</v>
      </c>
      <c r="K9" s="13">
        <v>2500</v>
      </c>
    </row>
    <row r="10" spans="1:11" x14ac:dyDescent="0.25">
      <c r="A10" s="12">
        <v>7</v>
      </c>
      <c r="B10" s="13" t="s">
        <v>157</v>
      </c>
      <c r="C10" s="13" t="s">
        <v>161</v>
      </c>
      <c r="D10" s="13" t="s">
        <v>172</v>
      </c>
      <c r="E10" s="13" t="s">
        <v>174</v>
      </c>
      <c r="F10" s="13" t="s">
        <v>208</v>
      </c>
      <c r="G10" s="15">
        <v>1</v>
      </c>
      <c r="H10" s="16" t="s">
        <v>205</v>
      </c>
      <c r="I10" s="13" t="s">
        <v>187</v>
      </c>
      <c r="J10" s="13" t="s">
        <v>199</v>
      </c>
      <c r="K10" s="13">
        <v>2500</v>
      </c>
    </row>
    <row r="11" spans="1:11" x14ac:dyDescent="0.25">
      <c r="A11" s="12">
        <v>8</v>
      </c>
      <c r="B11" s="13" t="s">
        <v>158</v>
      </c>
      <c r="C11" s="13" t="s">
        <v>164</v>
      </c>
      <c r="D11" s="13" t="s">
        <v>165</v>
      </c>
      <c r="E11" s="13" t="s">
        <v>174</v>
      </c>
      <c r="F11" s="13" t="s">
        <v>207</v>
      </c>
      <c r="G11" s="15">
        <v>1</v>
      </c>
      <c r="H11" s="16" t="s">
        <v>206</v>
      </c>
      <c r="I11" s="13" t="s">
        <v>187</v>
      </c>
      <c r="J11" s="13" t="s">
        <v>192</v>
      </c>
      <c r="K11" s="13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42A4-5E21-4E08-918A-F24B222EF11F}">
  <dimension ref="B3:J10"/>
  <sheetViews>
    <sheetView workbookViewId="0">
      <selection activeCell="D16" sqref="D16"/>
    </sheetView>
  </sheetViews>
  <sheetFormatPr defaultRowHeight="15" x14ac:dyDescent="0.25"/>
  <cols>
    <col min="2" max="2" width="4.140625" bestFit="1" customWidth="1"/>
    <col min="3" max="3" width="12.28515625" bestFit="1" customWidth="1"/>
    <col min="4" max="4" width="38" bestFit="1" customWidth="1"/>
    <col min="5" max="5" width="17.5703125" customWidth="1"/>
    <col min="6" max="6" width="24.28515625" customWidth="1"/>
    <col min="7" max="7" width="13.5703125" bestFit="1" customWidth="1"/>
    <col min="8" max="8" width="9" bestFit="1" customWidth="1"/>
    <col min="9" max="9" width="14.28515625" bestFit="1" customWidth="1"/>
    <col min="10" max="10" width="24.5703125" bestFit="1" customWidth="1"/>
  </cols>
  <sheetData>
    <row r="3" spans="2:10" x14ac:dyDescent="0.25">
      <c r="B3" s="6" t="s">
        <v>146</v>
      </c>
      <c r="C3" s="6" t="s">
        <v>135</v>
      </c>
      <c r="D3" s="6" t="s">
        <v>136</v>
      </c>
      <c r="E3" s="6" t="s">
        <v>144</v>
      </c>
      <c r="F3" s="6" t="s">
        <v>139</v>
      </c>
      <c r="G3" s="6" t="s">
        <v>140</v>
      </c>
      <c r="H3" s="6" t="s">
        <v>141</v>
      </c>
      <c r="I3" s="6" t="s">
        <v>142</v>
      </c>
      <c r="J3" s="6" t="s">
        <v>145</v>
      </c>
    </row>
    <row r="4" spans="2:10" x14ac:dyDescent="0.25">
      <c r="B4" s="9">
        <v>1</v>
      </c>
      <c r="C4" s="7" t="s">
        <v>176</v>
      </c>
      <c r="D4" s="7" t="s">
        <v>177</v>
      </c>
      <c r="E4" s="7" t="s">
        <v>178</v>
      </c>
      <c r="F4" s="7" t="s">
        <v>179</v>
      </c>
      <c r="G4" s="7" t="s">
        <v>180</v>
      </c>
      <c r="H4" s="7" t="s">
        <v>181</v>
      </c>
      <c r="I4" s="7" t="s">
        <v>182</v>
      </c>
      <c r="J4" s="7" t="s">
        <v>183</v>
      </c>
    </row>
    <row r="5" spans="2:10" x14ac:dyDescent="0.25">
      <c r="B5" s="9">
        <v>2</v>
      </c>
      <c r="C5" s="7" t="s">
        <v>193</v>
      </c>
      <c r="D5" s="7" t="s">
        <v>194</v>
      </c>
      <c r="E5" s="7" t="s">
        <v>195</v>
      </c>
      <c r="F5" s="7" t="s">
        <v>179</v>
      </c>
      <c r="G5" s="7" t="s">
        <v>180</v>
      </c>
      <c r="H5" s="7" t="s">
        <v>148</v>
      </c>
      <c r="I5" s="7" t="s">
        <v>196</v>
      </c>
      <c r="J5" s="7" t="s">
        <v>197</v>
      </c>
    </row>
    <row r="6" spans="2:10" x14ac:dyDescent="0.25">
      <c r="B6" s="9"/>
      <c r="C6" s="7"/>
      <c r="D6" s="7"/>
      <c r="E6" s="7"/>
      <c r="F6" s="7"/>
      <c r="G6" s="7"/>
      <c r="H6" s="7"/>
      <c r="I6" s="7"/>
      <c r="J6" s="7"/>
    </row>
    <row r="7" spans="2:10" x14ac:dyDescent="0.25">
      <c r="B7" s="9"/>
      <c r="C7" s="7"/>
      <c r="D7" s="7"/>
      <c r="E7" s="7"/>
      <c r="F7" s="7"/>
      <c r="G7" s="7"/>
      <c r="H7" s="7"/>
      <c r="I7" s="7"/>
      <c r="J7" s="7"/>
    </row>
    <row r="8" spans="2:10" x14ac:dyDescent="0.25">
      <c r="B8" s="9"/>
      <c r="C8" s="7"/>
      <c r="D8" s="7"/>
      <c r="E8" s="7"/>
      <c r="F8" s="7"/>
      <c r="G8" s="7"/>
      <c r="H8" s="7"/>
      <c r="I8" s="7"/>
      <c r="J8" s="7"/>
    </row>
    <row r="9" spans="2:10" x14ac:dyDescent="0.25">
      <c r="B9" s="9"/>
      <c r="C9" s="7"/>
      <c r="D9" s="7"/>
      <c r="E9" s="7"/>
      <c r="F9" s="7"/>
      <c r="G9" s="7"/>
      <c r="H9" s="7"/>
      <c r="I9" s="7"/>
      <c r="J9" s="7"/>
    </row>
    <row r="10" spans="2:10" x14ac:dyDescent="0.25">
      <c r="B10" s="9"/>
      <c r="C10" s="7"/>
      <c r="D10" s="7"/>
      <c r="E10" s="7"/>
      <c r="F10" s="7"/>
      <c r="G10" s="7"/>
      <c r="H10" s="7"/>
      <c r="I10" s="7"/>
      <c r="J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Penjualan</vt:lpstr>
      <vt:lpstr>Demoplot</vt:lpstr>
      <vt:lpstr>Testimoni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Fathor13</dc:creator>
  <cp:lastModifiedBy>Fathor13</cp:lastModifiedBy>
  <dcterms:created xsi:type="dcterms:W3CDTF">2026-03-06T09:39:37Z</dcterms:created>
  <dcterms:modified xsi:type="dcterms:W3CDTF">2026-03-06T22:17:21Z</dcterms:modified>
</cp:coreProperties>
</file>