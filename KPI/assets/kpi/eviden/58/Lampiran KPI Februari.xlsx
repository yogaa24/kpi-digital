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245"/>
  </bookViews>
  <sheets>
    <sheet name="Lampiran 1" sheetId="1" r:id="rId1"/>
    <sheet name="Kalender" sheetId="4" r:id="rId2"/>
    <sheet name="Simulasi " sheetId="5" r:id="rId3"/>
  </sheets>
  <externalReferences>
    <externalReference r:id="rId4"/>
  </externalReferences>
  <definedNames>
    <definedName name="_xlnm._FilterDatabase" localSheetId="1" hidden="1">Kalender!$A$1:$AG$122</definedName>
    <definedName name="_xlnm._FilterDatabase" localSheetId="2" hidden="1">'Simulasi '!$A$3:$M$215</definedName>
    <definedName name="tb_tagpdbg">[1]TAGPD!$AQ$8:$AQ$30000</definedName>
    <definedName name="tb_tagpdfaktur">[1]TAGPD!$E$8:$E$30000</definedName>
    <definedName name="tb_tagpdkucash">[1]TAGPD!$AV$8:$AV$30000</definedName>
    <definedName name="tb_tagpdrpb">[1]TAGPD!$AP$8:$AP$30000</definedName>
    <definedName name="tb_tbbnt">#REF!</definedName>
    <definedName name="tballnk">[1]All!$E$12:$E$996</definedName>
    <definedName name="tballp">[1]All!$L$12:$L$996</definedName>
    <definedName name="tballsa">[1]All!$I$12:$I$996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D214" i="5" l="1"/>
  <c r="H213" i="5"/>
  <c r="E213" i="5"/>
  <c r="H212" i="5"/>
  <c r="E212" i="5"/>
  <c r="H211" i="5"/>
  <c r="E211" i="5"/>
  <c r="H210" i="5"/>
  <c r="E210" i="5"/>
  <c r="H209" i="5"/>
  <c r="E209" i="5"/>
  <c r="H208" i="5"/>
  <c r="E208" i="5"/>
  <c r="H207" i="5"/>
  <c r="E207" i="5"/>
  <c r="H206" i="5"/>
  <c r="E206" i="5"/>
  <c r="H205" i="5"/>
  <c r="E205" i="5"/>
  <c r="H204" i="5"/>
  <c r="E204" i="5"/>
  <c r="H203" i="5"/>
  <c r="E203" i="5"/>
  <c r="H202" i="5"/>
  <c r="E202" i="5"/>
  <c r="H201" i="5"/>
  <c r="E201" i="5"/>
  <c r="H200" i="5"/>
  <c r="E200" i="5"/>
  <c r="H199" i="5"/>
  <c r="E199" i="5"/>
  <c r="H198" i="5"/>
  <c r="E198" i="5"/>
  <c r="H197" i="5"/>
  <c r="E197" i="5"/>
  <c r="H196" i="5"/>
  <c r="E196" i="5"/>
  <c r="H195" i="5"/>
  <c r="E195" i="5"/>
  <c r="H194" i="5"/>
  <c r="E194" i="5"/>
  <c r="H193" i="5"/>
  <c r="E193" i="5"/>
  <c r="H192" i="5"/>
  <c r="E192" i="5"/>
  <c r="H191" i="5"/>
  <c r="E191" i="5"/>
  <c r="H190" i="5"/>
  <c r="E190" i="5"/>
  <c r="H189" i="5"/>
  <c r="E189" i="5"/>
  <c r="H188" i="5"/>
  <c r="E188" i="5"/>
  <c r="H187" i="5"/>
  <c r="E187" i="5"/>
  <c r="H186" i="5"/>
  <c r="E186" i="5"/>
  <c r="H185" i="5"/>
  <c r="E185" i="5"/>
  <c r="H184" i="5"/>
  <c r="E184" i="5"/>
  <c r="H183" i="5"/>
  <c r="E183" i="5"/>
  <c r="H182" i="5"/>
  <c r="E182" i="5"/>
  <c r="H181" i="5"/>
  <c r="E181" i="5"/>
  <c r="H180" i="5"/>
  <c r="E180" i="5"/>
  <c r="E179" i="5"/>
  <c r="H179" i="5" s="1"/>
  <c r="H178" i="5"/>
  <c r="E178" i="5"/>
  <c r="H177" i="5"/>
  <c r="E177" i="5"/>
  <c r="H176" i="5"/>
  <c r="E176" i="5"/>
  <c r="H175" i="5"/>
  <c r="E175" i="5"/>
  <c r="H174" i="5"/>
  <c r="E174" i="5"/>
  <c r="H173" i="5"/>
  <c r="E173" i="5"/>
  <c r="H172" i="5"/>
  <c r="E172" i="5"/>
  <c r="H171" i="5"/>
  <c r="E171" i="5"/>
  <c r="H170" i="5"/>
  <c r="E170" i="5"/>
  <c r="H169" i="5"/>
  <c r="E169" i="5"/>
  <c r="H168" i="5"/>
  <c r="E168" i="5"/>
  <c r="H167" i="5"/>
  <c r="E167" i="5"/>
  <c r="H166" i="5"/>
  <c r="E166" i="5"/>
  <c r="H165" i="5"/>
  <c r="E165" i="5"/>
  <c r="H164" i="5"/>
  <c r="G164" i="5"/>
  <c r="E164" i="5"/>
  <c r="H163" i="5"/>
  <c r="G163" i="5"/>
  <c r="E163" i="5"/>
  <c r="H162" i="5"/>
  <c r="G162" i="5"/>
  <c r="E162" i="5"/>
  <c r="H161" i="5"/>
  <c r="G161" i="5"/>
  <c r="E161" i="5"/>
  <c r="H160" i="5"/>
  <c r="G160" i="5"/>
  <c r="E160" i="5"/>
  <c r="H159" i="5"/>
  <c r="G159" i="5"/>
  <c r="E159" i="5"/>
  <c r="H158" i="5"/>
  <c r="G158" i="5"/>
  <c r="E158" i="5"/>
  <c r="H157" i="5"/>
  <c r="G157" i="5"/>
  <c r="E157" i="5"/>
  <c r="H156" i="5"/>
  <c r="G156" i="5"/>
  <c r="E156" i="5"/>
  <c r="H155" i="5"/>
  <c r="G155" i="5"/>
  <c r="E155" i="5"/>
  <c r="H154" i="5"/>
  <c r="G154" i="5"/>
  <c r="E154" i="5"/>
  <c r="H153" i="5"/>
  <c r="G153" i="5"/>
  <c r="E153" i="5"/>
  <c r="H152" i="5"/>
  <c r="G152" i="5"/>
  <c r="E152" i="5"/>
  <c r="H151" i="5"/>
  <c r="G151" i="5"/>
  <c r="E151" i="5"/>
  <c r="H150" i="5"/>
  <c r="G150" i="5"/>
  <c r="G214" i="5" s="1"/>
  <c r="H214" i="5" s="1"/>
  <c r="E150" i="5"/>
  <c r="H149" i="5"/>
  <c r="E149" i="5"/>
  <c r="H148" i="5"/>
  <c r="E148" i="5"/>
  <c r="H147" i="5"/>
  <c r="E147" i="5"/>
  <c r="H146" i="5"/>
  <c r="E146" i="5"/>
  <c r="H145" i="5"/>
  <c r="E145" i="5"/>
  <c r="H144" i="5"/>
  <c r="E144" i="5"/>
  <c r="H143" i="5"/>
  <c r="E143" i="5"/>
  <c r="H142" i="5"/>
  <c r="E142" i="5"/>
  <c r="H141" i="5"/>
  <c r="E141" i="5"/>
  <c r="H140" i="5"/>
  <c r="E140" i="5"/>
  <c r="H139" i="5"/>
  <c r="E139" i="5"/>
  <c r="H138" i="5"/>
  <c r="E138" i="5"/>
  <c r="H137" i="5"/>
  <c r="E137" i="5"/>
  <c r="H136" i="5"/>
  <c r="E136" i="5"/>
  <c r="H135" i="5"/>
  <c r="E135" i="5"/>
  <c r="H134" i="5"/>
  <c r="E134" i="5"/>
  <c r="H133" i="5"/>
  <c r="E133" i="5"/>
  <c r="H132" i="5"/>
  <c r="E132" i="5"/>
  <c r="H131" i="5"/>
  <c r="E131" i="5"/>
  <c r="H130" i="5"/>
  <c r="E130" i="5"/>
  <c r="H129" i="5"/>
  <c r="E129" i="5"/>
  <c r="H128" i="5"/>
  <c r="E128" i="5"/>
  <c r="H127" i="5"/>
  <c r="E127" i="5"/>
  <c r="H126" i="5"/>
  <c r="E126" i="5"/>
  <c r="H125" i="5"/>
  <c r="E125" i="5"/>
  <c r="H124" i="5"/>
  <c r="E124" i="5"/>
  <c r="H123" i="5"/>
  <c r="E123" i="5"/>
  <c r="H122" i="5"/>
  <c r="E122" i="5"/>
  <c r="H121" i="5"/>
  <c r="C121" i="5"/>
  <c r="E121" i="5" s="1"/>
  <c r="H120" i="5"/>
  <c r="C120" i="5"/>
  <c r="E120" i="5" s="1"/>
  <c r="H119" i="5"/>
  <c r="C119" i="5"/>
  <c r="E119" i="5" s="1"/>
  <c r="H118" i="5"/>
  <c r="C118" i="5"/>
  <c r="E118" i="5" s="1"/>
  <c r="H117" i="5"/>
  <c r="C117" i="5"/>
  <c r="E117" i="5" s="1"/>
  <c r="H116" i="5"/>
  <c r="C116" i="5"/>
  <c r="E116" i="5" s="1"/>
  <c r="H115" i="5"/>
  <c r="C115" i="5"/>
  <c r="E115" i="5" s="1"/>
  <c r="H114" i="5"/>
  <c r="C114" i="5"/>
  <c r="E114" i="5" s="1"/>
  <c r="C113" i="5"/>
  <c r="E113" i="5" s="1"/>
  <c r="H113" i="5" s="1"/>
  <c r="C112" i="5"/>
  <c r="E112" i="5" s="1"/>
  <c r="H112" i="5" s="1"/>
  <c r="H111" i="5"/>
  <c r="C111" i="5"/>
  <c r="E111" i="5" s="1"/>
  <c r="H110" i="5"/>
  <c r="E110" i="5"/>
  <c r="C110" i="5"/>
  <c r="H109" i="5"/>
  <c r="E109" i="5"/>
  <c r="C109" i="5"/>
  <c r="H108" i="5"/>
  <c r="E108" i="5"/>
  <c r="C108" i="5"/>
  <c r="H107" i="5"/>
  <c r="E107" i="5"/>
  <c r="C107" i="5"/>
  <c r="H106" i="5"/>
  <c r="E106" i="5"/>
  <c r="C106" i="5"/>
  <c r="H105" i="5"/>
  <c r="E105" i="5"/>
  <c r="C105" i="5"/>
  <c r="H104" i="5"/>
  <c r="E104" i="5"/>
  <c r="C104" i="5"/>
  <c r="H103" i="5"/>
  <c r="E103" i="5"/>
  <c r="C103" i="5"/>
  <c r="H102" i="5"/>
  <c r="E102" i="5"/>
  <c r="C102" i="5"/>
  <c r="H101" i="5"/>
  <c r="C101" i="5"/>
  <c r="E101" i="5" s="1"/>
  <c r="H100" i="5"/>
  <c r="C100" i="5"/>
  <c r="E100" i="5" s="1"/>
  <c r="H99" i="5"/>
  <c r="C99" i="5"/>
  <c r="E99" i="5" s="1"/>
  <c r="H98" i="5"/>
  <c r="C98" i="5"/>
  <c r="E98" i="5" s="1"/>
  <c r="H97" i="5"/>
  <c r="C97" i="5"/>
  <c r="E97" i="5" s="1"/>
  <c r="H96" i="5"/>
  <c r="C96" i="5"/>
  <c r="E96" i="5" s="1"/>
  <c r="H95" i="5"/>
  <c r="C95" i="5"/>
  <c r="E95" i="5" s="1"/>
  <c r="H94" i="5"/>
  <c r="C94" i="5"/>
  <c r="E94" i="5" s="1"/>
  <c r="H93" i="5"/>
  <c r="C93" i="5"/>
  <c r="E93" i="5" s="1"/>
  <c r="H92" i="5"/>
  <c r="C92" i="5"/>
  <c r="E92" i="5" s="1"/>
  <c r="H91" i="5"/>
  <c r="C91" i="5"/>
  <c r="E91" i="5" s="1"/>
  <c r="H90" i="5"/>
  <c r="C90" i="5"/>
  <c r="E90" i="5" s="1"/>
  <c r="C89" i="5"/>
  <c r="E89" i="5" s="1"/>
  <c r="H89" i="5" s="1"/>
  <c r="C88" i="5"/>
  <c r="E88" i="5" s="1"/>
  <c r="H88" i="5" s="1"/>
  <c r="H87" i="5"/>
  <c r="C87" i="5"/>
  <c r="E87" i="5" s="1"/>
  <c r="H86" i="5"/>
  <c r="C86" i="5"/>
  <c r="E86" i="5" s="1"/>
  <c r="H85" i="5"/>
  <c r="C85" i="5"/>
  <c r="E85" i="5" s="1"/>
  <c r="H84" i="5"/>
  <c r="C84" i="5"/>
  <c r="E84" i="5" s="1"/>
  <c r="H83" i="5"/>
  <c r="C83" i="5"/>
  <c r="E83" i="5" s="1"/>
  <c r="H82" i="5"/>
  <c r="C82" i="5"/>
  <c r="E82" i="5" s="1"/>
  <c r="H81" i="5"/>
  <c r="C81" i="5"/>
  <c r="E81" i="5" s="1"/>
  <c r="H80" i="5"/>
  <c r="C80" i="5"/>
  <c r="E80" i="5" s="1"/>
  <c r="H79" i="5"/>
  <c r="C79" i="5"/>
  <c r="E79" i="5" s="1"/>
  <c r="H78" i="5"/>
  <c r="C78" i="5"/>
  <c r="E78" i="5" s="1"/>
  <c r="H77" i="5"/>
  <c r="C77" i="5"/>
  <c r="E77" i="5" s="1"/>
  <c r="H76" i="5"/>
  <c r="C76" i="5"/>
  <c r="E76" i="5" s="1"/>
  <c r="H75" i="5"/>
  <c r="C75" i="5"/>
  <c r="E75" i="5" s="1"/>
  <c r="H74" i="5"/>
  <c r="C74" i="5"/>
  <c r="E74" i="5" s="1"/>
  <c r="H73" i="5"/>
  <c r="C73" i="5"/>
  <c r="E73" i="5" s="1"/>
  <c r="H72" i="5"/>
  <c r="C72" i="5"/>
  <c r="E72" i="5" s="1"/>
  <c r="H71" i="5"/>
  <c r="C71" i="5"/>
  <c r="E71" i="5" s="1"/>
  <c r="H70" i="5"/>
  <c r="C70" i="5"/>
  <c r="E70" i="5" s="1"/>
  <c r="H69" i="5"/>
  <c r="C69" i="5"/>
  <c r="E69" i="5" s="1"/>
  <c r="H68" i="5"/>
  <c r="C68" i="5"/>
  <c r="E68" i="5" s="1"/>
  <c r="H67" i="5"/>
  <c r="C67" i="5"/>
  <c r="E67" i="5" s="1"/>
  <c r="H66" i="5"/>
  <c r="C66" i="5"/>
  <c r="E66" i="5" s="1"/>
  <c r="H65" i="5"/>
  <c r="C65" i="5"/>
  <c r="E65" i="5" s="1"/>
  <c r="H64" i="5"/>
  <c r="C64" i="5"/>
  <c r="E64" i="5" s="1"/>
  <c r="H63" i="5"/>
  <c r="C63" i="5"/>
  <c r="E63" i="5" s="1"/>
  <c r="H62" i="5"/>
  <c r="C62" i="5"/>
  <c r="E62" i="5" s="1"/>
  <c r="H61" i="5"/>
  <c r="C61" i="5"/>
  <c r="E61" i="5" s="1"/>
  <c r="H60" i="5"/>
  <c r="C60" i="5"/>
  <c r="E60" i="5" s="1"/>
  <c r="H59" i="5"/>
  <c r="C59" i="5"/>
  <c r="E59" i="5" s="1"/>
  <c r="H58" i="5"/>
  <c r="C58" i="5"/>
  <c r="E58" i="5" s="1"/>
  <c r="H57" i="5"/>
  <c r="C57" i="5"/>
  <c r="E57" i="5" s="1"/>
  <c r="H56" i="5"/>
  <c r="C56" i="5"/>
  <c r="E56" i="5" s="1"/>
  <c r="H55" i="5"/>
  <c r="C55" i="5"/>
  <c r="E55" i="5" s="1"/>
  <c r="H54" i="5"/>
  <c r="C54" i="5"/>
  <c r="E54" i="5" s="1"/>
  <c r="H53" i="5"/>
  <c r="C53" i="5"/>
  <c r="E53" i="5" s="1"/>
  <c r="H52" i="5"/>
  <c r="C52" i="5"/>
  <c r="E52" i="5" s="1"/>
  <c r="C51" i="5"/>
  <c r="E51" i="5" s="1"/>
  <c r="H51" i="5" s="1"/>
  <c r="C50" i="5"/>
  <c r="E50" i="5" s="1"/>
  <c r="H50" i="5" s="1"/>
  <c r="C49" i="5"/>
  <c r="E49" i="5" s="1"/>
  <c r="H49" i="5" s="1"/>
  <c r="C48" i="5"/>
  <c r="E48" i="5" s="1"/>
  <c r="H48" i="5" s="1"/>
  <c r="C47" i="5"/>
  <c r="E47" i="5" s="1"/>
  <c r="H47" i="5" s="1"/>
  <c r="C46" i="5"/>
  <c r="E46" i="5" s="1"/>
  <c r="H46" i="5" s="1"/>
  <c r="C45" i="5"/>
  <c r="E45" i="5" s="1"/>
  <c r="H45" i="5" s="1"/>
  <c r="C44" i="5"/>
  <c r="E44" i="5" s="1"/>
  <c r="H44" i="5" s="1"/>
  <c r="C43" i="5"/>
  <c r="E43" i="5" s="1"/>
  <c r="H43" i="5" s="1"/>
  <c r="C42" i="5"/>
  <c r="E42" i="5" s="1"/>
  <c r="H42" i="5" s="1"/>
  <c r="C41" i="5"/>
  <c r="E41" i="5" s="1"/>
  <c r="H41" i="5" s="1"/>
  <c r="C40" i="5"/>
  <c r="E40" i="5" s="1"/>
  <c r="H40" i="5" s="1"/>
  <c r="C39" i="5"/>
  <c r="E39" i="5" s="1"/>
  <c r="H39" i="5" s="1"/>
  <c r="C38" i="5"/>
  <c r="E38" i="5" s="1"/>
  <c r="H38" i="5" s="1"/>
  <c r="C37" i="5"/>
  <c r="E37" i="5" s="1"/>
  <c r="H37" i="5" s="1"/>
  <c r="C36" i="5"/>
  <c r="E36" i="5" s="1"/>
  <c r="H36" i="5" s="1"/>
  <c r="C35" i="5"/>
  <c r="E35" i="5" s="1"/>
  <c r="H35" i="5" s="1"/>
  <c r="C34" i="5"/>
  <c r="E34" i="5" s="1"/>
  <c r="H34" i="5" s="1"/>
  <c r="C33" i="5"/>
  <c r="E33" i="5" s="1"/>
  <c r="H33" i="5" s="1"/>
  <c r="C32" i="5"/>
  <c r="E32" i="5" s="1"/>
  <c r="H32" i="5" s="1"/>
  <c r="C31" i="5"/>
  <c r="E31" i="5" s="1"/>
  <c r="H31" i="5" s="1"/>
  <c r="C30" i="5"/>
  <c r="E30" i="5" s="1"/>
  <c r="H30" i="5" s="1"/>
  <c r="C29" i="5"/>
  <c r="E29" i="5" s="1"/>
  <c r="H29" i="5" s="1"/>
  <c r="C28" i="5"/>
  <c r="E28" i="5" s="1"/>
  <c r="H28" i="5" s="1"/>
  <c r="C27" i="5"/>
  <c r="E27" i="5" s="1"/>
  <c r="H27" i="5" s="1"/>
  <c r="C26" i="5"/>
  <c r="E26" i="5" s="1"/>
  <c r="H26" i="5" s="1"/>
  <c r="C25" i="5"/>
  <c r="E25" i="5" s="1"/>
  <c r="H25" i="5" s="1"/>
  <c r="C24" i="5"/>
  <c r="E24" i="5" s="1"/>
  <c r="H24" i="5" s="1"/>
  <c r="C23" i="5"/>
  <c r="E23" i="5" s="1"/>
  <c r="H23" i="5" s="1"/>
  <c r="C22" i="5"/>
  <c r="E22" i="5" s="1"/>
  <c r="H22" i="5" s="1"/>
  <c r="C21" i="5"/>
  <c r="E21" i="5" s="1"/>
  <c r="H21" i="5" s="1"/>
  <c r="C20" i="5"/>
  <c r="E20" i="5" s="1"/>
  <c r="H20" i="5" s="1"/>
  <c r="C19" i="5"/>
  <c r="E19" i="5" s="1"/>
  <c r="H19" i="5" s="1"/>
  <c r="C18" i="5"/>
  <c r="E18" i="5" s="1"/>
  <c r="H18" i="5" s="1"/>
  <c r="C17" i="5"/>
  <c r="E17" i="5" s="1"/>
  <c r="H17" i="5" s="1"/>
  <c r="C16" i="5"/>
  <c r="E16" i="5" s="1"/>
  <c r="H16" i="5" s="1"/>
  <c r="C15" i="5"/>
  <c r="E15" i="5" s="1"/>
  <c r="H15" i="5" s="1"/>
  <c r="C14" i="5"/>
  <c r="E14" i="5" s="1"/>
  <c r="H14" i="5" s="1"/>
  <c r="C13" i="5"/>
  <c r="E13" i="5" s="1"/>
  <c r="H13" i="5" s="1"/>
  <c r="C12" i="5"/>
  <c r="E12" i="5" s="1"/>
  <c r="H12" i="5" s="1"/>
  <c r="C11" i="5"/>
  <c r="E11" i="5" s="1"/>
  <c r="H11" i="5" s="1"/>
  <c r="C10" i="5"/>
  <c r="E10" i="5" s="1"/>
  <c r="H10" i="5" s="1"/>
  <c r="C9" i="5"/>
  <c r="E9" i="5" s="1"/>
  <c r="H9" i="5" s="1"/>
  <c r="C8" i="5"/>
  <c r="E8" i="5" s="1"/>
  <c r="H8" i="5" s="1"/>
  <c r="C7" i="5"/>
  <c r="E7" i="5" s="1"/>
  <c r="H7" i="5" s="1"/>
  <c r="C6" i="5"/>
  <c r="E6" i="5" s="1"/>
  <c r="H6" i="5" s="1"/>
  <c r="C5" i="5"/>
  <c r="E5" i="5" s="1"/>
  <c r="H5" i="5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C4" i="5"/>
  <c r="C214" i="5" s="1"/>
  <c r="C216" i="5" s="1"/>
  <c r="E4" i="5" l="1"/>
  <c r="E222" i="5"/>
  <c r="E214" i="5" l="1"/>
  <c r="H4" i="5"/>
  <c r="D219" i="5" l="1"/>
  <c r="E219" i="5" s="1"/>
  <c r="E220" i="5" s="1"/>
  <c r="E224" i="5"/>
  <c r="D216" i="5"/>
  <c r="E216" i="5" s="1"/>
  <c r="E217" i="5" s="1"/>
  <c r="E225" i="5" l="1"/>
  <c r="D224" i="5"/>
  <c r="AG224" i="4" l="1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AJ22" i="4"/>
  <c r="AI22" i="4"/>
  <c r="AH22" i="4"/>
  <c r="AJ8" i="4"/>
  <c r="AI8" i="4"/>
  <c r="AI11" i="4" s="1"/>
  <c r="AH13" i="4" s="1"/>
  <c r="AH8" i="4"/>
  <c r="AH11" i="4" s="1"/>
  <c r="H27" i="1"/>
  <c r="G27" i="1"/>
  <c r="F27" i="1"/>
  <c r="E27" i="1"/>
  <c r="D27" i="1"/>
  <c r="C27" i="1"/>
  <c r="H26" i="1"/>
  <c r="G26" i="1"/>
  <c r="F26" i="1"/>
  <c r="E26" i="1"/>
  <c r="D26" i="1"/>
  <c r="C26" i="1"/>
  <c r="H23" i="1"/>
  <c r="G23" i="1"/>
  <c r="F23" i="1"/>
  <c r="E23" i="1"/>
  <c r="D23" i="1"/>
  <c r="C23" i="1"/>
  <c r="G22" i="1"/>
  <c r="F22" i="1"/>
  <c r="E22" i="1"/>
  <c r="D22" i="1"/>
  <c r="H17" i="1"/>
  <c r="I16" i="1"/>
  <c r="I15" i="1"/>
  <c r="I14" i="1"/>
  <c r="I13" i="1"/>
  <c r="I17" i="1" s="1"/>
  <c r="F11" i="1"/>
  <c r="F10" i="1"/>
  <c r="E10" i="1"/>
  <c r="E11" i="1" s="1"/>
  <c r="D10" i="1"/>
  <c r="D11" i="1" s="1"/>
  <c r="C11" i="1" s="1"/>
  <c r="C10" i="1"/>
  <c r="B4" i="1"/>
  <c r="K4" i="1" s="1"/>
  <c r="I3" i="1"/>
  <c r="B3" i="1"/>
  <c r="K3" i="1" s="1"/>
  <c r="J17" i="1" l="1"/>
  <c r="F3" i="1"/>
  <c r="D3" i="1" s="1"/>
  <c r="I4" i="1"/>
  <c r="F4" i="1"/>
  <c r="D4" i="1" s="1"/>
</calcChain>
</file>

<file path=xl/sharedStrings.xml><?xml version="1.0" encoding="utf-8"?>
<sst xmlns="http://schemas.openxmlformats.org/spreadsheetml/2006/main" count="846" uniqueCount="236">
  <si>
    <t>TC : Safira</t>
  </si>
  <si>
    <t>BULAN</t>
  </si>
  <si>
    <t>Value Transfer BG</t>
  </si>
  <si>
    <t>Target</t>
  </si>
  <si>
    <t>Tambahan</t>
  </si>
  <si>
    <t>% Tunai</t>
  </si>
  <si>
    <t>YTD</t>
  </si>
  <si>
    <t>MTD</t>
  </si>
  <si>
    <t>PER BULAN</t>
  </si>
  <si>
    <t>Kios Tunai</t>
  </si>
  <si>
    <t>Kios TF Tagih Tunai</t>
  </si>
  <si>
    <t>%</t>
  </si>
  <si>
    <t>BG+KU</t>
  </si>
  <si>
    <t>Tunai</t>
  </si>
  <si>
    <t>Per Bulan</t>
  </si>
  <si>
    <t>JAN</t>
  </si>
  <si>
    <t>11 M</t>
  </si>
  <si>
    <t>500 Jt</t>
  </si>
  <si>
    <t>FEB</t>
  </si>
  <si>
    <t>TC : SAFIRA</t>
  </si>
  <si>
    <t>Jml Kali</t>
  </si>
  <si>
    <t>Reminder Intensif</t>
  </si>
  <si>
    <t>Jml Kios</t>
  </si>
  <si>
    <t>Penyelesaian OD 90</t>
  </si>
  <si>
    <t>TOTAL PD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</si>
  <si>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</si>
  <si>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</si>
  <si>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</si>
  <si>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</si>
  <si>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</si>
  <si>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</si>
  <si>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</si>
  <si>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</si>
  <si>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</si>
  <si>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</si>
  <si>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</si>
  <si>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</si>
  <si>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</si>
  <si>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</si>
  <si>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Faris</t>
  </si>
  <si>
    <t>Safira</t>
  </si>
  <si>
    <t>UTAM01</t>
  </si>
  <si>
    <t>Utama/Husni</t>
  </si>
  <si>
    <t>Banyuwangi</t>
  </si>
  <si>
    <t>SUCI01</t>
  </si>
  <si>
    <t>Suci Murni/Tony</t>
  </si>
  <si>
    <t>SUMB36</t>
  </si>
  <si>
    <t>Sumber Rejeki/Tono</t>
  </si>
  <si>
    <t>PERT05</t>
  </si>
  <si>
    <t>Pertanian 99/Efendi</t>
  </si>
  <si>
    <t>TOTAL</t>
  </si>
  <si>
    <t>Bulan</t>
  </si>
  <si>
    <t>Klasifikasi</t>
  </si>
  <si>
    <t>Farida</t>
  </si>
  <si>
    <t>Hendra</t>
  </si>
  <si>
    <t>Natasya</t>
  </si>
  <si>
    <t>Novista</t>
  </si>
  <si>
    <t>Tiya</t>
  </si>
  <si>
    <t>Total Kios</t>
  </si>
  <si>
    <t>Kios Aman</t>
  </si>
  <si>
    <t>KALENDER PENAGIHAN TEAM COLLECTION</t>
  </si>
  <si>
    <t>BULAN FEBRUARI 2025</t>
  </si>
  <si>
    <t xml:space="preserve"> </t>
  </si>
  <si>
    <t>Nama TC</t>
  </si>
  <si>
    <t>:</t>
  </si>
  <si>
    <t>Safirah</t>
  </si>
  <si>
    <t>Wilayah</t>
  </si>
  <si>
    <t xml:space="preserve">Banyuwangi, Bondowoso, dan Situbondo </t>
  </si>
  <si>
    <t>Posisi Over Due</t>
  </si>
  <si>
    <t>30 &gt;</t>
  </si>
  <si>
    <t>No</t>
  </si>
  <si>
    <t>Nama Kios</t>
  </si>
  <si>
    <t>Agro Tani, UD</t>
  </si>
  <si>
    <t>T</t>
  </si>
  <si>
    <t>B</t>
  </si>
  <si>
    <t>TB</t>
  </si>
  <si>
    <t>Agro Tiara Jaya</t>
  </si>
  <si>
    <t>Akbar Tani, UD</t>
  </si>
  <si>
    <t>Angka Jaya</t>
  </si>
  <si>
    <t>Ar Royan, UD</t>
  </si>
  <si>
    <t>Barokah Tani/Syaikur</t>
  </si>
  <si>
    <t>Berkah Tani/Ali Mutohar</t>
  </si>
  <si>
    <t>Berkat Jaya II/Dony</t>
  </si>
  <si>
    <t>Berkat Jaya Utama</t>
  </si>
  <si>
    <t>Bimo Rukun Tani II</t>
  </si>
  <si>
    <t xml:space="preserve">T </t>
  </si>
  <si>
    <t>Bimo Rukun Tani, UD</t>
  </si>
  <si>
    <t>Bintang Harapan</t>
  </si>
  <si>
    <t>Bintang Tani/Kabul</t>
  </si>
  <si>
    <t>Cahaya Mulya</t>
  </si>
  <si>
    <t>Cahaya/Shohib</t>
  </si>
  <si>
    <t>Dino Vita, Toko</t>
  </si>
  <si>
    <t>Dua Putra, UD/Alvan</t>
  </si>
  <si>
    <t>Dwi Putra, UD</t>
  </si>
  <si>
    <t>Eka Jaya/David</t>
  </si>
  <si>
    <t>Green Tani</t>
  </si>
  <si>
    <t>Gunung Semeru</t>
  </si>
  <si>
    <t>Handayani, UD</t>
  </si>
  <si>
    <t>Harapan Jaya/Hadi Maruf</t>
  </si>
  <si>
    <t>Harapan, UD/Julik</t>
  </si>
  <si>
    <t>Insan Tani, UD/Yohan</t>
  </si>
  <si>
    <t>Karisma Tani/Roeslan</t>
  </si>
  <si>
    <t>KSU CU Sang Timur/CU Agro</t>
  </si>
  <si>
    <t>Kumpul Tani/Hendro</t>
  </si>
  <si>
    <t>Layan Tani II</t>
  </si>
  <si>
    <t>Lestari Jaya</t>
  </si>
  <si>
    <t>Maha Karya Sentosa, Toko</t>
  </si>
  <si>
    <t>Mandiri/Suparni</t>
  </si>
  <si>
    <t>Mapan Agro Sentosa, UD</t>
  </si>
  <si>
    <t>Mbah Semar, Kios</t>
  </si>
  <si>
    <t>Mekar Tani/Tunti</t>
  </si>
  <si>
    <t>Mitra Tani/Alfan</t>
  </si>
  <si>
    <t>Mitra Tani/Eko Susanto</t>
  </si>
  <si>
    <t>Mitra Tani/Hariyanto</t>
  </si>
  <si>
    <t>Mitra Tani/Riska</t>
  </si>
  <si>
    <t>Mujahidin Delapan, UD</t>
  </si>
  <si>
    <t>Mulyo Tani/Danang</t>
  </si>
  <si>
    <t>Mutiara Tani, UD/Abdur Rahman</t>
  </si>
  <si>
    <t>Pasta Graha/Agus</t>
  </si>
  <si>
    <t>Pos Tani/Busiyanto</t>
  </si>
  <si>
    <t>Prima Tani/Candra Sanjaya</t>
  </si>
  <si>
    <t>Pusaka Tani Jaya/Supri</t>
  </si>
  <si>
    <t>Putra Makmur Abadi, UD</t>
  </si>
  <si>
    <t>Restu Tani/Rio</t>
  </si>
  <si>
    <t>Rimba Kelapa/Ribut Aminah</t>
  </si>
  <si>
    <t>Rizki Santoso, UD</t>
  </si>
  <si>
    <t>Sari Bumi/Alvin</t>
  </si>
  <si>
    <t>Sari Tani/Adenan</t>
  </si>
  <si>
    <t>Setia Jaya, UD/Saiful</t>
  </si>
  <si>
    <t>Sinar Fajar, UD</t>
  </si>
  <si>
    <t>Sinare Tani, UD</t>
  </si>
  <si>
    <t>Sriwijaya/Yahya</t>
  </si>
  <si>
    <t>Sumber Berkat/Agus</t>
  </si>
  <si>
    <t>Sumber Makmur/Satino</t>
  </si>
  <si>
    <t>Sumber Rejeki, Toko/Srikanah</t>
  </si>
  <si>
    <t>Tani Makmur, Toko/Ady</t>
  </si>
  <si>
    <t>Tani Makmur/Rika</t>
  </si>
  <si>
    <t>Tani Makmur/Sunaryo</t>
  </si>
  <si>
    <t>Tani Sejati/Ahmad Syarifudin</t>
  </si>
  <si>
    <t>Tani Unggul/Johan</t>
  </si>
  <si>
    <t>Tawaf, Toko</t>
  </si>
  <si>
    <t>Tunas Jaya, UD/Bacuk</t>
  </si>
  <si>
    <t>Wes Joyo/Hermas</t>
  </si>
  <si>
    <t>Tagih Langsung Bayar</t>
  </si>
  <si>
    <t>Tagih</t>
  </si>
  <si>
    <t>Bayar</t>
  </si>
  <si>
    <t>&lt; 30</t>
  </si>
  <si>
    <t>Barokah Tani/Riwa</t>
  </si>
  <si>
    <t xml:space="preserve">B </t>
  </si>
  <si>
    <t>Daeng Tani/Rahmat Hidayah</t>
  </si>
  <si>
    <t>Dewi Anjani/Wulan</t>
  </si>
  <si>
    <t>Durian Merah/Dian</t>
  </si>
  <si>
    <t>Harto Tani/Suhartini</t>
  </si>
  <si>
    <t>Hidayah Tani/Cholis</t>
  </si>
  <si>
    <t>Karunia Jaya/Sujud Abdillah</t>
  </si>
  <si>
    <t>Langgeng Jaya/Lilis</t>
  </si>
  <si>
    <t>Langgeng Makmur</t>
  </si>
  <si>
    <t>Mona Tani</t>
  </si>
  <si>
    <t>Mustakim Tani/Mustakim</t>
  </si>
  <si>
    <t>Perdana Jaya/Zainud</t>
  </si>
  <si>
    <t>Sederhana Agro Makmur, UD</t>
  </si>
  <si>
    <t>Setia Hati,Toko</t>
  </si>
  <si>
    <t>Sumber Rejeki Tani/Ira</t>
  </si>
  <si>
    <t>Tani Holik,Toko</t>
  </si>
  <si>
    <t>Timbol Jaya/Gischa</t>
  </si>
  <si>
    <t>Yahya Makmur</t>
  </si>
  <si>
    <t>Kharisma Alam Abadi</t>
  </si>
  <si>
    <t>Risma, UD</t>
  </si>
  <si>
    <t>Panen Jaya/Nesrawati</t>
  </si>
  <si>
    <t>Berkah Tani/Zainul</t>
  </si>
  <si>
    <t>Sumber Rejeki/Benny</t>
  </si>
  <si>
    <t>Sumber Rahayu, UD</t>
  </si>
  <si>
    <t>Berkah Joyo/Diana</t>
  </si>
  <si>
    <t>Wina Tani/Sumilah</t>
  </si>
  <si>
    <t>Konco Tani, UD/Kasianto</t>
  </si>
  <si>
    <t>Mitra Tani 1</t>
  </si>
  <si>
    <t>Pahala Tani</t>
  </si>
  <si>
    <t>Restu Tani, UD/Ahmad</t>
  </si>
  <si>
    <t>Agro Lestari, UD/Puguh</t>
  </si>
  <si>
    <t>DNA Pantura/Eko</t>
  </si>
  <si>
    <t>Lestari Alam/Firqin</t>
  </si>
  <si>
    <t>Parnadi, UD</t>
  </si>
  <si>
    <t>Sumber Tani/Sandra</t>
  </si>
  <si>
    <t>Sumber Utama, UD</t>
  </si>
  <si>
    <t>Tani Jaya/Budi Wiyono</t>
  </si>
  <si>
    <t>Tani Makmur/Akhmad</t>
  </si>
  <si>
    <t>Sari Rejeki/Singgih</t>
  </si>
  <si>
    <t>Mulya Lestari, UD/Umi</t>
  </si>
  <si>
    <t>Layan Tani, UD</t>
  </si>
  <si>
    <t>Abadi Tani, Toko</t>
  </si>
  <si>
    <t>Sumber Rejeki/Yuliatin</t>
  </si>
  <si>
    <t>Barokah Jaya/Yusniar</t>
  </si>
  <si>
    <t>Tani Mulyo/Rubidar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</si>
  <si>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</si>
  <si>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</si>
  <si>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</si>
  <si>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</si>
  <si>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</si>
  <si>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</si>
  <si>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</si>
  <si>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</si>
  <si>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</si>
  <si>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</si>
  <si>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Ach. Wagiyo Setiantoro</t>
  </si>
  <si>
    <t>Alvin Tani/Toha</t>
  </si>
  <si>
    <t>Baru Rejo/Haris</t>
  </si>
  <si>
    <t>Bio Tani/Budi</t>
  </si>
  <si>
    <t>Diva Jaya</t>
  </si>
  <si>
    <t>Jaya Sejahtera/Dian Retno</t>
  </si>
  <si>
    <t>Joko Supriyo</t>
  </si>
  <si>
    <t>Kartika Jaya, UD</t>
  </si>
  <si>
    <t>Karunia Makmur, UD</t>
  </si>
  <si>
    <t>Klinik Tani/Defit</t>
  </si>
  <si>
    <t>Maju Mapan/Gidion</t>
  </si>
  <si>
    <t>Margo Joyo/Iksan</t>
  </si>
  <si>
    <t>Nusantara Agro/Viola</t>
  </si>
  <si>
    <t>Rizki Agro/Sakti</t>
  </si>
  <si>
    <t>Setia Hati, Toko</t>
  </si>
  <si>
    <t>Subur/Liang Han</t>
  </si>
  <si>
    <t>Sumber Rejeki, UD/Alwi</t>
  </si>
  <si>
    <t>Sumber Rejeki, UD/Sigit</t>
  </si>
  <si>
    <t>Sumber Rejeki/Maksum</t>
  </si>
  <si>
    <t>Tani Holik, Toko</t>
  </si>
  <si>
    <t>Tani Jaya/Afuk</t>
  </si>
  <si>
    <t>Tani Maju/Ayus Tinah</t>
  </si>
  <si>
    <t>Tani Makmur/Ashuri</t>
  </si>
  <si>
    <t>Tunas Makmur Agriculture/Deni</t>
  </si>
  <si>
    <t>Grand Total</t>
  </si>
  <si>
    <t>prediksi</t>
  </si>
  <si>
    <t>Simulasi penyelesaian OD &gt; 30</t>
  </si>
  <si>
    <t>akhir Agustus</t>
  </si>
  <si>
    <t>Tot. piutang Juli</t>
  </si>
  <si>
    <t>OD30,60,90</t>
  </si>
  <si>
    <t>penyelesaian OD &gt; 30</t>
  </si>
  <si>
    <t>Simulasi OD 30+60</t>
  </si>
  <si>
    <t>Tot.piutang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</si>
</sst>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[$-409]d\-mmm\-yy;@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sz val="10"/>
      <color theme="0"/>
      <name val="Arial Unicode MS"/>
      <family val="2"/>
    </font>
    <font>
      <sz val="8.5"/>
      <name val="Arial"/>
      <family val="2"/>
    </font>
    <font>
      <sz val="8"/>
      <color theme="1"/>
      <name val="Calibri"/>
      <family val="2"/>
      <scheme val="minor"/>
    </font>
    <font>
      <sz val="8.5"/>
      <color theme="0"/>
      <name val="Arial"/>
      <family val="2"/>
    </font>
    <font>
      <sz val="8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9" fillId="0" borderId="0"/>
    <xf numFmtId="0" fontId="30" fillId="0" borderId="0">
      <alignment horizontal="left" vertical="top"/>
    </xf>
    <xf numFmtId="41" fontId="38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9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34" borderId="0"/>
    <xf numFmtId="0" fontId="29" fillId="0" borderId="0"/>
    <xf numFmtId="0" fontId="29" fillId="0" borderId="0"/>
    <xf numFmtId="0" fontId="1" fillId="0" borderId="0"/>
    <xf numFmtId="0" fontId="43" fillId="34" borderId="0"/>
    <xf numFmtId="0" fontId="29" fillId="0" borderId="0"/>
    <xf numFmtId="166" fontId="1" fillId="0" borderId="0"/>
    <xf numFmtId="166" fontId="1" fillId="0" borderId="0"/>
    <xf numFmtId="166" fontId="1" fillId="0" borderId="0"/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center" vertical="top"/>
    </xf>
    <xf numFmtId="0" fontId="39" fillId="0" borderId="0">
      <alignment horizontal="center" vertical="top"/>
    </xf>
    <xf numFmtId="0" fontId="39" fillId="0" borderId="0">
      <alignment horizontal="left" vertical="top"/>
    </xf>
    <xf numFmtId="0" fontId="44" fillId="0" borderId="0">
      <alignment horizontal="left" vertical="top"/>
    </xf>
    <xf numFmtId="0" fontId="45" fillId="0" borderId="0">
      <alignment horizontal="left" vertical="top"/>
    </xf>
    <xf numFmtId="0" fontId="39" fillId="35" borderId="0">
      <alignment horizontal="center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46" fillId="0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47" fillId="0" borderId="0">
      <alignment horizontal="left" vertical="top"/>
    </xf>
    <xf numFmtId="0" fontId="30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center" vertical="top"/>
    </xf>
    <xf numFmtId="0" fontId="39" fillId="0" borderId="0">
      <alignment horizontal="center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49" fillId="0" borderId="0">
      <alignment horizontal="left" vertical="top"/>
    </xf>
    <xf numFmtId="0" fontId="39" fillId="35" borderId="0">
      <alignment horizontal="center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46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3" fillId="0" borderId="0">
      <alignment horizontal="left" vertical="top"/>
    </xf>
    <xf numFmtId="0" fontId="39" fillId="35" borderId="0">
      <alignment horizontal="left" vertical="top"/>
    </xf>
    <xf numFmtId="0" fontId="54" fillId="0" borderId="0">
      <alignment horizontal="left" vertical="top"/>
    </xf>
    <xf numFmtId="0" fontId="55" fillId="0" borderId="0">
      <alignment horizontal="right" vertical="top"/>
    </xf>
    <xf numFmtId="0" fontId="56" fillId="0" borderId="0">
      <alignment horizontal="right" vertical="center"/>
    </xf>
    <xf numFmtId="0" fontId="30" fillId="0" borderId="0">
      <alignment horizontal="right" vertical="top"/>
    </xf>
    <xf numFmtId="0" fontId="30" fillId="0" borderId="0">
      <alignment horizontal="left" vertical="top"/>
    </xf>
    <xf numFmtId="166" fontId="53" fillId="0" borderId="0">
      <alignment horizontal="left" vertical="top"/>
    </xf>
    <xf numFmtId="0" fontId="52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53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right" vertical="top"/>
    </xf>
    <xf numFmtId="0" fontId="39" fillId="0" borderId="0">
      <alignment horizontal="left" vertical="top"/>
    </xf>
    <xf numFmtId="0" fontId="39" fillId="0" borderId="0">
      <alignment horizontal="right" vertical="top"/>
    </xf>
    <xf numFmtId="0" fontId="48" fillId="0" borderId="0">
      <alignment horizontal="right" vertical="top"/>
    </xf>
    <xf numFmtId="0" fontId="57" fillId="0" borderId="0">
      <alignment horizontal="left" vertical="top"/>
    </xf>
    <xf numFmtId="0" fontId="51" fillId="0" borderId="0">
      <alignment horizontal="left" vertical="top"/>
    </xf>
    <xf numFmtId="0" fontId="39" fillId="35" borderId="0">
      <alignment horizontal="left" vertical="top"/>
    </xf>
    <xf numFmtId="0" fontId="54" fillId="0" borderId="0">
      <alignment horizontal="left" vertical="top"/>
    </xf>
    <xf numFmtId="0" fontId="55" fillId="0" borderId="0">
      <alignment horizontal="left" vertical="top"/>
    </xf>
    <xf numFmtId="0" fontId="54" fillId="0" borderId="0">
      <alignment horizontal="right" vertical="top"/>
    </xf>
    <xf numFmtId="0" fontId="30" fillId="0" borderId="0">
      <alignment horizontal="left" vertical="top"/>
    </xf>
    <xf numFmtId="0" fontId="51" fillId="0" borderId="0">
      <alignment horizontal="left" vertical="top"/>
    </xf>
    <xf numFmtId="0" fontId="30" fillId="0" borderId="0">
      <alignment horizontal="right" vertical="top"/>
    </xf>
    <xf numFmtId="0" fontId="51" fillId="0" borderId="0">
      <alignment horizontal="right" vertical="top"/>
    </xf>
    <xf numFmtId="166" fontId="30" fillId="0" borderId="0">
      <alignment horizontal="right" vertical="top"/>
    </xf>
    <xf numFmtId="0" fontId="39" fillId="35" borderId="0">
      <alignment horizontal="left" vertical="top"/>
    </xf>
    <xf numFmtId="0" fontId="39" fillId="0" borderId="0">
      <alignment horizontal="left" vertical="top"/>
    </xf>
    <xf numFmtId="0" fontId="53" fillId="0" borderId="0">
      <alignment horizontal="left" vertical="top"/>
    </xf>
    <xf numFmtId="0" fontId="39" fillId="0" borderId="0">
      <alignment horizontal="righ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55" fillId="0" borderId="0">
      <alignment horizontal="right" vertical="top"/>
    </xf>
    <xf numFmtId="0" fontId="52" fillId="0" borderId="0">
      <alignment horizontal="left" vertical="top"/>
    </xf>
    <xf numFmtId="0" fontId="58" fillId="0" borderId="0">
      <alignment horizontal="right" vertical="top"/>
    </xf>
    <xf numFmtId="0" fontId="51" fillId="0" borderId="0">
      <alignment horizontal="right" vertical="top"/>
    </xf>
    <xf numFmtId="0" fontId="53" fillId="0" borderId="0">
      <alignment horizontal="left" vertical="top"/>
    </xf>
    <xf numFmtId="166" fontId="30" fillId="0" borderId="0">
      <alignment horizontal="righ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55" fillId="0" borderId="0">
      <alignment horizontal="left" vertical="top"/>
    </xf>
    <xf numFmtId="0" fontId="55" fillId="0" borderId="0">
      <alignment horizontal="right" vertical="top"/>
    </xf>
    <xf numFmtId="0" fontId="39" fillId="0" borderId="0">
      <alignment horizontal="right" vertical="top"/>
    </xf>
    <xf numFmtId="0" fontId="54" fillId="0" borderId="0">
      <alignment horizontal="right" vertical="top"/>
    </xf>
    <xf numFmtId="0" fontId="30" fillId="0" borderId="0">
      <alignment horizontal="right" vertical="top"/>
    </xf>
    <xf numFmtId="0" fontId="51" fillId="0" borderId="0">
      <alignment horizontal="right" vertical="top"/>
    </xf>
    <xf numFmtId="0" fontId="51" fillId="0" borderId="0">
      <alignment horizontal="left" vertical="top"/>
    </xf>
    <xf numFmtId="0" fontId="58" fillId="0" borderId="0">
      <alignment horizontal="right" vertical="top"/>
    </xf>
    <xf numFmtId="0" fontId="59" fillId="0" borderId="0">
      <alignment horizontal="left" vertical="center"/>
    </xf>
    <xf numFmtId="0" fontId="56" fillId="0" borderId="0">
      <alignment horizontal="left" vertical="center"/>
    </xf>
    <xf numFmtId="0" fontId="30" fillId="0" borderId="0">
      <alignment horizontal="left" vertical="top"/>
    </xf>
    <xf numFmtId="166" fontId="30" fillId="0" borderId="0">
      <alignment horizontal="left" vertical="top"/>
    </xf>
    <xf numFmtId="0" fontId="39" fillId="0" borderId="0">
      <alignment horizontal="left" vertical="top"/>
    </xf>
    <xf numFmtId="0" fontId="55" fillId="0" borderId="0">
      <alignment horizontal="left" vertical="top"/>
    </xf>
    <xf numFmtId="0" fontId="39" fillId="0" borderId="0">
      <alignment horizontal="left" vertical="top"/>
    </xf>
    <xf numFmtId="0" fontId="54" fillId="0" borderId="0">
      <alignment horizontal="right" vertical="top"/>
    </xf>
    <xf numFmtId="0" fontId="60" fillId="0" borderId="0">
      <alignment horizontal="left" vertical="top"/>
    </xf>
    <xf numFmtId="0" fontId="30" fillId="0" borderId="0">
      <alignment horizontal="right" vertical="top"/>
    </xf>
    <xf numFmtId="0" fontId="59" fillId="0" borderId="0">
      <alignment horizontal="left" vertical="center"/>
    </xf>
    <xf numFmtId="0" fontId="53" fillId="0" borderId="0">
      <alignment horizontal="left" vertical="top"/>
    </xf>
    <xf numFmtId="0" fontId="51" fillId="0" borderId="0">
      <alignment horizontal="right" vertical="top"/>
    </xf>
    <xf numFmtId="0" fontId="55" fillId="0" borderId="0">
      <alignment horizontal="right" vertical="top"/>
    </xf>
    <xf numFmtId="0" fontId="58" fillId="0" borderId="0">
      <alignment horizontal="left" vertical="top"/>
    </xf>
    <xf numFmtId="0" fontId="30" fillId="0" borderId="0">
      <alignment horizontal="left" vertical="top"/>
    </xf>
    <xf numFmtId="166" fontId="53" fillId="0" borderId="0">
      <alignment horizontal="left" vertical="top"/>
    </xf>
    <xf numFmtId="0" fontId="61" fillId="0" borderId="0">
      <alignment horizontal="left" vertical="top"/>
    </xf>
    <xf numFmtId="0" fontId="39" fillId="0" borderId="0">
      <alignment horizontal="left" vertical="top"/>
    </xf>
    <xf numFmtId="0" fontId="30" fillId="0" borderId="0">
      <alignment horizontal="left" vertical="top"/>
    </xf>
    <xf numFmtId="0" fontId="30" fillId="0" borderId="0">
      <alignment horizontal="left" vertical="top"/>
    </xf>
    <xf numFmtId="0" fontId="46" fillId="0" borderId="0">
      <alignment horizontal="left" vertical="top"/>
    </xf>
    <xf numFmtId="0" fontId="56" fillId="0" borderId="0">
      <alignment horizontal="center" vertical="center"/>
    </xf>
    <xf numFmtId="0" fontId="53" fillId="0" borderId="0">
      <alignment horizontal="left" vertical="top"/>
    </xf>
    <xf numFmtId="0" fontId="55" fillId="0" borderId="0">
      <alignment horizontal="right" vertical="top"/>
    </xf>
    <xf numFmtId="0" fontId="56" fillId="0" borderId="0">
      <alignment horizontal="left" vertical="center"/>
    </xf>
    <xf numFmtId="0" fontId="57" fillId="0" borderId="0">
      <alignment horizontal="left" vertical="top"/>
    </xf>
    <xf numFmtId="0" fontId="62" fillId="0" borderId="0">
      <alignment horizontal="right" vertical="top"/>
    </xf>
    <xf numFmtId="0" fontId="30" fillId="0" borderId="0">
      <alignment horizontal="right" vertical="top"/>
    </xf>
    <xf numFmtId="0" fontId="62" fillId="0" borderId="0">
      <alignment horizontal="right" vertical="top"/>
    </xf>
    <xf numFmtId="0" fontId="53" fillId="0" borderId="0">
      <alignment horizontal="left" vertical="top"/>
    </xf>
    <xf numFmtId="0" fontId="62" fillId="0" borderId="0">
      <alignment horizontal="left" vertical="top"/>
    </xf>
    <xf numFmtId="0" fontId="30" fillId="0" borderId="0">
      <alignment horizontal="left" vertical="top"/>
    </xf>
    <xf numFmtId="0" fontId="55" fillId="0" borderId="0">
      <alignment horizontal="left" vertical="top"/>
    </xf>
    <xf numFmtId="0" fontId="56" fillId="0" borderId="0">
      <alignment horizontal="center" vertical="center"/>
    </xf>
    <xf numFmtId="166" fontId="30" fillId="0" borderId="0">
      <alignment horizontal="left" vertical="top"/>
    </xf>
    <xf numFmtId="0" fontId="58" fillId="0" borderId="0">
      <alignment horizontal="left" vertical="top"/>
    </xf>
    <xf numFmtId="0" fontId="62" fillId="0" borderId="0">
      <alignment horizontal="left" vertical="top"/>
    </xf>
    <xf numFmtId="0" fontId="30" fillId="0" borderId="0">
      <alignment horizontal="left" vertical="top"/>
    </xf>
    <xf numFmtId="0" fontId="62" fillId="0" borderId="0">
      <alignment horizontal="left" vertical="top"/>
    </xf>
    <xf numFmtId="0" fontId="62" fillId="0" borderId="0">
      <alignment horizontal="right" vertical="top"/>
    </xf>
    <xf numFmtId="0" fontId="53" fillId="0" borderId="0">
      <alignment horizontal="left" vertical="top"/>
    </xf>
    <xf numFmtId="166" fontId="53" fillId="0" borderId="0">
      <alignment horizontal="left" vertical="top"/>
    </xf>
    <xf numFmtId="0" fontId="57" fillId="0" borderId="0">
      <alignment horizontal="left" vertical="top"/>
    </xf>
    <xf numFmtId="0" fontId="55" fillId="0" borderId="0">
      <alignment horizontal="left" vertical="top"/>
    </xf>
    <xf numFmtId="0" fontId="52" fillId="0" borderId="0">
      <alignment horizontal="left" vertical="top"/>
    </xf>
    <xf numFmtId="0" fontId="55" fillId="0" borderId="0">
      <alignment horizontal="right" vertical="top"/>
    </xf>
    <xf numFmtId="166" fontId="55" fillId="0" borderId="0">
      <alignment horizontal="right" vertical="top"/>
    </xf>
    <xf numFmtId="0" fontId="63" fillId="0" borderId="0">
      <alignment horizontal="right" vertical="top"/>
    </xf>
    <xf numFmtId="0" fontId="61" fillId="0" borderId="0">
      <alignment horizontal="left" vertical="top"/>
    </xf>
    <xf numFmtId="0" fontId="55" fillId="0" borderId="0">
      <alignment horizontal="left" vertical="top"/>
    </xf>
    <xf numFmtId="0" fontId="30" fillId="0" borderId="0">
      <alignment horizontal="left" vertical="top"/>
    </xf>
    <xf numFmtId="166" fontId="55" fillId="0" borderId="0">
      <alignment horizontal="left" vertical="top"/>
    </xf>
    <xf numFmtId="0" fontId="63" fillId="0" borderId="0">
      <alignment horizontal="left" vertical="top"/>
    </xf>
    <xf numFmtId="0" fontId="30" fillId="0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center" vertical="top"/>
    </xf>
    <xf numFmtId="0" fontId="39" fillId="0" borderId="0">
      <alignment horizontal="center" vertical="top"/>
    </xf>
    <xf numFmtId="0" fontId="39" fillId="0" borderId="0">
      <alignment horizontal="left" vertical="top"/>
    </xf>
    <xf numFmtId="0" fontId="64" fillId="0" borderId="0">
      <alignment horizontal="left" vertical="top"/>
    </xf>
    <xf numFmtId="0" fontId="65" fillId="0" borderId="0">
      <alignment horizontal="left" vertical="top"/>
    </xf>
    <xf numFmtId="0" fontId="39" fillId="35" borderId="0">
      <alignment horizontal="center" vertical="top"/>
    </xf>
    <xf numFmtId="0" fontId="30" fillId="0" borderId="0">
      <alignment horizontal="right" vertical="top"/>
    </xf>
    <xf numFmtId="0" fontId="30" fillId="0" borderId="0">
      <alignment horizontal="right" vertical="top"/>
    </xf>
    <xf numFmtId="0" fontId="46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66" fillId="0" borderId="0">
      <alignment horizontal="left" vertical="top"/>
    </xf>
    <xf numFmtId="0" fontId="67" fillId="0" borderId="0">
      <alignment horizontal="center" vertical="top"/>
    </xf>
    <xf numFmtId="0" fontId="68" fillId="0" borderId="0">
      <alignment horizontal="left" vertical="top"/>
    </xf>
    <xf numFmtId="166" fontId="69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69" fillId="0" borderId="0">
      <alignment horizontal="left" vertical="top"/>
    </xf>
    <xf numFmtId="0" fontId="39" fillId="35" borderId="0">
      <alignment horizontal="left" vertical="top"/>
    </xf>
    <xf numFmtId="0" fontId="68" fillId="0" borderId="0">
      <alignment horizontal="center" vertical="top"/>
    </xf>
    <xf numFmtId="0" fontId="70" fillId="0" borderId="0">
      <alignment horizontal="left" vertical="top"/>
    </xf>
    <xf numFmtId="0" fontId="71" fillId="0" borderId="0">
      <alignment horizontal="center" vertical="top"/>
    </xf>
    <xf numFmtId="0" fontId="39" fillId="35" borderId="0">
      <alignment horizontal="left" vertical="top"/>
    </xf>
    <xf numFmtId="0" fontId="61" fillId="0" borderId="0">
      <alignment horizontal="left" vertical="top"/>
    </xf>
    <xf numFmtId="0" fontId="39" fillId="35" borderId="0">
      <alignment horizontal="left" vertical="top"/>
    </xf>
    <xf numFmtId="0" fontId="49" fillId="0" borderId="0">
      <alignment horizontal="center" vertical="top"/>
    </xf>
    <xf numFmtId="0" fontId="71" fillId="0" borderId="0">
      <alignment horizontal="center" vertical="top"/>
    </xf>
    <xf numFmtId="0" fontId="53" fillId="0" borderId="0">
      <alignment horizontal="right" vertical="top"/>
    </xf>
    <xf numFmtId="0" fontId="39" fillId="35" borderId="0">
      <alignment horizontal="left" vertical="top"/>
    </xf>
    <xf numFmtId="0" fontId="49" fillId="0" borderId="0">
      <alignment horizontal="left" vertical="top"/>
    </xf>
    <xf numFmtId="166" fontId="53" fillId="0" borderId="0">
      <alignment horizontal="right" vertical="top"/>
    </xf>
    <xf numFmtId="0" fontId="53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0" borderId="0">
      <alignment horizontal="lef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53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right" vertical="top"/>
    </xf>
    <xf numFmtId="0" fontId="53" fillId="35" borderId="0">
      <alignment horizontal="left" vertical="top"/>
    </xf>
    <xf numFmtId="0" fontId="39" fillId="35" borderId="0">
      <alignment horizontal="left" vertical="top"/>
    </xf>
    <xf numFmtId="0" fontId="65" fillId="0" borderId="0">
      <alignment horizontal="center" vertical="top"/>
    </xf>
    <xf numFmtId="0" fontId="53" fillId="35" borderId="0">
      <alignment horizontal="left" vertical="top"/>
    </xf>
    <xf numFmtId="0" fontId="30" fillId="0" borderId="0">
      <alignment horizontal="right" vertical="top"/>
    </xf>
    <xf numFmtId="166" fontId="53" fillId="0" borderId="0">
      <alignment horizontal="left" vertical="top"/>
    </xf>
    <xf numFmtId="0" fontId="53" fillId="0" borderId="0">
      <alignment horizontal="left" vertical="top"/>
    </xf>
    <xf numFmtId="0" fontId="72" fillId="0" borderId="0">
      <alignment horizontal="center" vertical="top"/>
    </xf>
    <xf numFmtId="0" fontId="39" fillId="35" borderId="0">
      <alignment horizontal="left" vertical="top"/>
    </xf>
    <xf numFmtId="0" fontId="39" fillId="35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1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62" fillId="0" borderId="0">
      <alignment horizontal="left" vertical="center"/>
    </xf>
    <xf numFmtId="0" fontId="48" fillId="0" borderId="0">
      <alignment horizontal="right" vertical="top"/>
    </xf>
    <xf numFmtId="0" fontId="1" fillId="0" borderId="0">
      <alignment horizontal="right" vertical="top"/>
    </xf>
    <xf numFmtId="0" fontId="53" fillId="0" borderId="0">
      <alignment horizontal="right" vertical="top"/>
    </xf>
    <xf numFmtId="0" fontId="53" fillId="0" borderId="0">
      <alignment horizontal="left" vertical="top"/>
    </xf>
    <xf numFmtId="0" fontId="39" fillId="35" borderId="0">
      <alignment horizontal="right" vertical="top"/>
    </xf>
    <xf numFmtId="0" fontId="55" fillId="0" borderId="0">
      <alignment horizontal="left" vertical="top"/>
    </xf>
    <xf numFmtId="0" fontId="55" fillId="0" borderId="0">
      <alignment horizontal="center" vertical="center"/>
    </xf>
    <xf numFmtId="0" fontId="62" fillId="0" borderId="0">
      <alignment horizontal="left" vertical="center"/>
    </xf>
    <xf numFmtId="0" fontId="73" fillId="0" borderId="0">
      <alignment horizontal="center" vertical="top"/>
    </xf>
    <xf numFmtId="166" fontId="53" fillId="0" borderId="0">
      <alignment horizontal="left" vertical="top"/>
    </xf>
    <xf numFmtId="0" fontId="53" fillId="0" borderId="0">
      <alignment horizontal="right" vertical="top"/>
    </xf>
    <xf numFmtId="0" fontId="39" fillId="35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right" vertical="top"/>
    </xf>
    <xf numFmtId="0" fontId="39" fillId="35" borderId="0">
      <alignment horizontal="right" vertical="top"/>
    </xf>
    <xf numFmtId="0" fontId="39" fillId="35" borderId="0">
      <alignment horizontal="right" vertical="top"/>
    </xf>
    <xf numFmtId="0" fontId="39" fillId="0" borderId="0">
      <alignment horizontal="left" vertical="top"/>
    </xf>
    <xf numFmtId="0" fontId="39" fillId="0" borderId="0">
      <alignment horizontal="right" vertical="top"/>
    </xf>
    <xf numFmtId="0" fontId="57" fillId="0" borderId="0">
      <alignment horizontal="left" vertical="top"/>
    </xf>
    <xf numFmtId="0" fontId="62" fillId="0" borderId="0">
      <alignment horizontal="left" vertical="center"/>
    </xf>
    <xf numFmtId="0" fontId="53" fillId="0" borderId="0">
      <alignment horizontal="left" vertical="top"/>
    </xf>
    <xf numFmtId="0" fontId="53" fillId="0" borderId="0">
      <alignment horizontal="left" vertical="top"/>
    </xf>
    <xf numFmtId="0" fontId="53" fillId="0" borderId="0">
      <alignment horizontal="right" vertical="top"/>
    </xf>
    <xf numFmtId="0" fontId="39" fillId="35" borderId="0">
      <alignment horizontal="left" vertical="top"/>
    </xf>
    <xf numFmtId="0" fontId="55" fillId="0" borderId="0">
      <alignment horizontal="left" vertical="top"/>
    </xf>
    <xf numFmtId="0" fontId="56" fillId="0" borderId="0">
      <alignment horizontal="left" vertical="center"/>
    </xf>
    <xf numFmtId="0" fontId="62" fillId="0" borderId="0">
      <alignment horizontal="left" vertical="center"/>
    </xf>
    <xf numFmtId="0" fontId="74" fillId="0" borderId="0">
      <alignment horizontal="left" vertical="top"/>
    </xf>
    <xf numFmtId="166" fontId="53" fillId="0" borderId="0">
      <alignment horizontal="right" vertical="top"/>
    </xf>
    <xf numFmtId="0" fontId="75" fillId="0" borderId="0">
      <alignment horizontal="left" vertical="top"/>
    </xf>
    <xf numFmtId="0" fontId="53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0" borderId="0">
      <alignment horizontal="righ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57" fillId="0" borderId="0">
      <alignment horizontal="right" vertical="top"/>
    </xf>
    <xf numFmtId="0" fontId="62" fillId="0" borderId="0">
      <alignment horizontal="right" vertical="center"/>
    </xf>
    <xf numFmtId="0" fontId="56" fillId="0" borderId="0">
      <alignment horizontal="left" vertical="center"/>
    </xf>
    <xf numFmtId="0" fontId="62" fillId="0" borderId="0">
      <alignment horizontal="right" vertical="center"/>
    </xf>
    <xf numFmtId="0" fontId="62" fillId="0" borderId="0">
      <alignment horizontal="left" vertical="top"/>
    </xf>
    <xf numFmtId="0" fontId="56" fillId="0" borderId="0">
      <alignment horizontal="right" vertical="center"/>
    </xf>
    <xf numFmtId="166" fontId="53" fillId="0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39" fillId="35" borderId="0">
      <alignment horizontal="left" vertical="top"/>
    </xf>
    <xf numFmtId="0" fontId="53" fillId="0" borderId="0">
      <alignment horizontal="righ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53" fillId="0" borderId="0">
      <alignment horizontal="left" vertical="top"/>
    </xf>
    <xf numFmtId="0" fontId="39" fillId="35" borderId="0">
      <alignment horizontal="left" vertical="top"/>
    </xf>
    <xf numFmtId="0" fontId="55" fillId="0" borderId="0">
      <alignment horizontal="right" vertical="top"/>
    </xf>
    <xf numFmtId="0" fontId="57" fillId="0" borderId="0">
      <alignment horizontal="left" vertical="top"/>
    </xf>
    <xf numFmtId="0" fontId="51" fillId="0" borderId="0">
      <alignment horizontal="left" vertical="top"/>
    </xf>
    <xf numFmtId="0" fontId="53" fillId="0" borderId="0">
      <alignment horizontal="left" vertical="top"/>
    </xf>
    <xf numFmtId="0" fontId="39" fillId="35" borderId="0">
      <alignment horizontal="right" vertical="top"/>
    </xf>
    <xf numFmtId="0" fontId="54" fillId="0" borderId="0">
      <alignment horizontal="left" vertical="top"/>
    </xf>
    <xf numFmtId="0" fontId="30" fillId="0" borderId="0">
      <alignment horizontal="left" vertical="top"/>
    </xf>
    <xf numFmtId="0" fontId="56" fillId="0" borderId="0">
      <alignment horizontal="center" vertical="center"/>
    </xf>
    <xf numFmtId="0" fontId="51" fillId="0" borderId="0">
      <alignment horizontal="left" vertical="top"/>
    </xf>
    <xf numFmtId="0" fontId="62" fillId="0" borderId="0">
      <alignment horizontal="right" vertical="top"/>
    </xf>
    <xf numFmtId="0" fontId="53" fillId="0" borderId="0">
      <alignment horizontal="right" vertical="top"/>
    </xf>
    <xf numFmtId="166" fontId="30" fillId="0" borderId="0">
      <alignment horizontal="left" vertical="top"/>
    </xf>
    <xf numFmtId="0" fontId="39" fillId="35" borderId="0">
      <alignment horizontal="right" vertical="top"/>
    </xf>
    <xf numFmtId="0" fontId="39" fillId="35" borderId="0">
      <alignment horizontal="left" vertical="top"/>
    </xf>
    <xf numFmtId="0" fontId="39" fillId="35" borderId="0">
      <alignment horizontal="right" vertical="top"/>
    </xf>
    <xf numFmtId="0" fontId="39" fillId="35" borderId="0">
      <alignment horizontal="right" vertical="top"/>
    </xf>
    <xf numFmtId="0" fontId="39" fillId="35" borderId="0">
      <alignment horizontal="right" vertical="top"/>
    </xf>
    <xf numFmtId="0" fontId="39" fillId="35" borderId="0">
      <alignment horizontal="left" vertical="top"/>
    </xf>
    <xf numFmtId="0" fontId="39" fillId="0" borderId="0">
      <alignment horizontal="left" vertical="top"/>
    </xf>
    <xf numFmtId="0" fontId="48" fillId="0" borderId="0">
      <alignment horizontal="left" vertical="top"/>
    </xf>
    <xf numFmtId="0" fontId="58" fillId="0" borderId="0">
      <alignment horizontal="left" vertical="top"/>
    </xf>
  </cellStyleXfs>
  <cellXfs count="144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3" borderId="0" xfId="0" applyFont="1" applyFill="1"/>
    <xf numFmtId="0" fontId="6" fillId="4" borderId="3" xfId="0" applyFont="1" applyFill="1" applyBorder="1" applyAlignment="1">
      <alignment horizontal="center" vertical="center"/>
    </xf>
    <xf numFmtId="41" fontId="7" fillId="5" borderId="4" xfId="0" applyNumberFormat="1" applyFont="1" applyFill="1" applyBorder="1" applyAlignment="1">
      <alignment horizontal="center" vertical="center"/>
    </xf>
    <xf numFmtId="41" fontId="7" fillId="5" borderId="5" xfId="0" applyNumberFormat="1" applyFont="1" applyFill="1" applyBorder="1" applyAlignment="1">
      <alignment horizontal="center" vertical="center"/>
    </xf>
    <xf numFmtId="41" fontId="7" fillId="5" borderId="6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41" fontId="6" fillId="5" borderId="3" xfId="0" applyNumberFormat="1" applyFont="1" applyFill="1" applyBorder="1" applyAlignment="1">
      <alignment horizontal="center" vertical="center"/>
    </xf>
    <xf numFmtId="41" fontId="7" fillId="6" borderId="4" xfId="0" applyNumberFormat="1" applyFont="1" applyFill="1" applyBorder="1" applyAlignment="1">
      <alignment horizontal="center" vertical="center"/>
    </xf>
    <xf numFmtId="41" fontId="7" fillId="6" borderId="5" xfId="0" applyNumberFormat="1" applyFont="1" applyFill="1" applyBorder="1" applyAlignment="1">
      <alignment horizontal="center" vertical="center"/>
    </xf>
    <xf numFmtId="41" fontId="7" fillId="6" borderId="6" xfId="0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center" vertical="center"/>
    </xf>
    <xf numFmtId="41" fontId="7" fillId="7" borderId="5" xfId="0" applyNumberFormat="1" applyFont="1" applyFill="1" applyBorder="1" applyAlignment="1">
      <alignment horizontal="center" vertical="center"/>
    </xf>
    <xf numFmtId="41" fontId="7" fillId="7" borderId="6" xfId="0" applyNumberFormat="1" applyFont="1" applyFill="1" applyBorder="1" applyAlignment="1">
      <alignment horizontal="center" vertical="center"/>
    </xf>
    <xf numFmtId="41" fontId="7" fillId="8" borderId="4" xfId="0" applyNumberFormat="1" applyFont="1" applyFill="1" applyBorder="1" applyAlignment="1">
      <alignment horizontal="center" vertical="center"/>
    </xf>
    <xf numFmtId="41" fontId="7" fillId="8" borderId="6" xfId="0" applyNumberFormat="1" applyFont="1" applyFill="1" applyBorder="1" applyAlignment="1">
      <alignment horizontal="center" vertical="center"/>
    </xf>
    <xf numFmtId="41" fontId="7" fillId="9" borderId="3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41" fontId="7" fillId="11" borderId="3" xfId="0" applyNumberFormat="1" applyFont="1" applyFill="1" applyBorder="1" applyAlignment="1">
      <alignment horizontal="center" vertical="center"/>
    </xf>
    <xf numFmtId="41" fontId="7" fillId="12" borderId="3" xfId="0" applyNumberFormat="1" applyFont="1" applyFill="1" applyBorder="1" applyAlignment="1">
      <alignment horizontal="center" vertical="center"/>
    </xf>
    <xf numFmtId="41" fontId="7" fillId="13" borderId="3" xfId="0" applyNumberFormat="1" applyFont="1" applyFill="1" applyBorder="1" applyAlignment="1">
      <alignment horizontal="center" vertical="center" wrapText="1"/>
    </xf>
    <xf numFmtId="41" fontId="7" fillId="13" borderId="3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indent="1"/>
    </xf>
    <xf numFmtId="10" fontId="7" fillId="0" borderId="3" xfId="2" applyNumberFormat="1" applyFont="1" applyFill="1" applyBorder="1" applyAlignment="1">
      <alignment horizontal="center" vertical="center"/>
    </xf>
    <xf numFmtId="43" fontId="7" fillId="0" borderId="3" xfId="3" applyFont="1" applyFill="1" applyBorder="1" applyAlignment="1">
      <alignment vertical="center"/>
    </xf>
    <xf numFmtId="10" fontId="7" fillId="0" borderId="7" xfId="4" applyNumberFormat="1" applyFont="1" applyFill="1" applyBorder="1" applyAlignment="1">
      <alignment horizontal="center" vertical="center"/>
    </xf>
    <xf numFmtId="43" fontId="7" fillId="0" borderId="7" xfId="3" applyFont="1" applyFill="1" applyBorder="1" applyAlignment="1">
      <alignment vertical="center"/>
    </xf>
    <xf numFmtId="43" fontId="7" fillId="0" borderId="3" xfId="3" applyFont="1" applyFill="1" applyBorder="1" applyAlignment="1">
      <alignment horizontal="center" vertical="center"/>
    </xf>
    <xf numFmtId="0" fontId="7" fillId="0" borderId="7" xfId="3" applyNumberFormat="1" applyFont="1" applyFill="1" applyBorder="1" applyAlignment="1">
      <alignment horizontal="center" vertical="center"/>
    </xf>
    <xf numFmtId="9" fontId="7" fillId="0" borderId="7" xfId="2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5" borderId="3" xfId="0" applyNumberFormat="1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17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2" fillId="20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/>
    </xf>
    <xf numFmtId="0" fontId="13" fillId="22" borderId="3" xfId="0" applyFont="1" applyFill="1" applyBorder="1" applyAlignment="1">
      <alignment horizontal="center" vertical="center" wrapText="1"/>
    </xf>
    <xf numFmtId="0" fontId="13" fillId="23" borderId="3" xfId="0" applyFont="1" applyFill="1" applyBorder="1" applyAlignment="1">
      <alignment horizontal="center" vertical="center" wrapText="1"/>
    </xf>
    <xf numFmtId="0" fontId="9" fillId="24" borderId="3" xfId="0" applyNumberFormat="1" applyFont="1" applyFill="1" applyBorder="1" applyAlignment="1">
      <alignment horizontal="center" vertical="center" wrapText="1"/>
    </xf>
    <xf numFmtId="0" fontId="11" fillId="25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 vertical="center" indent="1"/>
    </xf>
    <xf numFmtId="43" fontId="14" fillId="0" borderId="3" xfId="3" applyFont="1" applyFill="1" applyBorder="1" applyAlignment="1">
      <alignment vertical="center"/>
    </xf>
    <xf numFmtId="10" fontId="14" fillId="0" borderId="3" xfId="3" applyNumberFormat="1" applyFont="1" applyFill="1" applyBorder="1" applyAlignment="1">
      <alignment horizontal="center" vertical="center"/>
    </xf>
    <xf numFmtId="10" fontId="15" fillId="26" borderId="3" xfId="3" applyNumberFormat="1" applyFont="1" applyFill="1" applyBorder="1" applyAlignment="1">
      <alignment horizontal="center" vertical="center"/>
    </xf>
    <xf numFmtId="10" fontId="14" fillId="0" borderId="3" xfId="2" applyNumberFormat="1" applyFont="1" applyFill="1" applyBorder="1" applyAlignment="1">
      <alignment horizontal="center" vertical="center"/>
    </xf>
    <xf numFmtId="9" fontId="15" fillId="26" borderId="3" xfId="2" applyFont="1" applyFill="1" applyBorder="1" applyAlignment="1">
      <alignment horizontal="center" vertical="center"/>
    </xf>
    <xf numFmtId="10" fontId="16" fillId="26" borderId="3" xfId="2" applyNumberFormat="1" applyFont="1" applyFill="1" applyBorder="1" applyAlignment="1">
      <alignment horizontal="center" vertical="center"/>
    </xf>
    <xf numFmtId="0" fontId="14" fillId="20" borderId="3" xfId="2" applyNumberFormat="1" applyFont="1" applyFill="1" applyBorder="1" applyAlignment="1">
      <alignment horizontal="center" vertical="center"/>
    </xf>
    <xf numFmtId="43" fontId="14" fillId="0" borderId="3" xfId="1" applyFont="1" applyFill="1" applyBorder="1" applyAlignment="1">
      <alignment vertical="center"/>
    </xf>
    <xf numFmtId="0" fontId="14" fillId="0" borderId="3" xfId="2" applyNumberFormat="1" applyFont="1" applyFill="1" applyBorder="1" applyAlignment="1">
      <alignment horizontal="center" vertical="center"/>
    </xf>
    <xf numFmtId="0" fontId="17" fillId="27" borderId="8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vertical="center"/>
    </xf>
    <xf numFmtId="43" fontId="18" fillId="0" borderId="8" xfId="3" applyNumberFormat="1" applyFont="1" applyFill="1" applyBorder="1" applyAlignment="1">
      <alignment vertical="center"/>
    </xf>
    <xf numFmtId="9" fontId="0" fillId="0" borderId="8" xfId="4" applyFont="1" applyBorder="1"/>
    <xf numFmtId="0" fontId="19" fillId="28" borderId="8" xfId="0" applyNumberFormat="1" applyFont="1" applyFill="1" applyBorder="1" applyAlignment="1">
      <alignment horizontal="center" vertical="center"/>
    </xf>
    <xf numFmtId="0" fontId="19" fillId="28" borderId="8" xfId="0" applyFont="1" applyFill="1" applyBorder="1" applyAlignment="1">
      <alignment horizontal="left" vertical="center"/>
    </xf>
    <xf numFmtId="0" fontId="19" fillId="28" borderId="9" xfId="0" applyNumberFormat="1" applyFont="1" applyFill="1" applyBorder="1" applyAlignment="1">
      <alignment horizontal="center" vertical="center"/>
    </xf>
    <xf numFmtId="0" fontId="19" fillId="28" borderId="8" xfId="0" applyFont="1" applyFill="1" applyBorder="1" applyAlignment="1">
      <alignment vertical="center"/>
    </xf>
    <xf numFmtId="43" fontId="20" fillId="28" borderId="8" xfId="3" applyNumberFormat="1" applyFont="1" applyFill="1" applyBorder="1" applyAlignment="1">
      <alignment vertical="center"/>
    </xf>
    <xf numFmtId="9" fontId="20" fillId="26" borderId="8" xfId="4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18" borderId="8" xfId="0" applyFont="1" applyFill="1" applyBorder="1" applyAlignment="1">
      <alignment horizontal="center"/>
    </xf>
    <xf numFmtId="10" fontId="3" fillId="18" borderId="8" xfId="4" applyNumberFormat="1" applyFont="1" applyFill="1" applyBorder="1" applyAlignment="1">
      <alignment horizontal="center"/>
    </xf>
    <xf numFmtId="0" fontId="21" fillId="30" borderId="8" xfId="0" applyFont="1" applyFill="1" applyBorder="1" applyAlignment="1">
      <alignment horizontal="center"/>
    </xf>
    <xf numFmtId="10" fontId="21" fillId="19" borderId="8" xfId="4" applyNumberFormat="1" applyFont="1" applyFill="1" applyBorder="1" applyAlignment="1">
      <alignment horizontal="center"/>
    </xf>
    <xf numFmtId="10" fontId="22" fillId="30" borderId="8" xfId="4" applyNumberFormat="1" applyFont="1" applyFill="1" applyBorder="1" applyAlignment="1">
      <alignment horizontal="center"/>
    </xf>
    <xf numFmtId="0" fontId="23" fillId="27" borderId="0" xfId="0" applyFont="1" applyFill="1" applyAlignment="1">
      <alignment horizontal="center" vertical="center"/>
    </xf>
    <xf numFmtId="0" fontId="0" fillId="27" borderId="0" xfId="0" applyFill="1"/>
    <xf numFmtId="0" fontId="24" fillId="27" borderId="0" xfId="0" applyFont="1" applyFill="1" applyAlignment="1">
      <alignment horizontal="center" vertical="center"/>
    </xf>
    <xf numFmtId="0" fontId="25" fillId="27" borderId="0" xfId="0" applyFont="1" applyFill="1"/>
    <xf numFmtId="0" fontId="26" fillId="27" borderId="0" xfId="0" applyFont="1" applyFill="1" applyAlignment="1">
      <alignment vertical="center"/>
    </xf>
    <xf numFmtId="0" fontId="26" fillId="27" borderId="0" xfId="0" applyFont="1" applyFill="1"/>
    <xf numFmtId="0" fontId="27" fillId="0" borderId="8" xfId="0" applyFont="1" applyFill="1" applyBorder="1" applyAlignment="1">
      <alignment horizontal="center" vertical="center" wrapText="1"/>
    </xf>
    <xf numFmtId="0" fontId="27" fillId="26" borderId="8" xfId="0" applyFont="1" applyFill="1" applyBorder="1" applyAlignment="1">
      <alignment horizontal="center" vertical="center" wrapText="1"/>
    </xf>
    <xf numFmtId="0" fontId="25" fillId="0" borderId="0" xfId="0" applyFont="1"/>
    <xf numFmtId="0" fontId="28" fillId="0" borderId="8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vertical="center"/>
    </xf>
    <xf numFmtId="0" fontId="25" fillId="0" borderId="8" xfId="0" applyFont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5" fillId="27" borderId="0" xfId="0" applyFont="1" applyFill="1" applyAlignment="1">
      <alignment horizontal="center" vertical="center"/>
    </xf>
    <xf numFmtId="9" fontId="25" fillId="27" borderId="0" xfId="2" applyFont="1" applyFill="1" applyAlignment="1">
      <alignment horizontal="center" vertical="center"/>
    </xf>
    <xf numFmtId="0" fontId="27" fillId="31" borderId="8" xfId="0" applyFont="1" applyFill="1" applyBorder="1" applyAlignment="1">
      <alignment horizontal="center" vertical="center"/>
    </xf>
    <xf numFmtId="0" fontId="27" fillId="31" borderId="8" xfId="0" applyFont="1" applyFill="1" applyBorder="1" applyAlignment="1">
      <alignment vertical="center"/>
    </xf>
    <xf numFmtId="0" fontId="25" fillId="27" borderId="8" xfId="0" applyFont="1" applyFill="1" applyBorder="1" applyAlignment="1">
      <alignment horizontal="center" vertical="center"/>
    </xf>
    <xf numFmtId="0" fontId="28" fillId="27" borderId="0" xfId="0" applyFont="1" applyFill="1" applyBorder="1" applyAlignment="1">
      <alignment vertical="center"/>
    </xf>
    <xf numFmtId="0" fontId="27" fillId="0" borderId="8" xfId="0" applyFont="1" applyFill="1" applyBorder="1" applyAlignment="1">
      <alignment vertical="center"/>
    </xf>
    <xf numFmtId="0" fontId="0" fillId="0" borderId="0" xfId="0" applyFill="1"/>
    <xf numFmtId="0" fontId="31" fillId="32" borderId="10" xfId="0" applyFont="1" applyFill="1" applyBorder="1" applyAlignment="1">
      <alignment horizontal="center"/>
    </xf>
    <xf numFmtId="0" fontId="0" fillId="32" borderId="0" xfId="0" applyFill="1"/>
    <xf numFmtId="0" fontId="21" fillId="33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64" fontId="32" fillId="27" borderId="8" xfId="1" applyNumberFormat="1" applyFont="1" applyFill="1" applyBorder="1" applyAlignment="1">
      <alignment horizontal="center" vertical="center"/>
    </xf>
    <xf numFmtId="164" fontId="17" fillId="27" borderId="8" xfId="1" applyNumberFormat="1" applyFont="1" applyFill="1" applyBorder="1" applyAlignment="1">
      <alignment horizontal="center" vertical="center"/>
    </xf>
    <xf numFmtId="164" fontId="32" fillId="0" borderId="11" xfId="1" applyNumberFormat="1" applyFont="1" applyFill="1" applyBorder="1" applyAlignment="1">
      <alignment horizontal="center" vertical="center"/>
    </xf>
    <xf numFmtId="164" fontId="33" fillId="0" borderId="11" xfId="1" applyNumberFormat="1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164" fontId="33" fillId="0" borderId="8" xfId="1" applyNumberFormat="1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/>
    </xf>
    <xf numFmtId="164" fontId="17" fillId="0" borderId="8" xfId="1" applyNumberFormat="1" applyFont="1" applyFill="1" applyBorder="1" applyAlignment="1">
      <alignment horizontal="center" vertical="center"/>
    </xf>
    <xf numFmtId="164" fontId="34" fillId="0" borderId="8" xfId="1" applyNumberFormat="1" applyFont="1" applyFill="1" applyBorder="1" applyAlignment="1">
      <alignment horizontal="center" vertical="center"/>
    </xf>
    <xf numFmtId="164" fontId="17" fillId="0" borderId="11" xfId="1" applyNumberFormat="1" applyFont="1" applyFill="1" applyBorder="1" applyAlignment="1">
      <alignment horizontal="center" vertical="center"/>
    </xf>
    <xf numFmtId="164" fontId="35" fillId="27" borderId="8" xfId="1" applyNumberFormat="1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vertical="center"/>
    </xf>
    <xf numFmtId="0" fontId="36" fillId="32" borderId="8" xfId="0" applyFont="1" applyFill="1" applyBorder="1" applyAlignment="1">
      <alignment vertical="center"/>
    </xf>
    <xf numFmtId="164" fontId="36" fillId="32" borderId="8" xfId="1" applyNumberFormat="1" applyFont="1" applyFill="1" applyBorder="1" applyAlignment="1">
      <alignment horizontal="center" vertical="center"/>
    </xf>
    <xf numFmtId="0" fontId="5" fillId="32" borderId="8" xfId="0" applyFont="1" applyFill="1" applyBorder="1"/>
    <xf numFmtId="164" fontId="36" fillId="32" borderId="11" xfId="1" applyNumberFormat="1" applyFont="1" applyFill="1" applyBorder="1" applyAlignment="1">
      <alignment horizontal="center" vertical="center"/>
    </xf>
    <xf numFmtId="0" fontId="4" fillId="32" borderId="8" xfId="0" applyFont="1" applyFill="1" applyBorder="1"/>
    <xf numFmtId="164" fontId="37" fillId="0" borderId="12" xfId="1" applyNumberFormat="1" applyFont="1" applyFill="1" applyBorder="1" applyAlignment="1">
      <alignment horizontal="center" vertical="center"/>
    </xf>
    <xf numFmtId="164" fontId="37" fillId="0" borderId="13" xfId="1" applyNumberFormat="1" applyFont="1" applyFill="1" applyBorder="1" applyAlignment="1">
      <alignment horizontal="center" vertical="center"/>
    </xf>
    <xf numFmtId="0" fontId="3" fillId="11" borderId="14" xfId="0" applyFont="1" applyFill="1" applyBorder="1"/>
    <xf numFmtId="9" fontId="0" fillId="0" borderId="0" xfId="2" applyFont="1"/>
    <xf numFmtId="0" fontId="6" fillId="0" borderId="15" xfId="0" applyFont="1" applyBorder="1"/>
    <xf numFmtId="0" fontId="6" fillId="0" borderId="16" xfId="0" applyFont="1" applyBorder="1"/>
    <xf numFmtId="10" fontId="3" fillId="19" borderId="16" xfId="2" applyNumberFormat="1" applyFont="1" applyFill="1" applyBorder="1"/>
    <xf numFmtId="0" fontId="0" fillId="0" borderId="17" xfId="0" applyBorder="1"/>
    <xf numFmtId="0" fontId="6" fillId="0" borderId="0" xfId="0" applyFont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0" xfId="0" applyFill="1"/>
    <xf numFmtId="164" fontId="0" fillId="0" borderId="8" xfId="1" applyNumberFormat="1" applyFont="1" applyBorder="1"/>
    <xf numFmtId="164" fontId="0" fillId="0" borderId="8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10" fontId="0" fillId="11" borderId="0" xfId="2" applyNumberFormat="1" applyFont="1" applyFill="1" applyAlignment="1">
      <alignment horizontal="center"/>
    </xf>
    <xf numFmtId="0" fontId="0" fillId="11" borderId="0" xfId="0" applyFill="1" applyAlignment="1">
      <alignment horizontal="center"/>
    </xf>
  </cellXfs>
  <cellStyles count="1115">
    <cellStyle name="Comma" xfId="1" builtinId="3"/>
    <cellStyle name="Comma [0] 2" xfId="7"/>
    <cellStyle name="Comma [0] 2 2 2" xfId="8"/>
    <cellStyle name="Comma [0] 3" xfId="9"/>
    <cellStyle name="Comma 10" xfId="10"/>
    <cellStyle name="Comma 10 2" xfId="3"/>
    <cellStyle name="Comma 104" xfId="11"/>
    <cellStyle name="Comma 11" xfId="12"/>
    <cellStyle name="Comma 11 2" xfId="13"/>
    <cellStyle name="Comma 12" xfId="14"/>
    <cellStyle name="Comma 13" xfId="15"/>
    <cellStyle name="Comma 14" xfId="16"/>
    <cellStyle name="Comma 15" xfId="17"/>
    <cellStyle name="Comma 16" xfId="18"/>
    <cellStyle name="Comma 17" xfId="19"/>
    <cellStyle name="Comma 18" xfId="20"/>
    <cellStyle name="Comma 2" xfId="21"/>
    <cellStyle name="Comma 2 10" xfId="22"/>
    <cellStyle name="Comma 2 2" xfId="23"/>
    <cellStyle name="Comma 2 3" xfId="24"/>
    <cellStyle name="Comma 24 2" xfId="25"/>
    <cellStyle name="Comma 24 4" xfId="26"/>
    <cellStyle name="Comma 24 6" xfId="27"/>
    <cellStyle name="Comma 29" xfId="28"/>
    <cellStyle name="Comma 294" xfId="29"/>
    <cellStyle name="Comma 3" xfId="30"/>
    <cellStyle name="Comma 3 2" xfId="31"/>
    <cellStyle name="Comma 4" xfId="32"/>
    <cellStyle name="Comma 5" xfId="33"/>
    <cellStyle name="Comma 6" xfId="34"/>
    <cellStyle name="Comma 7" xfId="35"/>
    <cellStyle name="Comma 78 6" xfId="36"/>
    <cellStyle name="Comma 8" xfId="37"/>
    <cellStyle name="Comma 9" xfId="38"/>
    <cellStyle name="Hyperlink 2" xfId="39"/>
    <cellStyle name="Hyperlink 3" xfId="40"/>
    <cellStyle name="Hyperlink 4" xfId="41"/>
    <cellStyle name="Normal" xfId="0" builtinId="0"/>
    <cellStyle name="Normal 10" xfId="42"/>
    <cellStyle name="Normal 11" xfId="43"/>
    <cellStyle name="Normal 12" xfId="44"/>
    <cellStyle name="Normal 13" xfId="45"/>
    <cellStyle name="Normal 14" xfId="46"/>
    <cellStyle name="Normal 15" xfId="47"/>
    <cellStyle name="Normal 16" xfId="48"/>
    <cellStyle name="Normal 18" xfId="49"/>
    <cellStyle name="Normal 19" xfId="50"/>
    <cellStyle name="Normal 2" xfId="51"/>
    <cellStyle name="Normal 2 2" xfId="52"/>
    <cellStyle name="Normal 2 2 2" xfId="5"/>
    <cellStyle name="Normal 20" xfId="53"/>
    <cellStyle name="Normal 21" xfId="54"/>
    <cellStyle name="Normal 22" xfId="55"/>
    <cellStyle name="Normal 23" xfId="56"/>
    <cellStyle name="Normal 3" xfId="57"/>
    <cellStyle name="Normal 4" xfId="58"/>
    <cellStyle name="Normal 4 2" xfId="59"/>
    <cellStyle name="Normal 4 3" xfId="60"/>
    <cellStyle name="Normal 5" xfId="61"/>
    <cellStyle name="Normal 6" xfId="62"/>
    <cellStyle name="Normal 7" xfId="63"/>
    <cellStyle name="Normal 8" xfId="64"/>
    <cellStyle name="Normal 9" xfId="65"/>
    <cellStyle name="Percent" xfId="2" builtinId="5"/>
    <cellStyle name="Percent 2" xfId="66"/>
    <cellStyle name="Percent 3" xfId="67"/>
    <cellStyle name="Percent 4" xfId="4"/>
    <cellStyle name="S0" xfId="6"/>
    <cellStyle name="S0 10" xfId="68"/>
    <cellStyle name="S0 100" xfId="69"/>
    <cellStyle name="S0 101" xfId="70"/>
    <cellStyle name="S0 102" xfId="71"/>
    <cellStyle name="S0 103" xfId="72"/>
    <cellStyle name="S0 104" xfId="73"/>
    <cellStyle name="S0 105" xfId="74"/>
    <cellStyle name="S0 106" xfId="75"/>
    <cellStyle name="S0 107" xfId="76"/>
    <cellStyle name="S0 108" xfId="77"/>
    <cellStyle name="S0 109" xfId="78"/>
    <cellStyle name="S0 11" xfId="79"/>
    <cellStyle name="S0 110" xfId="80"/>
    <cellStyle name="S0 111" xfId="81"/>
    <cellStyle name="S0 112" xfId="82"/>
    <cellStyle name="S0 113" xfId="83"/>
    <cellStyle name="S0 114" xfId="84"/>
    <cellStyle name="S0 115" xfId="85"/>
    <cellStyle name="S0 116" xfId="86"/>
    <cellStyle name="S0 117" xfId="87"/>
    <cellStyle name="S0 118" xfId="88"/>
    <cellStyle name="S0 119" xfId="89"/>
    <cellStyle name="S0 12" xfId="90"/>
    <cellStyle name="S0 120" xfId="91"/>
    <cellStyle name="S0 121" xfId="92"/>
    <cellStyle name="S0 122" xfId="93"/>
    <cellStyle name="S0 123" xfId="94"/>
    <cellStyle name="S0 124" xfId="95"/>
    <cellStyle name="S0 125" xfId="96"/>
    <cellStyle name="S0 126" xfId="97"/>
    <cellStyle name="S0 127" xfId="98"/>
    <cellStyle name="S0 128" xfId="99"/>
    <cellStyle name="S0 129" xfId="100"/>
    <cellStyle name="S0 13" xfId="101"/>
    <cellStyle name="S0 130" xfId="102"/>
    <cellStyle name="S0 131" xfId="103"/>
    <cellStyle name="S0 132" xfId="104"/>
    <cellStyle name="S0 133" xfId="105"/>
    <cellStyle name="S0 134" xfId="106"/>
    <cellStyle name="S0 135" xfId="107"/>
    <cellStyle name="S0 136" xfId="108"/>
    <cellStyle name="S0 137" xfId="109"/>
    <cellStyle name="S0 138" xfId="110"/>
    <cellStyle name="S0 139" xfId="111"/>
    <cellStyle name="S0 14" xfId="112"/>
    <cellStyle name="S0 140" xfId="113"/>
    <cellStyle name="S0 141" xfId="114"/>
    <cellStyle name="S0 142" xfId="115"/>
    <cellStyle name="S0 143" xfId="116"/>
    <cellStyle name="S0 144" xfId="117"/>
    <cellStyle name="S0 145" xfId="118"/>
    <cellStyle name="S0 146" xfId="119"/>
    <cellStyle name="S0 147" xfId="120"/>
    <cellStyle name="S0 148" xfId="121"/>
    <cellStyle name="S0 149" xfId="122"/>
    <cellStyle name="S0 15" xfId="123"/>
    <cellStyle name="S0 150" xfId="124"/>
    <cellStyle name="S0 151" xfId="125"/>
    <cellStyle name="S0 152" xfId="126"/>
    <cellStyle name="S0 153" xfId="127"/>
    <cellStyle name="S0 154" xfId="128"/>
    <cellStyle name="S0 155" xfId="129"/>
    <cellStyle name="S0 156" xfId="130"/>
    <cellStyle name="S0 157" xfId="131"/>
    <cellStyle name="S0 158" xfId="132"/>
    <cellStyle name="S0 159" xfId="133"/>
    <cellStyle name="S0 16" xfId="134"/>
    <cellStyle name="S0 160" xfId="135"/>
    <cellStyle name="S0 161" xfId="136"/>
    <cellStyle name="S0 162" xfId="137"/>
    <cellStyle name="S0 163" xfId="138"/>
    <cellStyle name="S0 164" xfId="139"/>
    <cellStyle name="S0 165" xfId="140"/>
    <cellStyle name="S0 166" xfId="141"/>
    <cellStyle name="S0 167" xfId="142"/>
    <cellStyle name="S0 168" xfId="143"/>
    <cellStyle name="S0 169" xfId="144"/>
    <cellStyle name="S0 17" xfId="145"/>
    <cellStyle name="S0 170" xfId="146"/>
    <cellStyle name="S0 171" xfId="147"/>
    <cellStyle name="S0 172" xfId="148"/>
    <cellStyle name="S0 173" xfId="149"/>
    <cellStyle name="S0 174" xfId="150"/>
    <cellStyle name="S0 175" xfId="151"/>
    <cellStyle name="S0 176" xfId="152"/>
    <cellStyle name="S0 177" xfId="153"/>
    <cellStyle name="S0 178" xfId="154"/>
    <cellStyle name="S0 179" xfId="155"/>
    <cellStyle name="S0 18" xfId="156"/>
    <cellStyle name="S0 180" xfId="157"/>
    <cellStyle name="S0 181" xfId="158"/>
    <cellStyle name="S0 182" xfId="159"/>
    <cellStyle name="S0 183" xfId="160"/>
    <cellStyle name="S0 184" xfId="161"/>
    <cellStyle name="S0 185" xfId="162"/>
    <cellStyle name="S0 186" xfId="163"/>
    <cellStyle name="S0 187" xfId="164"/>
    <cellStyle name="S0 188" xfId="165"/>
    <cellStyle name="S0 189" xfId="166"/>
    <cellStyle name="S0 19" xfId="167"/>
    <cellStyle name="S0 190" xfId="168"/>
    <cellStyle name="S0 191" xfId="169"/>
    <cellStyle name="S0 192" xfId="170"/>
    <cellStyle name="S0 193" xfId="171"/>
    <cellStyle name="S0 194" xfId="172"/>
    <cellStyle name="S0 195" xfId="173"/>
    <cellStyle name="S0 196" xfId="174"/>
    <cellStyle name="S0 197" xfId="175"/>
    <cellStyle name="S0 198" xfId="176"/>
    <cellStyle name="S0 199" xfId="177"/>
    <cellStyle name="S0 2" xfId="178"/>
    <cellStyle name="S0 20" xfId="179"/>
    <cellStyle name="S0 200" xfId="180"/>
    <cellStyle name="S0 201" xfId="181"/>
    <cellStyle name="S0 202" xfId="182"/>
    <cellStyle name="S0 203" xfId="183"/>
    <cellStyle name="S0 204" xfId="184"/>
    <cellStyle name="S0 205" xfId="185"/>
    <cellStyle name="S0 206" xfId="186"/>
    <cellStyle name="S0 207" xfId="187"/>
    <cellStyle name="S0 208" xfId="188"/>
    <cellStyle name="S0 209" xfId="189"/>
    <cellStyle name="S0 21" xfId="190"/>
    <cellStyle name="S0 210" xfId="191"/>
    <cellStyle name="S0 211" xfId="192"/>
    <cellStyle name="S0 212" xfId="193"/>
    <cellStyle name="S0 213" xfId="194"/>
    <cellStyle name="S0 214" xfId="195"/>
    <cellStyle name="S0 215" xfId="196"/>
    <cellStyle name="S0 216" xfId="197"/>
    <cellStyle name="S0 217" xfId="198"/>
    <cellStyle name="S0 218" xfId="199"/>
    <cellStyle name="S0 219" xfId="200"/>
    <cellStyle name="S0 22" xfId="201"/>
    <cellStyle name="S0 220" xfId="202"/>
    <cellStyle name="S0 221" xfId="203"/>
    <cellStyle name="S0 222" xfId="204"/>
    <cellStyle name="S0 223" xfId="205"/>
    <cellStyle name="S0 224" xfId="206"/>
    <cellStyle name="S0 225" xfId="207"/>
    <cellStyle name="S0 226" xfId="208"/>
    <cellStyle name="S0 227" xfId="209"/>
    <cellStyle name="S0 228" xfId="210"/>
    <cellStyle name="S0 229" xfId="211"/>
    <cellStyle name="S0 23" xfId="212"/>
    <cellStyle name="S0 230" xfId="213"/>
    <cellStyle name="S0 231" xfId="214"/>
    <cellStyle name="S0 232" xfId="215"/>
    <cellStyle name="S0 233" xfId="216"/>
    <cellStyle name="S0 234" xfId="217"/>
    <cellStyle name="S0 235" xfId="218"/>
    <cellStyle name="S0 236" xfId="219"/>
    <cellStyle name="S0 237" xfId="220"/>
    <cellStyle name="S0 238" xfId="221"/>
    <cellStyle name="S0 239" xfId="222"/>
    <cellStyle name="S0 24" xfId="223"/>
    <cellStyle name="S0 240" xfId="224"/>
    <cellStyle name="S0 241" xfId="225"/>
    <cellStyle name="S0 242" xfId="226"/>
    <cellStyle name="S0 243" xfId="227"/>
    <cellStyle name="S0 244" xfId="228"/>
    <cellStyle name="S0 245" xfId="229"/>
    <cellStyle name="S0 246" xfId="230"/>
    <cellStyle name="S0 247" xfId="231"/>
    <cellStyle name="S0 248" xfId="232"/>
    <cellStyle name="S0 249" xfId="233"/>
    <cellStyle name="S0 25" xfId="234"/>
    <cellStyle name="S0 250" xfId="235"/>
    <cellStyle name="S0 251" xfId="236"/>
    <cellStyle name="S0 252" xfId="237"/>
    <cellStyle name="S0 253" xfId="238"/>
    <cellStyle name="S0 254" xfId="239"/>
    <cellStyle name="S0 255" xfId="240"/>
    <cellStyle name="S0 256" xfId="241"/>
    <cellStyle name="S0 257" xfId="242"/>
    <cellStyle name="S0 258" xfId="243"/>
    <cellStyle name="S0 259" xfId="244"/>
    <cellStyle name="S0 26" xfId="245"/>
    <cellStyle name="S0 260" xfId="246"/>
    <cellStyle name="S0 261" xfId="247"/>
    <cellStyle name="S0 262" xfId="248"/>
    <cellStyle name="S0 263" xfId="249"/>
    <cellStyle name="S0 264" xfId="250"/>
    <cellStyle name="S0 265" xfId="251"/>
    <cellStyle name="S0 266" xfId="252"/>
    <cellStyle name="S0 266 2" xfId="253"/>
    <cellStyle name="S0 267" xfId="254"/>
    <cellStyle name="S0 268" xfId="255"/>
    <cellStyle name="S0 27" xfId="256"/>
    <cellStyle name="S0 28" xfId="257"/>
    <cellStyle name="S0 29" xfId="258"/>
    <cellStyle name="S0 3" xfId="259"/>
    <cellStyle name="S0 30" xfId="260"/>
    <cellStyle name="S0 31" xfId="261"/>
    <cellStyle name="S0 32" xfId="262"/>
    <cellStyle name="S0 33" xfId="263"/>
    <cellStyle name="S0 34" xfId="264"/>
    <cellStyle name="S0 35" xfId="265"/>
    <cellStyle name="S0 36" xfId="266"/>
    <cellStyle name="S0 37" xfId="267"/>
    <cellStyle name="S0 38" xfId="268"/>
    <cellStyle name="S0 39" xfId="269"/>
    <cellStyle name="S0 4" xfId="270"/>
    <cellStyle name="S0 40" xfId="271"/>
    <cellStyle name="S0 41" xfId="272"/>
    <cellStyle name="S0 42" xfId="273"/>
    <cellStyle name="S0 43" xfId="274"/>
    <cellStyle name="S0 44" xfId="275"/>
    <cellStyle name="S0 45" xfId="276"/>
    <cellStyle name="S0 46" xfId="277"/>
    <cellStyle name="S0 47" xfId="278"/>
    <cellStyle name="S0 48" xfId="279"/>
    <cellStyle name="S0 49" xfId="280"/>
    <cellStyle name="S0 5" xfId="281"/>
    <cellStyle name="S0 50" xfId="282"/>
    <cellStyle name="S0 51" xfId="283"/>
    <cellStyle name="S0 52" xfId="284"/>
    <cellStyle name="S0 53" xfId="285"/>
    <cellStyle name="S0 54" xfId="286"/>
    <cellStyle name="S0 55" xfId="287"/>
    <cellStyle name="S0 56" xfId="288"/>
    <cellStyle name="S0 57" xfId="289"/>
    <cellStyle name="S0 58" xfId="290"/>
    <cellStyle name="S0 59" xfId="291"/>
    <cellStyle name="S0 6" xfId="292"/>
    <cellStyle name="S0 60" xfId="293"/>
    <cellStyle name="S0 61" xfId="294"/>
    <cellStyle name="S0 62" xfId="295"/>
    <cellStyle name="S0 63" xfId="296"/>
    <cellStyle name="S0 64" xfId="297"/>
    <cellStyle name="S0 65" xfId="298"/>
    <cellStyle name="S0 66" xfId="299"/>
    <cellStyle name="S0 67" xfId="300"/>
    <cellStyle name="S0 68" xfId="301"/>
    <cellStyle name="S0 69" xfId="302"/>
    <cellStyle name="S0 7" xfId="303"/>
    <cellStyle name="S0 70" xfId="304"/>
    <cellStyle name="S0 71" xfId="305"/>
    <cellStyle name="S0 72" xfId="306"/>
    <cellStyle name="S0 73" xfId="307"/>
    <cellStyle name="S0 74" xfId="308"/>
    <cellStyle name="S0 75" xfId="309"/>
    <cellStyle name="S0 76" xfId="310"/>
    <cellStyle name="S0 77" xfId="311"/>
    <cellStyle name="S0 78" xfId="312"/>
    <cellStyle name="S0 79" xfId="313"/>
    <cellStyle name="S0 8" xfId="314"/>
    <cellStyle name="S0 80" xfId="315"/>
    <cellStyle name="S0 81" xfId="316"/>
    <cellStyle name="S0 82" xfId="317"/>
    <cellStyle name="S0 83" xfId="318"/>
    <cellStyle name="S0 84" xfId="319"/>
    <cellStyle name="S0 85" xfId="320"/>
    <cellStyle name="S0 86" xfId="321"/>
    <cellStyle name="S0 87" xfId="322"/>
    <cellStyle name="S0 88" xfId="323"/>
    <cellStyle name="S0 89" xfId="324"/>
    <cellStyle name="S0 9" xfId="325"/>
    <cellStyle name="S0 90" xfId="326"/>
    <cellStyle name="S0 91" xfId="327"/>
    <cellStyle name="S0 92" xfId="328"/>
    <cellStyle name="S0 93" xfId="329"/>
    <cellStyle name="S0 94" xfId="330"/>
    <cellStyle name="S0 95" xfId="331"/>
    <cellStyle name="S0 96" xfId="332"/>
    <cellStyle name="S0 97" xfId="333"/>
    <cellStyle name="S0 98" xfId="334"/>
    <cellStyle name="S0 99" xfId="335"/>
    <cellStyle name="S0_Pembelian" xfId="336"/>
    <cellStyle name="S1" xfId="337"/>
    <cellStyle name="S1 10" xfId="338"/>
    <cellStyle name="S1 100" xfId="339"/>
    <cellStyle name="S1 101" xfId="340"/>
    <cellStyle name="S1 102" xfId="341"/>
    <cellStyle name="S1 103" xfId="342"/>
    <cellStyle name="S1 104" xfId="343"/>
    <cellStyle name="S1 105" xfId="344"/>
    <cellStyle name="S1 106" xfId="345"/>
    <cellStyle name="S1 107" xfId="346"/>
    <cellStyle name="S1 108" xfId="347"/>
    <cellStyle name="S1 109" xfId="348"/>
    <cellStyle name="S1 11" xfId="349"/>
    <cellStyle name="S1 110" xfId="350"/>
    <cellStyle name="S1 111" xfId="351"/>
    <cellStyle name="S1 112" xfId="352"/>
    <cellStyle name="S1 113" xfId="353"/>
    <cellStyle name="S1 114" xfId="354"/>
    <cellStyle name="S1 115" xfId="355"/>
    <cellStyle name="S1 116" xfId="356"/>
    <cellStyle name="S1 117" xfId="357"/>
    <cellStyle name="S1 118" xfId="358"/>
    <cellStyle name="S1 119" xfId="359"/>
    <cellStyle name="S1 12" xfId="360"/>
    <cellStyle name="S1 120" xfId="361"/>
    <cellStyle name="S1 121" xfId="362"/>
    <cellStyle name="S1 122" xfId="363"/>
    <cellStyle name="S1 123" xfId="364"/>
    <cellStyle name="S1 124" xfId="365"/>
    <cellStyle name="S1 125" xfId="366"/>
    <cellStyle name="S1 126" xfId="367"/>
    <cellStyle name="S1 127" xfId="368"/>
    <cellStyle name="S1 128" xfId="369"/>
    <cellStyle name="S1 129" xfId="370"/>
    <cellStyle name="S1 13" xfId="371"/>
    <cellStyle name="S1 130" xfId="372"/>
    <cellStyle name="S1 131" xfId="373"/>
    <cellStyle name="S1 132" xfId="374"/>
    <cellStyle name="S1 133" xfId="375"/>
    <cellStyle name="S1 134" xfId="376"/>
    <cellStyle name="S1 135" xfId="377"/>
    <cellStyle name="S1 136" xfId="378"/>
    <cellStyle name="S1 137" xfId="379"/>
    <cellStyle name="S1 138" xfId="380"/>
    <cellStyle name="S1 139" xfId="381"/>
    <cellStyle name="S1 14" xfId="382"/>
    <cellStyle name="S1 140" xfId="383"/>
    <cellStyle name="S1 141" xfId="384"/>
    <cellStyle name="S1 142" xfId="385"/>
    <cellStyle name="S1 143" xfId="386"/>
    <cellStyle name="S1 144" xfId="387"/>
    <cellStyle name="S1 145" xfId="388"/>
    <cellStyle name="S1 146" xfId="389"/>
    <cellStyle name="S1 147" xfId="390"/>
    <cellStyle name="S1 148" xfId="391"/>
    <cellStyle name="S1 149" xfId="392"/>
    <cellStyle name="S1 15" xfId="393"/>
    <cellStyle name="S1 150" xfId="394"/>
    <cellStyle name="S1 151" xfId="395"/>
    <cellStyle name="S1 152" xfId="396"/>
    <cellStyle name="S1 153" xfId="397"/>
    <cellStyle name="S1 154" xfId="398"/>
    <cellStyle name="S1 155" xfId="399"/>
    <cellStyle name="S1 156" xfId="400"/>
    <cellStyle name="S1 157" xfId="401"/>
    <cellStyle name="S1 158" xfId="402"/>
    <cellStyle name="S1 159" xfId="403"/>
    <cellStyle name="S1 16" xfId="404"/>
    <cellStyle name="S1 160" xfId="405"/>
    <cellStyle name="S1 161" xfId="406"/>
    <cellStyle name="S1 162" xfId="407"/>
    <cellStyle name="S1 163" xfId="408"/>
    <cellStyle name="S1 164" xfId="409"/>
    <cellStyle name="S1 165" xfId="410"/>
    <cellStyle name="S1 166" xfId="411"/>
    <cellStyle name="S1 167" xfId="412"/>
    <cellStyle name="S1 168" xfId="413"/>
    <cellStyle name="S1 169" xfId="414"/>
    <cellStyle name="S1 17" xfId="415"/>
    <cellStyle name="S1 170" xfId="416"/>
    <cellStyle name="S1 171" xfId="417"/>
    <cellStyle name="S1 172" xfId="418"/>
    <cellStyle name="S1 173" xfId="419"/>
    <cellStyle name="S1 174" xfId="420"/>
    <cellStyle name="S1 175" xfId="421"/>
    <cellStyle name="S1 176" xfId="422"/>
    <cellStyle name="S1 177" xfId="423"/>
    <cellStyle name="S1 178" xfId="424"/>
    <cellStyle name="S1 179" xfId="425"/>
    <cellStyle name="S1 18" xfId="426"/>
    <cellStyle name="S1 180" xfId="427"/>
    <cellStyle name="S1 181" xfId="428"/>
    <cellStyle name="S1 182" xfId="429"/>
    <cellStyle name="S1 183" xfId="430"/>
    <cellStyle name="S1 184" xfId="431"/>
    <cellStyle name="S1 185" xfId="432"/>
    <cellStyle name="S1 186" xfId="433"/>
    <cellStyle name="S1 187" xfId="434"/>
    <cellStyle name="S1 188" xfId="435"/>
    <cellStyle name="S1 189" xfId="436"/>
    <cellStyle name="S1 19" xfId="437"/>
    <cellStyle name="S1 190" xfId="438"/>
    <cellStyle name="S1 191" xfId="439"/>
    <cellStyle name="S1 192" xfId="440"/>
    <cellStyle name="S1 193" xfId="441"/>
    <cellStyle name="S1 194" xfId="442"/>
    <cellStyle name="S1 195" xfId="443"/>
    <cellStyle name="S1 196" xfId="444"/>
    <cellStyle name="S1 197" xfId="445"/>
    <cellStyle name="S1 198" xfId="446"/>
    <cellStyle name="S1 199" xfId="447"/>
    <cellStyle name="S1 2" xfId="448"/>
    <cellStyle name="S1 20" xfId="449"/>
    <cellStyle name="S1 200" xfId="450"/>
    <cellStyle name="S1 201" xfId="451"/>
    <cellStyle name="S1 202" xfId="452"/>
    <cellStyle name="S1 203" xfId="453"/>
    <cellStyle name="S1 204" xfId="454"/>
    <cellStyle name="S1 205" xfId="455"/>
    <cellStyle name="S1 206" xfId="456"/>
    <cellStyle name="S1 207" xfId="457"/>
    <cellStyle name="S1 208" xfId="458"/>
    <cellStyle name="S1 209" xfId="459"/>
    <cellStyle name="S1 21" xfId="460"/>
    <cellStyle name="S1 210" xfId="461"/>
    <cellStyle name="S1 211" xfId="462"/>
    <cellStyle name="S1 212" xfId="463"/>
    <cellStyle name="S1 213" xfId="464"/>
    <cellStyle name="S1 214" xfId="465"/>
    <cellStyle name="S1 215" xfId="466"/>
    <cellStyle name="S1 216" xfId="467"/>
    <cellStyle name="S1 217" xfId="468"/>
    <cellStyle name="S1 218" xfId="469"/>
    <cellStyle name="S1 219" xfId="470"/>
    <cellStyle name="S1 22" xfId="471"/>
    <cellStyle name="S1 220" xfId="472"/>
    <cellStyle name="S1 221" xfId="473"/>
    <cellStyle name="S1 222" xfId="474"/>
    <cellStyle name="S1 223" xfId="475"/>
    <cellStyle name="S1 224" xfId="476"/>
    <cellStyle name="S1 225" xfId="477"/>
    <cellStyle name="S1 226" xfId="478"/>
    <cellStyle name="S1 227" xfId="479"/>
    <cellStyle name="S1 228" xfId="480"/>
    <cellStyle name="S1 229" xfId="481"/>
    <cellStyle name="S1 23" xfId="482"/>
    <cellStyle name="S1 230" xfId="483"/>
    <cellStyle name="S1 231" xfId="484"/>
    <cellStyle name="S1 232" xfId="485"/>
    <cellStyle name="S1 233" xfId="486"/>
    <cellStyle name="S1 234" xfId="487"/>
    <cellStyle name="S1 235" xfId="488"/>
    <cellStyle name="S1 236" xfId="489"/>
    <cellStyle name="S1 237" xfId="490"/>
    <cellStyle name="S1 238" xfId="491"/>
    <cellStyle name="S1 239" xfId="492"/>
    <cellStyle name="S1 24" xfId="493"/>
    <cellStyle name="S1 240" xfId="494"/>
    <cellStyle name="S1 241" xfId="495"/>
    <cellStyle name="S1 242" xfId="496"/>
    <cellStyle name="S1 243" xfId="497"/>
    <cellStyle name="S1 244" xfId="498"/>
    <cellStyle name="S1 245" xfId="499"/>
    <cellStyle name="S1 246" xfId="500"/>
    <cellStyle name="S1 247" xfId="501"/>
    <cellStyle name="S1 248" xfId="502"/>
    <cellStyle name="S1 249" xfId="503"/>
    <cellStyle name="S1 25" xfId="504"/>
    <cellStyle name="S1 250" xfId="505"/>
    <cellStyle name="S1 251" xfId="506"/>
    <cellStyle name="S1 252" xfId="507"/>
    <cellStyle name="S1 253" xfId="508"/>
    <cellStyle name="S1 254" xfId="509"/>
    <cellStyle name="S1 255" xfId="510"/>
    <cellStyle name="S1 256" xfId="511"/>
    <cellStyle name="S1 257" xfId="512"/>
    <cellStyle name="S1 258" xfId="513"/>
    <cellStyle name="S1 259" xfId="514"/>
    <cellStyle name="S1 26" xfId="515"/>
    <cellStyle name="S1 260" xfId="516"/>
    <cellStyle name="S1 261" xfId="517"/>
    <cellStyle name="S1 262" xfId="518"/>
    <cellStyle name="S1 263" xfId="519"/>
    <cellStyle name="S1 264" xfId="520"/>
    <cellStyle name="S1 265" xfId="521"/>
    <cellStyle name="S1 265 2" xfId="522"/>
    <cellStyle name="S1 266" xfId="523"/>
    <cellStyle name="S1 267" xfId="524"/>
    <cellStyle name="S1 27" xfId="525"/>
    <cellStyle name="S1 28" xfId="526"/>
    <cellStyle name="S1 29" xfId="527"/>
    <cellStyle name="S1 3" xfId="528"/>
    <cellStyle name="S1 30" xfId="529"/>
    <cellStyle name="S1 31" xfId="530"/>
    <cellStyle name="S1 32" xfId="531"/>
    <cellStyle name="S1 33" xfId="532"/>
    <cellStyle name="S1 34" xfId="533"/>
    <cellStyle name="S1 35" xfId="534"/>
    <cellStyle name="S1 36" xfId="535"/>
    <cellStyle name="S1 37" xfId="536"/>
    <cellStyle name="S1 38" xfId="537"/>
    <cellStyle name="S1 39" xfId="538"/>
    <cellStyle name="S1 4" xfId="539"/>
    <cellStyle name="S1 40" xfId="540"/>
    <cellStyle name="S1 41" xfId="541"/>
    <cellStyle name="S1 42" xfId="542"/>
    <cellStyle name="S1 43" xfId="543"/>
    <cellStyle name="S1 44" xfId="544"/>
    <cellStyle name="S1 45" xfId="545"/>
    <cellStyle name="S1 46" xfId="546"/>
    <cellStyle name="S1 47" xfId="547"/>
    <cellStyle name="S1 48" xfId="548"/>
    <cellStyle name="S1 49" xfId="549"/>
    <cellStyle name="S1 5" xfId="550"/>
    <cellStyle name="S1 50" xfId="551"/>
    <cellStyle name="S1 51" xfId="552"/>
    <cellStyle name="S1 52" xfId="553"/>
    <cellStyle name="S1 53" xfId="554"/>
    <cellStyle name="S1 54" xfId="555"/>
    <cellStyle name="S1 55" xfId="556"/>
    <cellStyle name="S1 56" xfId="557"/>
    <cellStyle name="S1 57" xfId="558"/>
    <cellStyle name="S1 58" xfId="559"/>
    <cellStyle name="S1 59" xfId="560"/>
    <cellStyle name="S1 6" xfId="561"/>
    <cellStyle name="S1 60" xfId="562"/>
    <cellStyle name="S1 61" xfId="563"/>
    <cellStyle name="S1 62" xfId="564"/>
    <cellStyle name="S1 63" xfId="565"/>
    <cellStyle name="S1 64" xfId="566"/>
    <cellStyle name="S1 65" xfId="567"/>
    <cellStyle name="S1 66" xfId="568"/>
    <cellStyle name="S1 67" xfId="569"/>
    <cellStyle name="S1 68" xfId="570"/>
    <cellStyle name="S1 69" xfId="571"/>
    <cellStyle name="S1 7" xfId="572"/>
    <cellStyle name="S1 70" xfId="573"/>
    <cellStyle name="S1 71" xfId="574"/>
    <cellStyle name="S1 72" xfId="575"/>
    <cellStyle name="S1 73" xfId="576"/>
    <cellStyle name="S1 74" xfId="577"/>
    <cellStyle name="S1 75" xfId="578"/>
    <cellStyle name="S1 76" xfId="579"/>
    <cellStyle name="S1 77" xfId="580"/>
    <cellStyle name="S1 78" xfId="581"/>
    <cellStyle name="S1 79" xfId="582"/>
    <cellStyle name="S1 8" xfId="583"/>
    <cellStyle name="S1 80" xfId="584"/>
    <cellStyle name="S1 81" xfId="585"/>
    <cellStyle name="S1 82" xfId="586"/>
    <cellStyle name="S1 83" xfId="587"/>
    <cellStyle name="S1 84" xfId="588"/>
    <cellStyle name="S1 85" xfId="589"/>
    <cellStyle name="S1 86" xfId="590"/>
    <cellStyle name="S1 87" xfId="591"/>
    <cellStyle name="S1 88" xfId="592"/>
    <cellStyle name="S1 89" xfId="593"/>
    <cellStyle name="S1 9" xfId="594"/>
    <cellStyle name="S1 90" xfId="595"/>
    <cellStyle name="S1 91" xfId="596"/>
    <cellStyle name="S1 92" xfId="597"/>
    <cellStyle name="S1 93" xfId="598"/>
    <cellStyle name="S1 94" xfId="599"/>
    <cellStyle name="S1 95" xfId="600"/>
    <cellStyle name="S1 96" xfId="601"/>
    <cellStyle name="S1 97" xfId="602"/>
    <cellStyle name="S1 98" xfId="603"/>
    <cellStyle name="S1 99" xfId="604"/>
    <cellStyle name="S1_Pembelian" xfId="605"/>
    <cellStyle name="S10" xfId="606"/>
    <cellStyle name="S10 10" xfId="607"/>
    <cellStyle name="S10 11" xfId="608"/>
    <cellStyle name="S10 12" xfId="609"/>
    <cellStyle name="S10 13" xfId="610"/>
    <cellStyle name="S10 13 2" xfId="611"/>
    <cellStyle name="S10 14" xfId="612"/>
    <cellStyle name="S10 15" xfId="613"/>
    <cellStyle name="S10 16" xfId="614"/>
    <cellStyle name="S10 17" xfId="615"/>
    <cellStyle name="S10 18" xfId="616"/>
    <cellStyle name="S10 19" xfId="617"/>
    <cellStyle name="S10 2" xfId="618"/>
    <cellStyle name="S10 3" xfId="619"/>
    <cellStyle name="S10 3 2" xfId="620"/>
    <cellStyle name="S10 4" xfId="621"/>
    <cellStyle name="S10 5" xfId="622"/>
    <cellStyle name="S10 6" xfId="623"/>
    <cellStyle name="S10 7" xfId="624"/>
    <cellStyle name="S10 8" xfId="625"/>
    <cellStyle name="S10 9" xfId="626"/>
    <cellStyle name="S10_Pembelian" xfId="627"/>
    <cellStyle name="S11" xfId="628"/>
    <cellStyle name="S11 10" xfId="629"/>
    <cellStyle name="S11 10 2" xfId="630"/>
    <cellStyle name="S11 11" xfId="631"/>
    <cellStyle name="S11 12" xfId="632"/>
    <cellStyle name="S11 13" xfId="633"/>
    <cellStyle name="S11 14" xfId="634"/>
    <cellStyle name="S11 14 2" xfId="635"/>
    <cellStyle name="S11 15" xfId="636"/>
    <cellStyle name="S11 16" xfId="637"/>
    <cellStyle name="S11 2" xfId="638"/>
    <cellStyle name="S11 3" xfId="639"/>
    <cellStyle name="S11 3 2" xfId="640"/>
    <cellStyle name="S11 4" xfId="641"/>
    <cellStyle name="S11 5" xfId="642"/>
    <cellStyle name="S11 6" xfId="643"/>
    <cellStyle name="S11 7" xfId="644"/>
    <cellStyle name="S11 8" xfId="645"/>
    <cellStyle name="S11 9" xfId="646"/>
    <cellStyle name="S11_Pembelian" xfId="647"/>
    <cellStyle name="S12" xfId="648"/>
    <cellStyle name="S12 10" xfId="649"/>
    <cellStyle name="S12 11" xfId="650"/>
    <cellStyle name="S12 2" xfId="651"/>
    <cellStyle name="S12 3" xfId="652"/>
    <cellStyle name="S12 4" xfId="653"/>
    <cellStyle name="S12 5" xfId="654"/>
    <cellStyle name="S12 6" xfId="655"/>
    <cellStyle name="S12 6 2" xfId="656"/>
    <cellStyle name="S12 7" xfId="657"/>
    <cellStyle name="S12 8" xfId="658"/>
    <cellStyle name="S12 9" xfId="659"/>
    <cellStyle name="S12_Pembelian" xfId="660"/>
    <cellStyle name="S13" xfId="661"/>
    <cellStyle name="S13 10" xfId="662"/>
    <cellStyle name="S13 11" xfId="663"/>
    <cellStyle name="S13 12" xfId="664"/>
    <cellStyle name="S13 2" xfId="665"/>
    <cellStyle name="S13 3" xfId="666"/>
    <cellStyle name="S13 4" xfId="667"/>
    <cellStyle name="S13 4 2" xfId="668"/>
    <cellStyle name="S13 5" xfId="669"/>
    <cellStyle name="S13 6" xfId="670"/>
    <cellStyle name="S13 7" xfId="671"/>
    <cellStyle name="S13 7 2" xfId="672"/>
    <cellStyle name="S13 8" xfId="673"/>
    <cellStyle name="S13 9" xfId="674"/>
    <cellStyle name="S13_Pembelian" xfId="675"/>
    <cellStyle name="S14" xfId="676"/>
    <cellStyle name="S14 10" xfId="677"/>
    <cellStyle name="S14 2" xfId="678"/>
    <cellStyle name="S14 3" xfId="679"/>
    <cellStyle name="S14 3 2" xfId="680"/>
    <cellStyle name="S14 4" xfId="681"/>
    <cellStyle name="S14 5" xfId="682"/>
    <cellStyle name="S14 6" xfId="683"/>
    <cellStyle name="S14 7" xfId="684"/>
    <cellStyle name="S14 8" xfId="685"/>
    <cellStyle name="S14 9" xfId="686"/>
    <cellStyle name="S14_Pembelian" xfId="687"/>
    <cellStyle name="S15" xfId="688"/>
    <cellStyle name="S15 2" xfId="689"/>
    <cellStyle name="S15 3" xfId="690"/>
    <cellStyle name="S15 3 2" xfId="691"/>
    <cellStyle name="S15 4" xfId="692"/>
    <cellStyle name="S15 4 2" xfId="693"/>
    <cellStyle name="S15 5" xfId="694"/>
    <cellStyle name="S15 6" xfId="695"/>
    <cellStyle name="S15 7" xfId="696"/>
    <cellStyle name="S15_Pembelian" xfId="697"/>
    <cellStyle name="S16" xfId="698"/>
    <cellStyle name="S16 2" xfId="699"/>
    <cellStyle name="S16 3" xfId="700"/>
    <cellStyle name="S16 4" xfId="701"/>
    <cellStyle name="S16 5" xfId="702"/>
    <cellStyle name="S16 6" xfId="703"/>
    <cellStyle name="S16_Pembelian" xfId="704"/>
    <cellStyle name="S17" xfId="705"/>
    <cellStyle name="S17 2" xfId="706"/>
    <cellStyle name="S17 3" xfId="707"/>
    <cellStyle name="S17 4" xfId="708"/>
    <cellStyle name="S17_Pembelian" xfId="709"/>
    <cellStyle name="S18" xfId="710"/>
    <cellStyle name="S18 2" xfId="711"/>
    <cellStyle name="S18 3" xfId="712"/>
    <cellStyle name="S18 4" xfId="713"/>
    <cellStyle name="S18_Pembelian" xfId="714"/>
    <cellStyle name="S2" xfId="715"/>
    <cellStyle name="S2 10" xfId="716"/>
    <cellStyle name="S2 100" xfId="717"/>
    <cellStyle name="S2 101" xfId="718"/>
    <cellStyle name="S2 102" xfId="719"/>
    <cellStyle name="S2 103" xfId="720"/>
    <cellStyle name="S2 104" xfId="721"/>
    <cellStyle name="S2 105" xfId="722"/>
    <cellStyle name="S2 106" xfId="723"/>
    <cellStyle name="S2 107" xfId="724"/>
    <cellStyle name="S2 108" xfId="725"/>
    <cellStyle name="S2 109" xfId="726"/>
    <cellStyle name="S2 11" xfId="727"/>
    <cellStyle name="S2 110" xfId="728"/>
    <cellStyle name="S2 111" xfId="729"/>
    <cellStyle name="S2 112" xfId="730"/>
    <cellStyle name="S2 113" xfId="731"/>
    <cellStyle name="S2 114" xfId="732"/>
    <cellStyle name="S2 115" xfId="733"/>
    <cellStyle name="S2 116" xfId="734"/>
    <cellStyle name="S2 117" xfId="735"/>
    <cellStyle name="S2 118" xfId="736"/>
    <cellStyle name="S2 119" xfId="737"/>
    <cellStyle name="S2 12" xfId="738"/>
    <cellStyle name="S2 120" xfId="739"/>
    <cellStyle name="S2 121" xfId="740"/>
    <cellStyle name="S2 122" xfId="741"/>
    <cellStyle name="S2 123" xfId="742"/>
    <cellStyle name="S2 124" xfId="743"/>
    <cellStyle name="S2 125" xfId="744"/>
    <cellStyle name="S2 126" xfId="745"/>
    <cellStyle name="S2 127" xfId="746"/>
    <cellStyle name="S2 128" xfId="747"/>
    <cellStyle name="S2 129" xfId="748"/>
    <cellStyle name="S2 13" xfId="749"/>
    <cellStyle name="S2 130" xfId="750"/>
    <cellStyle name="S2 131" xfId="751"/>
    <cellStyle name="S2 132" xfId="752"/>
    <cellStyle name="S2 133" xfId="753"/>
    <cellStyle name="S2 134" xfId="754"/>
    <cellStyle name="S2 135" xfId="755"/>
    <cellStyle name="S2 136" xfId="756"/>
    <cellStyle name="S2 137" xfId="757"/>
    <cellStyle name="S2 138" xfId="758"/>
    <cellStyle name="S2 139" xfId="759"/>
    <cellStyle name="S2 14" xfId="760"/>
    <cellStyle name="S2 140" xfId="761"/>
    <cellStyle name="S2 141" xfId="762"/>
    <cellStyle name="S2 142" xfId="763"/>
    <cellStyle name="S2 143" xfId="764"/>
    <cellStyle name="S2 144" xfId="765"/>
    <cellStyle name="S2 145" xfId="766"/>
    <cellStyle name="S2 146" xfId="767"/>
    <cellStyle name="S2 147" xfId="768"/>
    <cellStyle name="S2 148" xfId="769"/>
    <cellStyle name="S2 149" xfId="770"/>
    <cellStyle name="S2 15" xfId="771"/>
    <cellStyle name="S2 150" xfId="772"/>
    <cellStyle name="S2 151" xfId="773"/>
    <cellStyle name="S2 152" xfId="774"/>
    <cellStyle name="S2 153" xfId="775"/>
    <cellStyle name="S2 154" xfId="776"/>
    <cellStyle name="S2 155" xfId="777"/>
    <cellStyle name="S2 156" xfId="778"/>
    <cellStyle name="S2 157" xfId="779"/>
    <cellStyle name="S2 158" xfId="780"/>
    <cellStyle name="S2 159" xfId="781"/>
    <cellStyle name="S2 16" xfId="782"/>
    <cellStyle name="S2 160" xfId="783"/>
    <cellStyle name="S2 161" xfId="784"/>
    <cellStyle name="S2 162" xfId="785"/>
    <cellStyle name="S2 163" xfId="786"/>
    <cellStyle name="S2 164" xfId="787"/>
    <cellStyle name="S2 165" xfId="788"/>
    <cellStyle name="S2 166" xfId="789"/>
    <cellStyle name="S2 167" xfId="790"/>
    <cellStyle name="S2 168" xfId="791"/>
    <cellStyle name="S2 169" xfId="792"/>
    <cellStyle name="S2 17" xfId="793"/>
    <cellStyle name="S2 170" xfId="794"/>
    <cellStyle name="S2 171" xfId="795"/>
    <cellStyle name="S2 172" xfId="796"/>
    <cellStyle name="S2 173" xfId="797"/>
    <cellStyle name="S2 174" xfId="798"/>
    <cellStyle name="S2 175" xfId="799"/>
    <cellStyle name="S2 176" xfId="800"/>
    <cellStyle name="S2 177" xfId="801"/>
    <cellStyle name="S2 178" xfId="802"/>
    <cellStyle name="S2 179" xfId="803"/>
    <cellStyle name="S2 18" xfId="804"/>
    <cellStyle name="S2 180" xfId="805"/>
    <cellStyle name="S2 181" xfId="806"/>
    <cellStyle name="S2 182" xfId="807"/>
    <cellStyle name="S2 183" xfId="808"/>
    <cellStyle name="S2 184" xfId="809"/>
    <cellStyle name="S2 185" xfId="810"/>
    <cellStyle name="S2 186" xfId="811"/>
    <cellStyle name="S2 187" xfId="812"/>
    <cellStyle name="S2 188" xfId="813"/>
    <cellStyle name="S2 189" xfId="814"/>
    <cellStyle name="S2 19" xfId="815"/>
    <cellStyle name="S2 190" xfId="816"/>
    <cellStyle name="S2 191" xfId="817"/>
    <cellStyle name="S2 192" xfId="818"/>
    <cellStyle name="S2 193" xfId="819"/>
    <cellStyle name="S2 194" xfId="820"/>
    <cellStyle name="S2 195" xfId="821"/>
    <cellStyle name="S2 196" xfId="822"/>
    <cellStyle name="S2 197" xfId="823"/>
    <cellStyle name="S2 198" xfId="824"/>
    <cellStyle name="S2 199" xfId="825"/>
    <cellStyle name="S2 2" xfId="826"/>
    <cellStyle name="S2 20" xfId="827"/>
    <cellStyle name="S2 200" xfId="828"/>
    <cellStyle name="S2 201" xfId="829"/>
    <cellStyle name="S2 202" xfId="830"/>
    <cellStyle name="S2 203" xfId="831"/>
    <cellStyle name="S2 204" xfId="832"/>
    <cellStyle name="S2 205" xfId="833"/>
    <cellStyle name="S2 206" xfId="834"/>
    <cellStyle name="S2 207" xfId="835"/>
    <cellStyle name="S2 208" xfId="836"/>
    <cellStyle name="S2 209" xfId="837"/>
    <cellStyle name="S2 21" xfId="838"/>
    <cellStyle name="S2 210" xfId="839"/>
    <cellStyle name="S2 211" xfId="840"/>
    <cellStyle name="S2 212" xfId="841"/>
    <cellStyle name="S2 213" xfId="842"/>
    <cellStyle name="S2 214" xfId="843"/>
    <cellStyle name="S2 215" xfId="844"/>
    <cellStyle name="S2 216" xfId="845"/>
    <cellStyle name="S2 217" xfId="846"/>
    <cellStyle name="S2 218" xfId="847"/>
    <cellStyle name="S2 219" xfId="848"/>
    <cellStyle name="S2 22" xfId="849"/>
    <cellStyle name="S2 220" xfId="850"/>
    <cellStyle name="S2 221" xfId="851"/>
    <cellStyle name="S2 222" xfId="852"/>
    <cellStyle name="S2 223" xfId="853"/>
    <cellStyle name="S2 224" xfId="854"/>
    <cellStyle name="S2 225" xfId="855"/>
    <cellStyle name="S2 226" xfId="856"/>
    <cellStyle name="S2 227" xfId="857"/>
    <cellStyle name="S2 228" xfId="858"/>
    <cellStyle name="S2 229" xfId="859"/>
    <cellStyle name="S2 23" xfId="860"/>
    <cellStyle name="S2 230" xfId="861"/>
    <cellStyle name="S2 231" xfId="862"/>
    <cellStyle name="S2 232" xfId="863"/>
    <cellStyle name="S2 233" xfId="864"/>
    <cellStyle name="S2 234" xfId="865"/>
    <cellStyle name="S2 235" xfId="866"/>
    <cellStyle name="S2 236" xfId="867"/>
    <cellStyle name="S2 237" xfId="868"/>
    <cellStyle name="S2 238" xfId="869"/>
    <cellStyle name="S2 239" xfId="870"/>
    <cellStyle name="S2 24" xfId="871"/>
    <cellStyle name="S2 240" xfId="872"/>
    <cellStyle name="S2 241" xfId="873"/>
    <cellStyle name="S2 242" xfId="874"/>
    <cellStyle name="S2 243" xfId="875"/>
    <cellStyle name="S2 244" xfId="876"/>
    <cellStyle name="S2 245" xfId="877"/>
    <cellStyle name="S2 246" xfId="878"/>
    <cellStyle name="S2 247" xfId="879"/>
    <cellStyle name="S2 248" xfId="880"/>
    <cellStyle name="S2 249" xfId="881"/>
    <cellStyle name="S2 25" xfId="882"/>
    <cellStyle name="S2 250" xfId="883"/>
    <cellStyle name="S2 251" xfId="884"/>
    <cellStyle name="S2 252" xfId="885"/>
    <cellStyle name="S2 253" xfId="886"/>
    <cellStyle name="S2 254" xfId="887"/>
    <cellStyle name="S2 255" xfId="888"/>
    <cellStyle name="S2 256" xfId="889"/>
    <cellStyle name="S2 257" xfId="890"/>
    <cellStyle name="S2 258" xfId="891"/>
    <cellStyle name="S2 259" xfId="892"/>
    <cellStyle name="S2 26" xfId="893"/>
    <cellStyle name="S2 260" xfId="894"/>
    <cellStyle name="S2 261" xfId="895"/>
    <cellStyle name="S2 262" xfId="896"/>
    <cellStyle name="S2 263" xfId="897"/>
    <cellStyle name="S2 264" xfId="898"/>
    <cellStyle name="S2 265" xfId="899"/>
    <cellStyle name="S2 265 2" xfId="900"/>
    <cellStyle name="S2 266" xfId="901"/>
    <cellStyle name="S2 267" xfId="902"/>
    <cellStyle name="S2 27" xfId="903"/>
    <cellStyle name="S2 28" xfId="904"/>
    <cellStyle name="S2 29" xfId="905"/>
    <cellStyle name="S2 3" xfId="906"/>
    <cellStyle name="S2 30" xfId="907"/>
    <cellStyle name="S2 31" xfId="908"/>
    <cellStyle name="S2 32" xfId="909"/>
    <cellStyle name="S2 33" xfId="910"/>
    <cellStyle name="S2 34" xfId="911"/>
    <cellStyle name="S2 35" xfId="912"/>
    <cellStyle name="S2 36" xfId="913"/>
    <cellStyle name="S2 37" xfId="914"/>
    <cellStyle name="S2 38" xfId="915"/>
    <cellStyle name="S2 39" xfId="916"/>
    <cellStyle name="S2 4" xfId="917"/>
    <cellStyle name="S2 40" xfId="918"/>
    <cellStyle name="S2 41" xfId="919"/>
    <cellStyle name="S2 42" xfId="920"/>
    <cellStyle name="S2 43" xfId="921"/>
    <cellStyle name="S2 44" xfId="922"/>
    <cellStyle name="S2 45" xfId="923"/>
    <cellStyle name="S2 46" xfId="924"/>
    <cellStyle name="S2 47" xfId="925"/>
    <cellStyle name="S2 48" xfId="926"/>
    <cellStyle name="S2 49" xfId="927"/>
    <cellStyle name="S2 5" xfId="928"/>
    <cellStyle name="S2 50" xfId="929"/>
    <cellStyle name="S2 51" xfId="930"/>
    <cellStyle name="S2 52" xfId="931"/>
    <cellStyle name="S2 53" xfId="932"/>
    <cellStyle name="S2 54" xfId="933"/>
    <cellStyle name="S2 55" xfId="934"/>
    <cellStyle name="S2 56" xfId="935"/>
    <cellStyle name="S2 57" xfId="936"/>
    <cellStyle name="S2 58" xfId="937"/>
    <cellStyle name="S2 59" xfId="938"/>
    <cellStyle name="S2 6" xfId="939"/>
    <cellStyle name="S2 60" xfId="940"/>
    <cellStyle name="S2 61" xfId="941"/>
    <cellStyle name="S2 62" xfId="942"/>
    <cellStyle name="S2 63" xfId="943"/>
    <cellStyle name="S2 64" xfId="944"/>
    <cellStyle name="S2 65" xfId="945"/>
    <cellStyle name="S2 66" xfId="946"/>
    <cellStyle name="S2 67" xfId="947"/>
    <cellStyle name="S2 68" xfId="948"/>
    <cellStyle name="S2 69" xfId="949"/>
    <cellStyle name="S2 7" xfId="950"/>
    <cellStyle name="S2 70" xfId="951"/>
    <cellStyle name="S2 71" xfId="952"/>
    <cellStyle name="S2 72" xfId="953"/>
    <cellStyle name="S2 73" xfId="954"/>
    <cellStyle name="S2 74" xfId="955"/>
    <cellStyle name="S2 75" xfId="956"/>
    <cellStyle name="S2 76" xfId="957"/>
    <cellStyle name="S2 77" xfId="958"/>
    <cellStyle name="S2 78" xfId="959"/>
    <cellStyle name="S2 79" xfId="960"/>
    <cellStyle name="S2 8" xfId="961"/>
    <cellStyle name="S2 80" xfId="962"/>
    <cellStyle name="S2 81" xfId="963"/>
    <cellStyle name="S2 82" xfId="964"/>
    <cellStyle name="S2 83" xfId="965"/>
    <cellStyle name="S2 84" xfId="966"/>
    <cellStyle name="S2 85" xfId="967"/>
    <cellStyle name="S2 86" xfId="968"/>
    <cellStyle name="S2 87" xfId="969"/>
    <cellStyle name="S2 88" xfId="970"/>
    <cellStyle name="S2 89" xfId="971"/>
    <cellStyle name="S2 9" xfId="972"/>
    <cellStyle name="S2 90" xfId="973"/>
    <cellStyle name="S2 91" xfId="974"/>
    <cellStyle name="S2 92" xfId="975"/>
    <cellStyle name="S2 93" xfId="976"/>
    <cellStyle name="S2 94" xfId="977"/>
    <cellStyle name="S2 95" xfId="978"/>
    <cellStyle name="S2 96" xfId="979"/>
    <cellStyle name="S2 97" xfId="980"/>
    <cellStyle name="S2 98" xfId="981"/>
    <cellStyle name="S2 99" xfId="982"/>
    <cellStyle name="S2_Pembelian" xfId="983"/>
    <cellStyle name="S3" xfId="984"/>
    <cellStyle name="S3 10" xfId="985"/>
    <cellStyle name="S3 11" xfId="986"/>
    <cellStyle name="S3 2" xfId="987"/>
    <cellStyle name="S3 3" xfId="988"/>
    <cellStyle name="S3 4" xfId="989"/>
    <cellStyle name="S3 5" xfId="990"/>
    <cellStyle name="S3 6" xfId="991"/>
    <cellStyle name="S3 7" xfId="992"/>
    <cellStyle name="S3 8" xfId="993"/>
    <cellStyle name="S3 9" xfId="994"/>
    <cellStyle name="S3 9 2" xfId="995"/>
    <cellStyle name="S3_Pembelian" xfId="996"/>
    <cellStyle name="S4" xfId="997"/>
    <cellStyle name="S4 10" xfId="998"/>
    <cellStyle name="S4 11" xfId="999"/>
    <cellStyle name="S4 12" xfId="1000"/>
    <cellStyle name="S4 12 2" xfId="1001"/>
    <cellStyle name="S4 13" xfId="1002"/>
    <cellStyle name="S4 14" xfId="1003"/>
    <cellStyle name="S4 14 2" xfId="1004"/>
    <cellStyle name="S4 15" xfId="1005"/>
    <cellStyle name="S4 16" xfId="1006"/>
    <cellStyle name="S4 19" xfId="1007"/>
    <cellStyle name="S4 2" xfId="1008"/>
    <cellStyle name="S4 3" xfId="1009"/>
    <cellStyle name="S4 4" xfId="1010"/>
    <cellStyle name="S4 5" xfId="1011"/>
    <cellStyle name="S4 6" xfId="1012"/>
    <cellStyle name="S4 7" xfId="1013"/>
    <cellStyle name="S4 8" xfId="1014"/>
    <cellStyle name="S4 9" xfId="1015"/>
    <cellStyle name="S4 9 2" xfId="1016"/>
    <cellStyle name="S4_Pembelian" xfId="1017"/>
    <cellStyle name="S5" xfId="1018"/>
    <cellStyle name="S5 10" xfId="1019"/>
    <cellStyle name="S5 10 2" xfId="1020"/>
    <cellStyle name="S5 11" xfId="1021"/>
    <cellStyle name="S5 12" xfId="1022"/>
    <cellStyle name="S5 13" xfId="1023"/>
    <cellStyle name="S5 19" xfId="1024"/>
    <cellStyle name="S5 2" xfId="1025"/>
    <cellStyle name="S5 2 2" xfId="1026"/>
    <cellStyle name="S5 3" xfId="1027"/>
    <cellStyle name="S5 3 2" xfId="1028"/>
    <cellStyle name="S5 4" xfId="1029"/>
    <cellStyle name="S5 5" xfId="1030"/>
    <cellStyle name="S5 6" xfId="1031"/>
    <cellStyle name="S5 7" xfId="1032"/>
    <cellStyle name="S5 8" xfId="1033"/>
    <cellStyle name="S5 9" xfId="1034"/>
    <cellStyle name="S5 9 2" xfId="1035"/>
    <cellStyle name="S5_Pembelian" xfId="1036"/>
    <cellStyle name="S6" xfId="1037"/>
    <cellStyle name="S6 10" xfId="1038"/>
    <cellStyle name="S6 11" xfId="1039"/>
    <cellStyle name="S6 11 2" xfId="1040"/>
    <cellStyle name="S6 12" xfId="1041"/>
    <cellStyle name="S6 13" xfId="1042"/>
    <cellStyle name="S6 13 2" xfId="1043"/>
    <cellStyle name="S6 14" xfId="1044"/>
    <cellStyle name="S6 15" xfId="1045"/>
    <cellStyle name="S6 16" xfId="1046"/>
    <cellStyle name="S6 17" xfId="1047"/>
    <cellStyle name="S6 18" xfId="1048"/>
    <cellStyle name="S6 2" xfId="1049"/>
    <cellStyle name="S6 3" xfId="1050"/>
    <cellStyle name="S6 4" xfId="1051"/>
    <cellStyle name="S6 5" xfId="1052"/>
    <cellStyle name="S6 6" xfId="1053"/>
    <cellStyle name="S6 7" xfId="1054"/>
    <cellStyle name="S6 8" xfId="1055"/>
    <cellStyle name="S6 9" xfId="1056"/>
    <cellStyle name="S6_Pembelian" xfId="1057"/>
    <cellStyle name="S7" xfId="1058"/>
    <cellStyle name="S7 10" xfId="1059"/>
    <cellStyle name="S7 10 2" xfId="1060"/>
    <cellStyle name="S7 11" xfId="1061"/>
    <cellStyle name="S7 12" xfId="1062"/>
    <cellStyle name="S7 12 2" xfId="1063"/>
    <cellStyle name="S7 13" xfId="1064"/>
    <cellStyle name="S7 14" xfId="1065"/>
    <cellStyle name="S7 15" xfId="1066"/>
    <cellStyle name="S7 16" xfId="1067"/>
    <cellStyle name="S7 19" xfId="1068"/>
    <cellStyle name="S7 19 2" xfId="1069"/>
    <cellStyle name="S7 2" xfId="1070"/>
    <cellStyle name="S7 3" xfId="1071"/>
    <cellStyle name="S7 4" xfId="1072"/>
    <cellStyle name="S7 5" xfId="1073"/>
    <cellStyle name="S7 6" xfId="1074"/>
    <cellStyle name="S7 7" xfId="1075"/>
    <cellStyle name="S7 8" xfId="1076"/>
    <cellStyle name="S7 9" xfId="1077"/>
    <cellStyle name="S7_Pembelian" xfId="1078"/>
    <cellStyle name="S8" xfId="1079"/>
    <cellStyle name="S8 10" xfId="1080"/>
    <cellStyle name="S8 11" xfId="1081"/>
    <cellStyle name="S8 12" xfId="1082"/>
    <cellStyle name="S8 13" xfId="1083"/>
    <cellStyle name="S8 14" xfId="1084"/>
    <cellStyle name="S8 2" xfId="1085"/>
    <cellStyle name="S8 3" xfId="1086"/>
    <cellStyle name="S8 4" xfId="1087"/>
    <cellStyle name="S8 5" xfId="1088"/>
    <cellStyle name="S8 5 2" xfId="1089"/>
    <cellStyle name="S8 6" xfId="1090"/>
    <cellStyle name="S8 7" xfId="1091"/>
    <cellStyle name="S8 8" xfId="1092"/>
    <cellStyle name="S8 9" xfId="1093"/>
    <cellStyle name="S8 9 2" xfId="1094"/>
    <cellStyle name="S8_Pembelian" xfId="1095"/>
    <cellStyle name="S9" xfId="1096"/>
    <cellStyle name="S9 10" xfId="1097"/>
    <cellStyle name="S9 11" xfId="1098"/>
    <cellStyle name="S9 11 2" xfId="1099"/>
    <cellStyle name="S9 12" xfId="1100"/>
    <cellStyle name="S9 13" xfId="1101"/>
    <cellStyle name="S9 14" xfId="1102"/>
    <cellStyle name="S9 15" xfId="1103"/>
    <cellStyle name="S9 16" xfId="1104"/>
    <cellStyle name="S9 17" xfId="1105"/>
    <cellStyle name="S9 2" xfId="1106"/>
    <cellStyle name="S9 3" xfId="1107"/>
    <cellStyle name="S9 4" xfId="1108"/>
    <cellStyle name="S9 5" xfId="1109"/>
    <cellStyle name="S9 6" xfId="1110"/>
    <cellStyle name="S9 7" xfId="1111"/>
    <cellStyle name="S9 8" xfId="1112"/>
    <cellStyle name="S9 9" xfId="1113"/>
    <cellStyle name="S9_Pembelian" xfId="1114"/>
  </cellStyles>
  <dxfs count="649"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23287</xdr:colOff>
      <xdr:row>0</xdr:row>
      <xdr:rowOff>23284</xdr:rowOff>
    </xdr:from>
    <xdr:to>
      <xdr:col>0</xdr:col>
      <xdr:colOff>351371</xdr:colOff>
      <xdr:row>0</xdr:row>
      <xdr:rowOff>309034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500-000012000000}"/>
            </a:ext>
          </a:extLst>
        </xdr:cNvPr>
        <xdr:cNvSpPr/>
      </xdr:nvSpPr>
      <xdr:spPr>
        <a:xfrm>
          <a:off x="80437" y="6195484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  <xdr:twoCellAnchor>
    <xdr:from>
      <xdr:col>0</xdr:col>
      <xdr:colOff>9525</xdr:colOff>
      <xdr:row>5</xdr:row>
      <xdr:rowOff>28575</xdr:rowOff>
    </xdr:from>
    <xdr:to>
      <xdr:col>0</xdr:col>
      <xdr:colOff>337609</xdr:colOff>
      <xdr:row>6</xdr:row>
      <xdr:rowOff>123825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/>
      </xdr:nvSpPr>
      <xdr:spPr>
        <a:xfrm>
          <a:off x="180975" y="5419725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OD/Simulasi%20OD%20Akhir%20Bulan%20by%20IT%2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1"/>
    </sheetNames>
    <sheetDataSet>
      <sheetData sheetId="0">
        <row r="12">
          <cell r="E12" t="str">
            <v>Ach. Wagiyo Setiantoro</v>
          </cell>
          <cell r="I12">
            <v>10196500</v>
          </cell>
          <cell r="L12">
            <v>0</v>
          </cell>
          <cell r="M12">
            <v>10196500</v>
          </cell>
        </row>
        <row r="13">
          <cell r="E13" t="str">
            <v>Bimo Rukun Tani, UD</v>
          </cell>
          <cell r="I13">
            <v>3080000</v>
          </cell>
          <cell r="L13">
            <v>0</v>
          </cell>
          <cell r="M13">
            <v>3080000</v>
          </cell>
        </row>
        <row r="14">
          <cell r="E14" t="str">
            <v>Setia Jaya, UD/Saiful</v>
          </cell>
          <cell r="I14">
            <v>13200000</v>
          </cell>
          <cell r="L14">
            <v>0</v>
          </cell>
          <cell r="M14">
            <v>13200000</v>
          </cell>
        </row>
        <row r="15">
          <cell r="E15" t="str">
            <v>Setia Jaya, UD/Saiful</v>
          </cell>
          <cell r="I15">
            <v>7400000</v>
          </cell>
          <cell r="L15">
            <v>0</v>
          </cell>
          <cell r="M15">
            <v>7400000</v>
          </cell>
        </row>
        <row r="16">
          <cell r="E16" t="str">
            <v>Bimo Rukun Tani II</v>
          </cell>
          <cell r="I16">
            <v>18000000</v>
          </cell>
          <cell r="L16">
            <v>0</v>
          </cell>
          <cell r="M16">
            <v>18000000</v>
          </cell>
        </row>
        <row r="17">
          <cell r="E17" t="str">
            <v>Bimo Rukun Tani II</v>
          </cell>
          <cell r="I17">
            <v>3925000</v>
          </cell>
          <cell r="L17">
            <v>0</v>
          </cell>
          <cell r="M17">
            <v>3925000</v>
          </cell>
        </row>
        <row r="18">
          <cell r="E18" t="str">
            <v>Bimo Rukun Tani II</v>
          </cell>
          <cell r="I18">
            <v>4050000</v>
          </cell>
          <cell r="L18">
            <v>0</v>
          </cell>
          <cell r="M18">
            <v>4050000</v>
          </cell>
        </row>
        <row r="19">
          <cell r="E19" t="str">
            <v>Bimo Rukun Tani II</v>
          </cell>
          <cell r="I19">
            <v>2735000</v>
          </cell>
          <cell r="L19">
            <v>0</v>
          </cell>
          <cell r="M19">
            <v>2735000</v>
          </cell>
        </row>
        <row r="20">
          <cell r="E20" t="str">
            <v>Bimo Rukun Tani II</v>
          </cell>
          <cell r="I20">
            <v>5300000</v>
          </cell>
          <cell r="L20">
            <v>0</v>
          </cell>
          <cell r="M20">
            <v>5300000</v>
          </cell>
        </row>
        <row r="21">
          <cell r="E21" t="str">
            <v>Bimo Rukun Tani II</v>
          </cell>
          <cell r="I21">
            <v>19425000</v>
          </cell>
          <cell r="L21">
            <v>0</v>
          </cell>
          <cell r="M21">
            <v>19425000</v>
          </cell>
        </row>
        <row r="22">
          <cell r="E22" t="str">
            <v>Bimo Rukun Tani II</v>
          </cell>
          <cell r="I22">
            <v>5775000</v>
          </cell>
          <cell r="L22">
            <v>0</v>
          </cell>
          <cell r="M22">
            <v>5775000</v>
          </cell>
        </row>
        <row r="23">
          <cell r="E23" t="str">
            <v>Bimo Rukun Tani II</v>
          </cell>
          <cell r="I23">
            <v>12361000</v>
          </cell>
          <cell r="L23">
            <v>0</v>
          </cell>
          <cell r="M23">
            <v>12361000</v>
          </cell>
        </row>
        <row r="24">
          <cell r="E24" t="str">
            <v>Bimo Rukun Tani II</v>
          </cell>
          <cell r="I24">
            <v>12240000</v>
          </cell>
          <cell r="L24">
            <v>0</v>
          </cell>
          <cell r="M24">
            <v>12240000</v>
          </cell>
        </row>
        <row r="25">
          <cell r="E25" t="str">
            <v>Bimo Rukun Tani II</v>
          </cell>
          <cell r="I25">
            <v>2488200</v>
          </cell>
          <cell r="L25">
            <v>0</v>
          </cell>
          <cell r="M25">
            <v>2488200</v>
          </cell>
        </row>
        <row r="26">
          <cell r="E26" t="str">
            <v>Bimo Rukun Tani II</v>
          </cell>
          <cell r="I26">
            <v>26160000</v>
          </cell>
          <cell r="L26">
            <v>0</v>
          </cell>
          <cell r="M26">
            <v>26160000</v>
          </cell>
        </row>
        <row r="27">
          <cell r="E27" t="str">
            <v>Bimo Rukun Tani, UD</v>
          </cell>
          <cell r="I27">
            <v>40000000</v>
          </cell>
          <cell r="L27">
            <v>0</v>
          </cell>
          <cell r="M27">
            <v>40000000</v>
          </cell>
        </row>
        <row r="28">
          <cell r="E28" t="str">
            <v>Bimo Rukun Tani, UD</v>
          </cell>
          <cell r="I28">
            <v>39560000</v>
          </cell>
          <cell r="L28">
            <v>0</v>
          </cell>
          <cell r="M28">
            <v>39560000</v>
          </cell>
        </row>
        <row r="29">
          <cell r="E29" t="str">
            <v>Bimo Rukun Tani, UD</v>
          </cell>
          <cell r="I29">
            <v>2400000</v>
          </cell>
          <cell r="L29">
            <v>0</v>
          </cell>
        </row>
        <row r="30">
          <cell r="E30" t="str">
            <v>Bimo Rukun Tani, UD</v>
          </cell>
          <cell r="I30">
            <v>1260000</v>
          </cell>
          <cell r="L30">
            <v>0</v>
          </cell>
          <cell r="M30">
            <v>1260000</v>
          </cell>
        </row>
        <row r="31">
          <cell r="E31" t="str">
            <v>Bimo Rukun Tani, UD</v>
          </cell>
          <cell r="I31">
            <v>7350000</v>
          </cell>
          <cell r="L31">
            <v>0</v>
          </cell>
          <cell r="M31">
            <v>7350000</v>
          </cell>
        </row>
        <row r="32">
          <cell r="E32" t="str">
            <v>Dwi Putra, UD</v>
          </cell>
          <cell r="I32">
            <v>3500000</v>
          </cell>
          <cell r="L32">
            <v>0</v>
          </cell>
          <cell r="M32">
            <v>3500000</v>
          </cell>
        </row>
        <row r="33">
          <cell r="E33" t="str">
            <v>Dwi Putra, UD</v>
          </cell>
          <cell r="I33">
            <v>3360000</v>
          </cell>
          <cell r="L33">
            <v>0</v>
          </cell>
          <cell r="M33">
            <v>3360000</v>
          </cell>
        </row>
        <row r="34">
          <cell r="E34" t="str">
            <v>Dwi Putra, UD</v>
          </cell>
          <cell r="I34">
            <v>2808000</v>
          </cell>
          <cell r="L34">
            <v>0</v>
          </cell>
          <cell r="M34">
            <v>2808000</v>
          </cell>
        </row>
        <row r="35">
          <cell r="E35" t="str">
            <v>Dwi Putra, UD</v>
          </cell>
          <cell r="I35">
            <v>18000000</v>
          </cell>
          <cell r="L35">
            <v>0</v>
          </cell>
          <cell r="M35">
            <v>18000000</v>
          </cell>
        </row>
        <row r="36">
          <cell r="E36" t="str">
            <v>Karisma Tani/Roeslan</v>
          </cell>
          <cell r="I36">
            <v>5810000</v>
          </cell>
          <cell r="L36">
            <v>0</v>
          </cell>
          <cell r="M36">
            <v>5810000</v>
          </cell>
        </row>
        <row r="37">
          <cell r="E37" t="str">
            <v>Karisma Tani/Roeslan</v>
          </cell>
          <cell r="I37">
            <v>1540000</v>
          </cell>
          <cell r="L37">
            <v>0</v>
          </cell>
          <cell r="M37">
            <v>1540000</v>
          </cell>
        </row>
        <row r="38">
          <cell r="E38" t="str">
            <v>Karisma Tani/Roeslan</v>
          </cell>
          <cell r="I38">
            <v>1175000</v>
          </cell>
          <cell r="L38">
            <v>0</v>
          </cell>
          <cell r="M38">
            <v>1175000</v>
          </cell>
        </row>
        <row r="39">
          <cell r="E39" t="str">
            <v>Kumpul Tani/Hendro</v>
          </cell>
          <cell r="I39">
            <v>5400000</v>
          </cell>
          <cell r="L39">
            <v>0</v>
          </cell>
          <cell r="M39">
            <v>5400000</v>
          </cell>
        </row>
        <row r="40">
          <cell r="E40" t="str">
            <v>Kumpul Tani/Hendro</v>
          </cell>
          <cell r="I40">
            <v>13120000</v>
          </cell>
          <cell r="L40">
            <v>0</v>
          </cell>
          <cell r="M40">
            <v>13120000</v>
          </cell>
        </row>
        <row r="41">
          <cell r="E41" t="str">
            <v>Maha Karya Sentosa, Toko</v>
          </cell>
          <cell r="I41">
            <v>19236800</v>
          </cell>
          <cell r="L41">
            <v>0</v>
          </cell>
          <cell r="M41">
            <v>19236800</v>
          </cell>
        </row>
        <row r="42">
          <cell r="E42" t="str">
            <v>Maha Karya Sentosa, Toko</v>
          </cell>
          <cell r="I42">
            <v>15750000</v>
          </cell>
          <cell r="L42">
            <v>0</v>
          </cell>
          <cell r="M42">
            <v>15750000</v>
          </cell>
        </row>
        <row r="43">
          <cell r="E43" t="str">
            <v>Maha Karya Sentosa, Toko</v>
          </cell>
          <cell r="I43">
            <v>10320000</v>
          </cell>
          <cell r="L43">
            <v>0</v>
          </cell>
          <cell r="M43">
            <v>10320000</v>
          </cell>
        </row>
        <row r="44">
          <cell r="E44" t="str">
            <v>Maha Karya Sentosa, Toko</v>
          </cell>
          <cell r="I44">
            <v>3150000</v>
          </cell>
          <cell r="L44">
            <v>0</v>
          </cell>
          <cell r="M44">
            <v>3150000</v>
          </cell>
        </row>
        <row r="45">
          <cell r="E45" t="str">
            <v>Maha Karya Sentosa, Toko</v>
          </cell>
          <cell r="I45">
            <v>28560000</v>
          </cell>
          <cell r="L45">
            <v>0</v>
          </cell>
          <cell r="M45">
            <v>28560000</v>
          </cell>
        </row>
        <row r="46">
          <cell r="E46" t="str">
            <v>Mapan Agro Sentosa, UD</v>
          </cell>
          <cell r="I46">
            <v>15966000</v>
          </cell>
          <cell r="L46">
            <v>15966000</v>
          </cell>
          <cell r="M46">
            <v>0</v>
          </cell>
        </row>
        <row r="47">
          <cell r="E47" t="str">
            <v>Mekar Tani/Tunti</v>
          </cell>
          <cell r="I47">
            <v>2799000</v>
          </cell>
          <cell r="L47">
            <v>1840000</v>
          </cell>
          <cell r="M47">
            <v>959000</v>
          </cell>
        </row>
        <row r="48">
          <cell r="E48" t="str">
            <v>Mekar Tani/Tunti</v>
          </cell>
          <cell r="I48">
            <v>4400000</v>
          </cell>
          <cell r="L48">
            <v>0</v>
          </cell>
          <cell r="M48">
            <v>4400000</v>
          </cell>
        </row>
        <row r="49">
          <cell r="E49" t="str">
            <v>Mitra Tani/Hariyanto</v>
          </cell>
          <cell r="I49">
            <v>47250000</v>
          </cell>
          <cell r="L49">
            <v>0</v>
          </cell>
          <cell r="M49">
            <v>47250000</v>
          </cell>
        </row>
        <row r="50">
          <cell r="E50" t="str">
            <v>Mujahidin Delapan, UD</v>
          </cell>
          <cell r="I50">
            <v>18400000</v>
          </cell>
          <cell r="L50">
            <v>18400000</v>
          </cell>
        </row>
        <row r="51">
          <cell r="E51" t="str">
            <v>Mujahidin Delapan, UD</v>
          </cell>
          <cell r="I51">
            <v>5312500</v>
          </cell>
          <cell r="L51">
            <v>0</v>
          </cell>
        </row>
        <row r="52">
          <cell r="E52" t="str">
            <v>Mujahidin Delapan, UD</v>
          </cell>
          <cell r="I52">
            <v>10125000</v>
          </cell>
          <cell r="L52">
            <v>10125000</v>
          </cell>
          <cell r="M52">
            <v>0</v>
          </cell>
        </row>
        <row r="53">
          <cell r="E53" t="str">
            <v>Mujahidin Delapan, UD</v>
          </cell>
          <cell r="I53">
            <v>1575000</v>
          </cell>
          <cell r="L53">
            <v>275000</v>
          </cell>
          <cell r="M53">
            <v>1300000</v>
          </cell>
        </row>
        <row r="54">
          <cell r="E54" t="str">
            <v>Mujahidin Delapan, UD</v>
          </cell>
          <cell r="I54">
            <v>3024000</v>
          </cell>
          <cell r="L54">
            <v>0</v>
          </cell>
          <cell r="M54">
            <v>3024000</v>
          </cell>
        </row>
        <row r="55">
          <cell r="E55" t="str">
            <v>Mulyo Tani/Danang</v>
          </cell>
          <cell r="I55">
            <v>244050000</v>
          </cell>
          <cell r="L55">
            <v>0</v>
          </cell>
          <cell r="M55">
            <v>244050000</v>
          </cell>
        </row>
        <row r="56">
          <cell r="E56" t="str">
            <v>Mulyo Tani/Danang</v>
          </cell>
          <cell r="I56">
            <v>228000000</v>
          </cell>
          <cell r="L56">
            <v>0</v>
          </cell>
          <cell r="M56">
            <v>228000000</v>
          </cell>
        </row>
        <row r="57">
          <cell r="E57" t="str">
            <v>Mutiara Tani, UD/Abdur Rahman</v>
          </cell>
          <cell r="I57">
            <v>4850000</v>
          </cell>
          <cell r="L57">
            <v>0</v>
          </cell>
          <cell r="M57">
            <v>4850000</v>
          </cell>
        </row>
        <row r="58">
          <cell r="E58" t="str">
            <v>Mutiara Tani, UD/Abdur Rahman</v>
          </cell>
          <cell r="I58">
            <v>16016000</v>
          </cell>
          <cell r="L58">
            <v>0</v>
          </cell>
          <cell r="M58">
            <v>16016000</v>
          </cell>
        </row>
        <row r="59">
          <cell r="E59" t="str">
            <v>Mutiara Tani, UD/Abdur Rahman</v>
          </cell>
          <cell r="I59">
            <v>6300000</v>
          </cell>
          <cell r="L59">
            <v>0</v>
          </cell>
          <cell r="M59">
            <v>6300000</v>
          </cell>
        </row>
        <row r="60">
          <cell r="E60" t="str">
            <v>Mutiara Tani, UD/Abdur Rahman</v>
          </cell>
          <cell r="I60">
            <v>1800000</v>
          </cell>
          <cell r="L60">
            <v>0</v>
          </cell>
          <cell r="M60">
            <v>1800000</v>
          </cell>
        </row>
        <row r="61">
          <cell r="E61" t="str">
            <v>Mutiara Tani, UD/Abdur Rahman</v>
          </cell>
          <cell r="I61">
            <v>3140000</v>
          </cell>
          <cell r="L61">
            <v>0</v>
          </cell>
          <cell r="M61">
            <v>3140000</v>
          </cell>
        </row>
        <row r="62">
          <cell r="E62" t="str">
            <v>Prima Tani/Candra Sanjaya</v>
          </cell>
          <cell r="I62">
            <v>100000000</v>
          </cell>
          <cell r="L62">
            <v>0</v>
          </cell>
          <cell r="M62">
            <v>100000000</v>
          </cell>
        </row>
        <row r="63">
          <cell r="E63" t="str">
            <v>Pusaka Tani Jaya/Supri</v>
          </cell>
          <cell r="I63">
            <v>7322000</v>
          </cell>
          <cell r="L63">
            <v>0</v>
          </cell>
          <cell r="M63">
            <v>7322000</v>
          </cell>
        </row>
        <row r="64">
          <cell r="E64" t="str">
            <v>Rimba Kelapa/Ribut Aminah</v>
          </cell>
          <cell r="I64">
            <v>22762000</v>
          </cell>
          <cell r="L64">
            <v>0</v>
          </cell>
          <cell r="M64">
            <v>22762000</v>
          </cell>
        </row>
        <row r="65">
          <cell r="E65" t="str">
            <v>Rimba Kelapa/Ribut Aminah</v>
          </cell>
          <cell r="I65">
            <v>16450000</v>
          </cell>
          <cell r="L65">
            <v>0</v>
          </cell>
          <cell r="M65">
            <v>16450000</v>
          </cell>
        </row>
        <row r="66">
          <cell r="E66" t="str">
            <v>Rimba Kelapa/Ribut Aminah</v>
          </cell>
          <cell r="I66">
            <v>14196000</v>
          </cell>
          <cell r="L66">
            <v>0</v>
          </cell>
          <cell r="M66">
            <v>14196000</v>
          </cell>
        </row>
        <row r="67">
          <cell r="E67" t="str">
            <v>Rimba Kelapa/Ribut Aminah</v>
          </cell>
          <cell r="I67">
            <v>5100000</v>
          </cell>
          <cell r="L67">
            <v>0</v>
          </cell>
          <cell r="M67">
            <v>5100000</v>
          </cell>
        </row>
        <row r="68">
          <cell r="E68" t="str">
            <v>Rimba Kelapa/Ribut Aminah</v>
          </cell>
          <cell r="I68">
            <v>25232500</v>
          </cell>
          <cell r="L68">
            <v>0</v>
          </cell>
          <cell r="M68">
            <v>25232500</v>
          </cell>
        </row>
        <row r="69">
          <cell r="E69" t="str">
            <v>Rimba Kelapa/Ribut Aminah</v>
          </cell>
          <cell r="I69">
            <v>7800000</v>
          </cell>
          <cell r="L69">
            <v>0</v>
          </cell>
          <cell r="M69">
            <v>7800000</v>
          </cell>
        </row>
        <row r="70">
          <cell r="E70" t="str">
            <v>Rizki Santoso, UD</v>
          </cell>
          <cell r="I70">
            <v>4402500</v>
          </cell>
          <cell r="L70">
            <v>0</v>
          </cell>
          <cell r="M70">
            <v>4402500</v>
          </cell>
        </row>
        <row r="71">
          <cell r="E71" t="str">
            <v>Rizki Santoso, UD</v>
          </cell>
          <cell r="I71">
            <v>5276500</v>
          </cell>
          <cell r="L71">
            <v>0</v>
          </cell>
          <cell r="M71">
            <v>5276500</v>
          </cell>
        </row>
        <row r="72">
          <cell r="E72" t="str">
            <v>Rizki Santoso, UD</v>
          </cell>
          <cell r="I72">
            <v>3900000</v>
          </cell>
          <cell r="L72">
            <v>0</v>
          </cell>
          <cell r="M72">
            <v>3900000</v>
          </cell>
        </row>
        <row r="73">
          <cell r="E73" t="str">
            <v>Setia Jaya, UD/Saiful</v>
          </cell>
          <cell r="I73">
            <v>76380000</v>
          </cell>
          <cell r="L73">
            <v>0</v>
          </cell>
          <cell r="M73">
            <v>76380000</v>
          </cell>
        </row>
        <row r="74">
          <cell r="E74" t="str">
            <v>Setia Jaya, UD/Saiful</v>
          </cell>
          <cell r="I74">
            <v>252400000</v>
          </cell>
          <cell r="L74">
            <v>0</v>
          </cell>
          <cell r="M74">
            <v>252400000</v>
          </cell>
        </row>
        <row r="75">
          <cell r="E75" t="str">
            <v>Setia Jaya, UD/Saiful</v>
          </cell>
          <cell r="I75">
            <v>17210000</v>
          </cell>
          <cell r="L75">
            <v>0</v>
          </cell>
          <cell r="M75">
            <v>17210000</v>
          </cell>
        </row>
        <row r="76">
          <cell r="E76" t="str">
            <v>Setia Jaya, UD/Saiful</v>
          </cell>
          <cell r="I76">
            <v>29385000</v>
          </cell>
          <cell r="L76">
            <v>0</v>
          </cell>
          <cell r="M76">
            <v>29385000</v>
          </cell>
        </row>
        <row r="77">
          <cell r="E77" t="str">
            <v>Setia Jaya, UD/Saiful</v>
          </cell>
          <cell r="I77">
            <v>5200000</v>
          </cell>
          <cell r="L77">
            <v>0</v>
          </cell>
          <cell r="M77">
            <v>5200000</v>
          </cell>
        </row>
        <row r="78">
          <cell r="E78" t="str">
            <v>Setia Jaya, UD/Saiful</v>
          </cell>
          <cell r="I78">
            <v>8650000</v>
          </cell>
          <cell r="L78">
            <v>0</v>
          </cell>
          <cell r="M78">
            <v>8650000</v>
          </cell>
        </row>
        <row r="79">
          <cell r="E79" t="str">
            <v>Setia Jaya, UD/Saiful</v>
          </cell>
          <cell r="I79">
            <v>13700000</v>
          </cell>
          <cell r="L79">
            <v>0</v>
          </cell>
          <cell r="M79">
            <v>13700000</v>
          </cell>
        </row>
        <row r="80">
          <cell r="E80" t="str">
            <v>Sinare Tani, UD</v>
          </cell>
          <cell r="I80">
            <v>1462500</v>
          </cell>
          <cell r="L80">
            <v>0</v>
          </cell>
          <cell r="M80">
            <v>1462500</v>
          </cell>
        </row>
        <row r="81">
          <cell r="E81" t="str">
            <v>Sumber Rejeki, Toko/Srikanah</v>
          </cell>
          <cell r="I81">
            <v>12000000</v>
          </cell>
          <cell r="L81">
            <v>0</v>
          </cell>
          <cell r="M81">
            <v>12000000</v>
          </cell>
        </row>
        <row r="82">
          <cell r="E82" t="str">
            <v>Sumber Rejeki/Tono</v>
          </cell>
          <cell r="I82">
            <v>17090000</v>
          </cell>
          <cell r="L82">
            <v>0</v>
          </cell>
          <cell r="M82">
            <v>17090000</v>
          </cell>
        </row>
        <row r="83">
          <cell r="E83" t="str">
            <v>Sumber Rejeki/Tono</v>
          </cell>
          <cell r="I83">
            <v>31050000</v>
          </cell>
          <cell r="L83">
            <v>0</v>
          </cell>
          <cell r="M83">
            <v>31050000</v>
          </cell>
        </row>
        <row r="84">
          <cell r="E84" t="str">
            <v>Sumber Rejeki/Tono</v>
          </cell>
          <cell r="I84">
            <v>19800000</v>
          </cell>
          <cell r="L84">
            <v>0</v>
          </cell>
        </row>
        <row r="85">
          <cell r="E85" t="str">
            <v>Sumber Rejeki/Tono</v>
          </cell>
          <cell r="I85">
            <v>3460000</v>
          </cell>
          <cell r="L85">
            <v>0</v>
          </cell>
          <cell r="M85">
            <v>3460000</v>
          </cell>
        </row>
        <row r="86">
          <cell r="E86" t="str">
            <v>Sumber Rejeki/Tono</v>
          </cell>
          <cell r="I86">
            <v>17820000</v>
          </cell>
          <cell r="L86">
            <v>0</v>
          </cell>
          <cell r="M86">
            <v>17820000</v>
          </cell>
        </row>
        <row r="87">
          <cell r="E87" t="str">
            <v>Sumber Rejeki/Tono</v>
          </cell>
          <cell r="I87">
            <v>1800000</v>
          </cell>
          <cell r="L87">
            <v>300000</v>
          </cell>
          <cell r="M87">
            <v>1500000</v>
          </cell>
        </row>
        <row r="88">
          <cell r="E88" t="str">
            <v>Sumber Rejeki/Tono</v>
          </cell>
          <cell r="I88">
            <v>19524000</v>
          </cell>
          <cell r="L88">
            <v>0</v>
          </cell>
          <cell r="M88">
            <v>19524000</v>
          </cell>
        </row>
        <row r="89">
          <cell r="E89" t="str">
            <v>Sumber Rejeki/Tono</v>
          </cell>
          <cell r="I89">
            <v>1890000</v>
          </cell>
          <cell r="L89">
            <v>0</v>
          </cell>
          <cell r="M89">
            <v>1890000</v>
          </cell>
        </row>
        <row r="90">
          <cell r="E90" t="str">
            <v>Sumber Rejeki/Tono</v>
          </cell>
          <cell r="I90">
            <v>18480000</v>
          </cell>
          <cell r="L90">
            <v>0</v>
          </cell>
          <cell r="M90">
            <v>18480000</v>
          </cell>
        </row>
        <row r="91">
          <cell r="E91" t="str">
            <v>Agro Tani, UD</v>
          </cell>
          <cell r="I91">
            <v>5300000</v>
          </cell>
          <cell r="L91">
            <v>0</v>
          </cell>
          <cell r="M91">
            <v>5300000</v>
          </cell>
        </row>
        <row r="92">
          <cell r="E92" t="str">
            <v>Agro Tani, UD</v>
          </cell>
          <cell r="I92">
            <v>3840000</v>
          </cell>
          <cell r="L92">
            <v>0</v>
          </cell>
          <cell r="M92">
            <v>3840000</v>
          </cell>
        </row>
        <row r="93">
          <cell r="E93" t="str">
            <v>Agro Tani, UD</v>
          </cell>
          <cell r="I93">
            <v>2800000</v>
          </cell>
          <cell r="L93">
            <v>0</v>
          </cell>
          <cell r="M93">
            <v>2800000</v>
          </cell>
        </row>
        <row r="94">
          <cell r="E94" t="str">
            <v>Agro Tani, UD</v>
          </cell>
          <cell r="I94">
            <v>1660000</v>
          </cell>
          <cell r="L94">
            <v>0</v>
          </cell>
          <cell r="M94">
            <v>1660000</v>
          </cell>
        </row>
        <row r="95">
          <cell r="E95" t="str">
            <v>Agro Tiara Jaya</v>
          </cell>
          <cell r="I95">
            <v>111700000</v>
          </cell>
          <cell r="L95">
            <v>0</v>
          </cell>
          <cell r="M95">
            <v>111700000</v>
          </cell>
        </row>
        <row r="96">
          <cell r="E96" t="str">
            <v>Alvin Tani/Toha</v>
          </cell>
          <cell r="I96">
            <v>18337500</v>
          </cell>
          <cell r="L96">
            <v>0</v>
          </cell>
          <cell r="M96">
            <v>18337500</v>
          </cell>
        </row>
        <row r="97">
          <cell r="E97" t="str">
            <v>Alvin Tani/Toha</v>
          </cell>
          <cell r="I97">
            <v>22210000</v>
          </cell>
          <cell r="L97">
            <v>0</v>
          </cell>
          <cell r="M97">
            <v>22210000</v>
          </cell>
        </row>
        <row r="98">
          <cell r="E98" t="str">
            <v>Alvin Tani/Toha</v>
          </cell>
          <cell r="I98">
            <v>8250000</v>
          </cell>
          <cell r="L98">
            <v>0</v>
          </cell>
          <cell r="M98">
            <v>8250000</v>
          </cell>
        </row>
        <row r="99">
          <cell r="E99" t="str">
            <v>Angka Jaya</v>
          </cell>
          <cell r="I99">
            <v>303310000</v>
          </cell>
          <cell r="L99">
            <v>0</v>
          </cell>
          <cell r="M99">
            <v>303310000</v>
          </cell>
        </row>
        <row r="100">
          <cell r="E100" t="str">
            <v>Angka Jaya</v>
          </cell>
          <cell r="I100">
            <v>123600000</v>
          </cell>
          <cell r="L100">
            <v>0</v>
          </cell>
          <cell r="M100">
            <v>123600000</v>
          </cell>
        </row>
        <row r="101">
          <cell r="E101" t="str">
            <v>Baru Rejo/Haris</v>
          </cell>
          <cell r="I101">
            <v>9500000</v>
          </cell>
          <cell r="L101">
            <v>0</v>
          </cell>
          <cell r="M101">
            <v>9500000</v>
          </cell>
        </row>
        <row r="102">
          <cell r="E102" t="str">
            <v>Berkat Jaya II/Dony</v>
          </cell>
          <cell r="I102">
            <v>2000000</v>
          </cell>
          <cell r="L102">
            <v>0</v>
          </cell>
          <cell r="M102">
            <v>2000000</v>
          </cell>
        </row>
        <row r="103">
          <cell r="E103" t="str">
            <v>Bimo Rukun Tani II</v>
          </cell>
          <cell r="I103">
            <v>4500000</v>
          </cell>
          <cell r="L103">
            <v>0</v>
          </cell>
          <cell r="M103">
            <v>4500000</v>
          </cell>
        </row>
        <row r="104">
          <cell r="E104" t="str">
            <v>Bimo Rukun Tani II</v>
          </cell>
          <cell r="I104">
            <v>21500000</v>
          </cell>
          <cell r="L104">
            <v>0</v>
          </cell>
          <cell r="M104">
            <v>21500000</v>
          </cell>
        </row>
        <row r="105">
          <cell r="E105" t="str">
            <v>Bimo Rukun Tani II</v>
          </cell>
          <cell r="I105">
            <v>1950000</v>
          </cell>
          <cell r="L105">
            <v>0</v>
          </cell>
          <cell r="M105">
            <v>1950000</v>
          </cell>
        </row>
        <row r="106">
          <cell r="E106" t="str">
            <v>Bimo Rukun Tani II</v>
          </cell>
          <cell r="I106">
            <v>1920000</v>
          </cell>
          <cell r="L106">
            <v>0</v>
          </cell>
          <cell r="M106">
            <v>1920000</v>
          </cell>
        </row>
        <row r="107">
          <cell r="E107" t="str">
            <v>Bimo Rukun Tani II</v>
          </cell>
          <cell r="I107">
            <v>14040000</v>
          </cell>
          <cell r="L107">
            <v>0</v>
          </cell>
          <cell r="M107">
            <v>14040000</v>
          </cell>
        </row>
        <row r="108">
          <cell r="E108" t="str">
            <v>Bimo Rukun Tani II</v>
          </cell>
          <cell r="I108">
            <v>38580000</v>
          </cell>
          <cell r="L108">
            <v>0</v>
          </cell>
          <cell r="M108">
            <v>38580000</v>
          </cell>
        </row>
        <row r="109">
          <cell r="E109" t="str">
            <v>Bimo Rukun Tani II</v>
          </cell>
          <cell r="I109">
            <v>1540000</v>
          </cell>
          <cell r="L109">
            <v>0</v>
          </cell>
          <cell r="M109">
            <v>1540000</v>
          </cell>
        </row>
        <row r="110">
          <cell r="E110" t="str">
            <v>Bimo Rukun Tani II</v>
          </cell>
          <cell r="I110">
            <v>23280000</v>
          </cell>
          <cell r="L110">
            <v>0</v>
          </cell>
          <cell r="M110">
            <v>23280000</v>
          </cell>
        </row>
        <row r="111">
          <cell r="E111" t="str">
            <v>Bimo Rukun Tani II</v>
          </cell>
          <cell r="I111">
            <v>14690000</v>
          </cell>
          <cell r="L111">
            <v>0</v>
          </cell>
          <cell r="M111">
            <v>14690000</v>
          </cell>
        </row>
        <row r="112">
          <cell r="E112" t="str">
            <v>Bimo Rukun Tani, UD</v>
          </cell>
          <cell r="I112">
            <v>46312500</v>
          </cell>
          <cell r="L112">
            <v>0</v>
          </cell>
          <cell r="M112">
            <v>46312500</v>
          </cell>
        </row>
        <row r="113">
          <cell r="E113" t="str">
            <v>Bimo Rukun Tani, UD</v>
          </cell>
          <cell r="I113">
            <v>14605000</v>
          </cell>
          <cell r="L113">
            <v>0</v>
          </cell>
          <cell r="M113">
            <v>14605000</v>
          </cell>
        </row>
        <row r="114">
          <cell r="E114" t="str">
            <v>Bimo Rukun Tani, UD</v>
          </cell>
          <cell r="I114">
            <v>16600000</v>
          </cell>
          <cell r="L114">
            <v>0</v>
          </cell>
          <cell r="M114">
            <v>16600000</v>
          </cell>
        </row>
        <row r="115">
          <cell r="E115" t="str">
            <v>Bimo Rukun Tani, UD</v>
          </cell>
          <cell r="I115">
            <v>2460000</v>
          </cell>
          <cell r="L115">
            <v>0</v>
          </cell>
          <cell r="M115">
            <v>2460000</v>
          </cell>
        </row>
        <row r="116">
          <cell r="E116" t="str">
            <v>Bimo Rukun Tani, UD</v>
          </cell>
          <cell r="I116">
            <v>6035000</v>
          </cell>
          <cell r="L116">
            <v>0</v>
          </cell>
          <cell r="M116">
            <v>6035000</v>
          </cell>
        </row>
        <row r="117">
          <cell r="E117" t="str">
            <v>Bintang Harapan</v>
          </cell>
          <cell r="I117">
            <v>900000</v>
          </cell>
          <cell r="L117">
            <v>0</v>
          </cell>
          <cell r="M117">
            <v>900000</v>
          </cell>
        </row>
        <row r="118">
          <cell r="E118" t="str">
            <v>Bintang Tani/Kabul</v>
          </cell>
          <cell r="I118">
            <v>11340000</v>
          </cell>
          <cell r="L118">
            <v>0</v>
          </cell>
          <cell r="M118">
            <v>11340000</v>
          </cell>
        </row>
        <row r="119">
          <cell r="E119" t="str">
            <v>Bintang Tani/Kabul</v>
          </cell>
          <cell r="I119">
            <v>5670000</v>
          </cell>
          <cell r="L119">
            <v>0</v>
          </cell>
          <cell r="M119">
            <v>5670000</v>
          </cell>
        </row>
        <row r="120">
          <cell r="E120" t="str">
            <v>Bintang Tani/Kabul</v>
          </cell>
          <cell r="I120">
            <v>8007500</v>
          </cell>
          <cell r="L120">
            <v>0</v>
          </cell>
          <cell r="M120">
            <v>8007500</v>
          </cell>
        </row>
        <row r="121">
          <cell r="E121" t="str">
            <v>Bintang Tani/Kabul</v>
          </cell>
          <cell r="I121">
            <v>5212500</v>
          </cell>
          <cell r="L121">
            <v>0</v>
          </cell>
          <cell r="M121">
            <v>5212500</v>
          </cell>
        </row>
        <row r="122">
          <cell r="E122" t="str">
            <v>Bintang Tani/Kabul</v>
          </cell>
          <cell r="I122">
            <v>1950000</v>
          </cell>
          <cell r="L122">
            <v>0</v>
          </cell>
          <cell r="M122">
            <v>1950000</v>
          </cell>
        </row>
        <row r="123">
          <cell r="E123" t="str">
            <v>Bintang Tani/Kabul</v>
          </cell>
          <cell r="I123">
            <v>1660000</v>
          </cell>
          <cell r="L123">
            <v>0</v>
          </cell>
          <cell r="M123">
            <v>1660000</v>
          </cell>
        </row>
        <row r="124">
          <cell r="E124" t="str">
            <v>Bintang Tani/Kabul</v>
          </cell>
          <cell r="I124">
            <v>1280000</v>
          </cell>
          <cell r="L124">
            <v>0</v>
          </cell>
          <cell r="M124">
            <v>1280000</v>
          </cell>
        </row>
        <row r="125">
          <cell r="E125" t="str">
            <v>Bio Tani/Budi</v>
          </cell>
          <cell r="I125">
            <v>339500</v>
          </cell>
          <cell r="L125">
            <v>0</v>
          </cell>
          <cell r="M125">
            <v>339500</v>
          </cell>
        </row>
        <row r="126">
          <cell r="E126" t="str">
            <v>Bio Tani/Budi</v>
          </cell>
          <cell r="I126">
            <v>3500000</v>
          </cell>
          <cell r="L126">
            <v>0</v>
          </cell>
          <cell r="M126">
            <v>3500000</v>
          </cell>
        </row>
        <row r="127">
          <cell r="E127" t="str">
            <v>Cahaya Mulya</v>
          </cell>
          <cell r="I127">
            <v>3150000</v>
          </cell>
          <cell r="L127">
            <v>3150000</v>
          </cell>
          <cell r="M127">
            <v>0</v>
          </cell>
        </row>
        <row r="128">
          <cell r="E128" t="str">
            <v>Cahaya Mulya</v>
          </cell>
          <cell r="I128">
            <v>8050000</v>
          </cell>
          <cell r="L128">
            <v>8050000</v>
          </cell>
          <cell r="M128">
            <v>0</v>
          </cell>
        </row>
        <row r="129">
          <cell r="E129" t="str">
            <v>Cahaya Mulya</v>
          </cell>
          <cell r="I129">
            <v>1532400</v>
          </cell>
          <cell r="L129">
            <v>1532400</v>
          </cell>
          <cell r="M129">
            <v>0</v>
          </cell>
        </row>
        <row r="130">
          <cell r="E130" t="str">
            <v>Cahaya Mulya</v>
          </cell>
          <cell r="I130">
            <v>6634500</v>
          </cell>
          <cell r="L130">
            <v>6634500</v>
          </cell>
          <cell r="M130">
            <v>0</v>
          </cell>
        </row>
        <row r="131">
          <cell r="E131" t="str">
            <v>Cahaya Mulya</v>
          </cell>
          <cell r="I131">
            <v>4800000</v>
          </cell>
          <cell r="L131">
            <v>4800000</v>
          </cell>
          <cell r="M131">
            <v>0</v>
          </cell>
        </row>
        <row r="132">
          <cell r="E132" t="str">
            <v>Cahaya/Shohib</v>
          </cell>
          <cell r="I132">
            <v>3570000</v>
          </cell>
          <cell r="L132">
            <v>0</v>
          </cell>
          <cell r="M132">
            <v>3570000</v>
          </cell>
        </row>
        <row r="133">
          <cell r="E133" t="str">
            <v>Daeng Tani/Rahmat Hidayah</v>
          </cell>
          <cell r="I133">
            <v>20240000</v>
          </cell>
          <cell r="L133">
            <v>20240000</v>
          </cell>
          <cell r="M133">
            <v>0</v>
          </cell>
        </row>
        <row r="134">
          <cell r="E134" t="str">
            <v>Dino Vita, Toko</v>
          </cell>
          <cell r="I134">
            <v>11805000</v>
          </cell>
          <cell r="L134">
            <v>11805000</v>
          </cell>
          <cell r="M134">
            <v>0</v>
          </cell>
        </row>
        <row r="135">
          <cell r="E135" t="str">
            <v>Dino Vita, Toko</v>
          </cell>
          <cell r="I135">
            <v>1350000</v>
          </cell>
          <cell r="L135">
            <v>0</v>
          </cell>
          <cell r="M135">
            <v>1350000</v>
          </cell>
        </row>
        <row r="136">
          <cell r="E136" t="str">
            <v>Dino Vita, Toko</v>
          </cell>
          <cell r="I136">
            <v>12050000</v>
          </cell>
          <cell r="L136">
            <v>0</v>
          </cell>
          <cell r="M136">
            <v>12050000</v>
          </cell>
        </row>
        <row r="137">
          <cell r="E137" t="str">
            <v>Dino Vita, Toko</v>
          </cell>
          <cell r="I137">
            <v>5700000</v>
          </cell>
          <cell r="L137">
            <v>0</v>
          </cell>
          <cell r="M137">
            <v>5700000</v>
          </cell>
        </row>
        <row r="138">
          <cell r="E138" t="str">
            <v>Dino Vita, Toko</v>
          </cell>
          <cell r="I138">
            <v>3360000</v>
          </cell>
          <cell r="L138">
            <v>0</v>
          </cell>
          <cell r="M138">
            <v>3360000</v>
          </cell>
        </row>
        <row r="139">
          <cell r="E139" t="str">
            <v>Dino Vita, Toko</v>
          </cell>
          <cell r="I139">
            <v>2250000</v>
          </cell>
          <cell r="L139">
            <v>0</v>
          </cell>
          <cell r="M139">
            <v>2250000</v>
          </cell>
        </row>
        <row r="140">
          <cell r="E140" t="str">
            <v>Dino Vita, Toko</v>
          </cell>
          <cell r="I140">
            <v>1760000</v>
          </cell>
          <cell r="L140">
            <v>0</v>
          </cell>
          <cell r="M140">
            <v>1760000</v>
          </cell>
        </row>
        <row r="141">
          <cell r="E141" t="str">
            <v>Dino Vita, Toko</v>
          </cell>
          <cell r="I141">
            <v>4075000</v>
          </cell>
          <cell r="L141">
            <v>0</v>
          </cell>
          <cell r="M141">
            <v>4075000</v>
          </cell>
        </row>
        <row r="142">
          <cell r="E142" t="str">
            <v>Diva Jaya</v>
          </cell>
          <cell r="I142">
            <v>3400000</v>
          </cell>
          <cell r="L142">
            <v>0</v>
          </cell>
          <cell r="M142">
            <v>3400000</v>
          </cell>
        </row>
        <row r="143">
          <cell r="E143" t="str">
            <v>DNA Pantura/Eko</v>
          </cell>
          <cell r="I143">
            <v>8050000</v>
          </cell>
          <cell r="L143">
            <v>0</v>
          </cell>
          <cell r="M143">
            <v>8050000</v>
          </cell>
        </row>
        <row r="144">
          <cell r="E144" t="str">
            <v>DNA Pantura/Eko</v>
          </cell>
          <cell r="I144">
            <v>4300000</v>
          </cell>
          <cell r="L144">
            <v>4300000</v>
          </cell>
          <cell r="M144">
            <v>0</v>
          </cell>
        </row>
        <row r="145">
          <cell r="E145" t="str">
            <v>Durian Merah/Dian</v>
          </cell>
          <cell r="I145">
            <v>4075000</v>
          </cell>
          <cell r="L145">
            <v>4075000</v>
          </cell>
          <cell r="M145">
            <v>0</v>
          </cell>
        </row>
        <row r="146">
          <cell r="E146" t="str">
            <v>Dwi Putra, UD</v>
          </cell>
          <cell r="I146">
            <v>3300000</v>
          </cell>
          <cell r="L146">
            <v>0</v>
          </cell>
          <cell r="M146">
            <v>3300000</v>
          </cell>
        </row>
        <row r="147">
          <cell r="E147" t="str">
            <v>Eka Jaya/David</v>
          </cell>
          <cell r="I147">
            <v>31500000</v>
          </cell>
          <cell r="L147">
            <v>0</v>
          </cell>
          <cell r="M147">
            <v>31500000</v>
          </cell>
        </row>
        <row r="148">
          <cell r="E148" t="str">
            <v>Eka Jaya/David</v>
          </cell>
          <cell r="I148">
            <v>46200000</v>
          </cell>
          <cell r="L148">
            <v>0</v>
          </cell>
          <cell r="M148">
            <v>46200000</v>
          </cell>
        </row>
        <row r="149">
          <cell r="E149" t="str">
            <v>Eka Jaya/David</v>
          </cell>
          <cell r="I149">
            <v>17000000</v>
          </cell>
          <cell r="L149">
            <v>0</v>
          </cell>
          <cell r="M149">
            <v>17000000</v>
          </cell>
        </row>
        <row r="150">
          <cell r="E150" t="str">
            <v>Eka Jaya/David</v>
          </cell>
          <cell r="I150">
            <v>50000000</v>
          </cell>
          <cell r="L150">
            <v>0</v>
          </cell>
          <cell r="M150">
            <v>50000000</v>
          </cell>
        </row>
        <row r="151">
          <cell r="E151" t="str">
            <v>Eka Jaya/David</v>
          </cell>
          <cell r="I151">
            <v>25400000</v>
          </cell>
          <cell r="L151">
            <v>0</v>
          </cell>
          <cell r="M151">
            <v>25400000</v>
          </cell>
        </row>
        <row r="152">
          <cell r="E152" t="str">
            <v>Eka Jaya/David</v>
          </cell>
          <cell r="I152">
            <v>68700000</v>
          </cell>
          <cell r="L152">
            <v>0</v>
          </cell>
          <cell r="M152">
            <v>68700000</v>
          </cell>
        </row>
        <row r="153">
          <cell r="E153" t="str">
            <v>Eka Jaya/David</v>
          </cell>
          <cell r="I153">
            <v>8640000</v>
          </cell>
          <cell r="L153">
            <v>0</v>
          </cell>
          <cell r="M153">
            <v>8640000</v>
          </cell>
        </row>
        <row r="154">
          <cell r="E154" t="str">
            <v>Eka Jaya/David</v>
          </cell>
          <cell r="I154">
            <v>5400000</v>
          </cell>
          <cell r="L154">
            <v>0</v>
          </cell>
          <cell r="M154">
            <v>5400000</v>
          </cell>
        </row>
        <row r="155">
          <cell r="E155" t="str">
            <v>Eka Jaya/David</v>
          </cell>
          <cell r="I155">
            <v>4335000</v>
          </cell>
          <cell r="L155">
            <v>0</v>
          </cell>
          <cell r="M155">
            <v>4335000</v>
          </cell>
        </row>
        <row r="156">
          <cell r="E156" t="str">
            <v>Eka Jaya/David</v>
          </cell>
          <cell r="I156">
            <v>8160000</v>
          </cell>
          <cell r="L156">
            <v>0</v>
          </cell>
          <cell r="M156">
            <v>8160000</v>
          </cell>
        </row>
        <row r="157">
          <cell r="E157" t="str">
            <v>Eka Jaya/David</v>
          </cell>
          <cell r="I157">
            <v>13040000</v>
          </cell>
          <cell r="L157">
            <v>0</v>
          </cell>
          <cell r="M157">
            <v>13040000</v>
          </cell>
        </row>
        <row r="158">
          <cell r="E158" t="str">
            <v>Eka Jaya/David</v>
          </cell>
          <cell r="I158">
            <v>136080000</v>
          </cell>
          <cell r="L158">
            <v>0</v>
          </cell>
          <cell r="M158">
            <v>136080000</v>
          </cell>
        </row>
        <row r="159">
          <cell r="E159" t="str">
            <v>Eka Jaya/David</v>
          </cell>
          <cell r="I159">
            <v>90720000</v>
          </cell>
          <cell r="L159">
            <v>0</v>
          </cell>
          <cell r="M159">
            <v>90720000</v>
          </cell>
        </row>
        <row r="160">
          <cell r="E160" t="str">
            <v>Eka Jaya/David</v>
          </cell>
          <cell r="I160">
            <v>35150000</v>
          </cell>
          <cell r="L160">
            <v>0</v>
          </cell>
          <cell r="M160">
            <v>35150000</v>
          </cell>
        </row>
        <row r="161">
          <cell r="E161" t="str">
            <v>Eka Jaya/David</v>
          </cell>
          <cell r="I161">
            <v>20400000</v>
          </cell>
          <cell r="L161">
            <v>0</v>
          </cell>
          <cell r="M161">
            <v>20400000</v>
          </cell>
        </row>
        <row r="162">
          <cell r="E162" t="str">
            <v>Eka Jaya/David</v>
          </cell>
          <cell r="I162">
            <v>14400000</v>
          </cell>
          <cell r="L162">
            <v>0</v>
          </cell>
          <cell r="M162">
            <v>14400000</v>
          </cell>
        </row>
        <row r="163">
          <cell r="E163" t="str">
            <v>Eka Jaya/David</v>
          </cell>
          <cell r="I163">
            <v>42825000</v>
          </cell>
          <cell r="L163">
            <v>0</v>
          </cell>
          <cell r="M163">
            <v>42825000</v>
          </cell>
        </row>
        <row r="164">
          <cell r="E164" t="str">
            <v>Eka Jaya/David</v>
          </cell>
          <cell r="I164">
            <v>102000000</v>
          </cell>
          <cell r="L164">
            <v>0</v>
          </cell>
          <cell r="M164">
            <v>102000000</v>
          </cell>
        </row>
        <row r="165">
          <cell r="E165" t="str">
            <v>Eka Jaya/David</v>
          </cell>
          <cell r="I165">
            <v>1800000</v>
          </cell>
          <cell r="L165">
            <v>0</v>
          </cell>
          <cell r="M165">
            <v>1800000</v>
          </cell>
        </row>
        <row r="166">
          <cell r="E166" t="str">
            <v>Eka Jaya/David</v>
          </cell>
          <cell r="I166">
            <v>14400000</v>
          </cell>
          <cell r="L166">
            <v>0</v>
          </cell>
          <cell r="M166">
            <v>14400000</v>
          </cell>
        </row>
        <row r="167">
          <cell r="E167" t="str">
            <v>Eka Jaya/David</v>
          </cell>
          <cell r="I167">
            <v>54000000</v>
          </cell>
          <cell r="L167">
            <v>0</v>
          </cell>
          <cell r="M167">
            <v>54000000</v>
          </cell>
        </row>
        <row r="168">
          <cell r="E168" t="str">
            <v>Eka Jaya/David</v>
          </cell>
          <cell r="I168">
            <v>5400000</v>
          </cell>
          <cell r="L168">
            <v>0</v>
          </cell>
          <cell r="M168">
            <v>5400000</v>
          </cell>
        </row>
        <row r="169">
          <cell r="E169" t="str">
            <v>Eka Jaya/David</v>
          </cell>
          <cell r="I169">
            <v>8520000</v>
          </cell>
          <cell r="L169">
            <v>0</v>
          </cell>
          <cell r="M169">
            <v>8520000</v>
          </cell>
        </row>
        <row r="170">
          <cell r="E170" t="str">
            <v>Eka Jaya/David</v>
          </cell>
          <cell r="I170">
            <v>7000000</v>
          </cell>
          <cell r="L170">
            <v>0</v>
          </cell>
          <cell r="M170">
            <v>7000000</v>
          </cell>
        </row>
        <row r="171">
          <cell r="E171" t="str">
            <v>Eka Jaya/David</v>
          </cell>
          <cell r="I171">
            <v>425000</v>
          </cell>
          <cell r="L171">
            <v>0</v>
          </cell>
          <cell r="M171">
            <v>425000</v>
          </cell>
        </row>
        <row r="172">
          <cell r="E172" t="str">
            <v>Eka Jaya/David</v>
          </cell>
          <cell r="I172">
            <v>5050000</v>
          </cell>
          <cell r="L172">
            <v>0</v>
          </cell>
          <cell r="M172">
            <v>5050000</v>
          </cell>
        </row>
        <row r="173">
          <cell r="E173" t="str">
            <v>Eka Jaya/David</v>
          </cell>
          <cell r="I173">
            <v>8400000</v>
          </cell>
          <cell r="L173">
            <v>0</v>
          </cell>
          <cell r="M173">
            <v>8400000</v>
          </cell>
        </row>
        <row r="174">
          <cell r="E174" t="str">
            <v>Eka Jaya/David</v>
          </cell>
          <cell r="I174">
            <v>1890000</v>
          </cell>
          <cell r="L174">
            <v>0</v>
          </cell>
          <cell r="M174">
            <v>1890000</v>
          </cell>
        </row>
        <row r="175">
          <cell r="E175" t="str">
            <v>Green Tani</v>
          </cell>
          <cell r="I175">
            <v>2300000</v>
          </cell>
          <cell r="L175">
            <v>0</v>
          </cell>
          <cell r="M175">
            <v>2300000</v>
          </cell>
        </row>
        <row r="176">
          <cell r="E176" t="str">
            <v>Gunung Semeru</v>
          </cell>
          <cell r="I176">
            <v>119520000</v>
          </cell>
          <cell r="L176">
            <v>119520000</v>
          </cell>
          <cell r="M176">
            <v>0</v>
          </cell>
        </row>
        <row r="177">
          <cell r="E177" t="str">
            <v>Gunung Semeru</v>
          </cell>
          <cell r="I177">
            <v>17010000</v>
          </cell>
          <cell r="L177">
            <v>17010000</v>
          </cell>
          <cell r="M177">
            <v>0</v>
          </cell>
        </row>
        <row r="178">
          <cell r="E178" t="str">
            <v>Gunung Semeru</v>
          </cell>
          <cell r="I178">
            <v>3240000</v>
          </cell>
          <cell r="L178">
            <v>3240000</v>
          </cell>
          <cell r="M178">
            <v>0</v>
          </cell>
        </row>
        <row r="179">
          <cell r="E179" t="str">
            <v>Gunung Semeru</v>
          </cell>
          <cell r="I179">
            <v>7700000</v>
          </cell>
          <cell r="L179">
            <v>7700000</v>
          </cell>
          <cell r="M179">
            <v>0</v>
          </cell>
        </row>
        <row r="180">
          <cell r="E180" t="str">
            <v>Gunung Semeru</v>
          </cell>
          <cell r="I180">
            <v>42075000</v>
          </cell>
          <cell r="L180">
            <v>42075000</v>
          </cell>
          <cell r="M180">
            <v>0</v>
          </cell>
        </row>
        <row r="181">
          <cell r="E181" t="str">
            <v>Gunung Semeru</v>
          </cell>
          <cell r="I181">
            <v>108000000</v>
          </cell>
          <cell r="L181">
            <v>0</v>
          </cell>
          <cell r="M181">
            <v>108000000</v>
          </cell>
        </row>
        <row r="182">
          <cell r="E182" t="str">
            <v>Gunung Semeru</v>
          </cell>
          <cell r="I182">
            <v>92400000</v>
          </cell>
          <cell r="L182">
            <v>0</v>
          </cell>
          <cell r="M182">
            <v>92400000</v>
          </cell>
        </row>
        <row r="183">
          <cell r="E183" t="str">
            <v>Insan Tani, UD/Yohan</v>
          </cell>
          <cell r="I183">
            <v>7545000</v>
          </cell>
          <cell r="L183">
            <v>0</v>
          </cell>
          <cell r="M183">
            <v>7545000</v>
          </cell>
        </row>
        <row r="184">
          <cell r="E184" t="str">
            <v>Insan Tani, UD/Yohan</v>
          </cell>
          <cell r="I184">
            <v>4617500</v>
          </cell>
          <cell r="L184">
            <v>0</v>
          </cell>
          <cell r="M184">
            <v>4617500</v>
          </cell>
        </row>
        <row r="185">
          <cell r="E185" t="str">
            <v>Jaya Sejahtera/Dian Retno</v>
          </cell>
          <cell r="I185">
            <v>3340000</v>
          </cell>
          <cell r="L185">
            <v>0</v>
          </cell>
          <cell r="M185">
            <v>3340000</v>
          </cell>
        </row>
        <row r="186">
          <cell r="E186" t="str">
            <v>Joko Supriyo</v>
          </cell>
          <cell r="I186">
            <v>12000000</v>
          </cell>
          <cell r="L186">
            <v>0</v>
          </cell>
          <cell r="M186">
            <v>12000000</v>
          </cell>
        </row>
        <row r="187">
          <cell r="E187" t="str">
            <v>Kartika Jaya, UD</v>
          </cell>
          <cell r="I187">
            <v>1785000</v>
          </cell>
          <cell r="L187">
            <v>0</v>
          </cell>
          <cell r="M187">
            <v>1785000</v>
          </cell>
        </row>
        <row r="188">
          <cell r="E188" t="str">
            <v>Karunia Jaya/Sujud Abdillah</v>
          </cell>
          <cell r="I188">
            <v>3860000</v>
          </cell>
          <cell r="L188">
            <v>3860000</v>
          </cell>
          <cell r="M188">
            <v>0</v>
          </cell>
        </row>
        <row r="189">
          <cell r="E189" t="str">
            <v>Karunia Makmur, UD</v>
          </cell>
          <cell r="I189">
            <v>2000000</v>
          </cell>
          <cell r="L189">
            <v>0</v>
          </cell>
          <cell r="M189">
            <v>2000000</v>
          </cell>
        </row>
        <row r="190">
          <cell r="E190" t="str">
            <v>Klinik Tani/Defit</v>
          </cell>
          <cell r="I190">
            <v>1300000</v>
          </cell>
          <cell r="L190">
            <v>0</v>
          </cell>
          <cell r="M190">
            <v>1300000</v>
          </cell>
        </row>
        <row r="191">
          <cell r="E191" t="str">
            <v>KSU CU Sang Timur/CU Agro</v>
          </cell>
          <cell r="I191">
            <v>2400000</v>
          </cell>
          <cell r="L191">
            <v>0</v>
          </cell>
          <cell r="M191">
            <v>2400000</v>
          </cell>
        </row>
        <row r="192">
          <cell r="E192" t="str">
            <v>KSU CU Sang Timur/CU Agro</v>
          </cell>
          <cell r="I192">
            <v>4980000</v>
          </cell>
          <cell r="L192">
            <v>0</v>
          </cell>
          <cell r="M192">
            <v>4980000</v>
          </cell>
        </row>
        <row r="193">
          <cell r="E193" t="str">
            <v>KSU CU Sang Timur/CU Agro</v>
          </cell>
          <cell r="I193">
            <v>19035000</v>
          </cell>
          <cell r="L193">
            <v>0</v>
          </cell>
          <cell r="M193">
            <v>19035000</v>
          </cell>
        </row>
        <row r="194">
          <cell r="E194" t="str">
            <v>KSU CU Sang Timur/CU Agro</v>
          </cell>
          <cell r="I194">
            <v>9750000</v>
          </cell>
          <cell r="L194">
            <v>0</v>
          </cell>
          <cell r="M194">
            <v>9750000</v>
          </cell>
        </row>
        <row r="195">
          <cell r="E195" t="str">
            <v>Kumpul Tani/Hendro</v>
          </cell>
          <cell r="I195">
            <v>47355000</v>
          </cell>
          <cell r="L195">
            <v>0</v>
          </cell>
          <cell r="M195">
            <v>47355000</v>
          </cell>
        </row>
        <row r="196">
          <cell r="E196" t="str">
            <v>Kumpul Tani/Hendro</v>
          </cell>
          <cell r="I196">
            <v>13000000</v>
          </cell>
          <cell r="L196">
            <v>0</v>
          </cell>
          <cell r="M196">
            <v>13000000</v>
          </cell>
        </row>
        <row r="197">
          <cell r="E197" t="str">
            <v>Kumpul Tani/Hendro</v>
          </cell>
          <cell r="I197">
            <v>19490000</v>
          </cell>
          <cell r="L197">
            <v>0</v>
          </cell>
          <cell r="M197">
            <v>19490000</v>
          </cell>
        </row>
        <row r="198">
          <cell r="E198" t="str">
            <v>Kumpul Tani/Hendro</v>
          </cell>
          <cell r="I198">
            <v>6010000</v>
          </cell>
          <cell r="L198">
            <v>0</v>
          </cell>
          <cell r="M198">
            <v>6010000</v>
          </cell>
        </row>
        <row r="199">
          <cell r="E199" t="str">
            <v>Kumpul Tani/Hendro</v>
          </cell>
          <cell r="I199">
            <v>31680000</v>
          </cell>
          <cell r="L199">
            <v>0</v>
          </cell>
          <cell r="M199">
            <v>31680000</v>
          </cell>
        </row>
        <row r="200">
          <cell r="E200" t="str">
            <v>Kumpul Tani/Hendro</v>
          </cell>
          <cell r="I200">
            <v>27000000</v>
          </cell>
          <cell r="L200">
            <v>0</v>
          </cell>
          <cell r="M200">
            <v>27000000</v>
          </cell>
        </row>
        <row r="201">
          <cell r="E201" t="str">
            <v>Kumpul Tani/Hendro</v>
          </cell>
          <cell r="I201">
            <v>2250000</v>
          </cell>
          <cell r="L201">
            <v>0</v>
          </cell>
          <cell r="M201">
            <v>2250000</v>
          </cell>
        </row>
        <row r="202">
          <cell r="E202" t="str">
            <v>Kumpul Tani/Hendro</v>
          </cell>
          <cell r="I202">
            <v>5160000</v>
          </cell>
          <cell r="L202">
            <v>0</v>
          </cell>
          <cell r="M202">
            <v>5160000</v>
          </cell>
        </row>
        <row r="203">
          <cell r="E203" t="str">
            <v>Kumpul Tani/Hendro</v>
          </cell>
          <cell r="I203">
            <v>34975000</v>
          </cell>
          <cell r="L203">
            <v>0</v>
          </cell>
          <cell r="M203">
            <v>34975000</v>
          </cell>
        </row>
        <row r="204">
          <cell r="E204" t="str">
            <v>Kumpul Tani/Hendro</v>
          </cell>
          <cell r="I204">
            <v>1200000</v>
          </cell>
          <cell r="L204">
            <v>0</v>
          </cell>
          <cell r="M204">
            <v>1200000</v>
          </cell>
        </row>
        <row r="205">
          <cell r="E205" t="str">
            <v>Kumpul Tani/Hendro</v>
          </cell>
          <cell r="I205">
            <v>2250000</v>
          </cell>
          <cell r="L205">
            <v>0</v>
          </cell>
          <cell r="M205">
            <v>2250000</v>
          </cell>
        </row>
        <row r="206">
          <cell r="E206" t="str">
            <v>Kumpul Tani/Hendro</v>
          </cell>
          <cell r="I206">
            <v>16070000</v>
          </cell>
          <cell r="L206">
            <v>0</v>
          </cell>
          <cell r="M206">
            <v>16070000</v>
          </cell>
        </row>
        <row r="207">
          <cell r="E207" t="str">
            <v>Kumpul Tani/Hendro</v>
          </cell>
          <cell r="I207">
            <v>1000000</v>
          </cell>
          <cell r="L207">
            <v>0</v>
          </cell>
          <cell r="M207">
            <v>1000000</v>
          </cell>
        </row>
        <row r="208">
          <cell r="E208" t="str">
            <v>Kumpul Tani/Hendro</v>
          </cell>
          <cell r="I208">
            <v>11950000</v>
          </cell>
          <cell r="L208">
            <v>0</v>
          </cell>
          <cell r="M208">
            <v>11950000</v>
          </cell>
        </row>
        <row r="209">
          <cell r="E209" t="str">
            <v>Kumpul Tani/Hendro</v>
          </cell>
          <cell r="I209">
            <v>15950000</v>
          </cell>
          <cell r="L209">
            <v>0</v>
          </cell>
          <cell r="M209">
            <v>15950000</v>
          </cell>
        </row>
        <row r="210">
          <cell r="E210" t="str">
            <v>Kumpul Tani/Hendro</v>
          </cell>
          <cell r="I210">
            <v>2700000</v>
          </cell>
          <cell r="L210">
            <v>0</v>
          </cell>
          <cell r="M210">
            <v>2700000</v>
          </cell>
        </row>
        <row r="211">
          <cell r="E211" t="str">
            <v>Kumpul Tani/Hendro</v>
          </cell>
          <cell r="I211">
            <v>4500000</v>
          </cell>
          <cell r="L211">
            <v>0</v>
          </cell>
          <cell r="M211">
            <v>4500000</v>
          </cell>
        </row>
        <row r="212">
          <cell r="E212" t="str">
            <v>Langgeng Makmur</v>
          </cell>
          <cell r="I212">
            <v>7500000</v>
          </cell>
          <cell r="L212">
            <v>0</v>
          </cell>
          <cell r="M212">
            <v>7500000</v>
          </cell>
        </row>
        <row r="213">
          <cell r="E213" t="str">
            <v>Layan Tani II</v>
          </cell>
          <cell r="I213">
            <v>72445000</v>
          </cell>
          <cell r="L213">
            <v>25000000</v>
          </cell>
          <cell r="M213">
            <v>47445000</v>
          </cell>
        </row>
        <row r="214">
          <cell r="E214" t="str">
            <v>Layan Tani II</v>
          </cell>
          <cell r="I214">
            <v>4980000</v>
          </cell>
          <cell r="L214">
            <v>0</v>
          </cell>
          <cell r="M214">
            <v>4980000</v>
          </cell>
        </row>
        <row r="215">
          <cell r="E215" t="str">
            <v>Layan Tani II</v>
          </cell>
          <cell r="I215">
            <v>10125000</v>
          </cell>
          <cell r="L215">
            <v>0</v>
          </cell>
          <cell r="M215">
            <v>10125000</v>
          </cell>
        </row>
        <row r="216">
          <cell r="E216" t="str">
            <v>Layan Tani II</v>
          </cell>
          <cell r="I216">
            <v>1880000</v>
          </cell>
          <cell r="L216">
            <v>0</v>
          </cell>
          <cell r="M216">
            <v>1880000</v>
          </cell>
        </row>
        <row r="217">
          <cell r="E217" t="str">
            <v>Layan Tani II</v>
          </cell>
          <cell r="I217">
            <v>20200000</v>
          </cell>
          <cell r="L217">
            <v>0</v>
          </cell>
          <cell r="M217">
            <v>20200000</v>
          </cell>
        </row>
        <row r="218">
          <cell r="E218" t="str">
            <v>Layan Tani II</v>
          </cell>
          <cell r="I218">
            <v>6000000</v>
          </cell>
          <cell r="L218">
            <v>0</v>
          </cell>
          <cell r="M218">
            <v>6000000</v>
          </cell>
        </row>
        <row r="219">
          <cell r="E219" t="str">
            <v>Lestari Alam/Firqin</v>
          </cell>
          <cell r="I219">
            <v>1830000</v>
          </cell>
          <cell r="L219">
            <v>0</v>
          </cell>
          <cell r="M219">
            <v>1830000</v>
          </cell>
        </row>
        <row r="220">
          <cell r="E220" t="str">
            <v>Lestari Alam/Firqin</v>
          </cell>
          <cell r="I220">
            <v>480000</v>
          </cell>
          <cell r="L220">
            <v>0</v>
          </cell>
          <cell r="M220">
            <v>480000</v>
          </cell>
        </row>
        <row r="221">
          <cell r="E221" t="str">
            <v>Lestari Alam/Firqin</v>
          </cell>
          <cell r="I221">
            <v>12395000</v>
          </cell>
          <cell r="L221">
            <v>0</v>
          </cell>
          <cell r="M221">
            <v>12395000</v>
          </cell>
        </row>
        <row r="222">
          <cell r="E222" t="str">
            <v>Lestari Alam/Firqin</v>
          </cell>
          <cell r="I222">
            <v>8325000</v>
          </cell>
          <cell r="L222">
            <v>0</v>
          </cell>
          <cell r="M222">
            <v>8325000</v>
          </cell>
        </row>
        <row r="223">
          <cell r="E223" t="str">
            <v>Lestari Alam/Firqin</v>
          </cell>
          <cell r="I223">
            <v>437500</v>
          </cell>
          <cell r="L223">
            <v>0</v>
          </cell>
          <cell r="M223">
            <v>437500</v>
          </cell>
        </row>
        <row r="224">
          <cell r="E224" t="str">
            <v>Lestari Alam/Firqin</v>
          </cell>
          <cell r="I224">
            <v>9100000</v>
          </cell>
          <cell r="L224">
            <v>0</v>
          </cell>
          <cell r="M224">
            <v>9100000</v>
          </cell>
        </row>
        <row r="225">
          <cell r="E225" t="str">
            <v>Lestari Jaya</v>
          </cell>
          <cell r="I225">
            <v>4400000</v>
          </cell>
          <cell r="L225">
            <v>0</v>
          </cell>
          <cell r="M225">
            <v>4400000</v>
          </cell>
        </row>
        <row r="226">
          <cell r="E226" t="str">
            <v>Lestari Jaya</v>
          </cell>
          <cell r="I226">
            <v>1500000</v>
          </cell>
          <cell r="L226">
            <v>0</v>
          </cell>
          <cell r="M226">
            <v>1500000</v>
          </cell>
        </row>
        <row r="227">
          <cell r="E227" t="str">
            <v>Lestari Jaya</v>
          </cell>
          <cell r="I227">
            <v>3375000</v>
          </cell>
          <cell r="L227">
            <v>0</v>
          </cell>
          <cell r="M227">
            <v>3375000</v>
          </cell>
        </row>
        <row r="228">
          <cell r="E228" t="str">
            <v>Maha Karya Sentosa, Toko</v>
          </cell>
          <cell r="I228">
            <v>7500000</v>
          </cell>
          <cell r="L228">
            <v>0</v>
          </cell>
          <cell r="M228">
            <v>7500000</v>
          </cell>
        </row>
        <row r="229">
          <cell r="E229" t="str">
            <v>Maha Karya Sentosa, Toko</v>
          </cell>
          <cell r="I229">
            <v>4800000</v>
          </cell>
          <cell r="L229">
            <v>0</v>
          </cell>
          <cell r="M229">
            <v>4800000</v>
          </cell>
        </row>
        <row r="230">
          <cell r="E230" t="str">
            <v>Maha Karya Sentosa, Toko</v>
          </cell>
          <cell r="I230">
            <v>18525000</v>
          </cell>
          <cell r="L230">
            <v>0</v>
          </cell>
          <cell r="M230">
            <v>18525000</v>
          </cell>
        </row>
        <row r="231">
          <cell r="E231" t="str">
            <v>Maju Mapan/Gidion</v>
          </cell>
          <cell r="I231">
            <v>10000000</v>
          </cell>
          <cell r="L231">
            <v>0</v>
          </cell>
          <cell r="M231">
            <v>10000000</v>
          </cell>
        </row>
        <row r="232">
          <cell r="E232" t="str">
            <v>Mandiri/Suparni</v>
          </cell>
          <cell r="I232">
            <v>8060000</v>
          </cell>
          <cell r="L232">
            <v>0</v>
          </cell>
          <cell r="M232">
            <v>8060000</v>
          </cell>
        </row>
        <row r="233">
          <cell r="E233" t="str">
            <v>Mandiri/Suparni</v>
          </cell>
          <cell r="I233">
            <v>3165000</v>
          </cell>
          <cell r="L233">
            <v>0</v>
          </cell>
          <cell r="M233">
            <v>3165000</v>
          </cell>
        </row>
        <row r="234">
          <cell r="E234" t="str">
            <v>Mandiri/Suparni</v>
          </cell>
          <cell r="I234">
            <v>1250000</v>
          </cell>
          <cell r="L234">
            <v>0</v>
          </cell>
          <cell r="M234">
            <v>1250000</v>
          </cell>
        </row>
        <row r="235">
          <cell r="E235" t="str">
            <v>Mapan Agro Sentosa, UD</v>
          </cell>
          <cell r="I235">
            <v>11500000</v>
          </cell>
          <cell r="L235">
            <v>0</v>
          </cell>
          <cell r="M235">
            <v>11500000</v>
          </cell>
        </row>
        <row r="236">
          <cell r="E236" t="str">
            <v>Mapan Agro Sentosa, UD</v>
          </cell>
          <cell r="I236">
            <v>7440000</v>
          </cell>
          <cell r="L236">
            <v>0</v>
          </cell>
          <cell r="M236">
            <v>7440000</v>
          </cell>
        </row>
        <row r="237">
          <cell r="E237" t="str">
            <v>Margo Joyo/Iksan</v>
          </cell>
          <cell r="I237">
            <v>5285000</v>
          </cell>
          <cell r="L237">
            <v>0</v>
          </cell>
          <cell r="M237">
            <v>5285000</v>
          </cell>
        </row>
        <row r="238">
          <cell r="E238" t="str">
            <v>Margo Joyo/Iksan</v>
          </cell>
          <cell r="I238">
            <v>3340800</v>
          </cell>
          <cell r="L238">
            <v>0</v>
          </cell>
          <cell r="M238">
            <v>3340800</v>
          </cell>
        </row>
        <row r="239">
          <cell r="E239" t="str">
            <v>Mekar Tani/Tunti</v>
          </cell>
          <cell r="I239">
            <v>6365000</v>
          </cell>
          <cell r="L239">
            <v>0</v>
          </cell>
          <cell r="M239">
            <v>6365000</v>
          </cell>
        </row>
        <row r="240">
          <cell r="E240" t="str">
            <v>Mekar Tani/Tunti</v>
          </cell>
          <cell r="I240">
            <v>675000</v>
          </cell>
          <cell r="L240">
            <v>0</v>
          </cell>
          <cell r="M240">
            <v>675000</v>
          </cell>
        </row>
        <row r="241">
          <cell r="E241" t="str">
            <v>Mekar Tani/Tunti</v>
          </cell>
          <cell r="I241">
            <v>4800000</v>
          </cell>
          <cell r="L241">
            <v>0</v>
          </cell>
          <cell r="M241">
            <v>4800000</v>
          </cell>
        </row>
        <row r="242">
          <cell r="E242" t="str">
            <v>Mekar Tani/Tunti</v>
          </cell>
          <cell r="I242">
            <v>1088000</v>
          </cell>
          <cell r="L242">
            <v>0</v>
          </cell>
          <cell r="M242">
            <v>1088000</v>
          </cell>
        </row>
        <row r="243">
          <cell r="E243" t="str">
            <v>Mekar Tani/Tunti</v>
          </cell>
          <cell r="I243">
            <v>7600000</v>
          </cell>
          <cell r="L243">
            <v>0</v>
          </cell>
          <cell r="M243">
            <v>7600000</v>
          </cell>
        </row>
        <row r="244">
          <cell r="E244" t="str">
            <v>Mitra Tani 1</v>
          </cell>
          <cell r="I244">
            <v>1900000</v>
          </cell>
          <cell r="L244">
            <v>0</v>
          </cell>
          <cell r="M244">
            <v>1900000</v>
          </cell>
        </row>
        <row r="245">
          <cell r="E245" t="str">
            <v>Mitra Tani/Eko Susanto</v>
          </cell>
          <cell r="I245">
            <v>18215000</v>
          </cell>
          <cell r="L245">
            <v>0</v>
          </cell>
          <cell r="M245">
            <v>18215000</v>
          </cell>
        </row>
        <row r="246">
          <cell r="E246" t="str">
            <v>Mitra Tani/Eko Susanto</v>
          </cell>
          <cell r="I246">
            <v>9840000</v>
          </cell>
          <cell r="L246">
            <v>0</v>
          </cell>
          <cell r="M246">
            <v>9840000</v>
          </cell>
        </row>
        <row r="247">
          <cell r="E247" t="str">
            <v>Mitra Tani/Eko Susanto</v>
          </cell>
          <cell r="I247">
            <v>4100000</v>
          </cell>
          <cell r="L247">
            <v>0</v>
          </cell>
          <cell r="M247">
            <v>4100000</v>
          </cell>
        </row>
        <row r="248">
          <cell r="E248" t="str">
            <v>Mitra Tani/Hariyanto</v>
          </cell>
          <cell r="I248">
            <v>57750000</v>
          </cell>
          <cell r="L248">
            <v>0</v>
          </cell>
          <cell r="M248">
            <v>57750000</v>
          </cell>
        </row>
        <row r="249">
          <cell r="E249" t="str">
            <v>Mitra Tani/Hariyanto</v>
          </cell>
          <cell r="I249">
            <v>3045000</v>
          </cell>
          <cell r="L249">
            <v>0</v>
          </cell>
          <cell r="M249">
            <v>3045000</v>
          </cell>
        </row>
        <row r="250">
          <cell r="E250" t="str">
            <v>Mitra Tani/Hariyanto</v>
          </cell>
          <cell r="I250">
            <v>16800000</v>
          </cell>
          <cell r="L250">
            <v>0</v>
          </cell>
          <cell r="M250">
            <v>16800000</v>
          </cell>
        </row>
        <row r="251">
          <cell r="E251" t="str">
            <v>Mujahidin Delapan, UD</v>
          </cell>
          <cell r="I251">
            <v>17040000</v>
          </cell>
          <cell r="L251">
            <v>0</v>
          </cell>
          <cell r="M251">
            <v>17040000</v>
          </cell>
        </row>
        <row r="252">
          <cell r="E252" t="str">
            <v>Mujahidin Delapan, UD</v>
          </cell>
          <cell r="I252">
            <v>20080000</v>
          </cell>
          <cell r="L252">
            <v>0</v>
          </cell>
          <cell r="M252">
            <v>20080000</v>
          </cell>
        </row>
        <row r="253">
          <cell r="E253" t="str">
            <v>Mujahidin Delapan, UD</v>
          </cell>
          <cell r="I253">
            <v>1900000</v>
          </cell>
          <cell r="L253">
            <v>0</v>
          </cell>
          <cell r="M253">
            <v>1900000</v>
          </cell>
        </row>
        <row r="254">
          <cell r="E254" t="str">
            <v>Mujahidin Delapan, UD</v>
          </cell>
          <cell r="I254">
            <v>20500000</v>
          </cell>
          <cell r="L254">
            <v>0</v>
          </cell>
          <cell r="M254">
            <v>20500000</v>
          </cell>
        </row>
        <row r="255">
          <cell r="E255" t="str">
            <v>Mujahidin Delapan, UD</v>
          </cell>
          <cell r="I255">
            <v>20100000</v>
          </cell>
          <cell r="L255">
            <v>0</v>
          </cell>
          <cell r="M255">
            <v>20100000</v>
          </cell>
        </row>
        <row r="256">
          <cell r="E256" t="str">
            <v>Mujahidin Delapan, UD</v>
          </cell>
          <cell r="I256">
            <v>24920000</v>
          </cell>
          <cell r="L256">
            <v>0</v>
          </cell>
          <cell r="M256">
            <v>24920000</v>
          </cell>
        </row>
        <row r="257">
          <cell r="E257" t="str">
            <v>Mujahidin Delapan, UD</v>
          </cell>
          <cell r="I257">
            <v>1320000</v>
          </cell>
          <cell r="L257">
            <v>0</v>
          </cell>
          <cell r="M257">
            <v>1320000</v>
          </cell>
        </row>
        <row r="258">
          <cell r="E258" t="str">
            <v>Mujahidin Delapan, UD</v>
          </cell>
          <cell r="I258">
            <v>9750000</v>
          </cell>
          <cell r="L258">
            <v>0</v>
          </cell>
          <cell r="M258">
            <v>9750000</v>
          </cell>
        </row>
        <row r="259">
          <cell r="E259" t="str">
            <v>Mujahidin Delapan, UD</v>
          </cell>
          <cell r="I259">
            <v>11500000</v>
          </cell>
          <cell r="L259">
            <v>0</v>
          </cell>
          <cell r="M259">
            <v>11500000</v>
          </cell>
        </row>
        <row r="260">
          <cell r="E260" t="str">
            <v>Mujahidin Delapan, UD</v>
          </cell>
          <cell r="I260">
            <v>3720000</v>
          </cell>
          <cell r="L260">
            <v>0</v>
          </cell>
          <cell r="M260">
            <v>3720000</v>
          </cell>
        </row>
        <row r="261">
          <cell r="E261" t="str">
            <v>Mujahidin Delapan, UD</v>
          </cell>
          <cell r="I261">
            <v>5040000</v>
          </cell>
          <cell r="L261">
            <v>0</v>
          </cell>
          <cell r="M261">
            <v>5040000</v>
          </cell>
        </row>
        <row r="262">
          <cell r="E262" t="str">
            <v>Mujahidin Delapan, UD</v>
          </cell>
          <cell r="I262">
            <v>17070000</v>
          </cell>
          <cell r="L262">
            <v>0</v>
          </cell>
          <cell r="M262">
            <v>17070000</v>
          </cell>
        </row>
        <row r="263">
          <cell r="E263" t="str">
            <v>Mujahidin Delapan, UD</v>
          </cell>
          <cell r="I263">
            <v>4160000</v>
          </cell>
          <cell r="L263">
            <v>0</v>
          </cell>
          <cell r="M263">
            <v>4160000</v>
          </cell>
        </row>
        <row r="264">
          <cell r="E264" t="str">
            <v>Mulya Lestari, UD/Umi</v>
          </cell>
          <cell r="I264">
            <v>3080000</v>
          </cell>
          <cell r="L264">
            <v>3080000</v>
          </cell>
          <cell r="M264">
            <v>0</v>
          </cell>
        </row>
        <row r="265">
          <cell r="E265" t="str">
            <v>Mulyo Tani/Danang</v>
          </cell>
          <cell r="I265">
            <v>140400000</v>
          </cell>
          <cell r="L265">
            <v>0</v>
          </cell>
          <cell r="M265">
            <v>140400000</v>
          </cell>
        </row>
        <row r="266">
          <cell r="E266" t="str">
            <v>Mulyo Tani/Danang</v>
          </cell>
          <cell r="I266">
            <v>216000000</v>
          </cell>
          <cell r="L266">
            <v>0</v>
          </cell>
          <cell r="M266">
            <v>216000000</v>
          </cell>
        </row>
        <row r="267">
          <cell r="E267" t="str">
            <v>Mulyo Tani/Danang</v>
          </cell>
          <cell r="I267">
            <v>117500000</v>
          </cell>
          <cell r="L267">
            <v>0</v>
          </cell>
          <cell r="M267">
            <v>117500000</v>
          </cell>
        </row>
        <row r="268">
          <cell r="E268" t="str">
            <v>Mulyo Tani/Danang</v>
          </cell>
          <cell r="I268">
            <v>102300000</v>
          </cell>
          <cell r="L268">
            <v>0</v>
          </cell>
          <cell r="M268">
            <v>102300000</v>
          </cell>
        </row>
        <row r="269">
          <cell r="E269" t="str">
            <v>Mulyo Tani/Danang</v>
          </cell>
          <cell r="I269">
            <v>33750000</v>
          </cell>
          <cell r="L269">
            <v>0</v>
          </cell>
          <cell r="M269">
            <v>33750000</v>
          </cell>
        </row>
        <row r="270">
          <cell r="E270" t="str">
            <v>Mutiara Tani, UD/Abdur Rahman</v>
          </cell>
          <cell r="I270">
            <v>11160000</v>
          </cell>
          <cell r="L270">
            <v>0</v>
          </cell>
          <cell r="M270">
            <v>11160000</v>
          </cell>
        </row>
        <row r="271">
          <cell r="E271" t="str">
            <v>Mutiara Tani, UD/Abdur Rahman</v>
          </cell>
          <cell r="I271">
            <v>2400000</v>
          </cell>
          <cell r="L271">
            <v>0</v>
          </cell>
          <cell r="M271">
            <v>2400000</v>
          </cell>
        </row>
        <row r="272">
          <cell r="E272" t="str">
            <v>Mutiara Tani, UD/Abdur Rahman</v>
          </cell>
          <cell r="I272">
            <v>2450000</v>
          </cell>
          <cell r="L272">
            <v>0</v>
          </cell>
          <cell r="M272">
            <v>2450000</v>
          </cell>
        </row>
        <row r="273">
          <cell r="E273" t="str">
            <v>Mutiara Tani, UD/Abdur Rahman</v>
          </cell>
          <cell r="I273">
            <v>12235000</v>
          </cell>
          <cell r="L273">
            <v>0</v>
          </cell>
          <cell r="M273">
            <v>12235000</v>
          </cell>
        </row>
        <row r="274">
          <cell r="E274" t="str">
            <v>Mutiara Tani, UD/Abdur Rahman</v>
          </cell>
          <cell r="I274">
            <v>3650000</v>
          </cell>
          <cell r="L274">
            <v>0</v>
          </cell>
          <cell r="M274">
            <v>3650000</v>
          </cell>
        </row>
        <row r="275">
          <cell r="E275" t="str">
            <v>Mutiara Tani, UD/Abdur Rahman</v>
          </cell>
          <cell r="I275">
            <v>540000000</v>
          </cell>
          <cell r="L275">
            <v>540000000</v>
          </cell>
          <cell r="M275">
            <v>0</v>
          </cell>
        </row>
        <row r="276">
          <cell r="E276" t="str">
            <v>Mutiara Tani, UD/Abdur Rahman</v>
          </cell>
          <cell r="I276">
            <v>450000000</v>
          </cell>
          <cell r="L276">
            <v>0</v>
          </cell>
          <cell r="M276">
            <v>450000000</v>
          </cell>
        </row>
        <row r="277">
          <cell r="E277" t="str">
            <v>Mutiara Tani, UD/Abdur Rahman</v>
          </cell>
          <cell r="I277">
            <v>20900000</v>
          </cell>
          <cell r="L277">
            <v>0</v>
          </cell>
          <cell r="M277">
            <v>20900000</v>
          </cell>
        </row>
        <row r="278">
          <cell r="E278" t="str">
            <v>Mutiara Tani, UD/Abdur Rahman</v>
          </cell>
          <cell r="I278">
            <v>312000000</v>
          </cell>
          <cell r="L278">
            <v>0</v>
          </cell>
          <cell r="M278">
            <v>312000000</v>
          </cell>
        </row>
        <row r="279">
          <cell r="E279" t="str">
            <v>Mutiara Tani, UD/Abdur Rahman</v>
          </cell>
          <cell r="I279">
            <v>266000000</v>
          </cell>
          <cell r="L279">
            <v>0</v>
          </cell>
          <cell r="M279">
            <v>266000000</v>
          </cell>
        </row>
        <row r="280">
          <cell r="E280" t="str">
            <v>Mutiara Tani, UD/Abdur Rahman</v>
          </cell>
          <cell r="I280">
            <v>31350000</v>
          </cell>
          <cell r="L280">
            <v>0</v>
          </cell>
          <cell r="M280">
            <v>31350000</v>
          </cell>
        </row>
        <row r="281">
          <cell r="E281" t="str">
            <v>Nusantara Agro/Viola</v>
          </cell>
          <cell r="I281">
            <v>7040000</v>
          </cell>
          <cell r="L281">
            <v>7040000</v>
          </cell>
          <cell r="M281">
            <v>0</v>
          </cell>
        </row>
        <row r="282">
          <cell r="E282" t="str">
            <v>Nusantara Agro/Viola</v>
          </cell>
          <cell r="I282">
            <v>1140000</v>
          </cell>
          <cell r="L282">
            <v>1140000</v>
          </cell>
          <cell r="M282">
            <v>0</v>
          </cell>
        </row>
        <row r="283">
          <cell r="E283" t="str">
            <v>Prima Tani/Candra Sanjaya</v>
          </cell>
          <cell r="I283">
            <v>11000000</v>
          </cell>
          <cell r="L283">
            <v>0</v>
          </cell>
          <cell r="M283">
            <v>11000000</v>
          </cell>
        </row>
        <row r="284">
          <cell r="E284" t="str">
            <v>Pusaka Tani Jaya/Supri</v>
          </cell>
          <cell r="I284">
            <v>8640000</v>
          </cell>
          <cell r="L284">
            <v>0</v>
          </cell>
          <cell r="M284">
            <v>8640000</v>
          </cell>
        </row>
        <row r="285">
          <cell r="E285" t="str">
            <v>Putra Makmur Abadi, UD</v>
          </cell>
          <cell r="I285">
            <v>1950000</v>
          </cell>
          <cell r="L285">
            <v>0</v>
          </cell>
          <cell r="M285">
            <v>1950000</v>
          </cell>
        </row>
        <row r="286">
          <cell r="E286" t="str">
            <v>Restu Tani, UD/Ahmad</v>
          </cell>
          <cell r="I286">
            <v>5184000</v>
          </cell>
          <cell r="L286">
            <v>5184000</v>
          </cell>
          <cell r="M286">
            <v>0</v>
          </cell>
        </row>
        <row r="287">
          <cell r="E287" t="str">
            <v>Restu Tani, UD/Ahmad</v>
          </cell>
          <cell r="I287">
            <v>3120000</v>
          </cell>
          <cell r="L287">
            <v>3120000</v>
          </cell>
          <cell r="M287">
            <v>0</v>
          </cell>
        </row>
        <row r="288">
          <cell r="E288" t="str">
            <v>Restu Tani/Rio</v>
          </cell>
          <cell r="I288">
            <v>3160000</v>
          </cell>
          <cell r="L288">
            <v>2000000</v>
          </cell>
          <cell r="M288">
            <v>1160000</v>
          </cell>
        </row>
        <row r="289">
          <cell r="E289" t="str">
            <v>Rimba Kelapa/Ribut Aminah</v>
          </cell>
          <cell r="I289">
            <v>1700000</v>
          </cell>
          <cell r="L289">
            <v>0</v>
          </cell>
          <cell r="M289">
            <v>1700000</v>
          </cell>
        </row>
        <row r="290">
          <cell r="E290" t="str">
            <v>Rimba Kelapa/Ribut Aminah</v>
          </cell>
          <cell r="I290">
            <v>22115000</v>
          </cell>
          <cell r="L290">
            <v>0</v>
          </cell>
          <cell r="M290">
            <v>22115000</v>
          </cell>
        </row>
        <row r="291">
          <cell r="E291" t="str">
            <v>Rimba Kelapa/Ribut Aminah</v>
          </cell>
          <cell r="I291">
            <v>15310000</v>
          </cell>
          <cell r="L291">
            <v>0</v>
          </cell>
          <cell r="M291">
            <v>15310000</v>
          </cell>
        </row>
        <row r="292">
          <cell r="E292" t="str">
            <v>Rimba Kelapa/Ribut Aminah</v>
          </cell>
          <cell r="I292">
            <v>8460000</v>
          </cell>
          <cell r="L292">
            <v>0</v>
          </cell>
          <cell r="M292">
            <v>8460000</v>
          </cell>
        </row>
        <row r="293">
          <cell r="E293" t="str">
            <v>Rimba Kelapa/Ribut Aminah</v>
          </cell>
          <cell r="I293">
            <v>10920000</v>
          </cell>
          <cell r="L293">
            <v>0</v>
          </cell>
          <cell r="M293">
            <v>10920000</v>
          </cell>
        </row>
        <row r="294">
          <cell r="E294" t="str">
            <v>Rimba Kelapa/Ribut Aminah</v>
          </cell>
          <cell r="I294">
            <v>7800000</v>
          </cell>
          <cell r="L294">
            <v>0</v>
          </cell>
          <cell r="M294">
            <v>7800000</v>
          </cell>
        </row>
        <row r="295">
          <cell r="E295" t="str">
            <v>Rimba Kelapa/Ribut Aminah</v>
          </cell>
          <cell r="I295">
            <v>13420000</v>
          </cell>
          <cell r="L295">
            <v>0</v>
          </cell>
          <cell r="M295">
            <v>13420000</v>
          </cell>
        </row>
        <row r="296">
          <cell r="E296" t="str">
            <v>Rizki Agro/Sakti</v>
          </cell>
          <cell r="I296">
            <v>7327500</v>
          </cell>
          <cell r="L296">
            <v>0</v>
          </cell>
          <cell r="M296">
            <v>7327500</v>
          </cell>
        </row>
        <row r="297">
          <cell r="E297" t="str">
            <v>Rizki Santoso, UD</v>
          </cell>
          <cell r="I297">
            <v>8090000</v>
          </cell>
          <cell r="L297">
            <v>0</v>
          </cell>
          <cell r="M297">
            <v>8090000</v>
          </cell>
        </row>
        <row r="298">
          <cell r="E298" t="str">
            <v>Rizki Santoso, UD</v>
          </cell>
          <cell r="I298">
            <v>5302500</v>
          </cell>
          <cell r="L298">
            <v>0</v>
          </cell>
          <cell r="M298">
            <v>5302500</v>
          </cell>
        </row>
        <row r="299">
          <cell r="E299" t="str">
            <v>Rizki Santoso, UD</v>
          </cell>
          <cell r="I299">
            <v>17102500</v>
          </cell>
          <cell r="L299">
            <v>0</v>
          </cell>
          <cell r="M299">
            <v>17102500</v>
          </cell>
        </row>
        <row r="300">
          <cell r="E300" t="str">
            <v>Rizki Santoso, UD</v>
          </cell>
          <cell r="I300">
            <v>2720000</v>
          </cell>
          <cell r="L300">
            <v>0</v>
          </cell>
          <cell r="M300">
            <v>2720000</v>
          </cell>
        </row>
        <row r="301">
          <cell r="E301" t="str">
            <v>Rizki Santoso, UD</v>
          </cell>
          <cell r="I301">
            <v>6000000</v>
          </cell>
          <cell r="L301">
            <v>0</v>
          </cell>
          <cell r="M301">
            <v>6000000</v>
          </cell>
        </row>
        <row r="302">
          <cell r="E302" t="str">
            <v>Rizki Santoso, UD</v>
          </cell>
          <cell r="I302">
            <v>4970000</v>
          </cell>
          <cell r="L302">
            <v>0</v>
          </cell>
          <cell r="M302">
            <v>4970000</v>
          </cell>
        </row>
        <row r="303">
          <cell r="E303" t="str">
            <v>Rizki Santoso, UD</v>
          </cell>
          <cell r="I303">
            <v>1900000</v>
          </cell>
          <cell r="L303">
            <v>0</v>
          </cell>
          <cell r="M303">
            <v>1900000</v>
          </cell>
        </row>
        <row r="304">
          <cell r="E304" t="str">
            <v>Rizki Santoso, UD</v>
          </cell>
          <cell r="I304">
            <v>2463500</v>
          </cell>
          <cell r="L304">
            <v>0</v>
          </cell>
          <cell r="M304">
            <v>2463500</v>
          </cell>
        </row>
        <row r="305">
          <cell r="E305" t="str">
            <v>Rizki Santoso, UD</v>
          </cell>
          <cell r="I305">
            <v>10012500</v>
          </cell>
          <cell r="L305">
            <v>0</v>
          </cell>
          <cell r="M305">
            <v>10012500</v>
          </cell>
        </row>
        <row r="306">
          <cell r="E306" t="str">
            <v>Sari Bumi/Alvin</v>
          </cell>
          <cell r="I306">
            <v>3400000</v>
          </cell>
          <cell r="L306">
            <v>0</v>
          </cell>
          <cell r="M306">
            <v>3400000</v>
          </cell>
        </row>
        <row r="307">
          <cell r="E307" t="str">
            <v>Setia Hati, Toko</v>
          </cell>
          <cell r="I307">
            <v>20800000</v>
          </cell>
          <cell r="L307">
            <v>0</v>
          </cell>
          <cell r="M307">
            <v>20800000</v>
          </cell>
        </row>
        <row r="308">
          <cell r="E308" t="str">
            <v>Setia Jaya, UD/Saiful</v>
          </cell>
          <cell r="I308">
            <v>24620000</v>
          </cell>
          <cell r="L308">
            <v>0</v>
          </cell>
          <cell r="M308">
            <v>24620000</v>
          </cell>
        </row>
        <row r="309">
          <cell r="E309" t="str">
            <v>Setia Jaya, UD/Saiful</v>
          </cell>
          <cell r="I309">
            <v>26655000</v>
          </cell>
          <cell r="L309">
            <v>0</v>
          </cell>
          <cell r="M309">
            <v>26655000</v>
          </cell>
        </row>
        <row r="310">
          <cell r="E310" t="str">
            <v>Setia Jaya, UD/Saiful</v>
          </cell>
          <cell r="I310">
            <v>17825000</v>
          </cell>
          <cell r="L310">
            <v>0</v>
          </cell>
          <cell r="M310">
            <v>17825000</v>
          </cell>
        </row>
        <row r="311">
          <cell r="E311" t="str">
            <v>Setia Jaya, UD/Saiful</v>
          </cell>
          <cell r="I311">
            <v>54000000</v>
          </cell>
          <cell r="L311">
            <v>0</v>
          </cell>
          <cell r="M311">
            <v>54000000</v>
          </cell>
        </row>
        <row r="312">
          <cell r="E312" t="str">
            <v>Setia Jaya, UD/Saiful</v>
          </cell>
          <cell r="I312">
            <v>16700000</v>
          </cell>
          <cell r="L312">
            <v>0</v>
          </cell>
          <cell r="M312">
            <v>16700000</v>
          </cell>
        </row>
        <row r="313">
          <cell r="E313" t="str">
            <v>Sriwijaya/Yahya</v>
          </cell>
          <cell r="I313">
            <v>14121200</v>
          </cell>
          <cell r="L313">
            <v>0</v>
          </cell>
          <cell r="M313">
            <v>14121200</v>
          </cell>
        </row>
        <row r="314">
          <cell r="E314" t="str">
            <v>Sriwijaya/Yahya</v>
          </cell>
          <cell r="I314">
            <v>1008000</v>
          </cell>
          <cell r="L314">
            <v>0</v>
          </cell>
          <cell r="M314">
            <v>1008000</v>
          </cell>
        </row>
        <row r="315">
          <cell r="E315" t="str">
            <v>Sriwijaya/Yahya</v>
          </cell>
          <cell r="I315">
            <v>22880000</v>
          </cell>
          <cell r="L315">
            <v>0</v>
          </cell>
          <cell r="M315">
            <v>22880000</v>
          </cell>
        </row>
        <row r="316">
          <cell r="E316" t="str">
            <v>Sriwijaya/Yahya</v>
          </cell>
          <cell r="I316">
            <v>7800000</v>
          </cell>
          <cell r="L316">
            <v>0</v>
          </cell>
          <cell r="M316">
            <v>7800000</v>
          </cell>
        </row>
        <row r="317">
          <cell r="E317" t="str">
            <v>Sriwijaya/Yahya</v>
          </cell>
          <cell r="I317">
            <v>750000</v>
          </cell>
          <cell r="L317">
            <v>0</v>
          </cell>
          <cell r="M317">
            <v>750000</v>
          </cell>
        </row>
        <row r="318">
          <cell r="E318" t="str">
            <v>Sriwijaya/Yahya</v>
          </cell>
          <cell r="I318">
            <v>9900000</v>
          </cell>
          <cell r="L318">
            <v>0</v>
          </cell>
          <cell r="M318">
            <v>9900000</v>
          </cell>
        </row>
        <row r="319">
          <cell r="E319" t="str">
            <v>Sriwijaya/Yahya</v>
          </cell>
          <cell r="I319">
            <v>1740000</v>
          </cell>
          <cell r="L319">
            <v>0</v>
          </cell>
          <cell r="M319">
            <v>1740000</v>
          </cell>
        </row>
        <row r="320">
          <cell r="E320" t="str">
            <v>Sriwijaya/Yahya</v>
          </cell>
          <cell r="I320">
            <v>15450000</v>
          </cell>
          <cell r="L320">
            <v>0</v>
          </cell>
          <cell r="M320">
            <v>15450000</v>
          </cell>
        </row>
        <row r="321">
          <cell r="E321" t="str">
            <v>Subur/Liang Han</v>
          </cell>
          <cell r="I321">
            <v>6050000</v>
          </cell>
          <cell r="L321">
            <v>6050000</v>
          </cell>
          <cell r="M321">
            <v>0</v>
          </cell>
        </row>
        <row r="322">
          <cell r="E322" t="str">
            <v>Subur/Liang Han</v>
          </cell>
          <cell r="I322">
            <v>1650000</v>
          </cell>
          <cell r="L322">
            <v>1650000</v>
          </cell>
          <cell r="M322">
            <v>0</v>
          </cell>
        </row>
        <row r="323">
          <cell r="E323" t="str">
            <v>Subur/Liang Han</v>
          </cell>
          <cell r="I323">
            <v>3086000</v>
          </cell>
          <cell r="L323">
            <v>3086000</v>
          </cell>
          <cell r="M323">
            <v>0</v>
          </cell>
        </row>
        <row r="324">
          <cell r="E324" t="str">
            <v>Sumber Rejeki Tani/Ira</v>
          </cell>
          <cell r="I324">
            <v>2800000</v>
          </cell>
          <cell r="L324">
            <v>0</v>
          </cell>
          <cell r="M324">
            <v>2800000</v>
          </cell>
        </row>
        <row r="325">
          <cell r="E325" t="str">
            <v>Sumber Rejeki, Toko/Srikanah</v>
          </cell>
          <cell r="I325">
            <v>5720000</v>
          </cell>
          <cell r="L325">
            <v>0</v>
          </cell>
          <cell r="M325">
            <v>5720000</v>
          </cell>
        </row>
        <row r="326">
          <cell r="E326" t="str">
            <v>Sumber Rejeki, UD/Alwi</v>
          </cell>
          <cell r="I326">
            <v>1560000</v>
          </cell>
          <cell r="L326">
            <v>1560000</v>
          </cell>
          <cell r="M326">
            <v>0</v>
          </cell>
        </row>
        <row r="327">
          <cell r="E327" t="str">
            <v>Sumber Rejeki, UD/Sigit</v>
          </cell>
          <cell r="I327">
            <v>1760000</v>
          </cell>
          <cell r="L327">
            <v>1760000</v>
          </cell>
          <cell r="M327">
            <v>0</v>
          </cell>
        </row>
        <row r="328">
          <cell r="E328" t="str">
            <v>Sumber Rejeki, UD/Sigit</v>
          </cell>
          <cell r="I328">
            <v>3600000</v>
          </cell>
          <cell r="L328">
            <v>3600000</v>
          </cell>
          <cell r="M328">
            <v>0</v>
          </cell>
        </row>
        <row r="329">
          <cell r="E329" t="str">
            <v>Sumber Rejeki/Benny</v>
          </cell>
          <cell r="I329">
            <v>5895000</v>
          </cell>
          <cell r="L329">
            <v>0</v>
          </cell>
          <cell r="M329">
            <v>5895000</v>
          </cell>
        </row>
        <row r="330">
          <cell r="E330" t="str">
            <v>Sumber Rejeki/Maksum</v>
          </cell>
          <cell r="I330">
            <v>4170000</v>
          </cell>
          <cell r="L330">
            <v>0</v>
          </cell>
          <cell r="M330">
            <v>4170000</v>
          </cell>
        </row>
        <row r="331">
          <cell r="E331" t="str">
            <v>Sumber Rejeki/Maksum</v>
          </cell>
          <cell r="I331">
            <v>3885000</v>
          </cell>
          <cell r="L331">
            <v>0</v>
          </cell>
          <cell r="M331">
            <v>3885000</v>
          </cell>
        </row>
        <row r="332">
          <cell r="E332" t="str">
            <v>Sumber Rejeki/Tono</v>
          </cell>
          <cell r="I332">
            <v>2590000</v>
          </cell>
          <cell r="L332">
            <v>0</v>
          </cell>
          <cell r="M332">
            <v>2590000</v>
          </cell>
        </row>
        <row r="333">
          <cell r="E333" t="str">
            <v>Sumber Rejeki/Tono</v>
          </cell>
          <cell r="I333">
            <v>10200000</v>
          </cell>
          <cell r="L333">
            <v>0</v>
          </cell>
          <cell r="M333">
            <v>10200000</v>
          </cell>
        </row>
        <row r="334">
          <cell r="E334" t="str">
            <v>Sumber Rejeki/Tono</v>
          </cell>
          <cell r="I334">
            <v>10400000</v>
          </cell>
          <cell r="L334">
            <v>0</v>
          </cell>
          <cell r="M334">
            <v>10400000</v>
          </cell>
        </row>
        <row r="335">
          <cell r="E335" t="str">
            <v>Sumber Rejeki/Tono</v>
          </cell>
          <cell r="I335">
            <v>9900000</v>
          </cell>
          <cell r="L335">
            <v>0</v>
          </cell>
          <cell r="M335">
            <v>9900000</v>
          </cell>
        </row>
        <row r="336">
          <cell r="E336" t="str">
            <v>Sumber Rejeki/Tono</v>
          </cell>
          <cell r="I336">
            <v>2718000</v>
          </cell>
          <cell r="L336">
            <v>0</v>
          </cell>
          <cell r="M336">
            <v>2718000</v>
          </cell>
        </row>
        <row r="337">
          <cell r="E337" t="str">
            <v>Sumber Rejeki/Tono</v>
          </cell>
          <cell r="I337">
            <v>10800000</v>
          </cell>
          <cell r="L337">
            <v>0</v>
          </cell>
          <cell r="M337">
            <v>10800000</v>
          </cell>
        </row>
        <row r="338">
          <cell r="E338" t="str">
            <v>Sumber Rejeki/Tono</v>
          </cell>
          <cell r="I338">
            <v>20250000</v>
          </cell>
          <cell r="L338">
            <v>0</v>
          </cell>
          <cell r="M338">
            <v>20250000</v>
          </cell>
        </row>
        <row r="339">
          <cell r="E339" t="str">
            <v>Sumber Rejeki/Tono</v>
          </cell>
          <cell r="I339">
            <v>6150000</v>
          </cell>
          <cell r="L339">
            <v>0</v>
          </cell>
          <cell r="M339">
            <v>6150000</v>
          </cell>
        </row>
        <row r="340">
          <cell r="E340" t="str">
            <v>Sumber Rejeki/Yuliatin</v>
          </cell>
          <cell r="I340">
            <v>1175000</v>
          </cell>
          <cell r="L340">
            <v>1175000</v>
          </cell>
          <cell r="M340">
            <v>0</v>
          </cell>
        </row>
        <row r="341">
          <cell r="E341" t="str">
            <v>Sumber Rejeki/Yuliatin</v>
          </cell>
          <cell r="I341">
            <v>2450000</v>
          </cell>
          <cell r="L341">
            <v>2450000</v>
          </cell>
          <cell r="M341">
            <v>0</v>
          </cell>
        </row>
        <row r="342">
          <cell r="E342" t="str">
            <v>Sumber Rejeki/Yuliatin</v>
          </cell>
          <cell r="I342">
            <v>875000</v>
          </cell>
          <cell r="L342">
            <v>875000</v>
          </cell>
          <cell r="M342">
            <v>0</v>
          </cell>
        </row>
        <row r="343">
          <cell r="E343" t="str">
            <v>Sumber Utama, UD</v>
          </cell>
          <cell r="I343">
            <v>1220000</v>
          </cell>
          <cell r="L343">
            <v>0</v>
          </cell>
          <cell r="M343">
            <v>1220000</v>
          </cell>
        </row>
        <row r="344">
          <cell r="E344" t="str">
            <v>Sumber Utama, UD</v>
          </cell>
          <cell r="I344">
            <v>800000</v>
          </cell>
          <cell r="L344">
            <v>0</v>
          </cell>
          <cell r="M344">
            <v>800000</v>
          </cell>
        </row>
        <row r="345">
          <cell r="E345" t="str">
            <v>Tani Holik, Toko</v>
          </cell>
          <cell r="I345">
            <v>3000000</v>
          </cell>
          <cell r="L345">
            <v>0</v>
          </cell>
          <cell r="M345">
            <v>3000000</v>
          </cell>
        </row>
        <row r="346">
          <cell r="E346" t="str">
            <v>Tani Holik, Toko</v>
          </cell>
          <cell r="I346">
            <v>322500</v>
          </cell>
          <cell r="L346">
            <v>0</v>
          </cell>
          <cell r="M346">
            <v>322500</v>
          </cell>
        </row>
        <row r="347">
          <cell r="E347" t="str">
            <v>Tani Holik, Toko</v>
          </cell>
          <cell r="I347">
            <v>615000</v>
          </cell>
          <cell r="L347">
            <v>0</v>
          </cell>
          <cell r="M347">
            <v>615000</v>
          </cell>
        </row>
        <row r="348">
          <cell r="E348" t="str">
            <v>Tani Holik, Toko</v>
          </cell>
          <cell r="I348">
            <v>1840000</v>
          </cell>
          <cell r="L348">
            <v>0</v>
          </cell>
          <cell r="M348">
            <v>1840000</v>
          </cell>
        </row>
        <row r="349">
          <cell r="E349" t="str">
            <v>Tani Holik, Toko</v>
          </cell>
          <cell r="I349">
            <v>1520000</v>
          </cell>
          <cell r="L349">
            <v>0</v>
          </cell>
          <cell r="M349">
            <v>1520000</v>
          </cell>
        </row>
        <row r="350">
          <cell r="E350" t="str">
            <v>Tani Holik, Toko</v>
          </cell>
          <cell r="I350">
            <v>732500</v>
          </cell>
          <cell r="L350">
            <v>0</v>
          </cell>
          <cell r="M350">
            <v>732500</v>
          </cell>
        </row>
        <row r="351">
          <cell r="E351" t="str">
            <v>Tani Jaya/Afuk</v>
          </cell>
          <cell r="I351">
            <v>3500000</v>
          </cell>
          <cell r="L351">
            <v>0</v>
          </cell>
          <cell r="M351">
            <v>3500000</v>
          </cell>
        </row>
        <row r="352">
          <cell r="E352" t="str">
            <v>Tani Jaya/Afuk</v>
          </cell>
          <cell r="I352">
            <v>19350000</v>
          </cell>
          <cell r="L352">
            <v>0</v>
          </cell>
          <cell r="M352">
            <v>19350000</v>
          </cell>
        </row>
        <row r="353">
          <cell r="E353" t="str">
            <v>Tani Jaya/Afuk</v>
          </cell>
          <cell r="I353">
            <v>5287250</v>
          </cell>
          <cell r="L353">
            <v>0</v>
          </cell>
          <cell r="M353">
            <v>5287250</v>
          </cell>
        </row>
        <row r="354">
          <cell r="E354" t="str">
            <v>Tani Jaya/Afuk</v>
          </cell>
          <cell r="I354">
            <v>2250000</v>
          </cell>
          <cell r="L354">
            <v>0</v>
          </cell>
          <cell r="M354">
            <v>2250000</v>
          </cell>
        </row>
        <row r="355">
          <cell r="E355" t="str">
            <v>Tani Jaya/Afuk</v>
          </cell>
          <cell r="I355">
            <v>3500000</v>
          </cell>
          <cell r="L355">
            <v>0</v>
          </cell>
          <cell r="M355">
            <v>3500000</v>
          </cell>
        </row>
        <row r="356">
          <cell r="E356" t="str">
            <v>Tani Jaya/Afuk</v>
          </cell>
          <cell r="I356">
            <v>1900000</v>
          </cell>
          <cell r="L356">
            <v>0</v>
          </cell>
          <cell r="M356">
            <v>1900000</v>
          </cell>
        </row>
        <row r="357">
          <cell r="E357" t="str">
            <v>Tani Maju/Ayus Tinah</v>
          </cell>
          <cell r="I357">
            <v>6255000</v>
          </cell>
          <cell r="L357">
            <v>0</v>
          </cell>
          <cell r="M357">
            <v>6255000</v>
          </cell>
        </row>
        <row r="358">
          <cell r="E358" t="str">
            <v>Tani Makmur/Akhmad</v>
          </cell>
          <cell r="I358">
            <v>3200000</v>
          </cell>
          <cell r="L358">
            <v>0</v>
          </cell>
          <cell r="M358">
            <v>3200000</v>
          </cell>
        </row>
        <row r="359">
          <cell r="E359" t="str">
            <v>Tani Makmur/Akhmad</v>
          </cell>
          <cell r="I359">
            <v>11200000</v>
          </cell>
          <cell r="L359">
            <v>0</v>
          </cell>
          <cell r="M359">
            <v>11200000</v>
          </cell>
        </row>
        <row r="360">
          <cell r="E360" t="str">
            <v>Tani Makmur/Ashuri</v>
          </cell>
          <cell r="I360">
            <v>2132000</v>
          </cell>
          <cell r="L360">
            <v>0</v>
          </cell>
          <cell r="M360">
            <v>2132000</v>
          </cell>
        </row>
        <row r="361">
          <cell r="E361" t="str">
            <v>Tani Makmur/Sunaryo</v>
          </cell>
          <cell r="I361">
            <v>3320000</v>
          </cell>
          <cell r="L361">
            <v>0</v>
          </cell>
          <cell r="M361">
            <v>3320000</v>
          </cell>
        </row>
        <row r="362">
          <cell r="E362" t="str">
            <v>Timbol Jaya/Gischa</v>
          </cell>
          <cell r="I362">
            <v>13800000</v>
          </cell>
          <cell r="L362">
            <v>0</v>
          </cell>
          <cell r="M362">
            <v>13800000</v>
          </cell>
        </row>
        <row r="363">
          <cell r="E363" t="str">
            <v>Timbol Jaya/Gischa</v>
          </cell>
          <cell r="I363">
            <v>3300000</v>
          </cell>
          <cell r="L363">
            <v>0</v>
          </cell>
          <cell r="M363">
            <v>3300000</v>
          </cell>
        </row>
        <row r="364">
          <cell r="E364" t="str">
            <v>Tunas Jaya, UD/Bacuk</v>
          </cell>
          <cell r="I364">
            <v>6000000</v>
          </cell>
          <cell r="L364">
            <v>6000000</v>
          </cell>
          <cell r="M364">
            <v>0</v>
          </cell>
        </row>
        <row r="365">
          <cell r="E365" t="str">
            <v>Tunas Makmur Agriculture/Deni</v>
          </cell>
          <cell r="I365">
            <v>2000000</v>
          </cell>
          <cell r="L365">
            <v>2000000</v>
          </cell>
          <cell r="M365">
            <v>0</v>
          </cell>
        </row>
        <row r="366">
          <cell r="E366" t="str">
            <v>Wes Joyo/Hermas</v>
          </cell>
          <cell r="I366">
            <v>3960000</v>
          </cell>
          <cell r="L366">
            <v>0</v>
          </cell>
          <cell r="M366">
            <v>3960000</v>
          </cell>
        </row>
        <row r="367">
          <cell r="E367" t="str">
            <v>Wes Joyo/Hermas</v>
          </cell>
          <cell r="I367">
            <v>4200000</v>
          </cell>
          <cell r="L367">
            <v>0</v>
          </cell>
          <cell r="M367">
            <v>4200000</v>
          </cell>
        </row>
        <row r="368">
          <cell r="E368" t="str">
            <v>Wes Joyo/Hermas</v>
          </cell>
          <cell r="I368">
            <v>8700000</v>
          </cell>
          <cell r="L368">
            <v>0</v>
          </cell>
          <cell r="M368">
            <v>8700000</v>
          </cell>
        </row>
        <row r="369">
          <cell r="E369" t="str">
            <v>Wes Joyo/Hermas</v>
          </cell>
          <cell r="I369">
            <v>1900000</v>
          </cell>
          <cell r="L369">
            <v>0</v>
          </cell>
          <cell r="M369">
            <v>1900000</v>
          </cell>
        </row>
        <row r="370">
          <cell r="E370" t="str">
            <v>Wes Joyo/Hermas</v>
          </cell>
          <cell r="I370">
            <v>8925000</v>
          </cell>
          <cell r="L370">
            <v>0</v>
          </cell>
          <cell r="M370">
            <v>8925000</v>
          </cell>
        </row>
        <row r="371">
          <cell r="E371" t="str">
            <v>Wes Joyo/Hermas</v>
          </cell>
          <cell r="I371">
            <v>1820000</v>
          </cell>
          <cell r="L371">
            <v>0</v>
          </cell>
          <cell r="M371">
            <v>1820000</v>
          </cell>
        </row>
        <row r="372">
          <cell r="E372" t="str">
            <v>Wes Joyo/Hermas</v>
          </cell>
          <cell r="I372">
            <v>4160000</v>
          </cell>
          <cell r="L372">
            <v>0</v>
          </cell>
          <cell r="M372">
            <v>4160000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D26003380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B26001728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B26001402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D26000735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D26001257</v>
          </cell>
          <cell r="AP13">
            <v>0</v>
          </cell>
          <cell r="AQ13">
            <v>0</v>
          </cell>
          <cell r="AV13">
            <v>5325000</v>
          </cell>
        </row>
        <row r="14">
          <cell r="E14" t="str">
            <v>D26001258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B26001582</v>
          </cell>
          <cell r="AP15">
            <v>0</v>
          </cell>
          <cell r="AQ15">
            <v>0</v>
          </cell>
          <cell r="AV15">
            <v>15770000</v>
          </cell>
        </row>
        <row r="16">
          <cell r="E16" t="str">
            <v>B26001651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B26002060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D26002172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B26002962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D25013604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B26000149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D26001878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B26001775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B26002516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B26002892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D26003118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D26003305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B26000698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T26000040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D26003121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T25000266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B25013635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B25013636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D25016962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B25016685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B26002238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B26002239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B26002807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D26002949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T26000221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T26000255</v>
          </cell>
          <cell r="AP41">
            <v>0</v>
          </cell>
          <cell r="AQ41">
            <v>0</v>
          </cell>
          <cell r="AV41">
            <v>3700000</v>
          </cell>
        </row>
        <row r="42">
          <cell r="E42" t="str">
            <v>R25000092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D26001073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D26001074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B25016283</v>
          </cell>
          <cell r="AP45">
            <v>0</v>
          </cell>
          <cell r="AQ45">
            <v>0</v>
          </cell>
          <cell r="AV45">
            <v>161150000</v>
          </cell>
        </row>
        <row r="46">
          <cell r="E46" t="str">
            <v>B25016284</v>
          </cell>
          <cell r="AP46">
            <v>0</v>
          </cell>
          <cell r="AQ46">
            <v>0</v>
          </cell>
          <cell r="AV46">
            <v>50550000</v>
          </cell>
        </row>
        <row r="47">
          <cell r="E47" t="str">
            <v>D26001142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D26002954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D26002955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D26003335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D26003212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D26002421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T26000164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D26002777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D26002801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D26003081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D26003101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D26003266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D26003327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D26003293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D26003294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D26000375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B26001658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D26001772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B26001815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B26002217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B26003086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B26003154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B26002420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D26002694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B26002540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D25016973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D25018878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T25001869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D26000099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D26001690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B26001707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B26001722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B26001797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B26001992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B26002223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B26002370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B26002522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N26000025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B26003078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D26003243</v>
          </cell>
          <cell r="AP89">
            <v>0</v>
          </cell>
          <cell r="AQ89">
            <v>0</v>
          </cell>
          <cell r="AV89">
            <v>49750000</v>
          </cell>
        </row>
        <row r="90">
          <cell r="E90" t="str">
            <v>D26000209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B26001115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B26001116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T26000098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D26001469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D26001603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B26002030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B26002428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D26002628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B26002916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D26001110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D26001939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D26001940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B26001843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D26002381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D26002382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D26002720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N26000024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B26003016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B26003017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B26003018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B25016839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>
            <v>260008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B26001067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D26001141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B26001925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B26001948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D26002072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D26002399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D26003052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D26003065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T26000224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B26000949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B26001134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D26001706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D26002751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B26002698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D26003051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D25019513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B26000096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B26000131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D26000074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D26000098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D26000109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D26000207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B26000766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D26001183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B26001162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B26001461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B26001838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D26000288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B26001492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D26002746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D26001216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B26001011</v>
          </cell>
          <cell r="AP144">
            <v>0</v>
          </cell>
          <cell r="AQ144">
            <v>0</v>
          </cell>
          <cell r="AV144">
            <v>3760000</v>
          </cell>
        </row>
        <row r="145">
          <cell r="E145" t="str">
            <v>B26001114</v>
          </cell>
          <cell r="AP145">
            <v>0</v>
          </cell>
          <cell r="AQ145">
            <v>0</v>
          </cell>
          <cell r="AV145">
            <v>1240000</v>
          </cell>
        </row>
        <row r="146">
          <cell r="E146" t="str">
            <v>B26002558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B26002799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L23000053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D24005367</v>
          </cell>
          <cell r="AP149">
            <v>0</v>
          </cell>
          <cell r="AQ149">
            <v>0</v>
          </cell>
          <cell r="AV149">
            <v>1000000</v>
          </cell>
        </row>
        <row r="150">
          <cell r="E150" t="str">
            <v>B26002570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B26000136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D26000208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D26001256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B26001705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D26001977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D26002260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B26002429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B26002578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B26002871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B26003005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B25016713</v>
          </cell>
          <cell r="AP161">
            <v>0</v>
          </cell>
          <cell r="AQ161">
            <v>0</v>
          </cell>
          <cell r="AV161">
            <v>1720000</v>
          </cell>
        </row>
        <row r="162">
          <cell r="E162" t="str">
            <v>D25019220</v>
          </cell>
          <cell r="AP162">
            <v>0</v>
          </cell>
          <cell r="AQ162">
            <v>0</v>
          </cell>
          <cell r="AV162">
            <v>1750000</v>
          </cell>
        </row>
        <row r="163">
          <cell r="E163" t="str">
            <v>D25019249</v>
          </cell>
          <cell r="AP163">
            <v>0</v>
          </cell>
          <cell r="AQ163">
            <v>0</v>
          </cell>
          <cell r="AV163">
            <v>1800000</v>
          </cell>
        </row>
        <row r="164">
          <cell r="E164" t="str">
            <v>D25019291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D25019449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B26000018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B26000036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D26000067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B26000277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B26000503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D26000639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D26000680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D26000704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D26001245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D26001249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D26001321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D26001350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D26001617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B26002292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B26002297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B26002900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B26002976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D26003189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B26002606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Z26000583</v>
          </cell>
          <cell r="AP185">
            <v>0</v>
          </cell>
          <cell r="AQ185">
            <v>0</v>
          </cell>
          <cell r="AV185">
            <v>9900000</v>
          </cell>
        </row>
        <row r="186">
          <cell r="E186" t="str">
            <v>Z26000600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T25000256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D25015128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D25016443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B25014326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D25016655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D25016794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D25016795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D25016961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D25016961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D25016961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D25016965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D25017238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D25017452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D25017452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D25017453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D25017788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D25017788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D25017788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D25017789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D25017790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D25018075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D25018076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D25018076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D25018077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D25018249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D25018249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D25018250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D25018468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D25018468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D25018526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D25018527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B25016302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B25016302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B25016302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B25016303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D25018894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D25018894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D25018894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D25018895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D25018895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D25018895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D25018895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D25019161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D25019167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D25019167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D25019260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D25019260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D25019260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D25019261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D25019262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D25019262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D25019519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D25019519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D25019519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D25019519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D25019520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D25019715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D25019716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D25019716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D26000239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D26000239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D26000240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D26000240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D26000543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D26000544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D26000544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D26000545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D26000545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D26000990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D26000991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D26000991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D26000991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D26000992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D26000992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D26000992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D26001308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D26001308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D26001309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D26001550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D26001550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D26001550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D26001550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D26001551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D26001552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D26001552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D26001711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D26001711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D26001712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D26001712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D26001712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D26001712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D26001713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D26001952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D26001952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D26001952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D26001952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D26001952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D26001953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D26001953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D26002263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D26002263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D26002263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D26002264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D26002475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D26002475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D26002475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D26002669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D26002669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D26002669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D26002670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D26002670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D26002671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D26002671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D26002742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D26002743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D26002930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D26002930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D26002930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D26002930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D26002930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D26002930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D26002931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D26002931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D26002989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D26002989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D26003172</v>
          </cell>
          <cell r="AP312">
            <v>0</v>
          </cell>
          <cell r="AQ312">
            <v>50000000</v>
          </cell>
          <cell r="AV312">
            <v>0</v>
          </cell>
        </row>
        <row r="313">
          <cell r="E313" t="str">
            <v>D26003172</v>
          </cell>
          <cell r="AP313">
            <v>0</v>
          </cell>
          <cell r="AQ313">
            <v>492250000</v>
          </cell>
          <cell r="AV313">
            <v>0</v>
          </cell>
        </row>
        <row r="314">
          <cell r="E314" t="str">
            <v>D26003172</v>
          </cell>
          <cell r="AP314">
            <v>0</v>
          </cell>
          <cell r="AQ314">
            <v>488000000</v>
          </cell>
          <cell r="AV314">
            <v>0</v>
          </cell>
        </row>
        <row r="315">
          <cell r="E315" t="str">
            <v>D26003172</v>
          </cell>
          <cell r="AP315">
            <v>0</v>
          </cell>
          <cell r="AQ315">
            <v>488000000</v>
          </cell>
          <cell r="AV315">
            <v>0</v>
          </cell>
        </row>
        <row r="316">
          <cell r="E316" t="str">
            <v>D26003172</v>
          </cell>
          <cell r="AP316">
            <v>0</v>
          </cell>
          <cell r="AQ316">
            <v>488000000</v>
          </cell>
          <cell r="AV316">
            <v>0</v>
          </cell>
        </row>
        <row r="317">
          <cell r="E317" t="str">
            <v>D26003172</v>
          </cell>
          <cell r="AP317">
            <v>0</v>
          </cell>
          <cell r="AQ317">
            <v>488000000</v>
          </cell>
          <cell r="AV317">
            <v>0</v>
          </cell>
        </row>
        <row r="318">
          <cell r="E318" t="str">
            <v>B26003171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B26003172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B26003173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D26003391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D26003392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D26003393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D25019182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B25016701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D26001075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D26001150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D26001849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D26001872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D26001904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D26002423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T26000190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B26002813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D26003273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D26003274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D26003299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D26003304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Z26000624</v>
          </cell>
          <cell r="AP338">
            <v>0</v>
          </cell>
          <cell r="AQ338">
            <v>0</v>
          </cell>
          <cell r="AV338">
            <v>2590000</v>
          </cell>
        </row>
        <row r="339">
          <cell r="E339" t="str">
            <v>D26003288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Z26000591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Z26000602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T26000243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T26000244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B26000646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B26000648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B26001037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B26001038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B26001062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D25016698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D26000989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D26001773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B26001794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B26002720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B26003144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B26000714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D26002456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D26002953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B26003110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D25006386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D26000905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B26001177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D26001671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B26001724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B26002319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B26000151</v>
          </cell>
          <cell r="AP365">
            <v>0</v>
          </cell>
          <cell r="AQ365">
            <v>0</v>
          </cell>
          <cell r="AV365">
            <v>2500000</v>
          </cell>
        </row>
        <row r="366">
          <cell r="E366" t="str">
            <v>B26001557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D26001708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D25019679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D25019723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B26000334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B26000384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B26000390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B26000860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D26002031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D26002105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D26002145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D26002163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B26002669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D26001756</v>
          </cell>
          <cell r="AP379">
            <v>0</v>
          </cell>
          <cell r="AQ379">
            <v>0</v>
          </cell>
          <cell r="AV379">
            <v>900000</v>
          </cell>
        </row>
        <row r="380">
          <cell r="E380" t="str">
            <v>D26001757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D26003278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D26003103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D26003276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Z26000031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Z26000511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B25012277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B25016665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D25019575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D26000527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D26000528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D26000537</v>
          </cell>
          <cell r="AP391">
            <v>0</v>
          </cell>
          <cell r="AQ391">
            <v>0</v>
          </cell>
          <cell r="AV391">
            <v>69345000</v>
          </cell>
        </row>
        <row r="392">
          <cell r="E392" t="str">
            <v>B26000535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D26000574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B26000909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B26000910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D26000998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D26001168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D26001203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B26001335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B26001404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B26001514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B26001516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B26001549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D26001806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D26001818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>
            <v>260011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D26002028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D26002057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D26002189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D26002190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B26002541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B26002542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B26002627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B26002628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B26002630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D26002957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D26003262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D26003268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D26003279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D26003296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D26003297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D26003324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D26003331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D26003332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Z26000359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D26001473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D26001474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B26001423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D26002590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D26002902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T25001848</v>
          </cell>
          <cell r="AP431">
            <v>0</v>
          </cell>
          <cell r="AQ431">
            <v>0</v>
          </cell>
          <cell r="AV431">
            <v>3700000</v>
          </cell>
        </row>
        <row r="432">
          <cell r="E432" t="str">
            <v>D26000419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B26000844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B26001355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D26001483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D26001484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D26003152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D26001647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R25000117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R25000118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R25000119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R25000122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R25000123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R25000124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R25000128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R25000135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R25000136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R25000137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R25000138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R25000139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R25000140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R26000007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R26000009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R26000010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R26000011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R26000012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R26000013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D25017747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D25019190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B26003036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D25017981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D25019585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T26000022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D26002532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B26002957</v>
          </cell>
          <cell r="AP465">
            <v>0</v>
          </cell>
          <cell r="AQ465">
            <v>0</v>
          </cell>
          <cell r="AV465">
            <v>5560000</v>
          </cell>
        </row>
        <row r="466">
          <cell r="E466" t="str">
            <v>D26001737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D26002458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D26003120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D26003270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B26000883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B26002556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B26003163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T25001847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B26003166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D25017632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B25015486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B25016160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B25016541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D25019609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B26000809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B26001272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D26002126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D26002127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D26002853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B26003031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T26000250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B25016801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D26000133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B26001156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D26002611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D25019374</v>
          </cell>
          <cell r="AP491">
            <v>0</v>
          </cell>
          <cell r="AQ491">
            <v>0</v>
          </cell>
          <cell r="AV491">
            <v>8100000</v>
          </cell>
        </row>
        <row r="492">
          <cell r="E492" t="str">
            <v>B26001356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B26001361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B26002311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D26002519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D26003149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D26003150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D26003179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T26000129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B26001892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D26002425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B26002796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D26003070</v>
          </cell>
          <cell r="AP503">
            <v>0</v>
          </cell>
          <cell r="AQ503">
            <v>0</v>
          </cell>
          <cell r="AV503">
            <v>1875000</v>
          </cell>
        </row>
        <row r="504">
          <cell r="E504" t="str">
            <v>B26002964</v>
          </cell>
          <cell r="AP504">
            <v>0</v>
          </cell>
          <cell r="AQ504">
            <v>0</v>
          </cell>
          <cell r="AV504">
            <v>5800000</v>
          </cell>
        </row>
        <row r="505">
          <cell r="E505" t="str">
            <v>B26002982</v>
          </cell>
          <cell r="AP505">
            <v>0</v>
          </cell>
          <cell r="AQ505">
            <v>0</v>
          </cell>
          <cell r="AV505">
            <v>3100000</v>
          </cell>
        </row>
        <row r="506">
          <cell r="E506" t="str">
            <v>B26002924</v>
          </cell>
          <cell r="AP506">
            <v>0</v>
          </cell>
          <cell r="AQ506">
            <v>0</v>
          </cell>
          <cell r="AV506">
            <v>2600000</v>
          </cell>
        </row>
        <row r="507">
          <cell r="E507" t="str">
            <v>B26000551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B26002604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D26003347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B25014931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B25015950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D25018926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D25019593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D25019706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D25019710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B26000138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D26000224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D26000755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D26000858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D26001091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B26001141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B26001288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D26001535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D26001594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D26001609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D26001683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D26001715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D26001857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B26001812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B26001813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B26001918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B26001964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D26002205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D26002400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D26002838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D26002872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D26002948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B26002886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D26003223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D26003271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D26003272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D26003311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D26003298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B26001086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D26003280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D26003281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D26000034</v>
          </cell>
          <cell r="AP547">
            <v>0</v>
          </cell>
          <cell r="AQ547">
            <v>0</v>
          </cell>
          <cell r="AV547">
            <v>11260000</v>
          </cell>
        </row>
        <row r="548">
          <cell r="E548" t="str">
            <v>D26000124</v>
          </cell>
          <cell r="AP548">
            <v>0</v>
          </cell>
          <cell r="AQ548">
            <v>0</v>
          </cell>
          <cell r="AV548">
            <v>38740000</v>
          </cell>
        </row>
        <row r="549">
          <cell r="E549" t="str">
            <v>D26000124</v>
          </cell>
          <cell r="AP549">
            <v>0</v>
          </cell>
          <cell r="AQ549">
            <v>0</v>
          </cell>
          <cell r="AV549">
            <v>52160000</v>
          </cell>
        </row>
        <row r="550">
          <cell r="E550" t="str">
            <v>D26000127</v>
          </cell>
          <cell r="AP550">
            <v>0</v>
          </cell>
          <cell r="AQ550">
            <v>0</v>
          </cell>
          <cell r="AV550">
            <v>14250000</v>
          </cell>
        </row>
        <row r="551">
          <cell r="E551" t="str">
            <v>T26000002</v>
          </cell>
          <cell r="AP551">
            <v>0</v>
          </cell>
          <cell r="AQ551">
            <v>0</v>
          </cell>
          <cell r="AV551">
            <v>1590000</v>
          </cell>
        </row>
        <row r="552">
          <cell r="E552" t="str">
            <v>T26000002</v>
          </cell>
          <cell r="AP552">
            <v>0</v>
          </cell>
          <cell r="AQ552">
            <v>0</v>
          </cell>
          <cell r="AV552">
            <v>1910000</v>
          </cell>
        </row>
        <row r="553">
          <cell r="E553" t="str">
            <v>B26000213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B26000406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B26000808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B26001003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B26001291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B26001301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B26001546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B26001584</v>
          </cell>
          <cell r="AP560">
            <v>0</v>
          </cell>
          <cell r="AQ560">
            <v>0</v>
          </cell>
          <cell r="AV560">
            <v>46705000</v>
          </cell>
        </row>
        <row r="561">
          <cell r="E561" t="str">
            <v>B26001611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B26001624</v>
          </cell>
          <cell r="AP562">
            <v>0</v>
          </cell>
          <cell r="AQ562">
            <v>0</v>
          </cell>
          <cell r="AV562">
            <v>36500000</v>
          </cell>
        </row>
        <row r="563">
          <cell r="E563" t="str">
            <v>B26001630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B26001699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B26001759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D26001896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D26001943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B26002010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B26002013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D26002323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D26002370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B26002282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D26002478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B26002406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D26002719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D26002792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B26002694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T26000198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D26003006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B26002872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B26002877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B26002950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D26003171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B26003077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D26003238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T26000044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B26002567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T26000186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B26002532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B26001020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B26001077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D26002819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D26003222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B26003122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D25017245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T25001852k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B26001145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D26001379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D26001511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T26000102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B26001729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B26002566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T26000207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D26003077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R26000002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B26000319</v>
          </cell>
          <cell r="AP606">
            <v>0</v>
          </cell>
          <cell r="AQ606">
            <v>0</v>
          </cell>
          <cell r="AV606">
            <v>1700000</v>
          </cell>
        </row>
        <row r="607">
          <cell r="E607" t="str">
            <v>D26001100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B26001632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D26002566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R25000110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R25000112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D26002890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B26000017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D26000130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B26001470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D26001890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B26002614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D26003061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D26003062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D26003213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B25015814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B25015842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B25016842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D25019422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D25019489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D25019666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D26000624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D26001160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D26001161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D26001996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D26002101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D26002102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D26002369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D26002474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B26002896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D26003138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D26003210</v>
          </cell>
          <cell r="AP637">
            <v>0</v>
          </cell>
          <cell r="AQ637">
            <v>0</v>
          </cell>
          <cell r="AV637">
            <v>300000000</v>
          </cell>
        </row>
        <row r="638">
          <cell r="E638" t="str">
            <v>D26003210</v>
          </cell>
          <cell r="AP638">
            <v>0</v>
          </cell>
          <cell r="AQ638">
            <v>0</v>
          </cell>
          <cell r="AV638">
            <v>200000000</v>
          </cell>
        </row>
        <row r="639">
          <cell r="E639" t="str">
            <v>D26003233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D26003301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D26003329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D26001338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D26002283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D25017231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B26000677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D26001068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D26002813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B26002975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B26002983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D25018439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B25016097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D25018769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D25018770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D25018813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D25018838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D25019180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D25019218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B25016789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B25016790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D25019273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D25019547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D25019548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D26000094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D26001588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D26001629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D26001673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B26001596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B26001912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D26002087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B26001952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D26002121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D26002137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D26002286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D26002383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D26002879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D26003197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D26003198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D26003203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B26001777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D26003230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B26000075</v>
          </cell>
          <cell r="AP681">
            <v>0</v>
          </cell>
          <cell r="AQ681">
            <v>0</v>
          </cell>
          <cell r="AV681">
            <v>3280000</v>
          </cell>
        </row>
        <row r="682">
          <cell r="E682" t="str">
            <v>B26001577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D25019326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D26000844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T25001781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B26002590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D26003029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T26000256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B26002202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D26000025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D26001778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B26002000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B26002003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D26002690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D26003290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T26000264</v>
          </cell>
          <cell r="AP696">
            <v>0</v>
          </cell>
          <cell r="AQ696">
            <v>0</v>
          </cell>
          <cell r="AV696">
            <v>3700000</v>
          </cell>
        </row>
        <row r="697">
          <cell r="E697" t="str">
            <v>B26000027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D26002603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D26002164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B26002140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B25016413</v>
          </cell>
          <cell r="AP701">
            <v>0</v>
          </cell>
          <cell r="AQ701">
            <v>0</v>
          </cell>
          <cell r="AV701">
            <v>4000000</v>
          </cell>
        </row>
        <row r="702">
          <cell r="E702" t="str">
            <v>B25015318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B25015319</v>
          </cell>
          <cell r="AP703">
            <v>0</v>
          </cell>
          <cell r="AQ703">
            <v>0</v>
          </cell>
          <cell r="AV703">
            <v>1150000</v>
          </cell>
        </row>
        <row r="704">
          <cell r="E704" t="str">
            <v>B25015415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D25017912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B25015523</v>
          </cell>
          <cell r="AP706">
            <v>0</v>
          </cell>
          <cell r="AQ706">
            <v>0</v>
          </cell>
          <cell r="AV706">
            <v>1700000</v>
          </cell>
        </row>
        <row r="707">
          <cell r="E707" t="str">
            <v>D25018187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D25018248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D25018273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N25000073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B25015953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D25018350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D25018354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B25016052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D25018680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B25016296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D25018697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D25018734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D25018763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D25018876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B25016497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B25016502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D25019009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B25016772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D25019274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B25017014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D25019561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B25017039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B25017045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B25017053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D25019633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B25017108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D26000134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B26000170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B26000173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B26000241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B26000345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B26000346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B26000382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B26000635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B26000688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D26000805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D26000859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B26000821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B26000846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B26000901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B26000902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B26000944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D26001057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D26001103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B26001169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D26001404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D26001427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B26001452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D26001539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N26000015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D26001613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D26001669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B26001619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B26001634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D26001841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B26001710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D26001856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B26001841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D26001985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D26002012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B26001935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B26002007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B26002089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B26002142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D26002257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B26002316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D26002507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B26002391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B26002392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B26002422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B26002451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D26002666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D26003357</v>
          </cell>
          <cell r="AP779">
            <v>0</v>
          </cell>
          <cell r="AQ779">
            <v>0</v>
          </cell>
          <cell r="AV779">
            <v>730000</v>
          </cell>
        </row>
        <row r="780">
          <cell r="E780" t="str">
            <v>B25015269</v>
          </cell>
          <cell r="AP780">
            <v>0</v>
          </cell>
          <cell r="AQ780">
            <v>0</v>
          </cell>
          <cell r="AV780">
            <v>23580000</v>
          </cell>
        </row>
        <row r="781">
          <cell r="E781" t="str">
            <v>B25015270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D25017684</v>
          </cell>
          <cell r="AP782">
            <v>0</v>
          </cell>
          <cell r="AQ782">
            <v>0</v>
          </cell>
          <cell r="AV782">
            <v>16675000</v>
          </cell>
        </row>
        <row r="783">
          <cell r="E783" t="str">
            <v>T25001754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D25017920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D25018112</v>
          </cell>
          <cell r="AP785">
            <v>0</v>
          </cell>
          <cell r="AQ785">
            <v>0</v>
          </cell>
          <cell r="AV785">
            <v>2100000</v>
          </cell>
        </row>
        <row r="786">
          <cell r="E786" t="str">
            <v>D25018463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B25016134</v>
          </cell>
          <cell r="AP787">
            <v>0</v>
          </cell>
          <cell r="AQ787">
            <v>0</v>
          </cell>
          <cell r="AV787">
            <v>6784800</v>
          </cell>
        </row>
        <row r="788">
          <cell r="E788" t="str">
            <v>B25016274</v>
          </cell>
          <cell r="AP788">
            <v>0</v>
          </cell>
          <cell r="AQ788">
            <v>0</v>
          </cell>
          <cell r="AV788">
            <v>37800000</v>
          </cell>
        </row>
        <row r="789">
          <cell r="E789" t="str">
            <v>B25016379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D25018868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D25019071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D25019310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T25001890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B25016917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B25016953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B25016954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D25019577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D25019632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D25019655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B25017134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B26001260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B26001261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B26001279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D26001464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B26001473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B26001564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B26001654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D26001836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B26001734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D26001865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B26001874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D26002073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B26002068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B26002121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D26002315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D26002342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D26002426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B26002302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D26002479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B26003085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D26003322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B25014620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D25017216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D25018150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D25018927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B25017021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B25017029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B26000563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B26000564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B26000717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B26000888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D26000960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D26001019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D26001020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B26002503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B26002504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D26002747</v>
          </cell>
          <cell r="AP837">
            <v>0</v>
          </cell>
          <cell r="AQ837">
            <v>0</v>
          </cell>
          <cell r="AV837">
            <v>16020000</v>
          </cell>
        </row>
        <row r="838">
          <cell r="E838" t="str">
            <v>D26002816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B26002739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B26002740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B26002772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B26002808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D26003027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B26003023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B26000743</v>
          </cell>
          <cell r="AP845">
            <v>0</v>
          </cell>
          <cell r="AQ845">
            <v>0</v>
          </cell>
          <cell r="AV845">
            <v>2220000</v>
          </cell>
        </row>
        <row r="846">
          <cell r="E846" t="str">
            <v>D26000981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D26001365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D26001465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B26002691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B26002778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B26002783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D26000427</v>
          </cell>
          <cell r="AP852">
            <v>0</v>
          </cell>
          <cell r="AQ852">
            <v>0</v>
          </cell>
          <cell r="AV852">
            <v>200000000</v>
          </cell>
        </row>
        <row r="853">
          <cell r="E853" t="str">
            <v>D26002253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D26002970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B26002836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B26002834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T26000017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B26000383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B26000794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B26001540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B26001542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B26001781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B26002475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B26002535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B26002536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B26002537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B26000165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D26000559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D26001866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D26002115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B26002201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D26002473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B26002315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B26002397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B26002414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B26002425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B26002717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B26002745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D26002903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B26003012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B26003148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D26001174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B26001346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B26001347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B26001497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B26001498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B26001510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B26001511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D26002348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D26002349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B26002513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B26002514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B26002526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D26002941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T26000203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B26003039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B26003089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D26000760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D26000761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D26001498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D26001843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D26002308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B26002195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B26003165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B25016419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D25018994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B26000198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B26000496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B26000914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B26001150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D26001233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>
            <v>260009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B26002303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>
            <v>260015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B26002360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B26002404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D26002577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D26002963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D26003045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B26003128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B26003147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D26003372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D26003382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T26000263</v>
          </cell>
          <cell r="AP924">
            <v>0</v>
          </cell>
          <cell r="AQ924">
            <v>0</v>
          </cell>
          <cell r="AV924">
            <v>1322000</v>
          </cell>
        </row>
        <row r="925">
          <cell r="E925" t="str">
            <v>B26002933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D26003136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T26000032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B26002978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D26001038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B26001445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B26001808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D26001947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B26002137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B26002138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D26003378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B26003073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D26001610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B26003100</v>
          </cell>
          <cell r="AP938">
            <v>0</v>
          </cell>
          <cell r="AQ938">
            <v>0</v>
          </cell>
          <cell r="AV938">
            <v>21200000</v>
          </cell>
        </row>
        <row r="939">
          <cell r="E939" t="str">
            <v>D25017170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D25019292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B26002913</v>
          </cell>
          <cell r="AP941">
            <v>0</v>
          </cell>
          <cell r="AQ941">
            <v>0</v>
          </cell>
          <cell r="AV941">
            <v>9100000</v>
          </cell>
        </row>
        <row r="942">
          <cell r="E942" t="str">
            <v>D25019509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D25019536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B26001031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B26001189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D26001514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D26001807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D26001930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B26001882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D26001999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B26002180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B26002383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B26002663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B26002687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D26002883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B26002837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D26003088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D26003124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B26002958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D26003395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B26001524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B26001955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D26000969</v>
          </cell>
          <cell r="AP963">
            <v>0</v>
          </cell>
          <cell r="AQ963">
            <v>0</v>
          </cell>
          <cell r="AV963">
            <v>2250000</v>
          </cell>
        </row>
        <row r="964">
          <cell r="E964" t="str">
            <v>B26001006</v>
          </cell>
          <cell r="AP964">
            <v>0</v>
          </cell>
          <cell r="AQ964">
            <v>0</v>
          </cell>
          <cell r="AV964">
            <v>1665000</v>
          </cell>
        </row>
        <row r="965">
          <cell r="E965" t="str">
            <v>D26001232</v>
          </cell>
          <cell r="AP965">
            <v>0</v>
          </cell>
          <cell r="AQ965">
            <v>0</v>
          </cell>
          <cell r="AV965">
            <v>3500000</v>
          </cell>
        </row>
        <row r="966">
          <cell r="E966" t="str">
            <v>B26001216</v>
          </cell>
          <cell r="AP966">
            <v>0</v>
          </cell>
          <cell r="AQ966">
            <v>0</v>
          </cell>
          <cell r="AV966">
            <v>5312500</v>
          </cell>
        </row>
        <row r="967">
          <cell r="E967" t="str">
            <v>D26001299</v>
          </cell>
          <cell r="AP967">
            <v>0</v>
          </cell>
          <cell r="AQ967">
            <v>0</v>
          </cell>
          <cell r="AV967">
            <v>32375000</v>
          </cell>
        </row>
        <row r="968">
          <cell r="E968" t="str">
            <v>D26001337</v>
          </cell>
          <cell r="AP968">
            <v>0</v>
          </cell>
          <cell r="AQ968">
            <v>0</v>
          </cell>
          <cell r="AV968">
            <v>10950000</v>
          </cell>
        </row>
        <row r="969">
          <cell r="E969" t="str">
            <v>B26001267</v>
          </cell>
          <cell r="AP969">
            <v>0</v>
          </cell>
          <cell r="AQ969">
            <v>0</v>
          </cell>
          <cell r="AV969">
            <v>76750000</v>
          </cell>
        </row>
        <row r="970">
          <cell r="E970" t="str">
            <v>B26001268</v>
          </cell>
          <cell r="AP970">
            <v>0</v>
          </cell>
          <cell r="AQ970">
            <v>0</v>
          </cell>
          <cell r="AV970">
            <v>49800000</v>
          </cell>
        </row>
        <row r="971">
          <cell r="E971" t="str">
            <v>B26001299</v>
          </cell>
          <cell r="AP971">
            <v>0</v>
          </cell>
          <cell r="AQ971">
            <v>0</v>
          </cell>
          <cell r="AV971">
            <v>5400000</v>
          </cell>
        </row>
        <row r="972">
          <cell r="E972" t="str">
            <v>D26001358</v>
          </cell>
          <cell r="AP972">
            <v>0</v>
          </cell>
          <cell r="AQ972">
            <v>0</v>
          </cell>
          <cell r="AV972">
            <v>45000</v>
          </cell>
        </row>
        <row r="973">
          <cell r="E973" t="str">
            <v>B26001381</v>
          </cell>
          <cell r="AP973">
            <v>0</v>
          </cell>
          <cell r="AQ973">
            <v>0</v>
          </cell>
          <cell r="AV973">
            <v>2930000</v>
          </cell>
        </row>
        <row r="974">
          <cell r="E974" t="str">
            <v>D26001538</v>
          </cell>
          <cell r="AP974">
            <v>0</v>
          </cell>
          <cell r="AQ974">
            <v>0</v>
          </cell>
          <cell r="AV974">
            <v>8200000</v>
          </cell>
        </row>
        <row r="975">
          <cell r="E975" t="str">
            <v>B26001761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D26001949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B26002065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D26002331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D26002358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B26002371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B26002449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B26002450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B26002461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D26002646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B26002533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B26002603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B26002987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B26003047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B26003048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D25018318</v>
          </cell>
          <cell r="AP990">
            <v>0</v>
          </cell>
          <cell r="AQ990">
            <v>0</v>
          </cell>
          <cell r="AV990">
            <v>3648000</v>
          </cell>
        </row>
        <row r="991">
          <cell r="E991" t="str">
            <v>B25016149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D25018794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B25016637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D25019217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B25017070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D26000070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D26000171</v>
          </cell>
          <cell r="AP997">
            <v>0</v>
          </cell>
          <cell r="AQ997">
            <v>0</v>
          </cell>
          <cell r="AV997">
            <v>5400000</v>
          </cell>
        </row>
        <row r="998">
          <cell r="E998" t="str">
            <v>B26000275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B26000391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D26000687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B26000720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B26000748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B26000776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B26000866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D26000946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B26001227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B26001240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B26001285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D26001403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B26001463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D26001691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B26001656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D26001780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B26001768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B26002104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B26002132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D26002239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B26002621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B26002622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D26002863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D26002987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D26003020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B26002955</v>
          </cell>
          <cell r="AP1023">
            <v>0</v>
          </cell>
          <cell r="AQ1023">
            <v>0</v>
          </cell>
          <cell r="AV1023">
            <v>5000000</v>
          </cell>
        </row>
        <row r="1024">
          <cell r="E1024" t="str">
            <v>B26001184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D26002230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D26002558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B26001103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D25017712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B26000012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B26000534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B26000987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B26001168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B26003049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B26001993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B26002322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B26002500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D26001126</v>
          </cell>
          <cell r="AP1037">
            <v>0</v>
          </cell>
          <cell r="AQ1037">
            <v>0</v>
          </cell>
          <cell r="AV1037">
            <v>3150000</v>
          </cell>
        </row>
        <row r="1038">
          <cell r="E1038" t="str">
            <v>B26001124</v>
          </cell>
          <cell r="AP1038">
            <v>0</v>
          </cell>
          <cell r="AQ1038">
            <v>0</v>
          </cell>
          <cell r="AV1038">
            <v>8050000</v>
          </cell>
        </row>
        <row r="1039">
          <cell r="E1039" t="str">
            <v>B26001126</v>
          </cell>
          <cell r="AP1039">
            <v>0</v>
          </cell>
          <cell r="AQ1039">
            <v>0</v>
          </cell>
          <cell r="AV1039">
            <v>1532400</v>
          </cell>
        </row>
        <row r="1040">
          <cell r="E1040" t="str">
            <v>B26001128</v>
          </cell>
          <cell r="AP1040">
            <v>0</v>
          </cell>
          <cell r="AQ1040">
            <v>0</v>
          </cell>
          <cell r="AV1040">
            <v>6634500</v>
          </cell>
        </row>
        <row r="1041">
          <cell r="E1041" t="str">
            <v>D26001529</v>
          </cell>
          <cell r="AP1041">
            <v>0</v>
          </cell>
          <cell r="AQ1041">
            <v>0</v>
          </cell>
          <cell r="AV1041">
            <v>4800000</v>
          </cell>
        </row>
        <row r="1042">
          <cell r="E1042" t="str">
            <v>D26002061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D26002062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B26001954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D26002107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D26002185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B26002116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B26002117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B26002118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B26002476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D26002772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D26002773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B26002682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D26002934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B26002971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B26003168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B26003169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B26003170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L26000012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B25009852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D26000095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B26000435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B26000767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D26001251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D26001556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D26001557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D26002538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T25001794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D26003163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B25016838</v>
          </cell>
          <cell r="AP1070">
            <v>0</v>
          </cell>
          <cell r="AQ1070">
            <v>0</v>
          </cell>
          <cell r="AV1070">
            <v>6187250</v>
          </cell>
        </row>
        <row r="1071">
          <cell r="E1071" t="str">
            <v>D26000090</v>
          </cell>
          <cell r="AP1071">
            <v>0</v>
          </cell>
          <cell r="AQ1071">
            <v>0</v>
          </cell>
          <cell r="AV1071">
            <v>3812750</v>
          </cell>
        </row>
        <row r="1072">
          <cell r="E1072" t="str">
            <v>B26001795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B26001820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B26000176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B26000177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B26000178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D26002371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D26002944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D26003208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>
            <v>260020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B26003010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B26003011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B26002652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B26002891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D25019205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D26000957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D26001869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D26003164</v>
          </cell>
          <cell r="AP1088">
            <v>0</v>
          </cell>
          <cell r="AQ1088">
            <v>0</v>
          </cell>
          <cell r="AV1088">
            <v>313750000</v>
          </cell>
        </row>
        <row r="1089">
          <cell r="E1089" t="str">
            <v>D26003165</v>
          </cell>
          <cell r="AP1089">
            <v>0</v>
          </cell>
          <cell r="AQ1089">
            <v>0</v>
          </cell>
          <cell r="AV1089">
            <v>186250000</v>
          </cell>
        </row>
        <row r="1090">
          <cell r="E1090" t="str">
            <v>D26003204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D26003205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T26000148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T26000171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B26002762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B26002930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B26001307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T26000029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B26000825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B26001980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D26002713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D26002714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T24001625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D24017664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T25001722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D25017959</v>
          </cell>
          <cell r="AP1105">
            <v>0</v>
          </cell>
          <cell r="AQ1105">
            <v>0</v>
          </cell>
          <cell r="AV1105">
            <v>124200000</v>
          </cell>
        </row>
        <row r="1106">
          <cell r="E1106" t="str">
            <v>D25018410</v>
          </cell>
          <cell r="AP1106">
            <v>0</v>
          </cell>
          <cell r="AQ1106">
            <v>0</v>
          </cell>
          <cell r="AV1106">
            <v>25800000</v>
          </cell>
        </row>
        <row r="1107">
          <cell r="E1107" t="str">
            <v>B25016093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D25018716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D25019055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B25016834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D25019534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D25019598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D25019599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D26000145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D26000152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D26000153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D26000154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D26000257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D26000590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B26000573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D26000830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B26000819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B26000881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D26000937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T26000065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D26001210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B26001129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D26001333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D26001437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D26001533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D26001636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T26000104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B26001741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D26001845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D26001988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D26002036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D26002142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D26002144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D26002274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D26002292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B26002204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D26002432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D26002662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D26002924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D26002959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D26002978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D26003055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B26002931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D26003308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D26003313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B26000800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T26000215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B26002647</v>
          </cell>
          <cell r="AP1153">
            <v>0</v>
          </cell>
          <cell r="AQ1153">
            <v>0</v>
          </cell>
          <cell r="AV1153">
            <v>20240000</v>
          </cell>
        </row>
        <row r="1154">
          <cell r="E1154" t="str">
            <v>D26000219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B26001024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T26000270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B26001367</v>
          </cell>
          <cell r="AP1157">
            <v>0</v>
          </cell>
          <cell r="AQ1157">
            <v>0</v>
          </cell>
          <cell r="AV1157">
            <v>19550000</v>
          </cell>
        </row>
        <row r="1158">
          <cell r="E1158" t="str">
            <v>B26001427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D26002113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T26000063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D25017818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B25015360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D25017985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B25015596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D25018121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D25018128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B25015983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D25018460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D25018475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D25018537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D25018561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B25016286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D25018733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D25018751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B25016434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B25016498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D25018991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B25016567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B25016636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B25016679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B25016681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B25016699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B25016741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B25016752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B25016905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D25019569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D25019570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B25017037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D25019649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D25019684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B26000039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D26000167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D26000229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D26000230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B26000332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B26000365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B26000367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B26000374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B26000403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B26000404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B26000411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B26000412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B26000490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B26000588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D26000673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B26000683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B26000863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B26000864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D26001128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D26001139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B26001217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B26001290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B26001399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D26001433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D26001490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B26001553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B26001554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D26001765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B26001798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B26001803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B26001909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B26001929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B26001930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B26002090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D26002158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Z26000404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Z26000411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Z26000412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Z26000413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Z26000414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Z26000415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Z26000418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Z26000478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Z26000484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Z26000492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Z26000531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D26001682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D26003068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T26000220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D25019225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B26000054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B25014223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D25017624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B25015823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D25018213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Z25003166</v>
          </cell>
          <cell r="AP1246">
            <v>0</v>
          </cell>
          <cell r="AQ1246">
            <v>0</v>
          </cell>
          <cell r="AV1246">
            <v>3410000</v>
          </cell>
        </row>
        <row r="1247">
          <cell r="E1247" t="str">
            <v>Z25003169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B25016175</v>
          </cell>
          <cell r="AP1248">
            <v>0</v>
          </cell>
          <cell r="AQ1248">
            <v>0</v>
          </cell>
          <cell r="AV1248">
            <v>3430000</v>
          </cell>
        </row>
        <row r="1249">
          <cell r="E1249" t="str">
            <v>B25016271</v>
          </cell>
          <cell r="AP1249">
            <v>0</v>
          </cell>
          <cell r="AQ1249">
            <v>0</v>
          </cell>
          <cell r="AV1249">
            <v>38760000</v>
          </cell>
        </row>
        <row r="1250">
          <cell r="E1250" t="str">
            <v>D25018881</v>
          </cell>
          <cell r="AP1250">
            <v>0</v>
          </cell>
          <cell r="AQ1250">
            <v>0</v>
          </cell>
          <cell r="AV1250">
            <v>4400000</v>
          </cell>
        </row>
        <row r="1251">
          <cell r="E1251" t="str">
            <v>D25018971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Z25003294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B25016697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Z25003321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D25019448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D25019496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D25019504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Z25003354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B25017019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B25017026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Z25003356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D25019620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Z25003374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Z25003397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B26000429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D26000565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Z26000091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D26000711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D26000775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D26000776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D26001205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Z26000194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B26001638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D26001751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D26001824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D26001832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B26001738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D26001880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D26001881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D26001882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D26001883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Z26000329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Z26000349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D26002089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D26002192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D26002316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Z26000466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B26002534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B26002605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D26003226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B26001989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B26002505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D26003190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D26000790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B26000754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D26000874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D26000875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D26003200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D26003218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B26003161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B26003162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B26000239</v>
          </cell>
          <cell r="AP1302">
            <v>0</v>
          </cell>
          <cell r="AQ1302">
            <v>0</v>
          </cell>
          <cell r="AV1302">
            <v>9000000</v>
          </cell>
        </row>
        <row r="1303">
          <cell r="E1303" t="str">
            <v>B26000240</v>
          </cell>
          <cell r="AP1303">
            <v>0</v>
          </cell>
          <cell r="AQ1303">
            <v>0</v>
          </cell>
          <cell r="AV1303">
            <v>11805000</v>
          </cell>
        </row>
        <row r="1304">
          <cell r="E1304" t="str">
            <v>B26000745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B26000746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D26001239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T26000083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D26001277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D26001287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B26001228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B26001248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B26001264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B26001275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B26001390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B26002071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B26002072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D26002365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D26002887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D26002888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B26002884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B26002953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B26003060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D26003323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B26003150</v>
          </cell>
          <cell r="AP1324">
            <v>0</v>
          </cell>
          <cell r="AQ1324">
            <v>0</v>
          </cell>
          <cell r="AV1324">
            <v>3480000</v>
          </cell>
        </row>
        <row r="1325">
          <cell r="E1325" t="str">
            <v>T26000257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T26000025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B26001440</v>
          </cell>
          <cell r="AP1327">
            <v>0</v>
          </cell>
          <cell r="AQ1327">
            <v>0</v>
          </cell>
          <cell r="AV1327">
            <v>470000</v>
          </cell>
        </row>
        <row r="1328">
          <cell r="E1328" t="str">
            <v>B26001923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D26002385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B26002589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B26003056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D26000757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B26002262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D26001933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D26001934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D26001935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B26002455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B26002456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B26002457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B26002458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D26000765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D26000806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D26001212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D26001281</v>
          </cell>
          <cell r="AP1344">
            <v>0</v>
          </cell>
          <cell r="AQ1344">
            <v>0</v>
          </cell>
          <cell r="AV1344">
            <v>4300000</v>
          </cell>
        </row>
        <row r="1345">
          <cell r="E1345" t="str">
            <v>T26000218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B26002907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D25019385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B26002918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T26000235k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T26000237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D26000223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B26001389</v>
          </cell>
          <cell r="AP1352">
            <v>0</v>
          </cell>
          <cell r="AQ1352">
            <v>0</v>
          </cell>
          <cell r="AV1352">
            <v>4075000</v>
          </cell>
        </row>
        <row r="1353">
          <cell r="E1353" t="str">
            <v>B26001896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B26001897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B26002357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B26002358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B26002481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D26002685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T26000189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B26002921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B26003025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B25016550</v>
          </cell>
          <cell r="AP1362">
            <v>0</v>
          </cell>
          <cell r="AQ1362">
            <v>0</v>
          </cell>
          <cell r="AV1362">
            <v>15000000</v>
          </cell>
        </row>
        <row r="1363">
          <cell r="E1363" t="str">
            <v>D25019411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B25017052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B26000047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B26000244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B26000701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D26000758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B26001359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B26001578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B26001629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B26001675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B26001704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D26001945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D26002457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D26002552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B26002879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D26000861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B25016228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B25016798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B25016802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B25017093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D26000237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B26000783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B26001561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D26003097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B26002996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T25001720K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B25016022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D25018937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B25016519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B25016610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D25019343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B26000267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B26000268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B26000284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B26000323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D26000387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D26000391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B26000395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B26000666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D26000737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D26000873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D26000882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D26000884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B26000827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B26000831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B26000872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D26000914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B26000926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D26001016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B26001032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B26001033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B26001047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D26001140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D26001157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B26001163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D26001214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B26001239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D26001300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D26001326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D26001367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D26001574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B26001560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D26001685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D26001686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D26001687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D26001742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D26001796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B26001730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D26001867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B26001840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B26001854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B26001859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T26000139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B26002153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D26002256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B26002228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D26002440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B26002270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B26002324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B26002346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D26002522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D26002622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D26002648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D26002811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D26003032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D26003033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D26003048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T26000231k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B26002959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B26002960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B26002973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D26003187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D26003196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D26003321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B26003111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B26003112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B26003113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B26003114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B26003115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B26003116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B26003123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B26003124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B26003167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D26002181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D26002182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D26002310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D26002311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B26002579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B26002704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C26000142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B25016384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D25019393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D25019652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B26000606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B26000956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B26001207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B26002317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T26000229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T26000230</v>
          </cell>
          <cell r="AP1481">
            <v>0</v>
          </cell>
          <cell r="AQ1481">
            <v>0</v>
          </cell>
          <cell r="AV1481">
            <v>1700000</v>
          </cell>
        </row>
        <row r="1482">
          <cell r="E1482" t="str">
            <v>D26001151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D26001766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B26001763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B26001974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B26002320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B26002434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B26002435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D26002836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T26000192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D26003242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B26001196</v>
          </cell>
          <cell r="AP1492">
            <v>0</v>
          </cell>
          <cell r="AQ1492">
            <v>0</v>
          </cell>
          <cell r="AV1492">
            <v>1600000</v>
          </cell>
        </row>
        <row r="1493">
          <cell r="E1493" t="str">
            <v>B26001196</v>
          </cell>
          <cell r="AP1493">
            <v>0</v>
          </cell>
          <cell r="AQ1493">
            <v>0</v>
          </cell>
          <cell r="AV1493">
            <v>3520000</v>
          </cell>
        </row>
        <row r="1494">
          <cell r="E1494" t="str">
            <v>B26001197</v>
          </cell>
          <cell r="AP1494">
            <v>0</v>
          </cell>
          <cell r="AQ1494">
            <v>0</v>
          </cell>
          <cell r="AV1494">
            <v>5660000</v>
          </cell>
        </row>
        <row r="1495">
          <cell r="E1495" t="str">
            <v>B26001198</v>
          </cell>
          <cell r="AP1495">
            <v>0</v>
          </cell>
          <cell r="AQ1495">
            <v>0</v>
          </cell>
          <cell r="AV1495">
            <v>4180000</v>
          </cell>
        </row>
        <row r="1496">
          <cell r="E1496" t="str">
            <v>B26001199</v>
          </cell>
          <cell r="AP1496">
            <v>0</v>
          </cell>
          <cell r="AQ1496">
            <v>0</v>
          </cell>
          <cell r="AV1496">
            <v>1172500</v>
          </cell>
        </row>
        <row r="1497">
          <cell r="E1497" t="str">
            <v>B26001200</v>
          </cell>
          <cell r="AP1497">
            <v>0</v>
          </cell>
          <cell r="AQ1497">
            <v>0</v>
          </cell>
          <cell r="AV1497">
            <v>97500</v>
          </cell>
        </row>
        <row r="1498">
          <cell r="E1498" t="str">
            <v>D26001307</v>
          </cell>
          <cell r="AP1498">
            <v>0</v>
          </cell>
          <cell r="AQ1498">
            <v>0</v>
          </cell>
          <cell r="AV1498">
            <v>2064000</v>
          </cell>
        </row>
        <row r="1499">
          <cell r="E1499" t="str">
            <v>B26001786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B26001787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B26001788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B26001789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B26001791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B26002020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B26002021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B26002022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D26002249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B26002521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B26002523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B26002524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B26002525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B26002812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B26003103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B26003135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B26003136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B26003137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B26003139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L26000010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B26001901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B26002107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C26000151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B26002062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D26001846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D26002410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D26003123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D26003309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D26003375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D26003390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B25005869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D25010517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B26000617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D26002255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D26003104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B26002777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B26003120</v>
          </cell>
          <cell r="AP1535">
            <v>0</v>
          </cell>
          <cell r="AQ1535">
            <v>0</v>
          </cell>
          <cell r="AV1535">
            <v>4275000</v>
          </cell>
        </row>
        <row r="1536">
          <cell r="E1536" t="str">
            <v>B26003121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D26001797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D25018930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C26000174</v>
          </cell>
          <cell r="AP1539">
            <v>0</v>
          </cell>
          <cell r="AQ1539">
            <v>0</v>
          </cell>
          <cell r="AV1539">
            <v>616000</v>
          </cell>
        </row>
        <row r="1540">
          <cell r="E1540" t="str">
            <v>C26000175</v>
          </cell>
          <cell r="AP1540">
            <v>0</v>
          </cell>
          <cell r="AQ1540">
            <v>0</v>
          </cell>
          <cell r="AV1540">
            <v>212000</v>
          </cell>
        </row>
        <row r="1541">
          <cell r="E1541" t="str">
            <v>C26000176</v>
          </cell>
          <cell r="AP1541">
            <v>0</v>
          </cell>
          <cell r="AQ1541">
            <v>0</v>
          </cell>
          <cell r="AV1541">
            <v>184000</v>
          </cell>
        </row>
        <row r="1542">
          <cell r="E1542" t="str">
            <v>T26000149K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D26001055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D26001521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D26001554</v>
          </cell>
          <cell r="AP1545">
            <v>0</v>
          </cell>
          <cell r="AQ1545">
            <v>0</v>
          </cell>
          <cell r="AV1545">
            <v>1000000</v>
          </cell>
        </row>
        <row r="1546">
          <cell r="E1546" t="str">
            <v>D26001568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B26001889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D26002000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B26002156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B26002509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D26002749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D26003092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B26003119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D26001386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D26001392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B26002785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D26003116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Z26000236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Z26000335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Z26000520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Z26000617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Z26000581</v>
          </cell>
          <cell r="AP1562">
            <v>0</v>
          </cell>
          <cell r="AQ1562">
            <v>0</v>
          </cell>
          <cell r="AV1562">
            <v>2025000</v>
          </cell>
        </row>
        <row r="1563">
          <cell r="E1563" t="str">
            <v>D26002848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B26002247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B26002887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B26002888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T25001533K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T25001617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T26000086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D25017894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D25017895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D25017897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T25001556K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D26002748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D26003237</v>
          </cell>
          <cell r="AP1575">
            <v>0</v>
          </cell>
          <cell r="AQ1575">
            <v>0</v>
          </cell>
          <cell r="AV1575">
            <v>4970000</v>
          </cell>
        </row>
        <row r="1576">
          <cell r="E1576" t="str">
            <v>D26000840</v>
          </cell>
          <cell r="AP1576">
            <v>0</v>
          </cell>
          <cell r="AQ1576">
            <v>0</v>
          </cell>
          <cell r="AV1576">
            <v>2900000</v>
          </cell>
        </row>
        <row r="1577">
          <cell r="E1577" t="str">
            <v>B26001123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B26001136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B26001590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B26001591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D26002416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B26002645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Z26000020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Z26000021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Z26000024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Z26000231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Z26000232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Z26000606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Z26000607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Z26000632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D26002833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D25018525</v>
          </cell>
          <cell r="AP1592">
            <v>0</v>
          </cell>
          <cell r="AQ1592">
            <v>0</v>
          </cell>
          <cell r="AV1592">
            <v>119520000</v>
          </cell>
        </row>
        <row r="1593">
          <cell r="E1593" t="str">
            <v>D25018606</v>
          </cell>
          <cell r="AP1593">
            <v>0</v>
          </cell>
          <cell r="AQ1593">
            <v>0</v>
          </cell>
          <cell r="AV1593">
            <v>17010000</v>
          </cell>
        </row>
        <row r="1594">
          <cell r="E1594" t="str">
            <v>B25016177</v>
          </cell>
          <cell r="AP1594">
            <v>0</v>
          </cell>
          <cell r="AQ1594">
            <v>0</v>
          </cell>
          <cell r="AV1594">
            <v>3240000</v>
          </cell>
        </row>
        <row r="1595">
          <cell r="E1595" t="str">
            <v>B25016825</v>
          </cell>
          <cell r="AP1595">
            <v>0</v>
          </cell>
          <cell r="AQ1595">
            <v>0</v>
          </cell>
          <cell r="AV1595">
            <v>7700000</v>
          </cell>
        </row>
        <row r="1596">
          <cell r="E1596" t="str">
            <v>B25016837</v>
          </cell>
          <cell r="AP1596">
            <v>0</v>
          </cell>
          <cell r="AQ1596">
            <v>0</v>
          </cell>
          <cell r="AV1596">
            <v>42075000</v>
          </cell>
        </row>
        <row r="1597">
          <cell r="E1597" t="str">
            <v>B25017008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D25019579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D26000036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D26000149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D26000150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B26000166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B26000347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D26000810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B26000982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B26000983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B26001042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B26001049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D26001275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D26001314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B26001274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B26001388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B26001410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B26001446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B26001574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B26001580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D26001839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B26001745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D26002091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D26002297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D26002682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D26002683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D26002710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D26002907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D26002913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D26002914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B26002910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B26003009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B26003174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B25016619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D25019634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B25013215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B25013285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E23005700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B25008183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B26001004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D26002404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B26002150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D26000664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B26002728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D26000899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T26000064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T26000089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B26002113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B26002495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B26002496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D26000811</v>
          </cell>
          <cell r="AP1647">
            <v>0</v>
          </cell>
          <cell r="AQ1647">
            <v>0</v>
          </cell>
          <cell r="AV1647">
            <v>1350000</v>
          </cell>
        </row>
        <row r="1648">
          <cell r="E1648" t="str">
            <v>D26002364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D26002487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B26002339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D26002621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B26003118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D25015654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D26002401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T25001854</v>
          </cell>
          <cell r="AP1655">
            <v>0</v>
          </cell>
          <cell r="AQ1655">
            <v>0</v>
          </cell>
          <cell r="AV1655">
            <v>2000000</v>
          </cell>
        </row>
        <row r="1656">
          <cell r="E1656" t="str">
            <v>D25019148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B26000046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B26000125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B26000508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B26001344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D26002160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B26002874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D26001318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Z26000424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B26000001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B26000052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B26000053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B26000062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B26000102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D26000066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D26000222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D26000314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B26000311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B26000314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D26000382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D26000383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D26000460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D26000513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D26000514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D26000515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B26000502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B26000531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B26000580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D26000633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D26000655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B26000665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B26000679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D26000708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D26000712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B26000731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D26000812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B26000778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D26000848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B26000811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B26000842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B26000843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B26000894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B26000895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B26000907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D26001026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D26001084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B26001113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D26001153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D26001171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D26001172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B26001146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D26001224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B26001218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B26001219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D26001283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D26001297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B26001238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B26001295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D26001383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D26001466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B26001433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B26001434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B26001459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D26001631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D26001632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D26001684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D26001732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B26001655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B26001670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D26001858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D26001859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D26001902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B26001821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B26001822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B26001869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B26001870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D26002052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B26001985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B26001986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B26002054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B26002055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B26002133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B26002134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D26002277</v>
          </cell>
          <cell r="AP1739">
            <v>0</v>
          </cell>
          <cell r="AQ1739">
            <v>0</v>
          </cell>
          <cell r="AV1739">
            <v>0</v>
          </cell>
        </row>
        <row r="1740">
          <cell r="E1740" t="str">
            <v>D26002374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B26002209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B26002291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B26002318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B26002327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B26002334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B26002335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D26002656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B26002549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D26002680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D26002736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D26002737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B26002619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B26002620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D26002845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B26002737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B26002738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D26002984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D26002985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N26000027</v>
          </cell>
          <cell r="AP1759">
            <v>0</v>
          </cell>
          <cell r="AQ1759">
            <v>0</v>
          </cell>
          <cell r="AV1759">
            <v>1250000</v>
          </cell>
        </row>
        <row r="1760">
          <cell r="E1760" t="str">
            <v>D26003050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B26002897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B26002898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B26002965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B26002970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D26003169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B26003000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B26003001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B26003024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D26003232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B26003053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B26003087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B26003096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B26003097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B26003098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B26003143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D26003374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D26002272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D26002273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B26002699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T26000196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B26002932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D26001875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D26001969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B26002625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D26001733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B26001753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D26001879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B26002716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B26000870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D26000924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D26001053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D26001062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B26001055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D26001319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B26001537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B26001550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B26002752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D26003246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B26000315</v>
          </cell>
          <cell r="AP1799">
            <v>0</v>
          </cell>
          <cell r="AQ1799">
            <v>0</v>
          </cell>
          <cell r="AV1799">
            <v>19500000</v>
          </cell>
        </row>
        <row r="1800">
          <cell r="E1800" t="str">
            <v>B26001243</v>
          </cell>
          <cell r="AP1800">
            <v>0</v>
          </cell>
          <cell r="AQ1800">
            <v>0</v>
          </cell>
          <cell r="AV1800">
            <v>19500000</v>
          </cell>
        </row>
        <row r="1801">
          <cell r="E1801" t="str">
            <v>D26001524</v>
          </cell>
          <cell r="AP1801">
            <v>0</v>
          </cell>
          <cell r="AQ1801">
            <v>0</v>
          </cell>
          <cell r="AV1801">
            <v>1730000</v>
          </cell>
        </row>
        <row r="1802">
          <cell r="E1802" t="str">
            <v>B26001576</v>
          </cell>
          <cell r="AP1802">
            <v>0</v>
          </cell>
          <cell r="AQ1802">
            <v>0</v>
          </cell>
          <cell r="AV1802">
            <v>19500000</v>
          </cell>
        </row>
        <row r="1803">
          <cell r="E1803" t="str">
            <v>D26002300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B26002308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B26002309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B26002864</v>
          </cell>
          <cell r="AP1806">
            <v>0</v>
          </cell>
          <cell r="AQ1806">
            <v>0</v>
          </cell>
          <cell r="AV1806">
            <v>4280000</v>
          </cell>
        </row>
        <row r="1807">
          <cell r="E1807" t="str">
            <v>B26002980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B26003032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D25016516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N25000063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B26000678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B26003037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D25017524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B25015180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B25015962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D25018402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B25016026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D25019077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B26000050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B26000726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D26000942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D26001481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D26001580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D26002530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B25015817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B25016025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B26000049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B26001029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T26000092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T26000093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D26000315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B26000653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D26001184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D26002063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D26002119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D26002183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B26002218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B26002219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B26002288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Z25003333</v>
          </cell>
          <cell r="AP1840">
            <v>0</v>
          </cell>
          <cell r="AQ1840">
            <v>0</v>
          </cell>
          <cell r="AV1840">
            <v>12600000</v>
          </cell>
        </row>
        <row r="1841">
          <cell r="E1841" t="str">
            <v>Z25003346</v>
          </cell>
          <cell r="AP1841">
            <v>0</v>
          </cell>
          <cell r="AQ1841">
            <v>0</v>
          </cell>
          <cell r="AV1841">
            <v>37200000</v>
          </cell>
        </row>
        <row r="1842">
          <cell r="E1842" t="str">
            <v>Z25003348</v>
          </cell>
          <cell r="AP1842">
            <v>0</v>
          </cell>
          <cell r="AQ1842">
            <v>0</v>
          </cell>
          <cell r="AV1842">
            <v>200000</v>
          </cell>
        </row>
        <row r="1843">
          <cell r="E1843" t="str">
            <v>Z25003358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Z25003375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Z26000012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Z26000029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Z26000094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Z26000102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Z26000130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Z26000153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Z26000177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Z26000220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Z26000279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Z26000372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Z26000427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Z26000437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Z26000549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Z26000550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D25018617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B25016247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B25016267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B25016447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B25016509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B25016792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D25019469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B26000118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D26000102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B26000292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B26000293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B26000528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B26000572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B26000621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B26000671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B26000696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B26000829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B26000865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B26001201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B26001289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B26001340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B26001341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B26001348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B26001383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B26001464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B26001551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B26001698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B26001774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B26001779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B26001782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D26001928</v>
          </cell>
          <cell r="AP1889">
            <v>0</v>
          </cell>
          <cell r="AQ1889">
            <v>0</v>
          </cell>
          <cell r="AV1889">
            <v>282494825</v>
          </cell>
        </row>
        <row r="1890">
          <cell r="E1890" t="str">
            <v>D26001938</v>
          </cell>
          <cell r="AP1890">
            <v>0</v>
          </cell>
          <cell r="AQ1890">
            <v>0</v>
          </cell>
          <cell r="AV1890">
            <v>217505175</v>
          </cell>
        </row>
        <row r="1891">
          <cell r="E1891" t="str">
            <v>D26001938</v>
          </cell>
          <cell r="AP1891">
            <v>0</v>
          </cell>
          <cell r="AQ1891">
            <v>0</v>
          </cell>
          <cell r="AV1891">
            <v>250000000</v>
          </cell>
        </row>
        <row r="1892">
          <cell r="E1892" t="str">
            <v>D26002098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D26002167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D26002270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B26002210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D26002437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D26002488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D26002500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D26002516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D26002615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D26002699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D26002784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D26002787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D26002794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D26002832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D26003076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D26003078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D26003192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D26003199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D26003303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D26003333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B26000380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T26000253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T26000254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B25002140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B26001581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B26002005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B26002040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B26002051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D26002357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T26000183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B26002629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D26002977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D26003024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B26002908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Z26000140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Z26000160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Z26000402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Z26000605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Z26000609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B25016892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D25019399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B25016922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B26001649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B26001714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D26002696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B26002616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C25000307</v>
          </cell>
          <cell r="AP1938">
            <v>0</v>
          </cell>
          <cell r="AQ1938">
            <v>0</v>
          </cell>
          <cell r="AV1938">
            <v>42000</v>
          </cell>
        </row>
        <row r="1939">
          <cell r="E1939" t="str">
            <v>D24015365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D24015541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C25000192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C25000195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C25000196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C25000197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C25000198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C25000445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B25008299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B25008808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B25009712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M25000081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D25018593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B26000145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B26000146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D26000177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D26003341</v>
          </cell>
          <cell r="AP1955">
            <v>0</v>
          </cell>
          <cell r="AQ1955">
            <v>0</v>
          </cell>
          <cell r="AV1955">
            <v>57600000</v>
          </cell>
        </row>
        <row r="1956">
          <cell r="E1956" t="str">
            <v>D25018553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D26001327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B25016972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B26000326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B26001041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B26001680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D26002752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D26002753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D26001769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B26001766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B26001767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T26000124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D26001924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B26002166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D26002309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D26002350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N26000021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D26002389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B26002354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B26002441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B26002442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D26002880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B26002782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D26003098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D26003099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D26003139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D26003355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D26003371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B26000288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D26000885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D26001196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D26001745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D26001800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D26001801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D26001817</v>
          </cell>
          <cell r="AP1990">
            <v>0</v>
          </cell>
          <cell r="AQ1990">
            <v>0</v>
          </cell>
          <cell r="AV1990">
            <v>40750000</v>
          </cell>
        </row>
        <row r="1991">
          <cell r="E1991" t="str">
            <v>B26001712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D26002019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B26001898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D26002042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B26002167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B26002168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D26002971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D26003067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D26003126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D26003261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B26000037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D26000089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D26001302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D26001303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B26001765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D26002387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D26002388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T26000122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Z26000519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D26000752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D26003087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D26003122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B26002988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T26000251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D26003277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D26000093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B26000913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B26000357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D26000440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B26002313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D26003151</v>
          </cell>
          <cell r="AP2021">
            <v>0</v>
          </cell>
          <cell r="AQ2021">
            <v>0</v>
          </cell>
          <cell r="AV2021">
            <v>14200000</v>
          </cell>
        </row>
        <row r="2022">
          <cell r="E2022" t="str">
            <v>D25014407</v>
          </cell>
          <cell r="AP2022">
            <v>0</v>
          </cell>
          <cell r="AQ2022">
            <v>0</v>
          </cell>
          <cell r="AV2022">
            <v>525000000</v>
          </cell>
        </row>
        <row r="2023">
          <cell r="E2023" t="str">
            <v>D26001468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D26001781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B26002909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B26002911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B26000171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D26001079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T25001881k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T26000023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B26001319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D26002055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B25016739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B25016739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B25016739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B25016740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B25016740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D25019250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D25019250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D25019250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B25016887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B25016947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D26001633</v>
          </cell>
          <cell r="AP2043">
            <v>0</v>
          </cell>
          <cell r="AQ2043">
            <v>125000000</v>
          </cell>
          <cell r="AV2043">
            <v>0</v>
          </cell>
        </row>
        <row r="2044">
          <cell r="E2044" t="str">
            <v>D26001633</v>
          </cell>
          <cell r="AP2044">
            <v>0</v>
          </cell>
          <cell r="AQ2044">
            <v>125000000</v>
          </cell>
          <cell r="AV2044">
            <v>0</v>
          </cell>
        </row>
        <row r="2045">
          <cell r="E2045" t="str">
            <v>D26001633</v>
          </cell>
          <cell r="AP2045">
            <v>0</v>
          </cell>
          <cell r="AQ2045">
            <v>125000000</v>
          </cell>
          <cell r="AV2045">
            <v>0</v>
          </cell>
        </row>
        <row r="2046">
          <cell r="E2046" t="str">
            <v>D26001633</v>
          </cell>
          <cell r="AP2046">
            <v>0</v>
          </cell>
          <cell r="AQ2046">
            <v>125000000</v>
          </cell>
          <cell r="AV2046">
            <v>0</v>
          </cell>
        </row>
        <row r="2047">
          <cell r="E2047" t="str">
            <v>D26001633</v>
          </cell>
          <cell r="AP2047">
            <v>0</v>
          </cell>
          <cell r="AQ2047">
            <v>125000000</v>
          </cell>
          <cell r="AV2047">
            <v>0</v>
          </cell>
        </row>
        <row r="2048">
          <cell r="E2048" t="str">
            <v>D26001633</v>
          </cell>
          <cell r="AP2048">
            <v>0</v>
          </cell>
          <cell r="AQ2048">
            <v>125000000</v>
          </cell>
          <cell r="AV2048">
            <v>0</v>
          </cell>
        </row>
        <row r="2049">
          <cell r="E2049" t="str">
            <v>D26001633</v>
          </cell>
          <cell r="AP2049">
            <v>0</v>
          </cell>
          <cell r="AQ2049">
            <v>125000000</v>
          </cell>
          <cell r="AV2049">
            <v>0</v>
          </cell>
        </row>
        <row r="2050">
          <cell r="E2050" t="str">
            <v>D26001633</v>
          </cell>
          <cell r="AP2050">
            <v>0</v>
          </cell>
          <cell r="AQ2050">
            <v>125000000</v>
          </cell>
          <cell r="AV2050">
            <v>0</v>
          </cell>
        </row>
        <row r="2051">
          <cell r="E2051" t="str">
            <v>D26001633</v>
          </cell>
          <cell r="AP2051">
            <v>0</v>
          </cell>
          <cell r="AQ2051">
            <v>125000000</v>
          </cell>
          <cell r="AV2051">
            <v>0</v>
          </cell>
        </row>
        <row r="2052">
          <cell r="E2052" t="str">
            <v>D26001633</v>
          </cell>
          <cell r="AP2052">
            <v>0</v>
          </cell>
          <cell r="AQ2052">
            <v>129687500</v>
          </cell>
          <cell r="AV2052">
            <v>0</v>
          </cell>
        </row>
        <row r="2053">
          <cell r="E2053" t="str">
            <v>D25017428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B26001089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B26001313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B26001585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B26002847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B26003057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D26003319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T25001655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D26000630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D26000631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T26000033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B26001613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T26000165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D26003030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D26003031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D26003040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T26000216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D26003356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B26001164</v>
          </cell>
          <cell r="AP2071">
            <v>0</v>
          </cell>
          <cell r="AQ2071">
            <v>0</v>
          </cell>
          <cell r="AV2071">
            <v>21429000</v>
          </cell>
        </row>
        <row r="2072">
          <cell r="E2072" t="str">
            <v>D26001298</v>
          </cell>
          <cell r="AP2072">
            <v>0</v>
          </cell>
          <cell r="AQ2072">
            <v>0</v>
          </cell>
          <cell r="AV2072">
            <v>32375000</v>
          </cell>
        </row>
        <row r="2073">
          <cell r="E2073" t="str">
            <v>D26001313</v>
          </cell>
          <cell r="AP2073">
            <v>0</v>
          </cell>
          <cell r="AQ2073">
            <v>0</v>
          </cell>
          <cell r="AV2073">
            <v>6196000</v>
          </cell>
        </row>
        <row r="2074">
          <cell r="E2074" t="str">
            <v>D26001380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D26001382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D26001428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B26001435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D26001644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D26001645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D26001854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B26001851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D26002080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B26002052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B26002100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D26002778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T26000222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D26001794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D26001811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D26002569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B26002671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B26002672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B26002674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B26002736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D26003344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D26003353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B26002954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B26002893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D26001146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B26001472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B26001555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B26002323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T25000698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T25000700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D25017210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D25018775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D25018776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D25019491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B25016962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D26001199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D25018010</v>
          </cell>
          <cell r="AP2110">
            <v>0</v>
          </cell>
          <cell r="AQ2110">
            <v>0</v>
          </cell>
          <cell r="AV2110">
            <v>72080000</v>
          </cell>
        </row>
        <row r="2111">
          <cell r="E2111" t="str">
            <v>D25018011</v>
          </cell>
          <cell r="AP2111">
            <v>0</v>
          </cell>
          <cell r="AQ2111">
            <v>0</v>
          </cell>
          <cell r="AV2111">
            <v>51550000</v>
          </cell>
        </row>
        <row r="2112">
          <cell r="E2112" t="str">
            <v>B26001039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D26001222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B25015004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B25015067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D25017412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B25015250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B25015395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D25017843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B25015533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D25017972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D25018032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B25015677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D25018648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D25018929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B25016629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D25019093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D25019171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B25016746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D25019258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B25017047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B25017107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B25017109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D26000485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D26000506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D26000575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D26000852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D26001446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D26001587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D26001625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D26001850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D26002100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D26002356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D26002976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D26003028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D26003039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D26003086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B26003035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D26003206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T22000046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T22000053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T22000087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T22000122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T22000134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T22000139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T22000141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T22000167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T22000207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T22000231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T22000254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T22000265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T22000282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T22000316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T22000338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T22000378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T22000394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T22000405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T22000425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T22000456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T22000472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T22000491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T22000520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T22000560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T22000561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T22000580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T22000604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T22000664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T22000725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T22000772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T22000799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T23000003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T23000012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T23000013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T23000057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T23000064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T23000087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T23000120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D23001207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T23000149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T23000180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T23000184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T23000187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T23000252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T23000257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T23000275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T23000285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T23000332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T23000355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T23000382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T23000419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T23000426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T23000485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T23000492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T23000504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T23000507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T23000508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T23000509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T23000522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T23000524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T23000577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T23000584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T23000594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T23000630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T23000644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T23000686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T23000695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T23000741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T23000742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T23000772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T23000781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T23000782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T23000809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T23000845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T23000846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T23000860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T23000881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T23000884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T23000911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T23000912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T23000914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T23000919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T23000924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T23000935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T23000936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T23000986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T23000989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T23000994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T23000998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T23000999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T23001024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T23001025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T23001026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T23001057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T23001090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T23001094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T23001095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T23001103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T24000001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T24000018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T24000040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T24000113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T24000118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T24000126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T24000149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T24000166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T24000175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T24000176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T24000250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T24000251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T24000260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T24000265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T24000279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T24000299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T24000376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T24000384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T24000391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T24000392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T24000419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T24000448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T24000488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T24000489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T24000495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T24000496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T24000497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T24000498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T24000499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T24000519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T24000527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T24000598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T24000600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T24000601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T24000602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T24000603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T24000612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T24000631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T24000635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T24000673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T24000717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T24000718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T24000719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T24000720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T24000726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T24000727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T24000754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T24000755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T24000787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T24000936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T24000937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T24000938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T24000939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T24000946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T24000983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T24000984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T24000985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T24001077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T24001078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T24001079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T24001085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T24001086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T24001087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T24001088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T24001108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T24001119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T24001120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T24001121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T24001210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T24001211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T24001215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T24001220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T24001241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T24001249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T24001250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T24001265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T24001359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T24001360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T24001361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T24001369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T24001372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T24001380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T24001423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T24001424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T24001446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T24001447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T24001638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T24001639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T24001651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T24001652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T24001653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T24001654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T24001655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T24001697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T24001717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T24001721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T24001842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T25000023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T25000025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T25000026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T25000027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T25000028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T25000029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T25000035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T25000036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T25000091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T25000142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T25000157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T25000158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T25000161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T25000171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T25000172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T25000178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T25000328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T25000329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T25000357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T25000363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T25000364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T25000365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T25000366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T25000367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T25000368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T25000372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T25000432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T25000523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T25000546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T25000547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T25000548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T25000558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T25000559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T25000563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T25000564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T25000578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T25000626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T25000685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T25000686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T25000702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T25000706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T25000707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T25000734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T25000735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T25000740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T25000764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T25000770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R25000015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T25000878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T25000886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T25000887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T25000888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T25000895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T25000902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T25000903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T25000912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T25000914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T25000915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C25000475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T25000936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T25000956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T25000957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T25000958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D25009205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T25000988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T25000997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T25000999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T25001020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T25001022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T25001023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T25001024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T25001025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T25001033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T25001062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T25001078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T25001110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T25001162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T25001165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T25001173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T25001189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T25001203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T25001207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T25001222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T25001269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T25001294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T25001317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T25001323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T25001329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T25001330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T25001336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T25001343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T25001395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T25001408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T25001452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T25001456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T25001457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T25001458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T25001459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T25001460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T25001463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T25001464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T25001485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T25001497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T25001546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T25001592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T25001593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T25001604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T25001608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T25001627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T25001628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T25001629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T25001630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T25001683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T25001712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T25001729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T25001741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T25001742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T25001746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T25001750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T25001751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T25001752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T25001756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T25001757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T25001764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T25001765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T25001766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T25001767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T25001768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T25001769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T25001807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T25001832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T25001896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T26000004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T26000005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T26000007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T26000011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T26000012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T26000015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T26000020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T26000048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T26000069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T26000080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T26000084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T26000112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T26000113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T26000119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T26000130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T26000131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T26000137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T26000138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T26000141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T26000260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T26000266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T26000267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D25016915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B25016903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D25019699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T26000001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M26000038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M26000039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M26000040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B26000953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B26002839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B26002880</v>
          </cell>
          <cell r="AP2508">
            <v>0</v>
          </cell>
          <cell r="AQ2508">
            <v>0</v>
          </cell>
          <cell r="AV2508">
            <v>3860000</v>
          </cell>
        </row>
        <row r="2509">
          <cell r="E2509" t="str">
            <v>Z26000115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Z26000569</v>
          </cell>
          <cell r="AP2510">
            <v>0</v>
          </cell>
          <cell r="AQ2510">
            <v>0</v>
          </cell>
          <cell r="AV2510">
            <v>11664000</v>
          </cell>
        </row>
        <row r="2511">
          <cell r="E2511" t="str">
            <v>Z26000579</v>
          </cell>
          <cell r="AP2511">
            <v>0</v>
          </cell>
          <cell r="AQ2511">
            <v>0</v>
          </cell>
          <cell r="AV2511">
            <v>4530000</v>
          </cell>
        </row>
        <row r="2512">
          <cell r="E2512" t="str">
            <v>Z26000585</v>
          </cell>
          <cell r="AP2512">
            <v>0</v>
          </cell>
          <cell r="AQ2512">
            <v>0</v>
          </cell>
          <cell r="AV2512">
            <v>840000</v>
          </cell>
        </row>
        <row r="2513">
          <cell r="E2513" t="str">
            <v>Z26000640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D25019320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B25016987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B25016996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B25016997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B26000162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D26000376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D26000585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D26000586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D26000864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D26000929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D26001042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B26001102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D26001825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D26001826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B26001830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B26002061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B26002811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B26002815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B26002599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Z25003207</v>
          </cell>
          <cell r="AP2533">
            <v>0</v>
          </cell>
          <cell r="AQ2533">
            <v>0</v>
          </cell>
          <cell r="AV2533">
            <v>10000000</v>
          </cell>
        </row>
        <row r="2534">
          <cell r="E2534" t="str">
            <v>Z26000041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Z26000292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T26000125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Z26000633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Z26000636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Z26000637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B26001144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D26001810</v>
          </cell>
          <cell r="AP2541">
            <v>0</v>
          </cell>
          <cell r="AQ2541">
            <v>0</v>
          </cell>
          <cell r="AV2541">
            <v>61125000</v>
          </cell>
        </row>
        <row r="2542">
          <cell r="E2542" t="str">
            <v>B26002675</v>
          </cell>
          <cell r="AP2542">
            <v>0</v>
          </cell>
          <cell r="AQ2542">
            <v>0</v>
          </cell>
          <cell r="AV2542">
            <v>68500000</v>
          </cell>
        </row>
        <row r="2543">
          <cell r="E2543" t="str">
            <v>D26003102</v>
          </cell>
          <cell r="AP2543">
            <v>0</v>
          </cell>
          <cell r="AQ2543">
            <v>0</v>
          </cell>
          <cell r="AV2543">
            <v>97240000</v>
          </cell>
        </row>
        <row r="2544">
          <cell r="E2544" t="str">
            <v>D26003113</v>
          </cell>
          <cell r="AP2544">
            <v>0</v>
          </cell>
          <cell r="AQ2544">
            <v>0</v>
          </cell>
          <cell r="AV2544">
            <v>4875000</v>
          </cell>
        </row>
        <row r="2545">
          <cell r="E2545" t="str">
            <v>D26003231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B26003155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D26003354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T25001898</v>
          </cell>
          <cell r="AP2548">
            <v>0</v>
          </cell>
          <cell r="AQ2548">
            <v>0</v>
          </cell>
          <cell r="AV2548">
            <v>5400000</v>
          </cell>
        </row>
        <row r="2549">
          <cell r="E2549" t="str">
            <v>B26002445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T26000182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B26002527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B26000464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B26001015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B26001016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D26002143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D26002276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D26000017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B26001154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B26001167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B26001222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B26001223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B26001686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D26002213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B26002946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D26003330</v>
          </cell>
          <cell r="AP2565">
            <v>0</v>
          </cell>
          <cell r="AQ2565">
            <v>0</v>
          </cell>
          <cell r="AV2565">
            <v>100000000</v>
          </cell>
        </row>
        <row r="2566">
          <cell r="E2566" t="str">
            <v>B26000048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D26000472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D26000473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T26000028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B26000832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D26002037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D26002038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D26003346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B26001984</v>
          </cell>
          <cell r="AP2574">
            <v>0</v>
          </cell>
          <cell r="AQ2574">
            <v>0</v>
          </cell>
          <cell r="AV2574">
            <v>75764000</v>
          </cell>
        </row>
        <row r="2575">
          <cell r="E2575" t="str">
            <v>B26002004</v>
          </cell>
          <cell r="AP2575">
            <v>0</v>
          </cell>
          <cell r="AQ2575">
            <v>0</v>
          </cell>
          <cell r="AV2575">
            <v>11390000</v>
          </cell>
        </row>
        <row r="2576">
          <cell r="E2576" t="str">
            <v>B26002128</v>
          </cell>
          <cell r="AP2576">
            <v>0</v>
          </cell>
          <cell r="AQ2576">
            <v>0</v>
          </cell>
          <cell r="AV2576">
            <v>12846000</v>
          </cell>
        </row>
        <row r="2577">
          <cell r="E2577" t="str">
            <v>B25015599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B26000354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D26000448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B26000835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D26000920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B26000897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D26000963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B26001369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D26001450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D26001453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D26001482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D26001492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D26002109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D26002495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D26003144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B26002600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B26001296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D26001432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B26001645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D26001058</v>
          </cell>
          <cell r="AP2596">
            <v>0</v>
          </cell>
          <cell r="AQ2596">
            <v>0</v>
          </cell>
          <cell r="AV2596">
            <v>16850000</v>
          </cell>
        </row>
        <row r="2597">
          <cell r="E2597" t="str">
            <v>D26001059</v>
          </cell>
          <cell r="AP2597">
            <v>0</v>
          </cell>
          <cell r="AQ2597">
            <v>0</v>
          </cell>
          <cell r="AV2597">
            <v>6000000</v>
          </cell>
        </row>
        <row r="2598">
          <cell r="E2598" t="str">
            <v>D26000628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D26000641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T26000077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B26001913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B26001914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D26003263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D26003264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D26003345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B26001807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B26002193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B26002580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D26002835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Z26000325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Z26000373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Z26000546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Z26000596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D26001951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D26001995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B26002110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B26002111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D26002237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D26002291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D26002412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D26002413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D26002414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D26002460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D26002525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B26002417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D26002739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D26002740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D26002759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D26002760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D26002761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D26002762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D26002763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D26002837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D26002877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D26002878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D26002884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D26002894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D26003211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D26003240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D26003241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B26003138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D26003339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T25001634K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T25001713K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T26000058K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T26000245K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B26002949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L26000007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B25016369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B26002714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T25001240K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D26003275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T26000031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T26000049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T26000056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B26001091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B26001121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B26001122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B26001127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D26001370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D26001592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B26001587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T26000126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B26001938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D26002043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D26002069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D26002083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B26002591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B26002592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B26002792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B26002793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D26000800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B26001342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B26001343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B26001522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B26001852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B26001853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D26002332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D26002745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D26003047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B26002903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B26003013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B26002934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B25016045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D25018821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B25016696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B25017117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B25017118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B26000110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B26000111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D26000050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D26000159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D26000160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T26000010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B26000174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D26000481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B26000547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B26000548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B26000549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B26000820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D26000934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D26001000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D26001001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D26001252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D26001253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D26001397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D26001406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B26001746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B26001747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B26001748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B26001749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B26001827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B26001828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B26002469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D26002604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D26002605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D26002606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D26002667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D26002668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B26002869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B26002905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B26002906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B26002989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T26000081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D26001649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T26000107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B26001915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D26002738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D26002335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D26002336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D26000966</v>
          </cell>
          <cell r="AP2731">
            <v>0</v>
          </cell>
          <cell r="AQ2731">
            <v>0</v>
          </cell>
          <cell r="AV2731">
            <v>60400000</v>
          </cell>
        </row>
        <row r="2732">
          <cell r="E2732" t="str">
            <v>B26001804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D26002103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D26002810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B26001208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D26002886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B25016542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B26001414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D26000532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B26002459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Z26000565</v>
          </cell>
          <cell r="AP2741">
            <v>0</v>
          </cell>
          <cell r="AQ2741">
            <v>0</v>
          </cell>
          <cell r="AV2741">
            <v>660000</v>
          </cell>
        </row>
        <row r="2742">
          <cell r="E2742" t="str">
            <v>Z26000568</v>
          </cell>
          <cell r="AP2742">
            <v>0</v>
          </cell>
          <cell r="AQ2742">
            <v>0</v>
          </cell>
          <cell r="AV2742">
            <v>129600000</v>
          </cell>
        </row>
        <row r="2743">
          <cell r="E2743" t="str">
            <v>Z26000570</v>
          </cell>
          <cell r="AP2743">
            <v>0</v>
          </cell>
          <cell r="AQ2743">
            <v>0</v>
          </cell>
          <cell r="AV2743">
            <v>14600000</v>
          </cell>
        </row>
        <row r="2744">
          <cell r="E2744" t="str">
            <v>D26003186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Z26000586</v>
          </cell>
          <cell r="AP2745">
            <v>0</v>
          </cell>
          <cell r="AQ2745">
            <v>0</v>
          </cell>
          <cell r="AV2745">
            <v>1890000</v>
          </cell>
        </row>
        <row r="2746">
          <cell r="E2746" t="str">
            <v>Z26000592</v>
          </cell>
          <cell r="AP2746">
            <v>0</v>
          </cell>
          <cell r="AQ2746">
            <v>0</v>
          </cell>
          <cell r="AV2746">
            <v>3400000</v>
          </cell>
        </row>
        <row r="2747">
          <cell r="E2747" t="str">
            <v>Z26000594</v>
          </cell>
          <cell r="AP2747">
            <v>0</v>
          </cell>
          <cell r="AQ2747">
            <v>0</v>
          </cell>
          <cell r="AV2747">
            <v>13500000</v>
          </cell>
        </row>
        <row r="2748">
          <cell r="E2748" t="str">
            <v>Z26000595</v>
          </cell>
          <cell r="AP2748">
            <v>0</v>
          </cell>
          <cell r="AQ2748">
            <v>0</v>
          </cell>
          <cell r="AV2748">
            <v>4050000</v>
          </cell>
        </row>
        <row r="2749">
          <cell r="E2749" t="str">
            <v>Z26000598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B26003101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Z26000630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Z26000631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Z26000634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Z26000639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Z26000641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Z26000642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D25019317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D25019601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D26000157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D26000158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B26000947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B26000948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B26000966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B26001118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B26001119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B26001249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B26001250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B26001475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B26001478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B26001642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B26001643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D26001961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D26001962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D26002535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D25018740</v>
          </cell>
          <cell r="AP2775">
            <v>0</v>
          </cell>
          <cell r="AQ2775">
            <v>0</v>
          </cell>
          <cell r="AV2775">
            <v>25000000</v>
          </cell>
        </row>
        <row r="2776">
          <cell r="E2776" t="str">
            <v>B26000642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D26000695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B26000765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D26001107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D26001255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D26001507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B26001502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D26002281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D26002367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D26002420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D26002490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D26002491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B26002658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B26002700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B26002993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T26000247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B26001187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D26001270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D26001431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D26002165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B26002176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D26003320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B26000978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T26000067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T25001828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T25001833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B26000222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B26001178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B26001179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D26001703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B25017090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B26000159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D26000121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T26000008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D26000439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D26000742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T26000037K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T26000087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D26001362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T26000111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B26002145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D26002235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T26000154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B26002224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B26002286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B26002287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D26002905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T26000212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B26003145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D26003351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B25016191</v>
          </cell>
          <cell r="AP2826">
            <v>0</v>
          </cell>
          <cell r="AQ2826">
            <v>0</v>
          </cell>
          <cell r="AV2826">
            <v>281500000</v>
          </cell>
        </row>
        <row r="2827">
          <cell r="E2827" t="str">
            <v>B25016709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D26000546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D26000623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D26001522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D26002825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R26000001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B25014771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B25015904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D25019221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T26000072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T26000075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B26002165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T26000159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B26003054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B26003069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B26002343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B25014405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D25018762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D25018851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B25016978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B25017020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D25019626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B26000278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B26000628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D26001597</v>
          </cell>
          <cell r="AP2851">
            <v>0</v>
          </cell>
          <cell r="AQ2851">
            <v>0</v>
          </cell>
          <cell r="AV2851">
            <v>1720000</v>
          </cell>
        </row>
        <row r="2852">
          <cell r="E2852" t="str">
            <v>D26002359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B26003092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B26003093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B26003094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D26003325</v>
          </cell>
          <cell r="AP2856">
            <v>0</v>
          </cell>
          <cell r="AQ2856">
            <v>0</v>
          </cell>
          <cell r="AV2856">
            <v>47500000</v>
          </cell>
        </row>
        <row r="2857">
          <cell r="E2857" t="str">
            <v>B26003158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T25001873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D25019628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D25019721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B26000452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D26001889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T25001857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D26002005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B26002546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D26000881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D26000954</v>
          </cell>
          <cell r="AP2867">
            <v>0</v>
          </cell>
          <cell r="AQ2867">
            <v>0</v>
          </cell>
          <cell r="AV2867">
            <v>350000</v>
          </cell>
        </row>
        <row r="2868">
          <cell r="E2868" t="str">
            <v>D26000956</v>
          </cell>
          <cell r="AP2868">
            <v>0</v>
          </cell>
          <cell r="AQ2868">
            <v>0</v>
          </cell>
          <cell r="AV2868">
            <v>1912800</v>
          </cell>
        </row>
        <row r="2869">
          <cell r="E2869" t="str">
            <v>B26001363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B26002106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B26002108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B26002109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B26003090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B26003091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L26000009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D26001734</v>
          </cell>
          <cell r="AP2876">
            <v>0</v>
          </cell>
          <cell r="AQ2876">
            <v>0</v>
          </cell>
          <cell r="AV2876">
            <v>1880000</v>
          </cell>
        </row>
        <row r="2877">
          <cell r="E2877" t="str">
            <v>D26001735</v>
          </cell>
          <cell r="AP2877">
            <v>0</v>
          </cell>
          <cell r="AQ2877">
            <v>0</v>
          </cell>
          <cell r="AV2877">
            <v>2700000</v>
          </cell>
        </row>
        <row r="2878">
          <cell r="E2878" t="str">
            <v>D26003362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D26001525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D26001590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B26001732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B26002038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D26002717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D26002718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D26003207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B26001832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D26001937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B26001877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B25016334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B26000414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B26001424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B26002026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B26002098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B26002493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B26002718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B26003045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D26000410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B26001140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B26001505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B26002099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B26002119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B26002501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D26003260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D25019693</v>
          </cell>
          <cell r="AP2904">
            <v>0</v>
          </cell>
          <cell r="AQ2904">
            <v>0</v>
          </cell>
          <cell r="AV2904">
            <v>15966000</v>
          </cell>
        </row>
        <row r="2905">
          <cell r="E2905" t="str">
            <v>D26000787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B26001474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B26002102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B26003151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B26001085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B26001133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B26002393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D26002554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D26002578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B26002865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B26002889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D26001335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D26002318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B26002644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B26002824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B26002825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B26003127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B25016635</v>
          </cell>
          <cell r="AP2922">
            <v>0</v>
          </cell>
          <cell r="AQ2922">
            <v>0</v>
          </cell>
          <cell r="AV2922">
            <v>650000</v>
          </cell>
        </row>
        <row r="2923">
          <cell r="E2923" t="str">
            <v>T25001862</v>
          </cell>
          <cell r="AP2923">
            <v>0</v>
          </cell>
          <cell r="AQ2923">
            <v>0</v>
          </cell>
          <cell r="AV2923">
            <v>2080000</v>
          </cell>
        </row>
        <row r="2924">
          <cell r="E2924" t="str">
            <v>T26000045k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D26001958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D26001959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D21000994</v>
          </cell>
          <cell r="AP2927">
            <v>0</v>
          </cell>
          <cell r="AQ2927">
            <v>0</v>
          </cell>
          <cell r="AV2927">
            <v>500000</v>
          </cell>
        </row>
        <row r="2928">
          <cell r="E2928" t="str">
            <v>B25015409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D25018472</v>
          </cell>
          <cell r="AP2929">
            <v>0</v>
          </cell>
          <cell r="AQ2929">
            <v>0</v>
          </cell>
          <cell r="AV2929">
            <v>29200000</v>
          </cell>
        </row>
        <row r="2930">
          <cell r="E2930" t="str">
            <v>D25018888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B25016767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B25016768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B25016769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T25001878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D25019426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D25019525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B26000135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D26000138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D26000258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D26000379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D26000443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T26000091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D26001793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D26001799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B26002045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B26002046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D26002265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D26002568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B26002666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B26002686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T26000193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B26002708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D26003021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B26002878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B26003146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D26001260</v>
          </cell>
          <cell r="AP2956">
            <v>0</v>
          </cell>
          <cell r="AQ2956">
            <v>0</v>
          </cell>
          <cell r="AV2956">
            <v>28000000</v>
          </cell>
        </row>
        <row r="2957">
          <cell r="E2957" t="str">
            <v>B26001673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D26001812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B26002382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D26000907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B26002609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B26000855</v>
          </cell>
          <cell r="AP2962">
            <v>0</v>
          </cell>
          <cell r="AQ2962">
            <v>0</v>
          </cell>
          <cell r="AV2962">
            <v>11675000</v>
          </cell>
        </row>
        <row r="2963">
          <cell r="E2963" t="str">
            <v>D26001047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B26001565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D26002654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D26002655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D25017496</v>
          </cell>
          <cell r="AP2967">
            <v>0</v>
          </cell>
          <cell r="AQ2967">
            <v>0</v>
          </cell>
          <cell r="AV2967">
            <v>1840000</v>
          </cell>
        </row>
        <row r="2968">
          <cell r="E2968" t="str">
            <v>D25017925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B25016043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B25016744</v>
          </cell>
          <cell r="AP2970">
            <v>0</v>
          </cell>
          <cell r="AQ2970">
            <v>0</v>
          </cell>
          <cell r="AV2970">
            <v>8160000</v>
          </cell>
        </row>
        <row r="2971">
          <cell r="E2971" t="str">
            <v>T25001872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D26000340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B26000589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B26000664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D26000767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D26001109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D26001346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B26001518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B26001871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B26002436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B26002586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B26002587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D26003064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B26002902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B26002947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B26002995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T26000269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Z26000075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Z26000099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Z26000185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Z26000190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Z26000196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Z26000223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Z26000224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Z26000248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Z26000251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Z26000253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Z26000254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Z26000289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Z26000294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Z26000301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Z26000327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Z26000328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Z26000344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Z26000354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Z26000367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Z26000376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Z26000394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Z26000398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Z26000399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Z26000428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Z26000429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Z26000432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Z26000461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Z26000462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Z26000474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Z26000486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Z26000502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Z26000503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Z26000506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Z26000510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Z26000515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Z26000528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Z26000532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Z26000533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Z26000534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Z26000541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Z26000553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Z26000554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Z26000564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Z26000566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Z26000572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Z26000573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Z26000580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Z26000582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Z26000603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Z26000608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Z26000610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Z26000611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Z26000622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Z26000625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Z26000626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Z26000627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Z26000643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Z26000644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D26001531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B26001523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D26002891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D26003093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B26000797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B26002984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B26001396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D26002498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D26003168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D26002444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D26001903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D26002727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D26000368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B26001617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D26002275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D26002319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B26001933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B26001934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D26002758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D26002764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B26002679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B26000236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D26001423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D26001424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B26001393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D26001847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D26001871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D26001906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D26001915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B26002073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B26002074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B26002076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B26002077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>
            <v>260016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B26002415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D26002594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D26002595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T26000179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B26002754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B26002755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B26002756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B26002757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B26002883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B26003075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B26003076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T25001810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T25001813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T26000127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T26000128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D26003082</v>
          </cell>
          <cell r="AP3095">
            <v>0</v>
          </cell>
          <cell r="AQ3095">
            <v>0</v>
          </cell>
          <cell r="AV3095">
            <v>1462500</v>
          </cell>
        </row>
        <row r="3096">
          <cell r="E3096" t="str">
            <v>Z25003090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Z25003155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Z25003160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Z25003231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Z26000132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Z26000165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Z26000295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D26002520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B26002454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D26002624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D26002951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D26002952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T26000204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B26001151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B26001152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T26000039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B26000251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B26003043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B26003088</v>
          </cell>
          <cell r="AP3114">
            <v>0</v>
          </cell>
          <cell r="AQ3114">
            <v>0</v>
          </cell>
          <cell r="AV3114">
            <v>17000000</v>
          </cell>
        </row>
        <row r="3115">
          <cell r="E3115" t="str">
            <v>D25017355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D25017877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D26001992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B26002034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B26002035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B26002122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D26002338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D26002352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D26002843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D26002844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B26002742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B26002768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B26002779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B26002829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T26000239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B26003015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B26003041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D26003244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D26003245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D26003289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B26003104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B26003105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B26002018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B26002161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B26002162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B26002169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D26002803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D26002804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D26002805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Z26000252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D25017479</v>
          </cell>
          <cell r="AP3145">
            <v>0</v>
          </cell>
          <cell r="AQ3145">
            <v>0</v>
          </cell>
          <cell r="AV3145">
            <v>18400000</v>
          </cell>
        </row>
        <row r="3146">
          <cell r="E3146" t="str">
            <v>D25018022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B25015919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B25016719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T25001870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B25016949</v>
          </cell>
          <cell r="AP3150">
            <v>0</v>
          </cell>
          <cell r="AQ3150">
            <v>0</v>
          </cell>
          <cell r="AV3150">
            <v>10125000</v>
          </cell>
        </row>
        <row r="3151">
          <cell r="E3151" t="str">
            <v>D25019456</v>
          </cell>
          <cell r="AP3151">
            <v>0</v>
          </cell>
          <cell r="AQ3151">
            <v>0</v>
          </cell>
          <cell r="AV3151">
            <v>275000</v>
          </cell>
        </row>
        <row r="3152">
          <cell r="E3152" t="str">
            <v>B25017120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D25019687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D26000526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D26000793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D26000794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B26000762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B26000763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B26000789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B26001310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B26001316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D26001513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B26001625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B26001648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D26001764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D26001893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D26002056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D26002258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B26002199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B26002241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D26002635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B26002574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B26002575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B26002922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B26002923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B26002940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Z26000584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B26003156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B26003157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D26003376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T26000085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B26002044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D25018352</v>
          </cell>
          <cell r="AP3183">
            <v>0</v>
          </cell>
          <cell r="AQ3183">
            <v>0</v>
          </cell>
          <cell r="AV3183">
            <v>8000000</v>
          </cell>
        </row>
        <row r="3184">
          <cell r="E3184" t="str">
            <v>D26000433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B26001108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D26001725</v>
          </cell>
          <cell r="AP3186">
            <v>0</v>
          </cell>
          <cell r="AQ3186">
            <v>0</v>
          </cell>
          <cell r="AV3186">
            <v>73660000</v>
          </cell>
        </row>
        <row r="3187">
          <cell r="E3187" t="str">
            <v>D26001726</v>
          </cell>
          <cell r="AP3187">
            <v>0</v>
          </cell>
          <cell r="AQ3187">
            <v>0</v>
          </cell>
          <cell r="AV3187">
            <v>15580000</v>
          </cell>
        </row>
        <row r="3188">
          <cell r="E3188" t="str">
            <v>D26001728</v>
          </cell>
          <cell r="AP3188">
            <v>0</v>
          </cell>
          <cell r="AQ3188">
            <v>0</v>
          </cell>
          <cell r="AV3188">
            <v>6125000</v>
          </cell>
        </row>
        <row r="3189">
          <cell r="E3189" t="str">
            <v>B26001713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D26001891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B26001884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D26002178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B26002273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B26002466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B26002508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D26002862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D26003009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D26003022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D26003038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T26000246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B26003044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B26003046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B26003117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D26000001</v>
          </cell>
          <cell r="AP3204">
            <v>0</v>
          </cell>
          <cell r="AQ3204">
            <v>0</v>
          </cell>
          <cell r="AV3204">
            <v>3080000</v>
          </cell>
        </row>
        <row r="3205">
          <cell r="E3205" t="str">
            <v>B26000904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B26002696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B26002638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T26000188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D26003057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B26002615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D26000841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B26002220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D25017225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B25015513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B25015514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B25015515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B25015835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D25018981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D25018982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B25016652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D25019412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B26002130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B26002131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D26002290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B26002175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D26002298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D26002306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B26002265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B26002266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D26002471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T26000166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D26002518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T26000177K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B26002557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D26002755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D26002800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D26002806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D26002814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D26002815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B26002802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B26002803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D26003008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D26003129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B26002942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B26002943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B26002977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D26003228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D26003229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T26000051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D26001215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B26002036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B26002037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B26002408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T25001721k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T25001773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Z25003308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Z25003317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Z25003335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Z25003373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Z25003389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Z25003390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Z25003391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Z26000120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Z26000271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Z26000310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Z26000319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Z26000326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Z26000371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Z26000444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Z26000445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Z26000537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Z26000538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Z26000539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Z26000551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Z26000552</v>
          </cell>
          <cell r="AP3275">
            <v>0</v>
          </cell>
          <cell r="AQ3275">
            <v>0</v>
          </cell>
          <cell r="AV3275">
            <v>500000000</v>
          </cell>
        </row>
        <row r="3276">
          <cell r="E3276" t="str">
            <v>Z26000552</v>
          </cell>
          <cell r="AP3276">
            <v>0</v>
          </cell>
          <cell r="AQ3276">
            <v>0</v>
          </cell>
          <cell r="AV3276">
            <v>40000000</v>
          </cell>
        </row>
        <row r="3277">
          <cell r="E3277" t="str">
            <v>Z26000563</v>
          </cell>
          <cell r="AP3277">
            <v>0</v>
          </cell>
          <cell r="AQ3277">
            <v>0</v>
          </cell>
          <cell r="AV3277">
            <v>30000000</v>
          </cell>
        </row>
        <row r="3278">
          <cell r="E3278" t="str">
            <v>Z26000574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Z26000575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Z26000588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Z26000589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Z26000599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Z26000601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B26001441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B26001442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D26001593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D26001729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B26001739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D26002046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D26002068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D26002434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D26002439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D26002785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B26002826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D26003042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D26003074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D25018111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D26002343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D26002344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D26002345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B25016387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B25016784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B26000121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T26000009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B26001639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D26002196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T26000151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C26000180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C26000179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C26000178</v>
          </cell>
          <cell r="AP3310">
            <v>0</v>
          </cell>
          <cell r="AQ3310">
            <v>0</v>
          </cell>
          <cell r="AV3310">
            <v>1895000</v>
          </cell>
        </row>
        <row r="3311">
          <cell r="E3311" t="str">
            <v>Z25001658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D25017735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D25017752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D25017752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B25015422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B25015422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B25015422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B25015422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B25015422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B25015422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B25015561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D25018029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D25018029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D25018029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D25018065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D25018103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D25018268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D25018268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D25018268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D25018268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D25018268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B25015876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B25016042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B25016058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B25016058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B25016073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B25016323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B25016323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B25016323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B25016368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B25016611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D25019062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D25019062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D25019062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D25019153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D25019210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D25019264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D25019264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D25019264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D25019268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D25019268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D25019269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D25019356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D25019356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D25019394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D25019394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D25019517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D25019517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D25019595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D25019595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D25019595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D25019596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D25019596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D25019596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D25019596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B25017086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B25017135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D26000080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D26000080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D26000080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D26000080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D26000080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D26000080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D26000081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D26000081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D26000083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D26000083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D26000536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D26000583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D26001285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D26001285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D26001494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D26001494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D26001494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D26001494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D26001508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D26001508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D26001675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D26001675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D26001675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D26001675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D26001675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D26001675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D26001675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D26001676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D26001770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D26001802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D26002025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D26002430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D26002443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D26002512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D26002513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D26002626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D26002627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D26002681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D26002691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B26002751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B26002775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D26002962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D26002986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D26003007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D25007908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D25015340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D25010159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B26003067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D26003306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B26001143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B26002948</v>
          </cell>
          <cell r="AP3418">
            <v>0</v>
          </cell>
          <cell r="AQ3418">
            <v>0</v>
          </cell>
          <cell r="AV3418">
            <v>7040000</v>
          </cell>
        </row>
        <row r="3419">
          <cell r="E3419" t="str">
            <v>D26003175</v>
          </cell>
          <cell r="AP3419">
            <v>0</v>
          </cell>
          <cell r="AQ3419">
            <v>0</v>
          </cell>
          <cell r="AV3419">
            <v>1140000</v>
          </cell>
        </row>
        <row r="3420">
          <cell r="E3420" t="str">
            <v>D24016641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A26000273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A26000277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A26000281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A26000291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A26000299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A26000301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A26000305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A26000310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A26000313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A26000314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A26000315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A26000316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A26000317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A26000319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A26000328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A26000331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A26000332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A26000333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A26000337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A26000338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A26000341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A26000342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A26000343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A26000344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A26000346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A26000347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A26000348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A26000349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A26000350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A26000351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A26000352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A26000356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A26000357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A26000358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A26000359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A26000361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A26000362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A26000363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A26000364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A26000365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A26000366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A26000370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A26000371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A26000372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A26000373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A26000374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A26000375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A26000376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A26000378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A26000379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A26000381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A26000382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A26000383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A26000384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A26000385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A26000386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A26000387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A26000388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A26000389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A26000390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A26000391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A26000392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A26000393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A26000394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A26000395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A26000397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A26000398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A26000399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A26000400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A26000401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A26000402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A26000251</v>
          </cell>
          <cell r="AP3492">
            <v>0</v>
          </cell>
          <cell r="AQ3492">
            <v>0</v>
          </cell>
          <cell r="AV3492">
            <v>80525</v>
          </cell>
        </row>
        <row r="3493">
          <cell r="E3493" t="str">
            <v>A26000251</v>
          </cell>
          <cell r="AP3493">
            <v>0</v>
          </cell>
          <cell r="AQ3493">
            <v>0</v>
          </cell>
          <cell r="AV3493">
            <v>15975</v>
          </cell>
        </row>
        <row r="3494">
          <cell r="E3494" t="str">
            <v>A26000258</v>
          </cell>
          <cell r="AP3494">
            <v>0</v>
          </cell>
          <cell r="AQ3494">
            <v>0</v>
          </cell>
          <cell r="AV3494">
            <v>170625</v>
          </cell>
        </row>
        <row r="3495">
          <cell r="E3495" t="str">
            <v>A26000258</v>
          </cell>
          <cell r="AP3495">
            <v>0</v>
          </cell>
          <cell r="AQ3495">
            <v>0</v>
          </cell>
          <cell r="AV3495">
            <v>31875</v>
          </cell>
        </row>
        <row r="3496">
          <cell r="E3496" t="str">
            <v>A26000263</v>
          </cell>
          <cell r="AP3496">
            <v>0</v>
          </cell>
          <cell r="AQ3496">
            <v>0</v>
          </cell>
          <cell r="AV3496">
            <v>39087.5</v>
          </cell>
        </row>
        <row r="3497">
          <cell r="E3497" t="str">
            <v>A26000263</v>
          </cell>
          <cell r="AP3497">
            <v>0</v>
          </cell>
          <cell r="AQ3497">
            <v>0</v>
          </cell>
          <cell r="AV3497">
            <v>8662.5</v>
          </cell>
        </row>
        <row r="3498">
          <cell r="E3498" t="str">
            <v>A26000264</v>
          </cell>
          <cell r="AP3498">
            <v>0</v>
          </cell>
          <cell r="AQ3498">
            <v>0</v>
          </cell>
          <cell r="AV3498">
            <v>79462.5</v>
          </cell>
        </row>
        <row r="3499">
          <cell r="E3499" t="str">
            <v>A26000264</v>
          </cell>
          <cell r="AP3499">
            <v>0</v>
          </cell>
          <cell r="AQ3499">
            <v>0</v>
          </cell>
          <cell r="AV3499">
            <v>15787.5</v>
          </cell>
        </row>
        <row r="3500">
          <cell r="E3500" t="str">
            <v>A26000265</v>
          </cell>
          <cell r="AP3500">
            <v>0</v>
          </cell>
          <cell r="AQ3500">
            <v>0</v>
          </cell>
          <cell r="AV3500">
            <v>45993.75</v>
          </cell>
        </row>
        <row r="3501">
          <cell r="E3501" t="str">
            <v>A26000265</v>
          </cell>
          <cell r="AP3501">
            <v>0</v>
          </cell>
          <cell r="AQ3501">
            <v>0</v>
          </cell>
          <cell r="AV3501">
            <v>9881.25</v>
          </cell>
        </row>
        <row r="3502">
          <cell r="E3502" t="str">
            <v>A26000266</v>
          </cell>
          <cell r="AP3502">
            <v>0</v>
          </cell>
          <cell r="AQ3502">
            <v>0</v>
          </cell>
          <cell r="AV3502">
            <v>66712.5</v>
          </cell>
        </row>
        <row r="3503">
          <cell r="E3503" t="str">
            <v>A26000266</v>
          </cell>
          <cell r="AP3503">
            <v>0</v>
          </cell>
          <cell r="AQ3503">
            <v>0</v>
          </cell>
          <cell r="AV3503">
            <v>13537.5</v>
          </cell>
        </row>
        <row r="3504">
          <cell r="E3504" t="str">
            <v>A26000267</v>
          </cell>
          <cell r="AP3504">
            <v>0</v>
          </cell>
          <cell r="AQ3504">
            <v>0</v>
          </cell>
          <cell r="AV3504">
            <v>49712.5</v>
          </cell>
        </row>
        <row r="3505">
          <cell r="E3505" t="str">
            <v>A26000267</v>
          </cell>
          <cell r="AP3505">
            <v>0</v>
          </cell>
          <cell r="AQ3505">
            <v>0</v>
          </cell>
          <cell r="AV3505">
            <v>10537.5</v>
          </cell>
        </row>
        <row r="3506">
          <cell r="E3506" t="str">
            <v>A26000283</v>
          </cell>
          <cell r="AP3506">
            <v>0</v>
          </cell>
          <cell r="AQ3506">
            <v>0</v>
          </cell>
          <cell r="AV3506">
            <v>44400</v>
          </cell>
        </row>
        <row r="3507">
          <cell r="E3507" t="str">
            <v>A26000283</v>
          </cell>
          <cell r="AP3507">
            <v>0</v>
          </cell>
          <cell r="AQ3507">
            <v>0</v>
          </cell>
          <cell r="AV3507">
            <v>9600</v>
          </cell>
        </row>
        <row r="3508">
          <cell r="E3508" t="str">
            <v>A26000284</v>
          </cell>
          <cell r="AP3508">
            <v>0</v>
          </cell>
          <cell r="AQ3508">
            <v>0</v>
          </cell>
          <cell r="AV3508">
            <v>95400</v>
          </cell>
        </row>
        <row r="3509">
          <cell r="E3509" t="str">
            <v>A26000284</v>
          </cell>
          <cell r="AP3509">
            <v>0</v>
          </cell>
          <cell r="AQ3509">
            <v>0</v>
          </cell>
          <cell r="AV3509">
            <v>18600</v>
          </cell>
        </row>
        <row r="3510">
          <cell r="E3510" t="str">
            <v>A26000292</v>
          </cell>
          <cell r="AP3510">
            <v>0</v>
          </cell>
          <cell r="AQ3510">
            <v>0</v>
          </cell>
          <cell r="AV3510">
            <v>91681.25</v>
          </cell>
        </row>
        <row r="3511">
          <cell r="E3511" t="str">
            <v>A26000292</v>
          </cell>
          <cell r="AP3511">
            <v>0</v>
          </cell>
          <cell r="AQ3511">
            <v>0</v>
          </cell>
          <cell r="AV3511">
            <v>17943.75</v>
          </cell>
        </row>
        <row r="3512">
          <cell r="E3512" t="str">
            <v>A26000294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A26000303</v>
          </cell>
          <cell r="AP3513">
            <v>0</v>
          </cell>
          <cell r="AQ3513">
            <v>0</v>
          </cell>
          <cell r="AV3513">
            <v>122600</v>
          </cell>
        </row>
        <row r="3514">
          <cell r="E3514" t="str">
            <v>A26000303</v>
          </cell>
          <cell r="AP3514">
            <v>0</v>
          </cell>
          <cell r="AQ3514">
            <v>0</v>
          </cell>
          <cell r="AV3514">
            <v>23400</v>
          </cell>
        </row>
        <row r="3515">
          <cell r="E3515" t="str">
            <v>A26000306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A26000307</v>
          </cell>
          <cell r="AP3516">
            <v>0</v>
          </cell>
          <cell r="AQ3516">
            <v>0</v>
          </cell>
          <cell r="AV3516">
            <v>350187.5</v>
          </cell>
        </row>
        <row r="3517">
          <cell r="E3517" t="str">
            <v>A26000307</v>
          </cell>
          <cell r="AP3517">
            <v>0</v>
          </cell>
          <cell r="AQ3517">
            <v>0</v>
          </cell>
          <cell r="AV3517">
            <v>63562.5</v>
          </cell>
        </row>
        <row r="3518">
          <cell r="E3518" t="str">
            <v>A26000339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A26000345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A26000353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A26000354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A26000355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A26000360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A26000367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A26000368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A26000369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A26000377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A26000380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A26000396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D26002574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D26000826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T26000090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D26002468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D26002992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D26002993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B26001731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D26001894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B26002295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B26002299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B26002781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D26003369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D26003370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D26003112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B25016707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B25016708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B26000051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D26001548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D26002084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D26002093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B26002596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D26002799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D25018814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D25018817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B26000296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D26001342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D26001717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D26001786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D26001823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D26001909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D26002044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B26002279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B26002551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B26002552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B26002774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B26002952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D26003285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D26003312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D25013126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B26000026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D26000082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D26001502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B26001421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B26001422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B26001422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B26001426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B26001426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D26001761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D26001814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D26001991</v>
          </cell>
          <cell r="AP3579">
            <v>0</v>
          </cell>
          <cell r="AQ3579">
            <v>52920000</v>
          </cell>
          <cell r="AV3579">
            <v>0</v>
          </cell>
        </row>
        <row r="3580">
          <cell r="E3580" t="str">
            <v>B26001957</v>
          </cell>
          <cell r="AP3580">
            <v>0</v>
          </cell>
          <cell r="AQ3580">
            <v>48750000</v>
          </cell>
          <cell r="AV3580">
            <v>0</v>
          </cell>
        </row>
        <row r="3581">
          <cell r="E3581" t="str">
            <v>B26002136</v>
          </cell>
          <cell r="AP3581">
            <v>0</v>
          </cell>
          <cell r="AQ3581">
            <v>15300000</v>
          </cell>
          <cell r="AV3581">
            <v>0</v>
          </cell>
        </row>
        <row r="3582">
          <cell r="E3582" t="str">
            <v>D26002391</v>
          </cell>
          <cell r="AP3582">
            <v>0</v>
          </cell>
          <cell r="AQ3582">
            <v>28000000</v>
          </cell>
          <cell r="AV3582">
            <v>0</v>
          </cell>
        </row>
        <row r="3583">
          <cell r="E3583" t="str">
            <v>D26002392</v>
          </cell>
          <cell r="AP3583">
            <v>0</v>
          </cell>
          <cell r="AQ3583">
            <v>55030000</v>
          </cell>
          <cell r="AV3583">
            <v>0</v>
          </cell>
        </row>
        <row r="3584">
          <cell r="E3584" t="str">
            <v>D26002392</v>
          </cell>
          <cell r="AP3584">
            <v>0</v>
          </cell>
          <cell r="AQ3584">
            <v>165870000</v>
          </cell>
          <cell r="AV3584">
            <v>0</v>
          </cell>
        </row>
        <row r="3585">
          <cell r="E3585" t="str">
            <v>D26002555</v>
          </cell>
          <cell r="AP3585">
            <v>0</v>
          </cell>
          <cell r="AQ3585">
            <v>25200000</v>
          </cell>
          <cell r="AV3585">
            <v>0</v>
          </cell>
        </row>
        <row r="3586">
          <cell r="E3586" t="str">
            <v>D26002608</v>
          </cell>
          <cell r="AP3586">
            <v>0</v>
          </cell>
          <cell r="AQ3586">
            <v>8930000</v>
          </cell>
          <cell r="AV3586">
            <v>0</v>
          </cell>
        </row>
        <row r="3587">
          <cell r="E3587" t="str">
            <v>D26002608</v>
          </cell>
          <cell r="AP3587">
            <v>0</v>
          </cell>
          <cell r="AQ3587">
            <v>39070000</v>
          </cell>
          <cell r="AV3587">
            <v>0</v>
          </cell>
        </row>
        <row r="3588">
          <cell r="E3588" t="str">
            <v>B26002692</v>
          </cell>
          <cell r="AP3588">
            <v>0</v>
          </cell>
          <cell r="AQ3588">
            <v>0</v>
          </cell>
          <cell r="AV3588">
            <v>179400000</v>
          </cell>
        </row>
        <row r="3589">
          <cell r="E3589" t="str">
            <v>B26002692</v>
          </cell>
          <cell r="AP3589">
            <v>0</v>
          </cell>
          <cell r="AQ3589">
            <v>0</v>
          </cell>
          <cell r="AV3589">
            <v>80000000</v>
          </cell>
        </row>
        <row r="3590">
          <cell r="E3590" t="str">
            <v>D26002966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D26002974</v>
          </cell>
          <cell r="AP3591">
            <v>0</v>
          </cell>
          <cell r="AQ3591">
            <v>35900000</v>
          </cell>
          <cell r="AV3591">
            <v>0</v>
          </cell>
        </row>
        <row r="3592">
          <cell r="E3592" t="str">
            <v>D26002997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D26003115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D26003381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T26000070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B26001697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T26000120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T26000121k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D26002377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B26002452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B26000656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B26000673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B26000674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B26000675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B26000692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B26001193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B26001719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B26001720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B26001721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B26001823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B26002517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B26002518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B26002519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D26000118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B26002080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B26002082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B26002083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B26002758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B26002759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B26002764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T26000205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T26000206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T26000209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T26000219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T26000233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D26003191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B26003081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B26003084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D26000605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D26000834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D26001066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B26001756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D26001848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B26002221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B26002985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T25001572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T26000181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D26000847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D26001198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D26003269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D25018668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B26001420</v>
          </cell>
          <cell r="AP3642">
            <v>0</v>
          </cell>
          <cell r="AQ3642">
            <v>0</v>
          </cell>
          <cell r="AV3642">
            <v>21794800</v>
          </cell>
        </row>
        <row r="3643">
          <cell r="E3643" t="str">
            <v>B26001979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B26003149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B25016555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D26000979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D26001218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B26001254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D26001412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B26001544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B26001771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D26002214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D26002702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B26002676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D26002893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D26002995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T26000223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D26000075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D26000140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B26002154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B26002925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T26000265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B26002894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B26002895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D26001460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D26001461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D26003146</v>
          </cell>
          <cell r="AP3667">
            <v>0</v>
          </cell>
          <cell r="AQ3667">
            <v>0</v>
          </cell>
          <cell r="AV3667">
            <v>18700000</v>
          </cell>
        </row>
        <row r="3668">
          <cell r="E3668" t="str">
            <v>D26003147</v>
          </cell>
          <cell r="AP3668">
            <v>0</v>
          </cell>
          <cell r="AQ3668">
            <v>0</v>
          </cell>
          <cell r="AV3668">
            <v>6000000</v>
          </cell>
        </row>
        <row r="3669">
          <cell r="E3669" t="str">
            <v>B26001598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D25018260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D25018263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B25015923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B25016082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B25016108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B25016109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B25016109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B25016135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D25018533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D25018535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D25018566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D25018589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D25018600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D25018624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D25018624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D25018652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B25016253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B25016254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B25016329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B25016366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B25016462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B25016462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B25016463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B25016463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B25016463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B25016463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B25016467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D25018945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B25016583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D25019041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D25019047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D25019074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D25019354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B25016951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B25016968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B25016976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B25017051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D25019669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B25017144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B26000011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D26000043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B26000223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D26000251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D26000296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D26000305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D26000307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D26000320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D26000328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D26000458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D26000465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D26000468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B26000576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B26000577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D26000677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D26000727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D26000777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B26000792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D26000871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D26000986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D26000986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B26001097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B26001097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D26001331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B26001276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B26001349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B26001401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D26001429</v>
          </cell>
          <cell r="AP3736">
            <v>0</v>
          </cell>
          <cell r="AQ3736">
            <v>0</v>
          </cell>
          <cell r="AV3736">
            <v>0</v>
          </cell>
        </row>
        <row r="3737">
          <cell r="E3737" t="str">
            <v>D26001430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D26001447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D26001485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D26001493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D26001512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B26001493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D26001600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D26001604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D26001604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D26001623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D26001635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B26001573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D26001672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B26001616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D26001798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D26001809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D26001809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B26001711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B26001716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D26001860</v>
          </cell>
          <cell r="AP3756">
            <v>0</v>
          </cell>
          <cell r="AQ3756">
            <v>0</v>
          </cell>
          <cell r="AV3756">
            <v>0</v>
          </cell>
        </row>
        <row r="3757">
          <cell r="E3757" t="str">
            <v>D26002016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B26001953</v>
          </cell>
          <cell r="AP3758">
            <v>0</v>
          </cell>
          <cell r="AQ3758">
            <v>7700000</v>
          </cell>
          <cell r="AV3758">
            <v>0</v>
          </cell>
        </row>
        <row r="3759">
          <cell r="E3759" t="str">
            <v>D26002116</v>
          </cell>
          <cell r="AP3759">
            <v>0</v>
          </cell>
          <cell r="AQ3759">
            <v>183600000</v>
          </cell>
          <cell r="AV3759">
            <v>0</v>
          </cell>
        </row>
        <row r="3760">
          <cell r="E3760" t="str">
            <v>D26002118</v>
          </cell>
          <cell r="AP3760">
            <v>0</v>
          </cell>
          <cell r="AQ3760">
            <v>60000000</v>
          </cell>
          <cell r="AV3760">
            <v>0</v>
          </cell>
        </row>
        <row r="3761">
          <cell r="E3761" t="str">
            <v>B26002006</v>
          </cell>
          <cell r="AP3761">
            <v>0</v>
          </cell>
          <cell r="AQ3761">
            <v>4200000</v>
          </cell>
          <cell r="AV3761">
            <v>0</v>
          </cell>
        </row>
        <row r="3762">
          <cell r="E3762" t="str">
            <v>D26002186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D26002187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D26002212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D26002362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D26002362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B26002192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D26002435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D26002436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D26002481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B26002366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B26002378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B26002411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D26002570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D26002661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D26002734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D26002735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D26002756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D26002757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D26002847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D26002864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D26002897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D26002921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D26002979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D26003060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D26003182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D26003224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B26003064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B26003079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B26003080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B26003083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B26000504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D26000915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D26001269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B26001286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B26001659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B26001681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T25001792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B26000361</v>
          </cell>
          <cell r="AP3799">
            <v>0</v>
          </cell>
          <cell r="AQ3799">
            <v>0</v>
          </cell>
          <cell r="AV3799">
            <v>16580000</v>
          </cell>
        </row>
        <row r="3800">
          <cell r="E3800" t="str">
            <v>B26000362</v>
          </cell>
          <cell r="AP3800">
            <v>0</v>
          </cell>
          <cell r="AQ3800">
            <v>0</v>
          </cell>
          <cell r="AV3800">
            <v>840000</v>
          </cell>
        </row>
        <row r="3801">
          <cell r="E3801" t="str">
            <v>B26000836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B26000839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B26000854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B26000877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B26001354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B26001995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D26002110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D26000264</v>
          </cell>
          <cell r="AP3808">
            <v>0</v>
          </cell>
          <cell r="AQ3808">
            <v>0</v>
          </cell>
          <cell r="AV3808">
            <v>3800000</v>
          </cell>
        </row>
        <row r="3809">
          <cell r="E3809" t="str">
            <v>T26000018</v>
          </cell>
          <cell r="AP3809">
            <v>0</v>
          </cell>
          <cell r="AQ3809">
            <v>0</v>
          </cell>
          <cell r="AV3809">
            <v>12000000</v>
          </cell>
        </row>
        <row r="3810">
          <cell r="E3810" t="str">
            <v>D26000809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B26001476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D26001642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D26001720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D26001760</v>
          </cell>
          <cell r="AP3814">
            <v>0</v>
          </cell>
          <cell r="AQ3814">
            <v>0</v>
          </cell>
          <cell r="AV3814">
            <v>17100000</v>
          </cell>
        </row>
        <row r="3815">
          <cell r="E3815" t="str">
            <v>D26001973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D26002221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D26002818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B25016967</v>
          </cell>
          <cell r="AP3818">
            <v>0</v>
          </cell>
          <cell r="AQ3818">
            <v>0</v>
          </cell>
          <cell r="AV3818">
            <v>20000000</v>
          </cell>
        </row>
        <row r="3819">
          <cell r="E3819" t="str">
            <v>B26000544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D26000948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D26001106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B26001700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D26003291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D25019098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B26000599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D26000627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D25019278</v>
          </cell>
          <cell r="AP3827">
            <v>0</v>
          </cell>
          <cell r="AQ3827">
            <v>0</v>
          </cell>
          <cell r="AV3827">
            <v>117000</v>
          </cell>
        </row>
        <row r="3828">
          <cell r="E3828" t="str">
            <v>D25019278</v>
          </cell>
          <cell r="AP3828">
            <v>0</v>
          </cell>
          <cell r="AQ3828">
            <v>0</v>
          </cell>
          <cell r="AV3828">
            <v>929700</v>
          </cell>
        </row>
        <row r="3829">
          <cell r="E3829" t="str">
            <v>D25019454</v>
          </cell>
          <cell r="AP3829">
            <v>0</v>
          </cell>
          <cell r="AQ3829">
            <v>0</v>
          </cell>
          <cell r="AV3829">
            <v>11340000</v>
          </cell>
        </row>
        <row r="3830">
          <cell r="E3830" t="str">
            <v>D25019594</v>
          </cell>
          <cell r="AP3830">
            <v>0</v>
          </cell>
          <cell r="AQ3830">
            <v>0</v>
          </cell>
          <cell r="AV3830">
            <v>5700000</v>
          </cell>
        </row>
        <row r="3831">
          <cell r="E3831" t="str">
            <v>D25019702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D26000214</v>
          </cell>
          <cell r="AP3832">
            <v>0</v>
          </cell>
          <cell r="AQ3832">
            <v>0</v>
          </cell>
          <cell r="AV3832">
            <v>780300</v>
          </cell>
        </row>
        <row r="3833">
          <cell r="E3833" t="str">
            <v>D26000214</v>
          </cell>
          <cell r="AP3833">
            <v>0</v>
          </cell>
          <cell r="AQ3833">
            <v>0</v>
          </cell>
          <cell r="AV3833">
            <v>5310000</v>
          </cell>
        </row>
        <row r="3834">
          <cell r="E3834" t="str">
            <v>D26000467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D26000635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D26000799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D26000943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D26000944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D26000964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D26001117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B26001287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B26001508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B26001757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B26002181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B26002229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D26002657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B26002548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D26002790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D26002875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B26002706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D26002926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B26003129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B26003130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B26003131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B26003132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B26002237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D26002453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T25001860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D26002925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T26000197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T26000226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D26000178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D26000333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D26000883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B26001109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B26001281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B26001456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D26001907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D26002750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B26002937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D26003095</v>
          </cell>
          <cell r="AP3871">
            <v>0</v>
          </cell>
          <cell r="AQ3871">
            <v>0</v>
          </cell>
          <cell r="AV3871">
            <v>10920000</v>
          </cell>
        </row>
        <row r="3872">
          <cell r="E3872" t="str">
            <v>D26001696</v>
          </cell>
          <cell r="AP3872">
            <v>0</v>
          </cell>
          <cell r="AQ3872">
            <v>0</v>
          </cell>
          <cell r="AV3872">
            <v>9900000</v>
          </cell>
        </row>
        <row r="3873">
          <cell r="E3873" t="str">
            <v>B26001688</v>
          </cell>
          <cell r="AP3873">
            <v>0</v>
          </cell>
          <cell r="AQ3873">
            <v>0</v>
          </cell>
          <cell r="AV3873">
            <v>1720000</v>
          </cell>
        </row>
        <row r="3874">
          <cell r="E3874" t="str">
            <v>B26002430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D26003334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D26000838</v>
          </cell>
          <cell r="AP3876">
            <v>0</v>
          </cell>
          <cell r="AQ3876">
            <v>0</v>
          </cell>
          <cell r="AV3876">
            <v>2378750</v>
          </cell>
        </row>
        <row r="3877">
          <cell r="E3877" t="str">
            <v>D26000845</v>
          </cell>
          <cell r="AP3877">
            <v>0</v>
          </cell>
          <cell r="AQ3877">
            <v>0</v>
          </cell>
          <cell r="AV3877">
            <v>2800000</v>
          </cell>
        </row>
        <row r="3878">
          <cell r="E3878" t="str">
            <v>D26001389</v>
          </cell>
          <cell r="AP3878">
            <v>0</v>
          </cell>
          <cell r="AQ3878">
            <v>0</v>
          </cell>
          <cell r="AV3878">
            <v>9535000</v>
          </cell>
        </row>
        <row r="3879">
          <cell r="E3879" t="str">
            <v>B26001366</v>
          </cell>
          <cell r="AP3879">
            <v>0</v>
          </cell>
          <cell r="AQ3879">
            <v>0</v>
          </cell>
          <cell r="AV3879">
            <v>286250</v>
          </cell>
        </row>
        <row r="3880">
          <cell r="E3880" t="str">
            <v>B26001400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B26001764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D26001886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B26001947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B26002002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D26002403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B26002294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B26003052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B26003061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D26003247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B26002183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D26003396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B26000061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B26001376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D26002493</v>
          </cell>
          <cell r="AP3894">
            <v>0</v>
          </cell>
          <cell r="AQ3894">
            <v>0</v>
          </cell>
          <cell r="AV3894">
            <v>11250000</v>
          </cell>
        </row>
        <row r="3895">
          <cell r="E3895" t="str">
            <v>D26003145</v>
          </cell>
          <cell r="AP3895">
            <v>0</v>
          </cell>
          <cell r="AQ3895">
            <v>0</v>
          </cell>
          <cell r="AV3895">
            <v>3375000</v>
          </cell>
        </row>
        <row r="3896">
          <cell r="E3896" t="str">
            <v>T25001374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B26001362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B26001076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B26000310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D26001175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D26001615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D26002248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D26001639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B26001956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B26002667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D26002834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D26003094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D26002917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D26002919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B26002997</v>
          </cell>
          <cell r="AP3910">
            <v>0</v>
          </cell>
          <cell r="AQ3910">
            <v>0</v>
          </cell>
          <cell r="AV3910">
            <v>2540000</v>
          </cell>
        </row>
        <row r="3911">
          <cell r="E3911" t="str">
            <v>B26002998</v>
          </cell>
          <cell r="AP3911">
            <v>0</v>
          </cell>
          <cell r="AQ3911">
            <v>0</v>
          </cell>
          <cell r="AV3911">
            <v>1440000</v>
          </cell>
        </row>
        <row r="3912">
          <cell r="E3912" t="str">
            <v>Z26000303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Z26000381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Z26000382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Z26000419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Z26000420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Z26000473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Z26000487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Z26000500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Z26000522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Z26000635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D26001941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D26001942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D26001820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B26003141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B25016661</v>
          </cell>
          <cell r="AP3926">
            <v>0</v>
          </cell>
          <cell r="AQ3926">
            <v>0</v>
          </cell>
          <cell r="AV3926">
            <v>29039000</v>
          </cell>
        </row>
        <row r="3927">
          <cell r="E3927" t="str">
            <v>B25016985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B25016735</v>
          </cell>
          <cell r="AP3928">
            <v>0</v>
          </cell>
          <cell r="AQ3928">
            <v>0</v>
          </cell>
          <cell r="AV3928">
            <v>26800000</v>
          </cell>
        </row>
        <row r="3929">
          <cell r="E3929" t="str">
            <v>D26001892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D26002177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D26002354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B26003022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D26003174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D26000426</v>
          </cell>
          <cell r="AP3934">
            <v>0</v>
          </cell>
          <cell r="AQ3934">
            <v>0</v>
          </cell>
          <cell r="AV3934">
            <v>50476000</v>
          </cell>
        </row>
        <row r="3935">
          <cell r="E3935" t="str">
            <v>B26000562</v>
          </cell>
          <cell r="AP3935">
            <v>0</v>
          </cell>
          <cell r="AQ3935">
            <v>0</v>
          </cell>
          <cell r="AV3935">
            <v>16800000</v>
          </cell>
        </row>
        <row r="3936">
          <cell r="E3936" t="str">
            <v>D26000644</v>
          </cell>
          <cell r="AP3936">
            <v>0</v>
          </cell>
          <cell r="AQ3936">
            <v>0</v>
          </cell>
          <cell r="AV3936">
            <v>96000000</v>
          </cell>
        </row>
        <row r="3937">
          <cell r="E3937" t="str">
            <v>D26000659</v>
          </cell>
          <cell r="AP3937">
            <v>0</v>
          </cell>
          <cell r="AQ3937">
            <v>0</v>
          </cell>
          <cell r="AV3937">
            <v>21150000</v>
          </cell>
        </row>
        <row r="3938">
          <cell r="E3938" t="str">
            <v>D26000668</v>
          </cell>
          <cell r="AP3938">
            <v>0</v>
          </cell>
          <cell r="AQ3938">
            <v>0</v>
          </cell>
          <cell r="AV3938">
            <v>10625000</v>
          </cell>
        </row>
        <row r="3939">
          <cell r="E3939" t="str">
            <v>D26000829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D26001193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D26001204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D26001295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D26001479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D26002013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D26002216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D26002217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D26002218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D26002219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D26002226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D26002242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D26002282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D26002431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D26003056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D26003106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T26000234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B26002348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T25001236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D26001993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T25000648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R25000130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B25016919</v>
          </cell>
          <cell r="AP3961">
            <v>0</v>
          </cell>
          <cell r="AQ3961">
            <v>0</v>
          </cell>
          <cell r="AV3961">
            <v>5184000</v>
          </cell>
        </row>
        <row r="3962">
          <cell r="E3962" t="str">
            <v>D26000108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B26000201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D26001388</v>
          </cell>
          <cell r="AP3964">
            <v>0</v>
          </cell>
          <cell r="AQ3964">
            <v>0</v>
          </cell>
          <cell r="AV3964">
            <v>3120000</v>
          </cell>
        </row>
        <row r="3965">
          <cell r="E3965" t="str">
            <v>B26001991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B26002702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B26003026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B26003059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D26001693</v>
          </cell>
          <cell r="AP3969">
            <v>0</v>
          </cell>
          <cell r="AQ3969">
            <v>0</v>
          </cell>
          <cell r="AV3969">
            <v>3020000</v>
          </cell>
        </row>
        <row r="3970">
          <cell r="E3970" t="str">
            <v>B26001742</v>
          </cell>
          <cell r="AP3970">
            <v>0</v>
          </cell>
          <cell r="AQ3970">
            <v>0</v>
          </cell>
          <cell r="AV3970">
            <v>1170000</v>
          </cell>
        </row>
        <row r="3971">
          <cell r="E3971" t="str">
            <v>B26002196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B26002489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B26002956</v>
          </cell>
          <cell r="AP3973">
            <v>0</v>
          </cell>
          <cell r="AQ3973">
            <v>0</v>
          </cell>
          <cell r="AV3973">
            <v>3800000</v>
          </cell>
        </row>
        <row r="3974">
          <cell r="E3974" t="str">
            <v>D26003160</v>
          </cell>
          <cell r="AP3974">
            <v>0</v>
          </cell>
          <cell r="AQ3974">
            <v>0</v>
          </cell>
          <cell r="AV3974">
            <v>3800000</v>
          </cell>
        </row>
        <row r="3975">
          <cell r="E3975" t="str">
            <v>D25019122</v>
          </cell>
          <cell r="AP3975">
            <v>0</v>
          </cell>
          <cell r="AQ3975">
            <v>0</v>
          </cell>
          <cell r="AV3975">
            <v>2000000</v>
          </cell>
        </row>
        <row r="3976">
          <cell r="E3976" t="str">
            <v>D26000103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B26000774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T26000047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T26000109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B26002678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D26000714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T26000036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B26001297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B26003007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B26003055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B26003140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B26002268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D26003257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T25001726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T25001727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D26002809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T26000187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T25001499k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B25014665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D25017559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D25017560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T25001743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B25015759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B25015760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B25016494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B25016495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B26000065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B26000407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B26000801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B26000802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T26000052k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T26000053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B26000919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B26001531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B26001532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B26001543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B26002424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B26002426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D26002609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D26001180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B26001811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B26001868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B26001920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B26002861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B26002863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D25015072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B25015134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D25017600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D25019089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D25019287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B25017028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B25017059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D25019673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D25019680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D26000202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D26000682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B26000700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D26000778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B26000791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B26001170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B26001181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B26001220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D26001819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D26001838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D26001897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B26001899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D26002405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D26002406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D26002504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D26002882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B26002843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B26002928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B26002939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D26003286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D26002791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B26001256</v>
          </cell>
          <cell r="AP4051">
            <v>0</v>
          </cell>
          <cell r="AQ4051">
            <v>0</v>
          </cell>
          <cell r="AV4051">
            <v>8400000</v>
          </cell>
        </row>
        <row r="4052">
          <cell r="E4052" t="str">
            <v>D26002170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D26002171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B26002373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B26002374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B26002860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B26001432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B26001602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B26002174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B26002648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T26000240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B26003070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T25001747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D25019551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T26000236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B25014976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B25015475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D25018786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D25019495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D25019498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B26000318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B26000392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B26000453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D26000518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D26000923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B26001212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B26001213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D26001294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D26001396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B26001431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B26001451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D26001721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B26001878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B26001879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D26001980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D26002007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D26002008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D26002009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B26001921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D26002465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D26002466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B26002646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D26002827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D26002828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D26002829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B26002786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B26003042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D25017375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D25017461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D25017567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D25017731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B25015349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D25018068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D25018081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D25018082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D25018134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D25018134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D25018377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D25018377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B25016088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B25016088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B25016088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D25018512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D25018512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D25018512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D25018513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D25018574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B25016181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B25016181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B25016194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B25016194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D25018679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D25018679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D25018679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D25018700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D25018700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B25016422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B25016422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B25016422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T25001856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B25016444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D25019031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D25019031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D25019031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D25019031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D25019032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D25019113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D25019125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D25019125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D25019125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D25019136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D25019232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D25019232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D25019232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D25019232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D25019232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D25019464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D25019542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D25019542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D25019542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D25019543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D25019589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D25019589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D25019590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D25019590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D25019591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D25019591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D25019591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D25019600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D25019608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D25019608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D26000006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D26000068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T26000024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D26000463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D26000494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D26000523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D26000523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D26000523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D26000523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D26000616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D26000617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D26000618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D26000746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D26000842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D26000995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D26000996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D26001094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D26001095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D26001096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B26001106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B26001107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D26001336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D26001372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D26001495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D26001496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D26001517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D26001542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D26001542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D26001618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D26001618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D26001619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D26001688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D26001689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D26001718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D26001743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D26001744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B26001717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D26001888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D26001899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B26001866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D26002034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D26002035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D26002122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D26002123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D26002148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D26002149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D26002150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D26002166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D26002207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T26000150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D26002240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D26002284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D26002340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D26002341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D26002346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B26002213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B26002214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D26002428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D26002510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D26002583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B26002468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B26002473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D26002625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D26002674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D26002675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D26002676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D26002677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B26002633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D26002865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D26003000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D26003001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D26003108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D26003109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D26003110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D26003137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D26003161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D26003162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D26003176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D26003177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D26003178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D26003235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D26003256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D26003282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D26003283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D26003383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D26003384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D26003385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D26003386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B26003095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B25016794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D26001145</v>
          </cell>
          <cell r="AP4252">
            <v>0</v>
          </cell>
          <cell r="AQ4252">
            <v>0</v>
          </cell>
          <cell r="AV4252">
            <v>2475000</v>
          </cell>
        </row>
        <row r="4253">
          <cell r="E4253" t="str">
            <v>T26000071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B26002171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D26003183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D26003184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B26001314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D26003300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T25001879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D26000261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B26001237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D26001211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B26002818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D26001553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D26001189</v>
          </cell>
          <cell r="AP4265">
            <v>0</v>
          </cell>
          <cell r="AQ4265">
            <v>0</v>
          </cell>
          <cell r="AV4265">
            <v>5650000</v>
          </cell>
        </row>
        <row r="4266">
          <cell r="E4266" t="str">
            <v>B26001457</v>
          </cell>
          <cell r="AP4266">
            <v>0</v>
          </cell>
          <cell r="AQ4266">
            <v>0</v>
          </cell>
          <cell r="AV4266">
            <v>10567500</v>
          </cell>
        </row>
        <row r="4267">
          <cell r="E4267" t="str">
            <v>D26002395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D26002396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B26002597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B26002598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B26000473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D26001005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B26001395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B26001556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B26001678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D26001834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B26001826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D26002065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B26002059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D26002329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B26002197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D26002851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D26002981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B26000779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B26002827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D23006230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N25000011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D26001425</v>
          </cell>
          <cell r="AP4288">
            <v>0</v>
          </cell>
          <cell r="AQ4288">
            <v>0</v>
          </cell>
          <cell r="AV4288">
            <v>2000000</v>
          </cell>
        </row>
        <row r="4289">
          <cell r="E4289" t="str">
            <v>D26001918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D26001948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B26002806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T26000210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D26003287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D25018905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D25019034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D25019035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D25019085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B25016745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D25019216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D25019236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D25019237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D25019267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D25019347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D25019451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D25019451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D25019452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D25019483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D25019486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D25019487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B26000130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D26000445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D26000474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D26000498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D26000499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D26000519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B26000598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D26000741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D26001098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D26001099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D26001116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B26001236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D26001366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T26000097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D26001501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D26001501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B26001449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D26001526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D26001591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D26001815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D26001863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B26001824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D26002175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D26002203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D26002206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B26002231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D26002450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B26002340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D26002553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D26002632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D26002643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D26002715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D26002721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D26002975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D26003105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B26003006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D26003227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D26003251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D26003252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D25017323</v>
          </cell>
          <cell r="AP4349">
            <v>0</v>
          </cell>
          <cell r="AQ4349">
            <v>0</v>
          </cell>
          <cell r="AV4349">
            <v>4500000</v>
          </cell>
        </row>
        <row r="4350">
          <cell r="E4350" t="str">
            <v>D25017324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B25015963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D25018569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B25017002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B25017003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B25017004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B25017041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B25017046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D26001049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D26001050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B26001138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D26003221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D26003166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D26003167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Z25003173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Z25003188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Z25003189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Z25003270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Z25003281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Z25003330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Z25003350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Z25003351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Z26000022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Z26000166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Z26000212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Z26000213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Z26000242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Z26000317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Z26000321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Z26000407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Z26000410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Z26000451</v>
          </cell>
          <cell r="AP4381">
            <v>0</v>
          </cell>
          <cell r="AQ4381">
            <v>0</v>
          </cell>
          <cell r="AV4381">
            <v>280000000</v>
          </cell>
        </row>
        <row r="4382">
          <cell r="E4382" t="str">
            <v>Z26000451</v>
          </cell>
          <cell r="AP4382">
            <v>0</v>
          </cell>
          <cell r="AQ4382">
            <v>0</v>
          </cell>
          <cell r="AV4382">
            <v>450000000</v>
          </cell>
        </row>
        <row r="4383">
          <cell r="E4383" t="str">
            <v>Z26000451</v>
          </cell>
          <cell r="AP4383">
            <v>0</v>
          </cell>
          <cell r="AQ4383">
            <v>0</v>
          </cell>
          <cell r="AV4383">
            <v>11038500</v>
          </cell>
        </row>
        <row r="4384">
          <cell r="E4384" t="str">
            <v>Z26000476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Z26000477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Z26000504</v>
          </cell>
          <cell r="AP4386">
            <v>0</v>
          </cell>
          <cell r="AQ4386">
            <v>0</v>
          </cell>
          <cell r="AV4386">
            <v>388961500</v>
          </cell>
        </row>
        <row r="4387">
          <cell r="E4387" t="str">
            <v>Z26000504</v>
          </cell>
          <cell r="AP4387">
            <v>0</v>
          </cell>
          <cell r="AQ4387">
            <v>0</v>
          </cell>
          <cell r="AV4387">
            <v>80000000</v>
          </cell>
        </row>
        <row r="4388">
          <cell r="E4388" t="str">
            <v>Z26000557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Z26000567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Z26000604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Z26000614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B26001819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B26002172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D26002947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D25019087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T26000252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D26003367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D26003368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D26003153</v>
          </cell>
          <cell r="AP4399">
            <v>0</v>
          </cell>
          <cell r="AQ4399">
            <v>0</v>
          </cell>
          <cell r="AV4399">
            <v>7745000</v>
          </cell>
        </row>
        <row r="4400">
          <cell r="E4400" t="str">
            <v>D26003159</v>
          </cell>
          <cell r="AP4400">
            <v>0</v>
          </cell>
          <cell r="AQ4400">
            <v>0</v>
          </cell>
          <cell r="AV4400">
            <v>2200000</v>
          </cell>
        </row>
        <row r="4401">
          <cell r="E4401" t="str">
            <v>B26001685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B26002384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B26002385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D26003016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D26003017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D26003019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B26000358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D26000464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B26001357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B26001358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B26001360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B26001403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D26003141</v>
          </cell>
          <cell r="AP4413">
            <v>0</v>
          </cell>
          <cell r="AQ4413">
            <v>0</v>
          </cell>
          <cell r="AV4413">
            <v>47500000</v>
          </cell>
        </row>
        <row r="4414">
          <cell r="E4414" t="str">
            <v>B26001833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B26001835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B26001965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B26001990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D26002168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D26002293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D26001506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D26002614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D26001261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D26001329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B26001269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D26002565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B26003019</v>
          </cell>
          <cell r="AP4426">
            <v>0</v>
          </cell>
          <cell r="AQ4426">
            <v>0</v>
          </cell>
          <cell r="AV4426">
            <v>2655000</v>
          </cell>
        </row>
        <row r="4427">
          <cell r="E4427" t="str">
            <v>B26003020</v>
          </cell>
          <cell r="AP4427">
            <v>0</v>
          </cell>
          <cell r="AQ4427">
            <v>0</v>
          </cell>
          <cell r="AV4427">
            <v>1503500</v>
          </cell>
        </row>
        <row r="4428">
          <cell r="E4428" t="str">
            <v>B26003021</v>
          </cell>
          <cell r="AP4428">
            <v>0</v>
          </cell>
          <cell r="AQ4428">
            <v>0</v>
          </cell>
          <cell r="AV4428">
            <v>993000</v>
          </cell>
        </row>
        <row r="4429">
          <cell r="E4429" t="str">
            <v>B26002400</v>
          </cell>
          <cell r="AP4429">
            <v>0</v>
          </cell>
          <cell r="AQ4429">
            <v>0</v>
          </cell>
          <cell r="AV4429">
            <v>22957600</v>
          </cell>
        </row>
        <row r="4430">
          <cell r="E4430" t="str">
            <v>B26002401</v>
          </cell>
          <cell r="AP4430">
            <v>0</v>
          </cell>
          <cell r="AQ4430">
            <v>0</v>
          </cell>
          <cell r="AV4430">
            <v>12160000</v>
          </cell>
        </row>
        <row r="4431">
          <cell r="E4431" t="str">
            <v>B26002410</v>
          </cell>
          <cell r="AP4431">
            <v>0</v>
          </cell>
          <cell r="AQ4431">
            <v>0</v>
          </cell>
          <cell r="AV4431">
            <v>1960000</v>
          </cell>
        </row>
        <row r="4432">
          <cell r="E4432" t="str">
            <v>D26002589</v>
          </cell>
          <cell r="AP4432">
            <v>0</v>
          </cell>
          <cell r="AQ4432">
            <v>0</v>
          </cell>
          <cell r="AV4432">
            <v>2510000</v>
          </cell>
        </row>
        <row r="4433">
          <cell r="E4433" t="str">
            <v>D26003364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D26003365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D26003366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D26000097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B26000169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B26000708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D26001724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B26001845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D26002070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D26002071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B26002096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B26002269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B26002601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B26002602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D26002775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B26002990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D26001910</v>
          </cell>
          <cell r="AP4449">
            <v>0</v>
          </cell>
          <cell r="AQ4449">
            <v>0</v>
          </cell>
          <cell r="AV4449">
            <v>1680000</v>
          </cell>
        </row>
        <row r="4450">
          <cell r="E4450" t="str">
            <v>B26002418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D26003035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B26003074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D26000405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D26002334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B26001873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B26002765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B26002867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B26003065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Z26000048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D26002459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D26003220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Z26000612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D26003249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D26001612</v>
          </cell>
          <cell r="AP4464">
            <v>0</v>
          </cell>
          <cell r="AQ4464">
            <v>0</v>
          </cell>
          <cell r="AV4464">
            <v>1710000</v>
          </cell>
        </row>
        <row r="4465">
          <cell r="E4465" t="str">
            <v>D26001663</v>
          </cell>
          <cell r="AP4465">
            <v>500</v>
          </cell>
          <cell r="AQ4465">
            <v>0</v>
          </cell>
          <cell r="AV4465">
            <v>277000</v>
          </cell>
        </row>
        <row r="4466">
          <cell r="E4466" t="str">
            <v>D26001664</v>
          </cell>
          <cell r="AP4466">
            <v>0</v>
          </cell>
          <cell r="AQ4466">
            <v>0</v>
          </cell>
          <cell r="AV4466">
            <v>3360000</v>
          </cell>
        </row>
        <row r="4467">
          <cell r="E4467" t="str">
            <v>D26001789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D26001790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B26002028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B26002341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B26002350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D26002706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B26002572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D26002767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B26002690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D26002895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B26002810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B26002840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T26000118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C26000116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D26001654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B26001674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D26001998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B26001982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D26002536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B26002381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D26002571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B26002664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D26002839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D26003013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D26003014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B26002838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D26003342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D26003343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Z26000124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T26000043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Z26000135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Z26000161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Z26000200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Z26000205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Z26000282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Z26000390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Z26000463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Z26000485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Z26000521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Z26000587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Z26000616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Z26000621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T26000103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B26001499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T26000142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D25013643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T26000057K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D26003348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D26003349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D26001076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D26001626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D26001627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D26001931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D26002939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D26003002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B26001166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D26001234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B26001512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B26001558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D26001701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B26001708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D26001767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D26002278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D26002407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B26002330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D26002509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D26002575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D26002645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B26002490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B26002491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D26002846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D26003239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D26001700</v>
          </cell>
          <cell r="AP4539">
            <v>0</v>
          </cell>
          <cell r="AQ4539">
            <v>0</v>
          </cell>
          <cell r="AV4539">
            <v>1300000</v>
          </cell>
        </row>
        <row r="4540">
          <cell r="E4540" t="str">
            <v>B26001922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D26002386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D26003043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T26000258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D26001785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D26002184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B26002211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B26002230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B26002472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D26002857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B26002693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B26002761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D26002983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B26002935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D26003254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N26000031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D25016428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D25016444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B25014380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B25014914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B25014915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B25014916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B25014917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B25014921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D25017196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B25016405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B25016539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B25016540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D25019392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D25019402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B26000529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B26000530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B26000643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D26000729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D26002722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D26002723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D26001356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D25019084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B25016980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B25016990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B25016991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B25016991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B25017032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D25019592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D25019597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B26000133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B26000462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D26000538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D26000723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D26000739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D26000739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B26000959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B26001021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B26001021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D26001118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D26001135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D26001136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D26001136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D26001241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B26001419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D26001572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D26001922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D26001922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D26001955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D26001956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D26002114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B26002191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B26002465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D26002716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D26002729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D26002968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B26002999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B26003002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B26003003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B26000741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D26000835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D26001063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D26001561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B26001477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D26002915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D26002916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D26002933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Z26000035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Z26000233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D25015258</v>
          </cell>
          <cell r="AP4624">
            <v>0</v>
          </cell>
          <cell r="AQ4624">
            <v>0</v>
          </cell>
          <cell r="AV4624">
            <v>1000000</v>
          </cell>
        </row>
        <row r="4625">
          <cell r="E4625" t="str">
            <v>D26001097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B26002929</v>
          </cell>
          <cell r="AP4626">
            <v>0</v>
          </cell>
          <cell r="AQ4626">
            <v>0</v>
          </cell>
          <cell r="AV4626">
            <v>952500</v>
          </cell>
        </row>
        <row r="4627">
          <cell r="E4627" t="str">
            <v>B26003034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D26002637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D26000073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T26000014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D26002204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D26003250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B26001962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D26003156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D26003157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D26003158</v>
          </cell>
          <cell r="AP4636">
            <v>0</v>
          </cell>
          <cell r="AQ4636">
            <v>0</v>
          </cell>
          <cell r="AV4636">
            <v>25700000</v>
          </cell>
        </row>
        <row r="4637">
          <cell r="E4637" t="str">
            <v>T25001626K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T25001835k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T25001866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B26002275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B26002543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D26002859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T26000194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D26000176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B26002966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B26003050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B26003051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D26003295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B26001416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B26001417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B26002184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B25016307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B26001192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B26001657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D26001835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B26001907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D26002106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B26002056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B26002649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B26002787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T26000201k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B26000378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D26001960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T26000133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D26002376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B26002845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D25019695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B26001528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B26001529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D26001681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D26001813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D26002259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B26002651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D26003359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D26003360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D26003361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D26000026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D26000027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D26000216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D26000217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D26000218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B26000559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B26000560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B26000569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B26000570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D26001528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B26002039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B26002200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B26003126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D25018132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D25018308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B25016700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B26000038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B26000298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B26000593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D26000625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B26001110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B26001694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D26001787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D26002030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D26002361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B26002289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D26002511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D26003100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B26003066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D26001851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D26001852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D26001885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B26001338</v>
          </cell>
          <cell r="AP4709">
            <v>0</v>
          </cell>
          <cell r="AQ4709">
            <v>0</v>
          </cell>
          <cell r="AV4709">
            <v>6050000</v>
          </cell>
        </row>
        <row r="4710">
          <cell r="E4710" t="str">
            <v>D26001400</v>
          </cell>
          <cell r="AP4710">
            <v>0</v>
          </cell>
          <cell r="AQ4710">
            <v>0</v>
          </cell>
          <cell r="AV4710">
            <v>1650000</v>
          </cell>
        </row>
        <row r="4711">
          <cell r="E4711" t="str">
            <v>D26001407</v>
          </cell>
          <cell r="AP4711">
            <v>0</v>
          </cell>
          <cell r="AQ4711">
            <v>0</v>
          </cell>
          <cell r="AV4711">
            <v>3086000</v>
          </cell>
        </row>
        <row r="4712">
          <cell r="E4712" t="str">
            <v>B26001661</v>
          </cell>
          <cell r="AP4712">
            <v>0</v>
          </cell>
          <cell r="AQ4712">
            <v>0</v>
          </cell>
          <cell r="AV4712">
            <v>2720000</v>
          </cell>
        </row>
        <row r="4713">
          <cell r="E4713" t="str">
            <v>B26002474</v>
          </cell>
          <cell r="AP4713">
            <v>0</v>
          </cell>
          <cell r="AQ4713">
            <v>0</v>
          </cell>
          <cell r="AV4713">
            <v>900000</v>
          </cell>
        </row>
        <row r="4714">
          <cell r="E4714" t="str">
            <v>B26003068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T26000261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B26000631</v>
          </cell>
          <cell r="AP4716">
            <v>0</v>
          </cell>
          <cell r="AQ4716">
            <v>0</v>
          </cell>
          <cell r="AV4716">
            <v>26305000</v>
          </cell>
        </row>
        <row r="4717">
          <cell r="E4717" t="str">
            <v>D26000774</v>
          </cell>
          <cell r="AP4717">
            <v>0</v>
          </cell>
          <cell r="AQ4717">
            <v>0</v>
          </cell>
          <cell r="AV4717">
            <v>8280000</v>
          </cell>
        </row>
        <row r="4718">
          <cell r="E4718" t="str">
            <v>B26000805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B26000817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B26000921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D26001125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B26001300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B26001312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D26001536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D26001656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D26001657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D26001659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B26001679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B26001769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B26001770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B26001776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B26001941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D26002133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B26002264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B26002280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B26002305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D26002501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B26002553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D26002708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B26002635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B26002654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B26002668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D26002874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>
            <v>260019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D26002885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B26002770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B26002773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B26002798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D26002950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B26002862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D26003089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B26003028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B26003029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B26003082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D26003248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D26003307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D26003326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B26003102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B26003106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D26001795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D26002506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B26002732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Z26000304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Z26000322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Z26000542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Z26000543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Z26000618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D26000420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D26000897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D26000972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D26000997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N26000008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B26001351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B26001387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D26001456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D26002438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D26002497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D26002521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B26002938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B26002941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D26003071</v>
          </cell>
          <cell r="AP4781">
            <v>0</v>
          </cell>
          <cell r="AQ4781">
            <v>0</v>
          </cell>
          <cell r="AV4781">
            <v>1460000</v>
          </cell>
        </row>
        <row r="4782">
          <cell r="E4782" t="str">
            <v>B26002873</v>
          </cell>
          <cell r="AP4782">
            <v>0</v>
          </cell>
          <cell r="AQ4782">
            <v>0</v>
          </cell>
          <cell r="AV4782">
            <v>1660000</v>
          </cell>
        </row>
        <row r="4783">
          <cell r="E4783" t="str">
            <v>D26003119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D26001008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D26001441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D26001442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D26002961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N26000028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D25018899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D25019659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D26000263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D26000283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D26000297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D26000394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D26000407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D26000450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B26000616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D26000636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D26000821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T26000041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B26000970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B26000998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B26001226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D26001330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B26001270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B26001405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D26001530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B26001696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D26001919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D26001921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B26001981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B26002093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D26002244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B26002255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B26002390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D26002567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D26002602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B26002662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B26002670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B26002707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B26002735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D26002973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B26003152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B26003153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L26000011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B26002901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D25019147</v>
          </cell>
          <cell r="AP4827">
            <v>0</v>
          </cell>
          <cell r="AQ4827">
            <v>0</v>
          </cell>
          <cell r="AV4827">
            <v>1198150</v>
          </cell>
        </row>
        <row r="4828">
          <cell r="E4828" t="str">
            <v>B26000081</v>
          </cell>
          <cell r="AP4828">
            <v>0</v>
          </cell>
          <cell r="AQ4828">
            <v>0</v>
          </cell>
          <cell r="AV4828">
            <v>851850</v>
          </cell>
        </row>
        <row r="4829">
          <cell r="E4829" t="str">
            <v>B26000082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B26000083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D26000675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D26001080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D26001081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D26001123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D26002250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D26002251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D26002252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D26002271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D26002600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D26002601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N26000023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B26002832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B26002833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D25019432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D25019433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D25019434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D25019435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D25019436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D25019437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N25000086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D26002965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D26002999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T26000175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D26001723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B26001157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D26002313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D26003053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T25001874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B26000120</v>
          </cell>
          <cell r="AP4859">
            <v>0</v>
          </cell>
          <cell r="AQ4859">
            <v>0</v>
          </cell>
          <cell r="AV4859">
            <v>20000000</v>
          </cell>
        </row>
        <row r="4860">
          <cell r="E4860" t="str">
            <v>D26000204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D26000598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D26000610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B26000874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D26000932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B26000954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B26000991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B26001002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D26001576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D26001577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D26001578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B26001971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B26002092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B26002251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D26002629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B26002562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D26003037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D26003054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D26003073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B26000160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D26000049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D26000128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D26000313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D26000329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D26000360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D26000409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D26000453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B26000420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B26000458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B26000480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B26000481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B26000493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D26000483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D26000487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B26000629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B26000834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B26000898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D26001267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B26001257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D26001332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D26001391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D26001598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D26001697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B26001612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D26001821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D26002027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D26002092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B26001987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B26001987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B26001988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B26002120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B26002155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D26002305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D26002337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D26002482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B26002380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D26002551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D26002612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B26002528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D26002868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B26002841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B26002841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D26003125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D26003234</v>
          </cell>
          <cell r="AP4923">
            <v>0</v>
          </cell>
          <cell r="AQ4923">
            <v>9400000</v>
          </cell>
          <cell r="AV4923">
            <v>0</v>
          </cell>
        </row>
        <row r="4924">
          <cell r="E4924" t="str">
            <v>B26003107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B26003108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B26003109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D26003337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D26003389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T25001880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B26000964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B26000965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D26002347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B26001149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D26001262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D26001395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D26001803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D26002858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T26000228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B26001600</v>
          </cell>
          <cell r="AP4939">
            <v>0</v>
          </cell>
          <cell r="AQ4939">
            <v>0</v>
          </cell>
          <cell r="AV4939">
            <v>1830000</v>
          </cell>
        </row>
        <row r="4940">
          <cell r="E4940" t="str">
            <v>B26001601</v>
          </cell>
          <cell r="AP4940">
            <v>0</v>
          </cell>
          <cell r="AQ4940">
            <v>0</v>
          </cell>
          <cell r="AV4940">
            <v>2500000</v>
          </cell>
        </row>
        <row r="4941">
          <cell r="E4941" t="str">
            <v>B26001737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D26003026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D26000414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D26000734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D26001284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D26003091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B25012496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D25017825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B25015450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B25016277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B25016844</v>
          </cell>
          <cell r="AP4951">
            <v>0</v>
          </cell>
          <cell r="AQ4951">
            <v>0</v>
          </cell>
          <cell r="AV4951">
            <v>5000000</v>
          </cell>
        </row>
        <row r="4952">
          <cell r="E4952" t="str">
            <v>B26000009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D26000119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B26000200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D26000281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D26000374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D26000759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D26000773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D26000980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B26001098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B26001931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D26002064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B26002304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B26002375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B26002376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B26002593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D26003117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>
            <v>260021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B26000622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B26000775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B26001262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T26000105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D26002855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B26002819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B26002820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D25019227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D25019279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D26001292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D26001420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D26001523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D26001981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D26002085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D26002140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B26002067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D26002422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D26002639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D26002333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B26002882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B26001309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T26000248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T26000249</v>
          </cell>
          <cell r="AP4991">
            <v>0</v>
          </cell>
          <cell r="AQ4991">
            <v>0</v>
          </cell>
          <cell r="AV4991">
            <v>6240000</v>
          </cell>
        </row>
        <row r="4992">
          <cell r="E4992" t="str">
            <v>D26000429</v>
          </cell>
          <cell r="AP4992">
            <v>0</v>
          </cell>
          <cell r="AQ4992">
            <v>0</v>
          </cell>
          <cell r="AV4992">
            <v>19050000</v>
          </cell>
        </row>
        <row r="4993">
          <cell r="E4993" t="str">
            <v>B25015859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D25018274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B26000337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D26000722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D26000854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D26001994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B26001975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D26002104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D26002112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D26002201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D26002215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D26002411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D26002528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D26003058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D26003059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D26003075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D26003080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B26002881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D26003111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B26002974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D26003292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B25016188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B26000859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T25001868</v>
          </cell>
          <cell r="AP5016">
            <v>0</v>
          </cell>
          <cell r="AQ5016">
            <v>0</v>
          </cell>
          <cell r="AV5016">
            <v>1560000</v>
          </cell>
        </row>
        <row r="5017">
          <cell r="E5017" t="str">
            <v>T26000066k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B26001273</v>
          </cell>
          <cell r="AP5018">
            <v>0</v>
          </cell>
          <cell r="AQ5018">
            <v>0</v>
          </cell>
          <cell r="AV5018">
            <v>1760000</v>
          </cell>
        </row>
        <row r="5019">
          <cell r="E5019" t="str">
            <v>B26001831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B26002310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B26002697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D26003209</v>
          </cell>
          <cell r="AP5022">
            <v>0</v>
          </cell>
          <cell r="AQ5022">
            <v>0</v>
          </cell>
          <cell r="AV5022">
            <v>3600000</v>
          </cell>
        </row>
        <row r="5023">
          <cell r="E5023" t="str">
            <v>T25001818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B26001944</v>
          </cell>
          <cell r="AP5024">
            <v>0</v>
          </cell>
          <cell r="AQ5024">
            <v>0</v>
          </cell>
          <cell r="AV5024">
            <v>70000000</v>
          </cell>
        </row>
        <row r="5025">
          <cell r="E5025" t="str">
            <v>B26001963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D26003084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B26000454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T25001515k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T25001519K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D26002285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D26002296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D25015675</v>
          </cell>
          <cell r="AP5032">
            <v>0</v>
          </cell>
          <cell r="AQ5032">
            <v>0</v>
          </cell>
          <cell r="AV5032">
            <v>9700000</v>
          </cell>
        </row>
        <row r="5033">
          <cell r="E5033" t="str">
            <v>B25014895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D25017233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B25015498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B25015508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B25015667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B25015981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T25001821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D25018765</v>
          </cell>
          <cell r="AP5040">
            <v>0</v>
          </cell>
          <cell r="AQ5040">
            <v>0</v>
          </cell>
          <cell r="AV5040">
            <v>300000</v>
          </cell>
        </row>
        <row r="5041">
          <cell r="E5041" t="str">
            <v>B25016753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T25001877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B25016907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B25016909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D26000033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D26000041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D26000042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B26000271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B26000335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D26000591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D26000816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D26000831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B26001161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D26001238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D26001378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D26001908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D26002060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B26002342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D26003155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D26003180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D26003363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T26000268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B26000718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D26001206</v>
          </cell>
          <cell r="AP5064">
            <v>0</v>
          </cell>
          <cell r="AQ5064">
            <v>0</v>
          </cell>
          <cell r="AV5064">
            <v>1175000</v>
          </cell>
        </row>
        <row r="5065">
          <cell r="E5065" t="str">
            <v>B26001142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B26001158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D26001411</v>
          </cell>
          <cell r="AP5067">
            <v>0</v>
          </cell>
          <cell r="AQ5067">
            <v>0</v>
          </cell>
          <cell r="AV5067">
            <v>2450000</v>
          </cell>
        </row>
        <row r="5068">
          <cell r="E5068" t="str">
            <v>D26001470</v>
          </cell>
          <cell r="AP5068">
            <v>0</v>
          </cell>
          <cell r="AQ5068">
            <v>0</v>
          </cell>
          <cell r="AV5068">
            <v>875000</v>
          </cell>
        </row>
        <row r="5069">
          <cell r="E5069" t="str">
            <v>B26002337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B26002338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B26003040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D26000488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D26000489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D26003358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B26000388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B26000443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B26000476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B26001014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T26000101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B26001926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B26001927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B26001994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D26002693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B26003159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B26003160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D26003338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D25017643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B25015410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B25015462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D25018207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D25019018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D25019607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B26000124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B26000372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B26000495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B26001120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B26001210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B26001520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B26001579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D26003214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D26003215</v>
          </cell>
          <cell r="AP5101">
            <v>0</v>
          </cell>
          <cell r="AQ5101">
            <v>0</v>
          </cell>
          <cell r="AV5101">
            <v>158000000</v>
          </cell>
        </row>
        <row r="5102">
          <cell r="E5102" t="str">
            <v>B26002685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Z26000291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Z26000370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Z26000526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Z26000571</v>
          </cell>
          <cell r="AP5106">
            <v>0</v>
          </cell>
          <cell r="AQ5106">
            <v>0</v>
          </cell>
          <cell r="AV5106">
            <v>8280000</v>
          </cell>
        </row>
        <row r="5107">
          <cell r="E5107" t="str">
            <v>Z26000576</v>
          </cell>
          <cell r="AP5107">
            <v>0</v>
          </cell>
          <cell r="AQ5107">
            <v>0</v>
          </cell>
          <cell r="AV5107">
            <v>1800000</v>
          </cell>
        </row>
        <row r="5108">
          <cell r="E5108" t="str">
            <v>Z26000613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Z26000623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Z26000628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Z26000629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D25019447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D26000051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D26000052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D26000069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B26000725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B26000727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B26000891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B26000892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B26000893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B26000923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B26000945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B26001018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B26001594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D26000087</v>
          </cell>
          <cell r="AP5125">
            <v>0</v>
          </cell>
          <cell r="AQ5125">
            <v>0</v>
          </cell>
          <cell r="AV5125">
            <v>40500000</v>
          </cell>
        </row>
        <row r="5126">
          <cell r="E5126" t="str">
            <v>D26000404</v>
          </cell>
          <cell r="AP5126">
            <v>0</v>
          </cell>
          <cell r="AQ5126">
            <v>0</v>
          </cell>
          <cell r="AV5126">
            <v>42714000</v>
          </cell>
        </row>
        <row r="5127">
          <cell r="E5127" t="str">
            <v>B26000928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D26001385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D26001436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D26001488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D26001503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D26001505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D26001527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D26001816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D26001831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D26001913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D26002222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D26002449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B26002507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B26002753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D26002967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D26003394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B26000519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B26000520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B26000822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B26000833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B26000880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D26000985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B26000990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D26001048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D26001208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D26001271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D26001278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B26001235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D26001374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B26001631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D26001788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B26001829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B26001836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B26001837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D26001944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B26001905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D26002147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B26002158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D26002307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B26002431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B26002432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D26002642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B26002573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D26002769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D26002898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D26002899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D26002900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D26003258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B26003142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B25016192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B26002994</v>
          </cell>
          <cell r="AP5177">
            <v>0</v>
          </cell>
          <cell r="AQ5177">
            <v>0</v>
          </cell>
          <cell r="AV5177">
            <v>425000</v>
          </cell>
        </row>
        <row r="5178">
          <cell r="E5178" t="str">
            <v>D25018171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D25018568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D25019184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D25019476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D25019477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B25017143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D26000064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D26000065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D26002003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D26002039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B26002398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T25001776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Z26000017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Z26000389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Z26000615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D26002417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D26002418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D26002419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B26002446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B26002447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B26002448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B26002611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B26002703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Z25003241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Z26000025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Z26000237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Z26000392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T26000156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D25018685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D25018685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D25018685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B25016581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D25019309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B25016921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B25016989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D25019644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B26000063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B26000309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B26000320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B26000492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B26000604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B26000732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B26001066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B26001148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B26001443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B26001443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B26001448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B26001750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D26002090</v>
          </cell>
          <cell r="AP5226">
            <v>0</v>
          </cell>
          <cell r="AQ5226">
            <v>92295000</v>
          </cell>
          <cell r="AV5226">
            <v>0</v>
          </cell>
        </row>
        <row r="5227">
          <cell r="E5227" t="str">
            <v>D26002117</v>
          </cell>
          <cell r="AP5227">
            <v>0</v>
          </cell>
          <cell r="AQ5227">
            <v>128760000</v>
          </cell>
          <cell r="AV5227">
            <v>0</v>
          </cell>
        </row>
        <row r="5228">
          <cell r="E5228" t="str">
            <v>D26002129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D26002141</v>
          </cell>
          <cell r="AP5229">
            <v>0</v>
          </cell>
          <cell r="AQ5229">
            <v>0</v>
          </cell>
          <cell r="AV5229">
            <v>349325000</v>
          </cell>
        </row>
        <row r="5230">
          <cell r="E5230" t="str">
            <v>D26002141</v>
          </cell>
        </row>
        <row r="5231">
          <cell r="E5231" t="str">
            <v>B26002079</v>
          </cell>
          <cell r="AP5231">
            <v>0</v>
          </cell>
          <cell r="AQ5231">
            <v>70000000</v>
          </cell>
          <cell r="AV5231">
            <v>0</v>
          </cell>
        </row>
        <row r="5232">
          <cell r="E5232" t="str">
            <v>D26002287</v>
          </cell>
          <cell r="AP5232">
            <v>0</v>
          </cell>
          <cell r="AQ5232">
            <v>228750000</v>
          </cell>
          <cell r="AV5232">
            <v>0</v>
          </cell>
        </row>
        <row r="5233">
          <cell r="E5233" t="str">
            <v>D26002288</v>
          </cell>
          <cell r="AP5233">
            <v>0</v>
          </cell>
          <cell r="AQ5233">
            <v>77000000</v>
          </cell>
          <cell r="AV5233">
            <v>0</v>
          </cell>
        </row>
        <row r="5234">
          <cell r="E5234" t="str">
            <v>B26002177</v>
          </cell>
          <cell r="AP5234">
            <v>0</v>
          </cell>
          <cell r="AQ5234">
            <v>13040000</v>
          </cell>
          <cell r="AV5234">
            <v>0</v>
          </cell>
        </row>
        <row r="5235">
          <cell r="E5235" t="str">
            <v>D26002321</v>
          </cell>
          <cell r="AP5235">
            <v>0</v>
          </cell>
          <cell r="AQ5235">
            <v>7325000</v>
          </cell>
          <cell r="AV5235">
            <v>0</v>
          </cell>
        </row>
        <row r="5236">
          <cell r="E5236" t="str">
            <v>D26002327</v>
          </cell>
          <cell r="AP5236">
            <v>0</v>
          </cell>
          <cell r="AQ5236">
            <v>10625000</v>
          </cell>
          <cell r="AV5236">
            <v>0</v>
          </cell>
        </row>
        <row r="5237">
          <cell r="E5237" t="str">
            <v>B26002203</v>
          </cell>
          <cell r="AP5237">
            <v>0</v>
          </cell>
          <cell r="AQ5237">
            <v>10625000</v>
          </cell>
          <cell r="AV5237">
            <v>0</v>
          </cell>
        </row>
        <row r="5238">
          <cell r="E5238" t="str">
            <v>B26002235</v>
          </cell>
          <cell r="AP5238">
            <v>0</v>
          </cell>
          <cell r="AQ5238">
            <v>43200000</v>
          </cell>
          <cell r="AV5238">
            <v>0</v>
          </cell>
        </row>
        <row r="5239">
          <cell r="E5239" t="str">
            <v>D26002866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D26002922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D26002923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B26002945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D26003255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D26003314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D26003352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D26000278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D26000894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B26001850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D26001986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B26002848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B26002951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B26003062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D26001666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R25000016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B26000594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B26000595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D26000651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D26002896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D26002946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T25001865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D26003265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B26002705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D26002935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D26003090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T26000227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T26000088k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B26001517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D26003185</v>
          </cell>
          <cell r="AP5268">
            <v>0</v>
          </cell>
          <cell r="AQ5268">
            <v>0</v>
          </cell>
          <cell r="AV5268">
            <v>11040000</v>
          </cell>
        </row>
        <row r="5269">
          <cell r="E5269" t="str">
            <v>D26003317</v>
          </cell>
          <cell r="AP5269">
            <v>0</v>
          </cell>
          <cell r="AQ5269">
            <v>0</v>
          </cell>
          <cell r="AV5269">
            <v>17100000</v>
          </cell>
        </row>
        <row r="5270">
          <cell r="E5270" t="str">
            <v>D26003318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B26002403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D26000282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D26003387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D26003388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B26000045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B26000446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D26000516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D26001546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D25019527</v>
          </cell>
          <cell r="AP5279">
            <v>0</v>
          </cell>
          <cell r="AQ5279">
            <v>0</v>
          </cell>
          <cell r="AV5279">
            <v>10000000</v>
          </cell>
        </row>
        <row r="5280">
          <cell r="E5280" t="str">
            <v>D25019529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B26002483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B26002485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B26002486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B26002492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D26000491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D26000947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D26000987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D26001963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D26002726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B26001280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B26001284</v>
          </cell>
          <cell r="AP5291">
            <v>0</v>
          </cell>
          <cell r="AQ5291">
            <v>0</v>
          </cell>
          <cell r="AV5291">
            <v>408000</v>
          </cell>
        </row>
        <row r="5292">
          <cell r="E5292" t="str">
            <v>B26000499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B26000500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B26000507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B26000890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D26001435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D26001660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B26001842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B26001999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D26002597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D26002861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B26002849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B25014926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B25015763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B26000022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D26000091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B26000175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D26000626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D26001467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B26001668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B26001796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D26002427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D26002588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D26002616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D26002631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B26002554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Z25003313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Z26000010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Z26000013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Z26000149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Z26000172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Z26000186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Z26000189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Z26000201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Z26000309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Z26000337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Z26000386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Z26000479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Z26000516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Z26000517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Z26000619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Z26000620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Z26000638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B26002212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B26002746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B26002747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B26002748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B26002749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B26002750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D26003188</v>
          </cell>
          <cell r="AP5340">
            <v>0</v>
          </cell>
          <cell r="AQ5340">
            <v>0</v>
          </cell>
          <cell r="AV5340">
            <v>330000</v>
          </cell>
        </row>
        <row r="5341">
          <cell r="E5341" t="str">
            <v>D25017659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D25018842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D26003107</v>
          </cell>
          <cell r="AP5343">
            <v>0</v>
          </cell>
          <cell r="AQ5343">
            <v>0</v>
          </cell>
          <cell r="AV5343">
            <v>2600000</v>
          </cell>
        </row>
        <row r="5344">
          <cell r="E5344" t="str">
            <v>D25019103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B26001621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B26001622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B26001666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B26000189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T26000019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D26000364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B26001172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B26001176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B26001460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D26001601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D26001602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D26002151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D26002958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B26000385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D26000832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T26000146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B26002248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B26002866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D26001564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D26002781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B26002828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B26000433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B26000689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B26000818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B26000934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B26001429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B26001660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D26002942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D26002943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D26002956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D26002960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D26000268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D26000275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D26000355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D26000788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D26001044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D26001231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D26001274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D26001280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B26001232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D26001779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D26001782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B26001945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B26002019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D26002429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B25016320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T26000242</v>
          </cell>
          <cell r="AP5391">
            <v>0</v>
          </cell>
          <cell r="AQ5391">
            <v>0</v>
          </cell>
          <cell r="AV5391">
            <v>12400000</v>
          </cell>
        </row>
        <row r="5392">
          <cell r="E5392" t="str">
            <v>B26001436</v>
          </cell>
          <cell r="AP5392">
            <v>0</v>
          </cell>
          <cell r="AQ5392">
            <v>0</v>
          </cell>
          <cell r="AV5392">
            <v>9950000</v>
          </cell>
        </row>
        <row r="5393">
          <cell r="E5393" t="str">
            <v>D26002262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T26000046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B26002157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D26002652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T25001900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T25001901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B26002733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B26002734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B26002771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B26001386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B26002267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D26003148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C26000177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B26000305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D26000342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B26001263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B26002094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B26002715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B26002769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B26002856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B26002915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B26002926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B26002927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D26003259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B26003072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T26000259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D25019627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B26003099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T26000262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D26000402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D26002598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D26002599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D26002647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T26000038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D26001347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D26002161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B26002285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D26002470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D26002744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B26002885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B26002917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Z26000263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Z26000265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Z26000578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Z26000590</v>
          </cell>
          <cell r="AP5437">
            <v>0</v>
          </cell>
          <cell r="AQ5437">
            <v>0</v>
          </cell>
          <cell r="AV5437">
            <v>123200000</v>
          </cell>
        </row>
        <row r="5438">
          <cell r="E5438" t="str">
            <v>B26002870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D25016178</v>
          </cell>
          <cell r="AP5439">
            <v>0</v>
          </cell>
          <cell r="AQ5439">
            <v>0</v>
          </cell>
          <cell r="AV5439">
            <v>20000000</v>
          </cell>
        </row>
        <row r="5440">
          <cell r="E5440" t="str">
            <v>D25018900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D25018997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D25018998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D25019266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D26001678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D26001679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D26001680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T26000108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D26002649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D26002650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D26002651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D26002673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T26000202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D26001658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B26002355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D26002704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B26002673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D25013475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B25012121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B26000258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B26000259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D26000417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D26000895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B26001318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B26001322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B26002103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B26002105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D26002524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D26002679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D26002711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B26002182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D26002294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D25019668</v>
          </cell>
          <cell r="AP5472">
            <v>0</v>
          </cell>
          <cell r="AQ5472">
            <v>0</v>
          </cell>
          <cell r="AV5472">
            <v>3500000</v>
          </cell>
        </row>
        <row r="5473">
          <cell r="E5473" t="str">
            <v>D26001064</v>
          </cell>
          <cell r="AP5473">
            <v>0</v>
          </cell>
          <cell r="AQ5473">
            <v>0</v>
          </cell>
          <cell r="AV5473">
            <v>2020500</v>
          </cell>
        </row>
        <row r="5474">
          <cell r="E5474" t="str">
            <v>D26001223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B26001371</v>
          </cell>
          <cell r="AP5475">
            <v>0</v>
          </cell>
          <cell r="AQ5475">
            <v>0</v>
          </cell>
          <cell r="AV5475">
            <v>3210000</v>
          </cell>
        </row>
        <row r="5476">
          <cell r="E5476" t="str">
            <v>B26002252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B26002253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B26002347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T26000026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T26000076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B26001736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B26001022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D26001563</v>
          </cell>
          <cell r="AP5483">
            <v>0</v>
          </cell>
          <cell r="AQ5483">
            <v>0</v>
          </cell>
          <cell r="AV5483">
            <v>0</v>
          </cell>
        </row>
        <row r="5484">
          <cell r="E5484" t="str">
            <v>D26001570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D26001586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D26001864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D26002353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B26000228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D26000408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N26000010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B26001056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D26001762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B26002088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B26002359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B26002631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D26002808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D26003201</v>
          </cell>
          <cell r="AP5497">
            <v>0</v>
          </cell>
          <cell r="AQ5497">
            <v>0</v>
          </cell>
          <cell r="AV5497">
            <v>1920000</v>
          </cell>
        </row>
        <row r="5498">
          <cell r="E5498" t="str">
            <v>D26003217</v>
          </cell>
          <cell r="AP5498">
            <v>0</v>
          </cell>
          <cell r="AQ5498">
            <v>0</v>
          </cell>
          <cell r="AV5498">
            <v>860000</v>
          </cell>
        </row>
        <row r="5499">
          <cell r="E5499" t="str">
            <v>D26001390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D26001463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B26001447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D26001532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D26001698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D26001699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B26001644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B26001743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B26001744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D26001925</v>
          </cell>
          <cell r="AP5508">
            <v>0</v>
          </cell>
          <cell r="AQ5508">
            <v>0</v>
          </cell>
          <cell r="AV5508">
            <v>0</v>
          </cell>
        </row>
        <row r="5509">
          <cell r="E5509" t="str">
            <v>B26002086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B26002087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B26002413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B26002433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D26002660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B26003027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B26003033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L26000008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B25016195</v>
          </cell>
          <cell r="AP5517">
            <v>0</v>
          </cell>
          <cell r="AQ5517">
            <v>0</v>
          </cell>
          <cell r="AV5517">
            <v>100000000</v>
          </cell>
        </row>
        <row r="5518">
          <cell r="E5518" t="str">
            <v>B25016195</v>
          </cell>
          <cell r="AP5518">
            <v>0</v>
          </cell>
          <cell r="AQ5518">
            <v>0</v>
          </cell>
          <cell r="AV5518">
            <v>150000000</v>
          </cell>
        </row>
        <row r="5519">
          <cell r="E5519" t="str">
            <v>D25018882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D25019123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D26000372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D26000562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D26000795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D26001163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D26001164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D26001731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D26001755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B26001805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D26002032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D26002266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D26002328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D26002672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D26002996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D26003340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D26003373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D26000365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Z26000203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Z26000312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D26001870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Z26000338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Z26000357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D26002245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Z26000469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D26003173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D25018251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D25018302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D25018453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D25018491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D25019005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D26000062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B26000565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D26000552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D26000595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D26000710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D26000721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D26000951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D26001083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D26001088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D26001122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D26001377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D26001477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D26001497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D26001499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D26001746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B26001715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D26001861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D26001877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B26001801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B26001900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D26002095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D26002324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B26002216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B26002277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D26002593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B26002520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D26002712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D26003202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D26003225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D26003253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D26002514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D26002515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D26002728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B26002968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B26002969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D26001640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B26001677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D26003379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D26001575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B26001946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B26002070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D26002200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D26001653</v>
          </cell>
          <cell r="AP5592">
            <v>0</v>
          </cell>
          <cell r="AQ5592">
            <v>0</v>
          </cell>
          <cell r="AV5592">
            <v>40000000</v>
          </cell>
        </row>
        <row r="5593">
          <cell r="E5593" t="str">
            <v>D26002452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B26001772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B26003058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B26000016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D26000276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D26001002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D26001158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D26001418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B26001370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D26001439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B26001690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D26001776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B26001814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D26001916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B26002064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T26000153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B26002242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B26002243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D26002557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B26002743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B26002744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D26002937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B26002763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D26003004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B26002858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D25017834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D26001027</v>
          </cell>
          <cell r="AP5619">
            <v>0</v>
          </cell>
          <cell r="AQ5619">
            <v>0</v>
          </cell>
          <cell r="AV5619">
            <v>5100000</v>
          </cell>
        </row>
        <row r="5620">
          <cell r="E5620" t="str">
            <v>B26002188</v>
          </cell>
          <cell r="AP5620">
            <v>0</v>
          </cell>
          <cell r="AQ5620">
            <v>0</v>
          </cell>
          <cell r="AV5620">
            <v>16836500</v>
          </cell>
        </row>
        <row r="5621">
          <cell r="E5621" t="str">
            <v>B26003008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R25000105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B26001397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B26001398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D26002134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D26002232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D26002234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T26000170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D26003302</v>
          </cell>
          <cell r="AP5629">
            <v>0</v>
          </cell>
          <cell r="AQ5629">
            <v>0</v>
          </cell>
          <cell r="AV5629">
            <v>10200000</v>
          </cell>
        </row>
        <row r="5630">
          <cell r="E5630" t="str">
            <v>B26002361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B26002367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D26001584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D26001585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D26001614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B26002559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B26002560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B26002561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B26003125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D26003350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B25016269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D25018993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B26003164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T25001505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D26000048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B26001784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B26002991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B26003063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D26002658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D26003140</v>
          </cell>
          <cell r="AP5649">
            <v>0</v>
          </cell>
          <cell r="AQ5649">
            <v>0</v>
          </cell>
          <cell r="AV5649">
            <v>6300000</v>
          </cell>
        </row>
        <row r="5650">
          <cell r="E5650" t="str">
            <v>D26003170</v>
          </cell>
          <cell r="AP5650">
            <v>0</v>
          </cell>
          <cell r="AQ5650">
            <v>0</v>
          </cell>
          <cell r="AV5650">
            <v>4620000</v>
          </cell>
        </row>
        <row r="5651">
          <cell r="E5651" t="str">
            <v>T26000013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B26002186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D26003216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T25001864</v>
          </cell>
          <cell r="AP5654">
            <v>0</v>
          </cell>
          <cell r="AQ5654">
            <v>0</v>
          </cell>
          <cell r="AV5654">
            <v>6000000</v>
          </cell>
        </row>
        <row r="5655">
          <cell r="E5655" t="str">
            <v>B26001890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B26002563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B26002564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T26000185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D26002822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B26002936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B26002944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T26000241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B26001507</v>
          </cell>
          <cell r="AP5663">
            <v>0</v>
          </cell>
          <cell r="AQ5663">
            <v>0</v>
          </cell>
          <cell r="AV5663">
            <v>2000000</v>
          </cell>
        </row>
        <row r="5664">
          <cell r="E5664" t="str">
            <v>D26001750</v>
          </cell>
          <cell r="AP5664">
            <v>0</v>
          </cell>
          <cell r="AQ5664">
            <v>0</v>
          </cell>
          <cell r="AV5664">
            <v>500000</v>
          </cell>
        </row>
        <row r="5665">
          <cell r="E5665" t="str">
            <v>D26000813</v>
          </cell>
          <cell r="AP5665">
            <v>0</v>
          </cell>
          <cell r="AQ5665">
            <v>0</v>
          </cell>
          <cell r="AV5665">
            <v>1400000</v>
          </cell>
        </row>
        <row r="5666">
          <cell r="E5666" t="str">
            <v>D26000815</v>
          </cell>
          <cell r="AP5666">
            <v>0</v>
          </cell>
          <cell r="AQ5666">
            <v>0</v>
          </cell>
          <cell r="AV5666">
            <v>1480000</v>
          </cell>
        </row>
        <row r="5667">
          <cell r="E5667" t="str">
            <v>B26000922</v>
          </cell>
          <cell r="AP5667">
            <v>0</v>
          </cell>
          <cell r="AQ5667">
            <v>0</v>
          </cell>
          <cell r="AV5667">
            <v>1350000</v>
          </cell>
        </row>
        <row r="5668">
          <cell r="E5668" t="str">
            <v>D26000949</v>
          </cell>
          <cell r="AP5668">
            <v>0</v>
          </cell>
          <cell r="AQ5668">
            <v>0</v>
          </cell>
          <cell r="AV5668">
            <v>1687500</v>
          </cell>
        </row>
        <row r="5669">
          <cell r="E5669" t="str">
            <v>D26001054</v>
          </cell>
          <cell r="AP5669">
            <v>0</v>
          </cell>
          <cell r="AQ5669">
            <v>0</v>
          </cell>
          <cell r="AV5669">
            <v>2262500</v>
          </cell>
        </row>
        <row r="5670">
          <cell r="E5670" t="str">
            <v>B26001005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D26001288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B26001504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D26001650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B26002015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B26002017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D26002209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D26002223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D26002224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D26002526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D26002527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D26002705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B26002677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D26002849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B26002710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B26002876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B26001861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B26000112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D26000018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D26000046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B26000501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B26000886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B26001641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B26001662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B26001663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D26001966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D26002018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B26002011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D26002269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D26002517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D26002619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D26002623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D26002841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D26003005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D26003018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D26003085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D26003181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D26003194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D26003267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D26003310</v>
          </cell>
          <cell r="AP5709">
            <v>0</v>
          </cell>
          <cell r="AQ5709">
            <v>0</v>
          </cell>
          <cell r="AV5709">
            <v>268000000</v>
          </cell>
        </row>
        <row r="5710">
          <cell r="E5710" t="str">
            <v>D26003315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D26003328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D26003377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D26001459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D26003154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D26000910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B26001311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D26001748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D26001754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D26001873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D26001874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D26002261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B26002234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D26002397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B26002607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D26002892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B26002790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D26003083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B26002986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D26001957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D26002618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B26000422</v>
          </cell>
          <cell r="AP5731">
            <v>0</v>
          </cell>
          <cell r="AQ5731">
            <v>0</v>
          </cell>
          <cell r="AV5731">
            <v>0</v>
          </cell>
        </row>
        <row r="5732">
          <cell r="E5732" t="str">
            <v>B26000424</v>
          </cell>
          <cell r="AP5732">
            <v>0</v>
          </cell>
          <cell r="AQ5732">
            <v>0</v>
          </cell>
          <cell r="AV5732">
            <v>0</v>
          </cell>
        </row>
        <row r="5733">
          <cell r="E5733" t="str">
            <v>D26001155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D26001207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D26001364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B26001541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B26001636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B26001637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D26001739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B26001723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D26001844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B26002084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B26002498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D26002770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D26002881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B26002851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D26003316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C26000098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T25001650K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B26000483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B26000849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B26001718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D26002373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D26003128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B26003133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B26003134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B26003038</v>
          </cell>
          <cell r="AP5757">
            <v>0</v>
          </cell>
          <cell r="AQ5757">
            <v>0</v>
          </cell>
          <cell r="AV5757">
            <v>822500</v>
          </cell>
        </row>
        <row r="5758">
          <cell r="E5758" t="str">
            <v>D26003236</v>
          </cell>
          <cell r="AP5758">
            <v>0</v>
          </cell>
          <cell r="AQ5758">
            <v>0</v>
          </cell>
          <cell r="AV5758">
            <v>5052500</v>
          </cell>
        </row>
        <row r="5759">
          <cell r="E5759" t="str">
            <v>B26000104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D26000509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D26000984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B26000961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D26001056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D26001312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B26001407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B26001408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B26001709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D26001768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B26001754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B26001755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D26001978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T26000140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B26001996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B26001997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D26002135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D26002379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D26002380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B26002331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B26002332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B26002365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B26002437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B26002438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D26002797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D26002798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B26002835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D26003036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B26002890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B26003014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D26003284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B26001530</v>
          </cell>
          <cell r="AP5790">
            <v>0</v>
          </cell>
          <cell r="AQ5790">
            <v>0</v>
          </cell>
          <cell r="AV5790">
            <v>6750000</v>
          </cell>
        </row>
        <row r="5791">
          <cell r="E5791" t="str">
            <v>B26002547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D26002972</v>
          </cell>
          <cell r="AP5792">
            <v>0</v>
          </cell>
          <cell r="AQ5792">
            <v>0</v>
          </cell>
          <cell r="AV5792">
            <v>17950000</v>
          </cell>
        </row>
        <row r="5793">
          <cell r="E5793" t="str">
            <v>N26000030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B26002961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Z26000593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B26001093</v>
          </cell>
          <cell r="AP5796">
            <v>0</v>
          </cell>
          <cell r="AQ5796">
            <v>0</v>
          </cell>
          <cell r="AV5796">
            <v>1332500</v>
          </cell>
        </row>
        <row r="5797">
          <cell r="E5797" t="str">
            <v>B26001093</v>
          </cell>
          <cell r="AP5797">
            <v>0</v>
          </cell>
          <cell r="AQ5797">
            <v>0</v>
          </cell>
          <cell r="AV5797">
            <v>2350000</v>
          </cell>
        </row>
        <row r="5798">
          <cell r="E5798" t="str">
            <v>B26000861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B26000967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D26001363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T26000238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B26002178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D26002355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D26002854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B26001364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B26002344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B26002766</v>
          </cell>
          <cell r="AP5807">
            <v>0</v>
          </cell>
          <cell r="AQ5807">
            <v>0</v>
          </cell>
          <cell r="AV5807">
            <v>0</v>
          </cell>
        </row>
        <row r="5808">
          <cell r="E5808" t="str">
            <v>B26002767</v>
          </cell>
          <cell r="AP5808">
            <v>0</v>
          </cell>
          <cell r="AQ5808">
            <v>0</v>
          </cell>
          <cell r="AV5808">
            <v>0</v>
          </cell>
        </row>
        <row r="5809">
          <cell r="E5809" t="str">
            <v>D26003336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T24000579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T26000094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T26000095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B26002626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B25016963</v>
          </cell>
          <cell r="AP5814">
            <v>0</v>
          </cell>
          <cell r="AQ5814">
            <v>0</v>
          </cell>
          <cell r="AV5814">
            <v>4375000</v>
          </cell>
        </row>
        <row r="5815">
          <cell r="E5815" t="str">
            <v>B26000087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D26002198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B26002163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D26000285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D26000339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D26000436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D26001086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D26001227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D26001471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D26002048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B26002097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B26002151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D26002246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D26002303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D26002363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B26002205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B26002351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B26002439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B26002440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B26002477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B26002530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B26002594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D26002765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B26002681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B26002830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B26002831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D26003069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D25017697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D26002415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B26002271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D26002483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B26003071</v>
          </cell>
          <cell r="AP5846">
            <v>0</v>
          </cell>
          <cell r="AQ5846">
            <v>0</v>
          </cell>
          <cell r="AV5846">
            <v>0</v>
          </cell>
        </row>
        <row r="5848">
          <cell r="E5848" t="str">
            <v>x</v>
          </cell>
          <cell r="AP5848" t="str">
            <v>x</v>
          </cell>
          <cell r="AQ5848" t="str">
            <v>x</v>
          </cell>
          <cell r="AV5848" t="str">
            <v>x</v>
          </cell>
        </row>
        <row r="5849">
          <cell r="AP5849">
            <v>500</v>
          </cell>
          <cell r="AQ5849">
            <v>5170427500</v>
          </cell>
          <cell r="AV5849">
            <v>10123332650</v>
          </cell>
        </row>
        <row r="5850">
          <cell r="AQ5850">
            <v>4430557500</v>
          </cell>
        </row>
        <row r="5851">
          <cell r="AQ5851">
            <v>739870000</v>
          </cell>
        </row>
        <row r="5852">
          <cell r="AQ5852">
            <v>739870000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workbookViewId="0">
      <selection activeCell="M17" sqref="M17"/>
    </sheetView>
  </sheetViews>
  <sheetFormatPr defaultRowHeight="15"/>
  <cols>
    <col min="2" max="2" width="10" bestFit="1" customWidth="1"/>
    <col min="5" max="5" width="10" bestFit="1" customWidth="1"/>
  </cols>
  <sheetData>
    <row r="1" spans="1:20" ht="25.5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 t="s">
        <v>20</v>
      </c>
      <c r="M1" s="35" t="s">
        <v>11</v>
      </c>
      <c r="N1" s="36" t="s">
        <v>21</v>
      </c>
      <c r="O1" s="34" t="s">
        <v>22</v>
      </c>
      <c r="P1" s="34" t="s">
        <v>22</v>
      </c>
      <c r="Q1" s="37" t="s">
        <v>23</v>
      </c>
      <c r="R1" s="37"/>
      <c r="S1" s="37"/>
      <c r="T1" s="36" t="s">
        <v>22</v>
      </c>
    </row>
    <row r="2" spans="1:20" ht="36">
      <c r="A2" s="38" t="s">
        <v>1</v>
      </c>
      <c r="B2" s="39" t="s">
        <v>24</v>
      </c>
      <c r="C2" s="40" t="s">
        <v>3</v>
      </c>
      <c r="D2" s="41" t="s">
        <v>25</v>
      </c>
      <c r="E2" s="42" t="s">
        <v>26</v>
      </c>
      <c r="F2" s="42"/>
      <c r="G2" s="43" t="s">
        <v>27</v>
      </c>
      <c r="H2" s="44" t="s">
        <v>28</v>
      </c>
      <c r="I2" s="45" t="s">
        <v>29</v>
      </c>
      <c r="J2" s="46" t="s">
        <v>30</v>
      </c>
      <c r="K2" s="46"/>
      <c r="L2" s="47" t="s">
        <v>31</v>
      </c>
      <c r="M2" s="48" t="s">
        <v>32</v>
      </c>
      <c r="N2" s="49" t="s">
        <v>33</v>
      </c>
      <c r="O2" s="47" t="s">
        <v>34</v>
      </c>
      <c r="P2" s="47" t="s">
        <v>35</v>
      </c>
      <c r="Q2" s="50" t="s">
        <v>36</v>
      </c>
      <c r="R2" s="50" t="s">
        <v>37</v>
      </c>
      <c r="S2" s="50" t="s">
        <v>11</v>
      </c>
      <c r="T2" s="49" t="s">
        <v>38</v>
      </c>
    </row>
    <row r="3" spans="1:20">
      <c r="A3" s="51" t="s">
        <v>15</v>
      </c>
      <c r="B3" s="52">
        <f>+E3+G3+H3+J3</f>
        <v>23682.089988079999</v>
      </c>
      <c r="C3" s="53">
        <v>0.96</v>
      </c>
      <c r="D3" s="54">
        <f>+F3</f>
        <v>0.94300363318104963</v>
      </c>
      <c r="E3" s="52">
        <v>22332.29690008</v>
      </c>
      <c r="F3" s="55">
        <f t="shared" ref="F3:F4" si="0">+E3/B3</f>
        <v>0.94300363318104963</v>
      </c>
      <c r="G3" s="52">
        <v>1244.786288</v>
      </c>
      <c r="H3" s="52">
        <v>105.0068</v>
      </c>
      <c r="I3" s="55">
        <f t="shared" ref="I3:I4" si="1">+(G3+H3)/B3</f>
        <v>5.6996366818950379E-2</v>
      </c>
      <c r="J3" s="52">
        <v>0</v>
      </c>
      <c r="K3" s="55">
        <f t="shared" ref="K3:K4" si="2">+J3/B3</f>
        <v>0</v>
      </c>
      <c r="L3" s="56">
        <v>0.33333333333333331</v>
      </c>
      <c r="M3" s="57">
        <v>0.81179415830108537</v>
      </c>
      <c r="N3" s="58"/>
      <c r="O3" s="58"/>
      <c r="P3" s="58"/>
      <c r="Q3" s="59"/>
      <c r="R3" s="59"/>
      <c r="S3" s="55">
        <v>1</v>
      </c>
      <c r="T3" s="60">
        <v>0</v>
      </c>
    </row>
    <row r="4" spans="1:20">
      <c r="A4" s="51" t="s">
        <v>18</v>
      </c>
      <c r="B4" s="52">
        <f>+E4+G4+H4+J4</f>
        <v>26680.939750080001</v>
      </c>
      <c r="C4" s="53">
        <v>0.96</v>
      </c>
      <c r="D4" s="54">
        <f t="shared" ref="D4" si="3">+F4</f>
        <v>0.93429609989675333</v>
      </c>
      <c r="E4" s="52">
        <v>24927.897950080001</v>
      </c>
      <c r="F4" s="55">
        <f t="shared" si="0"/>
        <v>0.93429609989675333</v>
      </c>
      <c r="G4" s="52">
        <v>1753.0418</v>
      </c>
      <c r="H4" s="52">
        <v>0</v>
      </c>
      <c r="I4" s="55">
        <f t="shared" si="1"/>
        <v>6.5703900103246685E-2</v>
      </c>
      <c r="J4" s="52">
        <v>0</v>
      </c>
      <c r="K4" s="53">
        <f t="shared" si="2"/>
        <v>0</v>
      </c>
      <c r="L4" s="56">
        <v>0.3</v>
      </c>
      <c r="M4" s="57">
        <v>0.72452482438759114</v>
      </c>
      <c r="N4" s="58"/>
      <c r="O4" s="58"/>
      <c r="P4" s="58"/>
      <c r="Q4" s="59"/>
      <c r="R4" s="59"/>
      <c r="S4" s="55">
        <v>1</v>
      </c>
      <c r="T4" s="60">
        <v>0</v>
      </c>
    </row>
    <row r="6" spans="1:20">
      <c r="A6" s="1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spans="1:20">
      <c r="A7" s="4" t="s">
        <v>1</v>
      </c>
      <c r="B7" s="5" t="s">
        <v>2</v>
      </c>
      <c r="C7" s="6"/>
      <c r="D7" s="6"/>
      <c r="E7" s="6"/>
      <c r="F7" s="6"/>
      <c r="G7" s="6"/>
      <c r="H7" s="7"/>
      <c r="I7" s="8" t="s">
        <v>3</v>
      </c>
      <c r="J7" s="9"/>
      <c r="K7" s="10" t="s">
        <v>4</v>
      </c>
      <c r="L7" s="10" t="s">
        <v>5</v>
      </c>
    </row>
    <row r="8" spans="1:20">
      <c r="A8" s="4"/>
      <c r="B8" s="11" t="s">
        <v>6</v>
      </c>
      <c r="C8" s="12"/>
      <c r="D8" s="12"/>
      <c r="E8" s="13"/>
      <c r="F8" s="14" t="s">
        <v>7</v>
      </c>
      <c r="G8" s="15"/>
      <c r="H8" s="16"/>
      <c r="I8" s="17" t="s">
        <v>8</v>
      </c>
      <c r="J8" s="18"/>
      <c r="K8" s="19" t="s">
        <v>9</v>
      </c>
      <c r="L8" s="19" t="s">
        <v>10</v>
      </c>
    </row>
    <row r="9" spans="1:20">
      <c r="A9" s="4"/>
      <c r="B9" s="20" t="s">
        <v>3</v>
      </c>
      <c r="C9" s="21" t="s">
        <v>11</v>
      </c>
      <c r="D9" s="21" t="s">
        <v>12</v>
      </c>
      <c r="E9" s="22" t="s">
        <v>13</v>
      </c>
      <c r="F9" s="21" t="s">
        <v>11</v>
      </c>
      <c r="G9" s="21" t="s">
        <v>12</v>
      </c>
      <c r="H9" s="22" t="s">
        <v>13</v>
      </c>
      <c r="I9" s="23" t="s">
        <v>12</v>
      </c>
      <c r="J9" s="23" t="s">
        <v>13</v>
      </c>
      <c r="K9" s="24" t="s">
        <v>14</v>
      </c>
      <c r="L9" s="24" t="s">
        <v>14</v>
      </c>
    </row>
    <row r="10" spans="1:20">
      <c r="A10" s="25" t="s">
        <v>15</v>
      </c>
      <c r="B10" s="26">
        <v>0.95499999999999996</v>
      </c>
      <c r="C10" s="26">
        <f>+D10/(D10+E10)</f>
        <v>0.93824559493385462</v>
      </c>
      <c r="D10" s="27">
        <f>+G10</f>
        <v>11063.120599999991</v>
      </c>
      <c r="E10" s="27">
        <f>+H10</f>
        <v>728.16375000000016</v>
      </c>
      <c r="F10" s="28">
        <f t="shared" ref="F10:F11" si="4">+G10/(G10+H10)</f>
        <v>0.93824559493385462</v>
      </c>
      <c r="G10" s="29">
        <v>11063.120599999991</v>
      </c>
      <c r="H10" s="29">
        <v>728.16375000000016</v>
      </c>
      <c r="I10" s="30" t="s">
        <v>16</v>
      </c>
      <c r="J10" s="30" t="s">
        <v>17</v>
      </c>
      <c r="K10" s="31">
        <v>2</v>
      </c>
      <c r="L10" s="32">
        <v>0.24425986498374266</v>
      </c>
    </row>
    <row r="11" spans="1:20">
      <c r="A11" s="25" t="s">
        <v>18</v>
      </c>
      <c r="B11" s="26">
        <v>0.95499999999999996</v>
      </c>
      <c r="C11" s="26">
        <f t="shared" ref="C11" si="5">+D11/(D11+E11)</f>
        <v>0.94503751711195927</v>
      </c>
      <c r="D11" s="27">
        <f>+D10+G11</f>
        <v>22732.442874999972</v>
      </c>
      <c r="E11" s="27">
        <f>+E10+H11</f>
        <v>1322.0972500000003</v>
      </c>
      <c r="F11" s="28">
        <f t="shared" si="4"/>
        <v>0.95156804107349702</v>
      </c>
      <c r="G11" s="29">
        <v>11669.322274999982</v>
      </c>
      <c r="H11" s="29">
        <v>593.93349999999998</v>
      </c>
      <c r="I11" s="30" t="s">
        <v>16</v>
      </c>
      <c r="J11" s="30" t="s">
        <v>17</v>
      </c>
      <c r="K11" s="31">
        <v>0</v>
      </c>
      <c r="L11" s="32">
        <v>0.41203842955466297</v>
      </c>
    </row>
    <row r="13" spans="1:20">
      <c r="A13" s="61">
        <v>1</v>
      </c>
      <c r="B13" s="62" t="s">
        <v>39</v>
      </c>
      <c r="C13" s="62" t="s">
        <v>40</v>
      </c>
      <c r="D13" s="62" t="s">
        <v>41</v>
      </c>
      <c r="E13" s="63" t="s">
        <v>42</v>
      </c>
      <c r="F13" s="63" t="s">
        <v>43</v>
      </c>
      <c r="G13" s="64">
        <v>58.177500000000002</v>
      </c>
      <c r="H13" s="64">
        <v>22.864999999999998</v>
      </c>
      <c r="I13" s="64">
        <f t="shared" ref="I13:I16" si="6">SUM(G13:H13)</f>
        <v>81.042500000000004</v>
      </c>
      <c r="J13" s="65"/>
    </row>
    <row r="14" spans="1:20">
      <c r="A14" s="61">
        <v>2</v>
      </c>
      <c r="B14" s="62" t="s">
        <v>39</v>
      </c>
      <c r="C14" s="62" t="s">
        <v>40</v>
      </c>
      <c r="D14" s="62" t="s">
        <v>44</v>
      </c>
      <c r="E14" s="63" t="s">
        <v>45</v>
      </c>
      <c r="F14" s="63" t="s">
        <v>43</v>
      </c>
      <c r="G14" s="64">
        <v>118.815</v>
      </c>
      <c r="H14" s="64">
        <v>30</v>
      </c>
      <c r="I14" s="64">
        <f t="shared" si="6"/>
        <v>148.815</v>
      </c>
      <c r="J14" s="65"/>
    </row>
    <row r="15" spans="1:20">
      <c r="A15" s="61">
        <v>3</v>
      </c>
      <c r="B15" s="62" t="s">
        <v>39</v>
      </c>
      <c r="C15" s="62" t="s">
        <v>40</v>
      </c>
      <c r="D15" s="62" t="s">
        <v>46</v>
      </c>
      <c r="E15" s="63" t="s">
        <v>47</v>
      </c>
      <c r="F15" s="63" t="s">
        <v>43</v>
      </c>
      <c r="G15" s="64">
        <v>15</v>
      </c>
      <c r="H15" s="64">
        <v>47.734999999999999</v>
      </c>
      <c r="I15" s="64">
        <f t="shared" si="6"/>
        <v>62.734999999999999</v>
      </c>
      <c r="J15" s="65"/>
    </row>
    <row r="16" spans="1:20">
      <c r="A16" s="61">
        <v>4</v>
      </c>
      <c r="B16" s="62" t="s">
        <v>39</v>
      </c>
      <c r="C16" s="62" t="s">
        <v>40</v>
      </c>
      <c r="D16" s="62" t="s">
        <v>48</v>
      </c>
      <c r="E16" s="63" t="s">
        <v>49</v>
      </c>
      <c r="F16" s="63" t="s">
        <v>43</v>
      </c>
      <c r="G16" s="64">
        <v>57.24</v>
      </c>
      <c r="H16" s="64">
        <v>74.06</v>
      </c>
      <c r="I16" s="64">
        <f t="shared" si="6"/>
        <v>131.30000000000001</v>
      </c>
      <c r="J16" s="65"/>
    </row>
    <row r="17" spans="1:10">
      <c r="A17" s="66"/>
      <c r="B17" s="67"/>
      <c r="C17" s="67"/>
      <c r="D17" s="67"/>
      <c r="E17" s="68" t="s">
        <v>50</v>
      </c>
      <c r="F17" s="69"/>
      <c r="G17" s="70"/>
      <c r="H17" s="70">
        <f>SUM(H13:H16)</f>
        <v>174.66</v>
      </c>
      <c r="I17" s="70">
        <f>SUM(I13:I16)</f>
        <v>423.89250000000004</v>
      </c>
      <c r="J17" s="71">
        <f>H17/I17</f>
        <v>0.41203842955466297</v>
      </c>
    </row>
    <row r="19" spans="1:10">
      <c r="A19" s="72" t="s">
        <v>51</v>
      </c>
      <c r="B19" s="72" t="s">
        <v>52</v>
      </c>
      <c r="C19" s="72" t="s">
        <v>53</v>
      </c>
      <c r="D19" s="72" t="s">
        <v>54</v>
      </c>
      <c r="E19" s="72" t="s">
        <v>55</v>
      </c>
      <c r="F19" s="72" t="s">
        <v>56</v>
      </c>
      <c r="G19" s="72" t="s">
        <v>40</v>
      </c>
      <c r="H19" s="72" t="s">
        <v>57</v>
      </c>
    </row>
    <row r="20" spans="1:10">
      <c r="A20" s="73">
        <v>1</v>
      </c>
      <c r="B20" s="74" t="s">
        <v>58</v>
      </c>
      <c r="C20" s="75">
        <v>387</v>
      </c>
      <c r="D20" s="76">
        <v>468</v>
      </c>
      <c r="E20" s="76">
        <v>609</v>
      </c>
      <c r="F20" s="76">
        <v>453</v>
      </c>
      <c r="G20" s="76">
        <v>438</v>
      </c>
      <c r="H20" s="76">
        <v>889</v>
      </c>
    </row>
    <row r="21" spans="1:10">
      <c r="A21" s="73"/>
      <c r="B21" s="74" t="s">
        <v>59</v>
      </c>
      <c r="C21" s="75">
        <v>357</v>
      </c>
      <c r="D21" s="76">
        <v>457</v>
      </c>
      <c r="E21" s="75">
        <v>562</v>
      </c>
      <c r="F21" s="76">
        <v>415</v>
      </c>
      <c r="G21" s="76">
        <v>415</v>
      </c>
      <c r="H21" s="76">
        <v>861</v>
      </c>
    </row>
    <row r="22" spans="1:10">
      <c r="A22" s="73"/>
      <c r="B22" s="74" t="s">
        <v>3</v>
      </c>
      <c r="C22" s="75">
        <v>30</v>
      </c>
      <c r="D22" s="75">
        <f>+D20-D21</f>
        <v>11</v>
      </c>
      <c r="E22" s="75">
        <f>+E20-E21</f>
        <v>47</v>
      </c>
      <c r="F22" s="76">
        <f>+F20-F21</f>
        <v>38</v>
      </c>
      <c r="G22" s="75">
        <f>+G20-G21</f>
        <v>23</v>
      </c>
      <c r="H22" s="75">
        <v>28</v>
      </c>
    </row>
    <row r="23" spans="1:10">
      <c r="A23" s="73"/>
      <c r="B23" s="77" t="s">
        <v>11</v>
      </c>
      <c r="C23" s="78">
        <f>C21/C20</f>
        <v>0.92248062015503873</v>
      </c>
      <c r="D23" s="78">
        <f t="shared" ref="D23:H23" si="7">D21/D20</f>
        <v>0.97649572649572647</v>
      </c>
      <c r="E23" s="78">
        <f t="shared" si="7"/>
        <v>0.92282430213464695</v>
      </c>
      <c r="F23" s="78">
        <f>F21/F20</f>
        <v>0.91611479028697573</v>
      </c>
      <c r="G23" s="78">
        <f t="shared" si="7"/>
        <v>0.94748858447488582</v>
      </c>
      <c r="H23" s="78">
        <f t="shared" si="7"/>
        <v>0.96850393700787396</v>
      </c>
    </row>
    <row r="24" spans="1:10">
      <c r="A24" s="73">
        <v>2</v>
      </c>
      <c r="B24" s="74" t="s">
        <v>58</v>
      </c>
      <c r="C24" s="75">
        <v>387</v>
      </c>
      <c r="D24" s="76">
        <v>468</v>
      </c>
      <c r="E24" s="76">
        <v>609</v>
      </c>
      <c r="F24" s="76">
        <v>453</v>
      </c>
      <c r="G24" s="76">
        <v>440</v>
      </c>
      <c r="H24" s="76">
        <v>889</v>
      </c>
    </row>
    <row r="25" spans="1:10">
      <c r="A25" s="73"/>
      <c r="B25" s="74" t="s">
        <v>59</v>
      </c>
      <c r="C25" s="75">
        <v>363</v>
      </c>
      <c r="D25" s="76">
        <v>455</v>
      </c>
      <c r="E25" s="75">
        <v>564</v>
      </c>
      <c r="F25" s="76">
        <v>425</v>
      </c>
      <c r="G25" s="76">
        <v>404</v>
      </c>
      <c r="H25" s="76">
        <v>863</v>
      </c>
    </row>
    <row r="26" spans="1:10">
      <c r="A26" s="73"/>
      <c r="B26" s="74" t="s">
        <v>3</v>
      </c>
      <c r="C26" s="75">
        <f t="shared" ref="C26:H26" si="8">+C24-C25</f>
        <v>24</v>
      </c>
      <c r="D26" s="75">
        <f t="shared" si="8"/>
        <v>13</v>
      </c>
      <c r="E26" s="75">
        <f t="shared" si="8"/>
        <v>45</v>
      </c>
      <c r="F26" s="75">
        <f t="shared" si="8"/>
        <v>28</v>
      </c>
      <c r="G26" s="75">
        <f t="shared" si="8"/>
        <v>36</v>
      </c>
      <c r="H26" s="75">
        <f t="shared" si="8"/>
        <v>26</v>
      </c>
    </row>
    <row r="27" spans="1:10">
      <c r="A27" s="73"/>
      <c r="B27" s="79" t="s">
        <v>11</v>
      </c>
      <c r="C27" s="80">
        <f>C25/C24</f>
        <v>0.93798449612403101</v>
      </c>
      <c r="D27" s="81">
        <f t="shared" ref="D27:E27" si="9">D25/D24</f>
        <v>0.97222222222222221</v>
      </c>
      <c r="E27" s="80">
        <f t="shared" si="9"/>
        <v>0.92610837438423643</v>
      </c>
      <c r="F27" s="80">
        <f>F25/F24</f>
        <v>0.9381898454746137</v>
      </c>
      <c r="G27" s="81">
        <f t="shared" ref="G27:H27" si="10">G25/G24</f>
        <v>0.91818181818181821</v>
      </c>
      <c r="H27" s="80">
        <f t="shared" si="10"/>
        <v>0.97075365579302586</v>
      </c>
    </row>
  </sheetData>
  <mergeCells count="13">
    <mergeCell ref="A20:A23"/>
    <mergeCell ref="A24:A27"/>
    <mergeCell ref="Q1:S1"/>
    <mergeCell ref="E2:F2"/>
    <mergeCell ref="J2:K2"/>
    <mergeCell ref="A6:K6"/>
    <mergeCell ref="A7:A9"/>
    <mergeCell ref="B7:H7"/>
    <mergeCell ref="I7:J7"/>
    <mergeCell ref="B8:E8"/>
    <mergeCell ref="F8:H8"/>
    <mergeCell ref="I8:J8"/>
    <mergeCell ref="A1:K1"/>
  </mergeCells>
  <conditionalFormatting sqref="B13:F16">
    <cfRule type="expression" dxfId="648" priority="4">
      <formula>AND(#REF!&gt;0,#REF!&gt;89)</formula>
    </cfRule>
    <cfRule type="expression" dxfId="647" priority="5">
      <formula>AND(#REF!&gt;0,#REF!&gt;59)</formula>
    </cfRule>
    <cfRule type="expression" dxfId="646" priority="6">
      <formula>AND(#REF!&gt;0,#REF!&gt;44)</formula>
    </cfRule>
  </conditionalFormatting>
  <conditionalFormatting sqref="B17:D17 F17">
    <cfRule type="expression" dxfId="645" priority="1">
      <formula>AND(#REF!&gt;0,#REF!&gt;89)</formula>
    </cfRule>
    <cfRule type="expression" dxfId="644" priority="2">
      <formula>AND(#REF!&gt;0,#REF!&gt;59)</formula>
    </cfRule>
    <cfRule type="expression" dxfId="643" priority="3">
      <formula>AND(#REF!&gt;0,#REF!&gt;44)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4"/>
  <sheetViews>
    <sheetView zoomScale="90" zoomScaleNormal="90" workbookViewId="0">
      <pane xSplit="2" ySplit="6" topLeftCell="C7" activePane="bottomRight" state="frozen"/>
      <selection pane="topRight" activeCell="C1" sqref="C1"/>
      <selection pane="bottomLeft" activeCell="A3" sqref="A3"/>
      <selection pane="bottomRight" activeCell="A128" sqref="A128:AG228"/>
    </sheetView>
  </sheetViews>
  <sheetFormatPr defaultRowHeight="15"/>
  <cols>
    <col min="1" max="1" width="4.5703125" customWidth="1"/>
    <col min="2" max="2" width="21.7109375" customWidth="1"/>
    <col min="3" max="20" width="5.7109375" customWidth="1"/>
    <col min="21" max="21" width="4.5703125" customWidth="1"/>
    <col min="22" max="22" width="5" customWidth="1"/>
    <col min="23" max="23" width="5.140625" customWidth="1"/>
    <col min="24" max="39" width="5.7109375" customWidth="1"/>
  </cols>
  <sheetData>
    <row r="1" spans="1:55" ht="15.75">
      <c r="A1" s="82" t="s">
        <v>60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</row>
    <row r="2" spans="1:55">
      <c r="A2" s="84" t="s">
        <v>61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3" t="s">
        <v>62</v>
      </c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</row>
    <row r="3" spans="1:55">
      <c r="A3" s="85"/>
      <c r="B3" s="86" t="s">
        <v>63</v>
      </c>
      <c r="C3" s="83" t="s">
        <v>64</v>
      </c>
      <c r="D3" s="87" t="s">
        <v>65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 t="s">
        <v>62</v>
      </c>
      <c r="AD3" s="83"/>
      <c r="AE3" s="83"/>
      <c r="AF3" s="83"/>
      <c r="AG3" s="83"/>
      <c r="AH3" s="83" t="s">
        <v>62</v>
      </c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</row>
    <row r="4" spans="1:55">
      <c r="A4" s="86"/>
      <c r="B4" s="86" t="s">
        <v>66</v>
      </c>
      <c r="C4" s="83" t="s">
        <v>64</v>
      </c>
      <c r="D4" s="87" t="s">
        <v>67</v>
      </c>
      <c r="E4" s="83"/>
      <c r="F4" s="83"/>
      <c r="G4" s="83"/>
      <c r="H4" s="83"/>
      <c r="I4" s="83"/>
      <c r="J4" s="83"/>
      <c r="K4" s="83"/>
      <c r="L4" s="83"/>
      <c r="M4" s="83" t="s">
        <v>62</v>
      </c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 t="s">
        <v>62</v>
      </c>
      <c r="Z4" s="83"/>
      <c r="AA4" s="83"/>
      <c r="AB4" s="83"/>
      <c r="AC4" s="83"/>
      <c r="AD4" s="83"/>
      <c r="AE4" s="83"/>
      <c r="AF4" s="83"/>
      <c r="AG4" s="83" t="s">
        <v>62</v>
      </c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</row>
    <row r="5" spans="1:55">
      <c r="A5" s="86"/>
      <c r="B5" s="86" t="s">
        <v>68</v>
      </c>
      <c r="C5" s="83" t="s">
        <v>64</v>
      </c>
      <c r="D5" s="87" t="s">
        <v>69</v>
      </c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</row>
    <row r="6" spans="1:55" s="90" customFormat="1" ht="12.95" customHeight="1">
      <c r="A6" s="88" t="s">
        <v>70</v>
      </c>
      <c r="B6" s="88" t="s">
        <v>71</v>
      </c>
      <c r="C6" s="89">
        <v>1</v>
      </c>
      <c r="D6" s="88">
        <v>2</v>
      </c>
      <c r="E6" s="88">
        <v>3</v>
      </c>
      <c r="F6" s="88">
        <v>4</v>
      </c>
      <c r="G6" s="88">
        <v>5</v>
      </c>
      <c r="H6" s="88">
        <v>6</v>
      </c>
      <c r="I6" s="88">
        <v>7</v>
      </c>
      <c r="J6" s="89">
        <v>8</v>
      </c>
      <c r="K6" s="88">
        <v>9</v>
      </c>
      <c r="L6" s="88">
        <v>10</v>
      </c>
      <c r="M6" s="88">
        <v>11</v>
      </c>
      <c r="N6" s="88">
        <v>12</v>
      </c>
      <c r="O6" s="88">
        <v>13</v>
      </c>
      <c r="P6" s="88">
        <v>14</v>
      </c>
      <c r="Q6" s="89">
        <v>15</v>
      </c>
      <c r="R6" s="88">
        <v>16</v>
      </c>
      <c r="S6" s="89">
        <v>17</v>
      </c>
      <c r="T6" s="88">
        <v>18</v>
      </c>
      <c r="U6" s="88">
        <v>19</v>
      </c>
      <c r="V6" s="88">
        <v>20</v>
      </c>
      <c r="W6" s="88">
        <v>21</v>
      </c>
      <c r="X6" s="89">
        <v>22</v>
      </c>
      <c r="Y6" s="88">
        <v>23</v>
      </c>
      <c r="Z6" s="88">
        <v>24</v>
      </c>
      <c r="AA6" s="88">
        <v>25</v>
      </c>
      <c r="AB6" s="88">
        <v>26</v>
      </c>
      <c r="AC6" s="88">
        <v>27</v>
      </c>
      <c r="AD6" s="88">
        <v>28</v>
      </c>
      <c r="AE6" s="88">
        <v>29</v>
      </c>
      <c r="AF6" s="88">
        <v>30</v>
      </c>
      <c r="AG6" s="88">
        <v>31</v>
      </c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</row>
    <row r="7" spans="1:55" s="90" customFormat="1" ht="12.95" customHeight="1">
      <c r="A7" s="91">
        <v>1</v>
      </c>
      <c r="B7" s="92" t="s">
        <v>72</v>
      </c>
      <c r="C7" s="93"/>
      <c r="D7" s="93" t="s">
        <v>73</v>
      </c>
      <c r="E7" s="93"/>
      <c r="F7" s="93" t="s">
        <v>73</v>
      </c>
      <c r="G7" s="93" t="s">
        <v>74</v>
      </c>
      <c r="H7" s="93"/>
      <c r="I7" s="93"/>
      <c r="J7" s="93"/>
      <c r="K7" s="93"/>
      <c r="L7" s="93"/>
      <c r="M7" s="93"/>
      <c r="N7" s="93" t="s">
        <v>73</v>
      </c>
      <c r="O7" s="93"/>
      <c r="P7" s="93"/>
      <c r="Q7" s="93"/>
      <c r="R7" s="93" t="s">
        <v>74</v>
      </c>
      <c r="S7" s="93"/>
      <c r="T7" s="93"/>
      <c r="U7" s="93"/>
      <c r="V7" s="93"/>
      <c r="W7" s="93"/>
      <c r="X7" s="93"/>
      <c r="Y7" s="93" t="s">
        <v>73</v>
      </c>
      <c r="Z7" s="93"/>
      <c r="AA7" s="93" t="s">
        <v>75</v>
      </c>
      <c r="AB7" s="93"/>
      <c r="AC7" s="93"/>
      <c r="AD7" s="93"/>
      <c r="AE7" s="93"/>
      <c r="AF7" s="93"/>
      <c r="AG7" s="93"/>
      <c r="AH7" s="94" t="s">
        <v>73</v>
      </c>
      <c r="AI7" s="95" t="s">
        <v>75</v>
      </c>
      <c r="AJ7" s="96" t="s">
        <v>74</v>
      </c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85"/>
      <c r="AW7" s="85"/>
      <c r="AX7" s="85"/>
      <c r="AY7" s="85"/>
      <c r="AZ7" s="85"/>
      <c r="BA7" s="85"/>
      <c r="BB7" s="85"/>
      <c r="BC7" s="85"/>
    </row>
    <row r="8" spans="1:55" s="90" customFormat="1" ht="12.95" customHeight="1">
      <c r="A8" s="91">
        <v>2</v>
      </c>
      <c r="B8" s="92" t="s">
        <v>76</v>
      </c>
      <c r="C8" s="93"/>
      <c r="D8" s="93" t="s">
        <v>73</v>
      </c>
      <c r="E8" s="93"/>
      <c r="F8" s="93"/>
      <c r="G8" s="93" t="s">
        <v>73</v>
      </c>
      <c r="H8" s="93" t="s">
        <v>74</v>
      </c>
      <c r="I8" s="93"/>
      <c r="J8" s="93"/>
      <c r="K8" s="93" t="s">
        <v>73</v>
      </c>
      <c r="L8" s="93"/>
      <c r="M8" s="93"/>
      <c r="N8" s="93"/>
      <c r="O8" s="93"/>
      <c r="P8" s="93"/>
      <c r="Q8" s="93"/>
      <c r="R8" s="93" t="s">
        <v>73</v>
      </c>
      <c r="S8" s="93"/>
      <c r="T8" s="93"/>
      <c r="U8" s="93" t="s">
        <v>75</v>
      </c>
      <c r="V8" s="93"/>
      <c r="W8" s="93"/>
      <c r="X8" s="93"/>
      <c r="Y8" s="93"/>
      <c r="Z8" s="93"/>
      <c r="AA8" s="93"/>
      <c r="AB8" s="93" t="s">
        <v>73</v>
      </c>
      <c r="AC8" s="93"/>
      <c r="AD8" s="93"/>
      <c r="AE8" s="93"/>
      <c r="AF8" s="93"/>
      <c r="AG8" s="93"/>
      <c r="AH8" s="97">
        <f>COUNTIF(C7:AG121,"T")</f>
        <v>183</v>
      </c>
      <c r="AI8" s="97">
        <f>COUNTIF(C7:AG121,"TB")</f>
        <v>45</v>
      </c>
      <c r="AJ8" s="97">
        <f>COUNTIF(C7:AG121,"B")</f>
        <v>109</v>
      </c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85"/>
      <c r="AW8" s="85"/>
      <c r="AX8" s="85"/>
      <c r="AY8" s="85"/>
      <c r="AZ8" s="85"/>
      <c r="BA8" s="85"/>
      <c r="BB8" s="85"/>
      <c r="BC8" s="85"/>
    </row>
    <row r="9" spans="1:55" s="90" customFormat="1" ht="12.95" customHeight="1">
      <c r="A9" s="91">
        <v>3</v>
      </c>
      <c r="B9" s="92" t="s">
        <v>77</v>
      </c>
      <c r="C9" s="93"/>
      <c r="D9" s="93" t="s">
        <v>75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 t="s">
        <v>75</v>
      </c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85"/>
      <c r="AW9" s="85"/>
      <c r="AX9" s="85"/>
      <c r="AY9" s="85"/>
      <c r="AZ9" s="85"/>
      <c r="BA9" s="85"/>
      <c r="BB9" s="85"/>
      <c r="BC9" s="85"/>
    </row>
    <row r="10" spans="1:55" s="90" customFormat="1" ht="12.95" customHeight="1">
      <c r="A10" s="91">
        <v>4</v>
      </c>
      <c r="B10" s="92" t="s">
        <v>78</v>
      </c>
      <c r="C10" s="93"/>
      <c r="D10" s="93"/>
      <c r="E10" s="93" t="s">
        <v>73</v>
      </c>
      <c r="F10" s="93"/>
      <c r="G10" s="93"/>
      <c r="H10" s="93"/>
      <c r="I10" s="93" t="s">
        <v>74</v>
      </c>
      <c r="J10" s="93"/>
      <c r="K10" s="93"/>
      <c r="L10" s="93"/>
      <c r="M10" s="93"/>
      <c r="N10" s="93" t="s">
        <v>73</v>
      </c>
      <c r="O10" s="93"/>
      <c r="P10" s="93" t="s">
        <v>74</v>
      </c>
      <c r="Q10" s="93"/>
      <c r="R10" s="93"/>
      <c r="S10" s="93"/>
      <c r="T10" s="93"/>
      <c r="U10" s="93"/>
      <c r="V10" s="93" t="s">
        <v>73</v>
      </c>
      <c r="W10" s="93"/>
      <c r="X10" s="93"/>
      <c r="Y10" s="93"/>
      <c r="Z10" s="93"/>
      <c r="AA10" s="93" t="s">
        <v>73</v>
      </c>
      <c r="AB10" s="93"/>
      <c r="AC10" s="93"/>
      <c r="AD10" s="93"/>
      <c r="AE10" s="93"/>
      <c r="AF10" s="93"/>
      <c r="AG10" s="93"/>
      <c r="AH10" s="97" t="s">
        <v>73</v>
      </c>
      <c r="AI10" s="97" t="s">
        <v>74</v>
      </c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85"/>
      <c r="AW10" s="85"/>
      <c r="AX10" s="85"/>
      <c r="AY10" s="85"/>
      <c r="AZ10" s="85"/>
      <c r="BA10" s="85"/>
      <c r="BB10" s="85"/>
      <c r="BC10" s="85"/>
    </row>
    <row r="11" spans="1:55" s="90" customFormat="1" ht="12.95" customHeight="1">
      <c r="A11" s="91">
        <v>5</v>
      </c>
      <c r="B11" s="92" t="s">
        <v>79</v>
      </c>
      <c r="C11" s="93"/>
      <c r="D11" s="93" t="s">
        <v>73</v>
      </c>
      <c r="E11" s="93"/>
      <c r="F11" s="93" t="s">
        <v>74</v>
      </c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7">
        <f>AH8+AI8+AH22+AI22</f>
        <v>251</v>
      </c>
      <c r="AI11" s="97">
        <f>AI8+AJ8+AI22+AJ22</f>
        <v>217</v>
      </c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85"/>
      <c r="AW11" s="85"/>
      <c r="AX11" s="85"/>
      <c r="AY11" s="85"/>
      <c r="AZ11" s="85"/>
      <c r="BA11" s="85"/>
      <c r="BB11" s="85"/>
      <c r="BC11" s="85"/>
    </row>
    <row r="12" spans="1:55" s="90" customFormat="1" ht="12.95" customHeight="1">
      <c r="A12" s="91">
        <v>6</v>
      </c>
      <c r="B12" s="92" t="s">
        <v>80</v>
      </c>
      <c r="C12" s="93"/>
      <c r="D12" s="93" t="s">
        <v>73</v>
      </c>
      <c r="E12" s="93" t="s">
        <v>74</v>
      </c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 t="s">
        <v>73</v>
      </c>
      <c r="AC12" s="93"/>
      <c r="AD12" s="93"/>
      <c r="AE12" s="93"/>
      <c r="AF12" s="93"/>
      <c r="AG12" s="93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85"/>
      <c r="AW12" s="85"/>
      <c r="AX12" s="85"/>
      <c r="AY12" s="85"/>
      <c r="AZ12" s="85"/>
      <c r="BA12" s="85"/>
      <c r="BB12" s="85"/>
      <c r="BC12" s="85"/>
    </row>
    <row r="13" spans="1:55" s="90" customFormat="1" ht="12.95" customHeight="1">
      <c r="A13" s="91">
        <v>7</v>
      </c>
      <c r="B13" s="92" t="s">
        <v>81</v>
      </c>
      <c r="C13" s="93"/>
      <c r="D13" s="93" t="s">
        <v>75</v>
      </c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8">
        <f>AI11/AH11</f>
        <v>0.86454183266932272</v>
      </c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85"/>
      <c r="AW13" s="85"/>
      <c r="AX13" s="85"/>
      <c r="AY13" s="85"/>
      <c r="AZ13" s="85"/>
      <c r="BA13" s="85"/>
      <c r="BB13" s="85"/>
      <c r="BC13" s="85"/>
    </row>
    <row r="14" spans="1:55" s="90" customFormat="1" ht="12.95" customHeight="1">
      <c r="A14" s="91">
        <v>8</v>
      </c>
      <c r="B14" s="92" t="s">
        <v>82</v>
      </c>
      <c r="C14" s="93"/>
      <c r="D14" s="93" t="s">
        <v>75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 t="s">
        <v>73</v>
      </c>
      <c r="P14" s="93"/>
      <c r="Q14" s="93"/>
      <c r="R14" s="93" t="s">
        <v>74</v>
      </c>
      <c r="S14" s="93"/>
      <c r="T14" s="93"/>
      <c r="U14" s="93"/>
      <c r="V14" s="93"/>
      <c r="W14" s="93"/>
      <c r="X14" s="93"/>
      <c r="Y14" s="93"/>
      <c r="Z14" s="93"/>
      <c r="AA14" s="93" t="s">
        <v>75</v>
      </c>
      <c r="AB14" s="93"/>
      <c r="AC14" s="93"/>
      <c r="AD14" s="93"/>
      <c r="AE14" s="93"/>
      <c r="AF14" s="93"/>
      <c r="AG14" s="93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85"/>
      <c r="AW14" s="85"/>
      <c r="AX14" s="85"/>
      <c r="AY14" s="85"/>
      <c r="AZ14" s="85"/>
      <c r="BA14" s="85"/>
      <c r="BB14" s="85"/>
      <c r="BC14" s="85"/>
    </row>
    <row r="15" spans="1:55" s="90" customFormat="1" ht="12.95" customHeight="1">
      <c r="A15" s="91">
        <v>9</v>
      </c>
      <c r="B15" s="92" t="s">
        <v>83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 t="s">
        <v>73</v>
      </c>
      <c r="AA15" s="93"/>
      <c r="AB15" s="93"/>
      <c r="AC15" s="93"/>
      <c r="AD15" s="93"/>
      <c r="AE15" s="93"/>
      <c r="AF15" s="93"/>
      <c r="AG15" s="93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85"/>
      <c r="AW15" s="85"/>
      <c r="AX15" s="85"/>
      <c r="AY15" s="85"/>
      <c r="AZ15" s="85"/>
      <c r="BA15" s="85"/>
      <c r="BB15" s="85"/>
      <c r="BC15" s="85"/>
    </row>
    <row r="16" spans="1:55" s="90" customFormat="1" ht="12.95" customHeight="1">
      <c r="A16" s="91">
        <v>10</v>
      </c>
      <c r="B16" s="92" t="s">
        <v>84</v>
      </c>
      <c r="C16" s="93"/>
      <c r="D16" s="93"/>
      <c r="E16" s="93"/>
      <c r="F16" s="93"/>
      <c r="G16" s="93" t="s">
        <v>85</v>
      </c>
      <c r="H16" s="93" t="s">
        <v>74</v>
      </c>
      <c r="I16" s="93"/>
      <c r="J16" s="93"/>
      <c r="K16" s="93" t="s">
        <v>73</v>
      </c>
      <c r="L16" s="93"/>
      <c r="M16" s="93" t="s">
        <v>75</v>
      </c>
      <c r="N16" s="93"/>
      <c r="O16" s="93"/>
      <c r="P16" s="93"/>
      <c r="Q16" s="93"/>
      <c r="R16" s="93" t="s">
        <v>73</v>
      </c>
      <c r="S16" s="93"/>
      <c r="T16" s="93" t="s">
        <v>74</v>
      </c>
      <c r="U16" s="93"/>
      <c r="V16" s="93"/>
      <c r="W16" s="93"/>
      <c r="X16" s="93"/>
      <c r="Y16" s="93" t="s">
        <v>73</v>
      </c>
      <c r="Z16" s="93"/>
      <c r="AA16" s="93" t="s">
        <v>73</v>
      </c>
      <c r="AB16" s="93"/>
      <c r="AC16" s="93"/>
      <c r="AD16" s="93"/>
      <c r="AE16" s="93"/>
      <c r="AF16" s="93"/>
      <c r="AG16" s="93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85"/>
      <c r="AW16" s="85"/>
      <c r="AX16" s="85"/>
      <c r="AY16" s="85"/>
      <c r="AZ16" s="85"/>
      <c r="BA16" s="85"/>
      <c r="BB16" s="85"/>
      <c r="BC16" s="85"/>
    </row>
    <row r="17" spans="1:55" s="90" customFormat="1" ht="12.95" customHeight="1">
      <c r="A17" s="91">
        <v>11</v>
      </c>
      <c r="B17" s="92" t="s">
        <v>86</v>
      </c>
      <c r="C17" s="93"/>
      <c r="D17" s="93"/>
      <c r="E17" s="93"/>
      <c r="F17" s="93"/>
      <c r="G17" s="93" t="s">
        <v>85</v>
      </c>
      <c r="H17" s="93" t="s">
        <v>74</v>
      </c>
      <c r="I17" s="93"/>
      <c r="J17" s="93"/>
      <c r="K17" s="93" t="s">
        <v>73</v>
      </c>
      <c r="L17" s="93"/>
      <c r="M17" s="93" t="s">
        <v>85</v>
      </c>
      <c r="N17" s="93"/>
      <c r="O17" s="93"/>
      <c r="P17" s="93"/>
      <c r="Q17" s="93"/>
      <c r="R17" s="93"/>
      <c r="S17" s="93"/>
      <c r="T17" s="93" t="s">
        <v>74</v>
      </c>
      <c r="U17" s="93"/>
      <c r="V17" s="93"/>
      <c r="W17" s="93"/>
      <c r="X17" s="93"/>
      <c r="Y17" s="93" t="s">
        <v>73</v>
      </c>
      <c r="Z17" s="93"/>
      <c r="AA17" s="93" t="s">
        <v>73</v>
      </c>
      <c r="AB17" s="93"/>
      <c r="AC17" s="93"/>
      <c r="AD17" s="93"/>
      <c r="AE17" s="93"/>
      <c r="AF17" s="93"/>
      <c r="AG17" s="93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85"/>
      <c r="AW17" s="85"/>
      <c r="AX17" s="85"/>
      <c r="AY17" s="85"/>
      <c r="AZ17" s="85"/>
      <c r="BA17" s="85"/>
      <c r="BB17" s="85"/>
      <c r="BC17" s="85"/>
    </row>
    <row r="18" spans="1:55" s="90" customFormat="1" ht="12.95" customHeight="1">
      <c r="A18" s="91">
        <v>12</v>
      </c>
      <c r="B18" s="92" t="s">
        <v>87</v>
      </c>
      <c r="C18" s="93"/>
      <c r="D18" s="93" t="s">
        <v>73</v>
      </c>
      <c r="E18" s="93" t="s">
        <v>74</v>
      </c>
      <c r="F18" s="93"/>
      <c r="G18" s="93"/>
      <c r="H18" s="93"/>
      <c r="I18" s="93"/>
      <c r="J18" s="93"/>
      <c r="K18" s="93"/>
      <c r="L18" s="93"/>
      <c r="M18" s="93"/>
      <c r="N18" s="93"/>
      <c r="O18" s="93" t="s">
        <v>73</v>
      </c>
      <c r="P18" s="93"/>
      <c r="Q18" s="93"/>
      <c r="R18" s="93"/>
      <c r="S18" s="93"/>
      <c r="T18" s="93" t="s">
        <v>74</v>
      </c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85"/>
      <c r="AW18" s="85"/>
      <c r="AX18" s="85"/>
      <c r="AY18" s="85"/>
      <c r="AZ18" s="85"/>
      <c r="BA18" s="85"/>
      <c r="BB18" s="85"/>
      <c r="BC18" s="85"/>
    </row>
    <row r="19" spans="1:55" s="90" customFormat="1" ht="12.95" customHeight="1">
      <c r="A19" s="91">
        <v>13</v>
      </c>
      <c r="B19" s="92" t="s">
        <v>88</v>
      </c>
      <c r="C19" s="93"/>
      <c r="D19" s="93"/>
      <c r="E19" s="93"/>
      <c r="F19" s="93"/>
      <c r="G19" s="93" t="s">
        <v>85</v>
      </c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 t="s">
        <v>73</v>
      </c>
      <c r="S19" s="93"/>
      <c r="T19" s="93"/>
      <c r="U19" s="93"/>
      <c r="V19" s="93"/>
      <c r="W19" s="93"/>
      <c r="X19" s="93"/>
      <c r="Y19" s="93"/>
      <c r="Z19" s="93"/>
      <c r="AA19" s="93" t="s">
        <v>73</v>
      </c>
      <c r="AB19" s="93"/>
      <c r="AC19" s="93"/>
      <c r="AD19" s="93"/>
      <c r="AE19" s="93"/>
      <c r="AF19" s="93"/>
      <c r="AG19" s="93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85"/>
      <c r="AW19" s="85"/>
      <c r="AX19" s="85"/>
      <c r="AY19" s="85"/>
      <c r="AZ19" s="85"/>
      <c r="BA19" s="85"/>
      <c r="BB19" s="85"/>
      <c r="BC19" s="85"/>
    </row>
    <row r="20" spans="1:55" s="90" customFormat="1" ht="12.95" customHeight="1">
      <c r="A20" s="91">
        <v>14</v>
      </c>
      <c r="B20" s="92" t="s">
        <v>89</v>
      </c>
      <c r="C20" s="93"/>
      <c r="D20" s="93"/>
      <c r="E20" s="93"/>
      <c r="F20" s="93" t="s">
        <v>73</v>
      </c>
      <c r="G20" s="93"/>
      <c r="H20" s="93"/>
      <c r="I20" s="93" t="s">
        <v>73</v>
      </c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85"/>
      <c r="AW20" s="85"/>
      <c r="AX20" s="85"/>
      <c r="AY20" s="85"/>
      <c r="AZ20" s="85"/>
      <c r="BA20" s="85"/>
      <c r="BB20" s="85"/>
      <c r="BC20" s="85"/>
    </row>
    <row r="21" spans="1:55" s="90" customFormat="1" ht="12.95" customHeight="1">
      <c r="A21" s="91">
        <v>15</v>
      </c>
      <c r="B21" s="92" t="s">
        <v>90</v>
      </c>
      <c r="C21" s="93"/>
      <c r="D21" s="93" t="s">
        <v>73</v>
      </c>
      <c r="E21" s="93" t="s">
        <v>74</v>
      </c>
      <c r="F21" s="93"/>
      <c r="G21" s="93"/>
      <c r="H21" s="93"/>
      <c r="I21" s="93"/>
      <c r="J21" s="93"/>
      <c r="K21" s="93"/>
      <c r="L21" s="93"/>
      <c r="M21" s="93"/>
      <c r="N21" s="93"/>
      <c r="O21" s="93" t="s">
        <v>73</v>
      </c>
      <c r="P21" s="93"/>
      <c r="Q21" s="93"/>
      <c r="R21" s="93" t="s">
        <v>74</v>
      </c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4" t="s">
        <v>73</v>
      </c>
      <c r="AI21" s="95" t="s">
        <v>75</v>
      </c>
      <c r="AJ21" s="96" t="s">
        <v>74</v>
      </c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85"/>
      <c r="AW21" s="85"/>
      <c r="AX21" s="85"/>
      <c r="AY21" s="85"/>
      <c r="AZ21" s="85"/>
      <c r="BA21" s="85"/>
      <c r="BB21" s="85"/>
      <c r="BC21" s="85"/>
    </row>
    <row r="22" spans="1:55" s="90" customFormat="1" ht="12.95" customHeight="1">
      <c r="A22" s="91">
        <v>16</v>
      </c>
      <c r="B22" s="92" t="s">
        <v>91</v>
      </c>
      <c r="C22" s="93"/>
      <c r="D22" s="93" t="s">
        <v>73</v>
      </c>
      <c r="E22" s="93"/>
      <c r="F22" s="93" t="s">
        <v>74</v>
      </c>
      <c r="G22" s="93"/>
      <c r="H22" s="93"/>
      <c r="I22" s="93" t="s">
        <v>73</v>
      </c>
      <c r="J22" s="93"/>
      <c r="K22" s="93" t="s">
        <v>74</v>
      </c>
      <c r="L22" s="93"/>
      <c r="M22" s="93" t="s">
        <v>73</v>
      </c>
      <c r="N22" s="93"/>
      <c r="O22" s="93" t="s">
        <v>73</v>
      </c>
      <c r="P22" s="93"/>
      <c r="Q22" s="93"/>
      <c r="R22" s="93"/>
      <c r="S22" s="93"/>
      <c r="T22" s="93" t="s">
        <v>74</v>
      </c>
      <c r="U22" s="93"/>
      <c r="V22" s="93"/>
      <c r="W22" s="93"/>
      <c r="X22" s="93"/>
      <c r="Y22" s="93" t="s">
        <v>74</v>
      </c>
      <c r="Z22" s="93"/>
      <c r="AA22" s="93"/>
      <c r="AB22" s="93"/>
      <c r="AC22" s="93"/>
      <c r="AD22" s="93"/>
      <c r="AE22" s="93"/>
      <c r="AF22" s="93"/>
      <c r="AG22" s="93"/>
      <c r="AH22" s="97">
        <f>COUNTIF(C134:AG161,"T")</f>
        <v>12</v>
      </c>
      <c r="AI22" s="97">
        <f>COUNTIF(C134:AG161,"TB")</f>
        <v>11</v>
      </c>
      <c r="AJ22" s="97">
        <f>COUNTIF(C134:AG223,"B")</f>
        <v>52</v>
      </c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85"/>
      <c r="AW22" s="85"/>
      <c r="AX22" s="85"/>
      <c r="AY22" s="85"/>
      <c r="AZ22" s="85"/>
      <c r="BA22" s="85"/>
      <c r="BB22" s="85"/>
      <c r="BC22" s="85"/>
    </row>
    <row r="23" spans="1:55" s="90" customFormat="1" ht="12.95" customHeight="1">
      <c r="A23" s="91">
        <v>17</v>
      </c>
      <c r="B23" s="92" t="s">
        <v>92</v>
      </c>
      <c r="C23" s="93"/>
      <c r="D23" s="93" t="s">
        <v>73</v>
      </c>
      <c r="E23" s="93"/>
      <c r="F23" s="93" t="s">
        <v>73</v>
      </c>
      <c r="G23" s="93"/>
      <c r="H23" s="93" t="s">
        <v>73</v>
      </c>
      <c r="I23" s="93" t="s">
        <v>74</v>
      </c>
      <c r="J23" s="93"/>
      <c r="K23" s="93"/>
      <c r="L23" s="93"/>
      <c r="M23" s="93" t="s">
        <v>73</v>
      </c>
      <c r="N23" s="93"/>
      <c r="O23" s="93" t="s">
        <v>73</v>
      </c>
      <c r="P23" s="93"/>
      <c r="Q23" s="93"/>
      <c r="R23" s="93"/>
      <c r="S23" s="93"/>
      <c r="T23" s="93"/>
      <c r="U23" s="93"/>
      <c r="V23" s="93" t="s">
        <v>74</v>
      </c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85"/>
      <c r="AW23" s="85"/>
      <c r="AX23" s="85"/>
      <c r="AY23" s="85"/>
      <c r="AZ23" s="85"/>
      <c r="BA23" s="85"/>
      <c r="BB23" s="85"/>
      <c r="BC23" s="85"/>
    </row>
    <row r="24" spans="1:55" s="90" customFormat="1" ht="12.95" customHeight="1">
      <c r="A24" s="91">
        <v>18</v>
      </c>
      <c r="B24" s="92" t="s">
        <v>93</v>
      </c>
      <c r="C24" s="93"/>
      <c r="D24" s="93" t="s">
        <v>73</v>
      </c>
      <c r="E24" s="93"/>
      <c r="F24" s="93"/>
      <c r="G24" s="93"/>
      <c r="H24" s="93" t="s">
        <v>74</v>
      </c>
      <c r="I24" s="93"/>
      <c r="J24" s="93"/>
      <c r="K24" s="93"/>
      <c r="L24" s="93"/>
      <c r="M24" s="93" t="s">
        <v>73</v>
      </c>
      <c r="N24" s="93"/>
      <c r="O24" s="93" t="s">
        <v>75</v>
      </c>
      <c r="P24" s="93"/>
      <c r="Q24" s="93"/>
      <c r="R24" s="93"/>
      <c r="S24" s="93"/>
      <c r="T24" s="93" t="s">
        <v>73</v>
      </c>
      <c r="U24" s="93"/>
      <c r="V24" s="93" t="s">
        <v>75</v>
      </c>
      <c r="W24" s="93"/>
      <c r="X24" s="93"/>
      <c r="Y24" s="93"/>
      <c r="Z24" s="93" t="s">
        <v>73</v>
      </c>
      <c r="AA24" s="93"/>
      <c r="AB24" s="93"/>
      <c r="AC24" s="93" t="s">
        <v>75</v>
      </c>
      <c r="AD24" s="93"/>
      <c r="AE24" s="93"/>
      <c r="AF24" s="93"/>
      <c r="AG24" s="93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85"/>
      <c r="AW24" s="85"/>
      <c r="AX24" s="85"/>
      <c r="AY24" s="85"/>
      <c r="AZ24" s="85"/>
      <c r="BA24" s="85"/>
      <c r="BB24" s="85"/>
      <c r="BC24" s="85"/>
    </row>
    <row r="25" spans="1:55" s="90" customFormat="1" ht="12.95" customHeight="1">
      <c r="A25" s="91">
        <v>19</v>
      </c>
      <c r="B25" s="92" t="s">
        <v>94</v>
      </c>
      <c r="C25" s="93"/>
      <c r="D25" s="93" t="s">
        <v>73</v>
      </c>
      <c r="E25" s="93" t="s">
        <v>74</v>
      </c>
      <c r="F25" s="93"/>
      <c r="G25" s="93" t="s">
        <v>74</v>
      </c>
      <c r="H25" s="93"/>
      <c r="I25" s="93"/>
      <c r="J25" s="93"/>
      <c r="K25" s="93"/>
      <c r="L25" s="93"/>
      <c r="M25" s="93"/>
      <c r="N25" s="93"/>
      <c r="O25" s="93" t="s">
        <v>74</v>
      </c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85"/>
      <c r="AW25" s="85"/>
      <c r="AX25" s="85"/>
      <c r="AY25" s="85"/>
      <c r="AZ25" s="85"/>
      <c r="BA25" s="85"/>
      <c r="BB25" s="85"/>
      <c r="BC25" s="85"/>
    </row>
    <row r="26" spans="1:55" s="90" customFormat="1" ht="12.95" customHeight="1">
      <c r="A26" s="91">
        <v>20</v>
      </c>
      <c r="B26" s="92" t="s">
        <v>95</v>
      </c>
      <c r="C26" s="93"/>
      <c r="D26" s="93"/>
      <c r="E26" s="93"/>
      <c r="F26" s="93"/>
      <c r="G26" s="93"/>
      <c r="H26" s="93"/>
      <c r="I26" s="93"/>
      <c r="J26" s="93"/>
      <c r="K26" s="93"/>
      <c r="L26" s="93" t="s">
        <v>73</v>
      </c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 t="s">
        <v>74</v>
      </c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85"/>
      <c r="AW26" s="85"/>
      <c r="AX26" s="85"/>
      <c r="AY26" s="85"/>
      <c r="AZ26" s="85"/>
      <c r="BA26" s="85"/>
      <c r="BB26" s="85"/>
      <c r="BC26" s="85"/>
    </row>
    <row r="27" spans="1:55" s="90" customFormat="1" ht="12.95" customHeight="1">
      <c r="A27" s="91">
        <v>21</v>
      </c>
      <c r="B27" s="92" t="s">
        <v>96</v>
      </c>
      <c r="C27" s="93"/>
      <c r="D27" s="93"/>
      <c r="E27" s="93"/>
      <c r="F27" s="93"/>
      <c r="G27" s="93" t="s">
        <v>74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85"/>
      <c r="AW27" s="85"/>
      <c r="AX27" s="85"/>
      <c r="AY27" s="85"/>
      <c r="AZ27" s="85"/>
      <c r="BA27" s="85"/>
      <c r="BB27" s="85"/>
      <c r="BC27" s="85"/>
    </row>
    <row r="28" spans="1:55" s="90" customFormat="1" ht="12.95" customHeight="1">
      <c r="A28" s="91">
        <v>22</v>
      </c>
      <c r="B28" s="92" t="s">
        <v>97</v>
      </c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 t="s">
        <v>74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 t="s">
        <v>73</v>
      </c>
      <c r="Z28" s="93"/>
      <c r="AA28" s="93" t="s">
        <v>74</v>
      </c>
      <c r="AB28" s="93"/>
      <c r="AC28" s="93"/>
      <c r="AD28" s="93"/>
      <c r="AE28" s="93"/>
      <c r="AF28" s="93"/>
      <c r="AG28" s="93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85"/>
      <c r="AW28" s="85"/>
      <c r="AX28" s="85"/>
      <c r="AY28" s="85"/>
      <c r="AZ28" s="85"/>
      <c r="BA28" s="85"/>
      <c r="BB28" s="85"/>
      <c r="BC28" s="85"/>
    </row>
    <row r="29" spans="1:55" s="90" customFormat="1" ht="12.95" customHeight="1">
      <c r="A29" s="91">
        <v>23</v>
      </c>
      <c r="B29" s="92" t="s">
        <v>98</v>
      </c>
      <c r="C29" s="93"/>
      <c r="D29" s="93" t="s">
        <v>73</v>
      </c>
      <c r="E29" s="93"/>
      <c r="F29" s="93" t="s">
        <v>74</v>
      </c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 t="s">
        <v>74</v>
      </c>
      <c r="U29" s="93"/>
      <c r="V29" s="93"/>
      <c r="W29" s="93"/>
      <c r="X29" s="93"/>
      <c r="Y29" s="93"/>
      <c r="Z29" s="93"/>
      <c r="AA29" s="93" t="s">
        <v>74</v>
      </c>
      <c r="AB29" s="93"/>
      <c r="AC29" s="93"/>
      <c r="AD29" s="93"/>
      <c r="AE29" s="93"/>
      <c r="AF29" s="93"/>
      <c r="AG29" s="93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85"/>
      <c r="AW29" s="85"/>
      <c r="AX29" s="85"/>
      <c r="AY29" s="85"/>
      <c r="AZ29" s="85"/>
      <c r="BA29" s="85"/>
      <c r="BB29" s="85"/>
      <c r="BC29" s="85"/>
    </row>
    <row r="30" spans="1:55" s="90" customFormat="1" ht="12.95" customHeight="1">
      <c r="A30" s="91">
        <v>24</v>
      </c>
      <c r="B30" s="92" t="s">
        <v>99</v>
      </c>
      <c r="C30" s="93"/>
      <c r="D30" s="93" t="s">
        <v>73</v>
      </c>
      <c r="E30" s="93"/>
      <c r="F30" s="93" t="s">
        <v>74</v>
      </c>
      <c r="G30" s="93"/>
      <c r="H30" s="93"/>
      <c r="I30" s="93"/>
      <c r="J30" s="93"/>
      <c r="K30" s="93"/>
      <c r="L30" s="93" t="s">
        <v>74</v>
      </c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 t="s">
        <v>73</v>
      </c>
      <c r="AE30" s="93"/>
      <c r="AF30" s="93"/>
      <c r="AG30" s="93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85"/>
      <c r="AW30" s="85"/>
      <c r="AX30" s="85"/>
      <c r="AY30" s="85"/>
      <c r="AZ30" s="85"/>
      <c r="BA30" s="85"/>
      <c r="BB30" s="85"/>
      <c r="BC30" s="85"/>
    </row>
    <row r="31" spans="1:55" s="90" customFormat="1" ht="12.95" customHeight="1">
      <c r="A31" s="91">
        <v>25</v>
      </c>
      <c r="B31" s="92" t="s">
        <v>100</v>
      </c>
      <c r="C31" s="93"/>
      <c r="D31" s="93" t="s">
        <v>73</v>
      </c>
      <c r="E31" s="93" t="s">
        <v>74</v>
      </c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85"/>
      <c r="AW31" s="85"/>
      <c r="AX31" s="85"/>
      <c r="AY31" s="85"/>
      <c r="AZ31" s="85"/>
      <c r="BA31" s="85"/>
      <c r="BB31" s="85"/>
      <c r="BC31" s="85"/>
    </row>
    <row r="32" spans="1:55" s="90" customFormat="1" ht="12.95" customHeight="1">
      <c r="A32" s="91">
        <v>26</v>
      </c>
      <c r="B32" s="92" t="s">
        <v>101</v>
      </c>
      <c r="C32" s="93"/>
      <c r="D32" s="93" t="s">
        <v>75</v>
      </c>
      <c r="E32" s="93"/>
      <c r="F32" s="93"/>
      <c r="G32" s="93"/>
      <c r="H32" s="93"/>
      <c r="I32" s="93"/>
      <c r="J32" s="93"/>
      <c r="K32" s="93"/>
      <c r="L32" s="93" t="s">
        <v>73</v>
      </c>
      <c r="M32" s="93"/>
      <c r="N32" s="93" t="s">
        <v>73</v>
      </c>
      <c r="O32" s="93"/>
      <c r="P32" s="93" t="s">
        <v>73</v>
      </c>
      <c r="Q32" s="93"/>
      <c r="R32" s="93"/>
      <c r="S32" s="93"/>
      <c r="T32" s="93"/>
      <c r="U32" s="93"/>
      <c r="V32" s="93"/>
      <c r="W32" s="93"/>
      <c r="X32" s="93"/>
      <c r="Y32" s="93" t="s">
        <v>73</v>
      </c>
      <c r="Z32" s="93"/>
      <c r="AA32" s="93" t="s">
        <v>73</v>
      </c>
      <c r="AB32" s="93"/>
      <c r="AC32" s="93"/>
      <c r="AD32" s="93"/>
      <c r="AE32" s="93"/>
      <c r="AF32" s="93"/>
      <c r="AG32" s="93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85"/>
      <c r="AW32" s="85"/>
      <c r="AX32" s="85"/>
      <c r="AY32" s="85"/>
      <c r="AZ32" s="85"/>
      <c r="BA32" s="85"/>
      <c r="BB32" s="85"/>
      <c r="BC32" s="85"/>
    </row>
    <row r="33" spans="1:55" s="90" customFormat="1" ht="12.95" customHeight="1">
      <c r="A33" s="91">
        <v>27</v>
      </c>
      <c r="B33" s="92" t="s">
        <v>102</v>
      </c>
      <c r="C33" s="93"/>
      <c r="D33" s="93" t="s">
        <v>73</v>
      </c>
      <c r="E33" s="93" t="s">
        <v>74</v>
      </c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 t="s">
        <v>75</v>
      </c>
      <c r="V33" s="93"/>
      <c r="W33" s="93" t="s">
        <v>74</v>
      </c>
      <c r="X33" s="93"/>
      <c r="Y33" s="93" t="s">
        <v>74</v>
      </c>
      <c r="Z33" s="93"/>
      <c r="AA33" s="93"/>
      <c r="AB33" s="93"/>
      <c r="AC33" s="93"/>
      <c r="AD33" s="93" t="s">
        <v>73</v>
      </c>
      <c r="AE33" s="93"/>
      <c r="AF33" s="93"/>
      <c r="AG33" s="93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85"/>
      <c r="AW33" s="85"/>
      <c r="AX33" s="85"/>
      <c r="AY33" s="85"/>
      <c r="AZ33" s="85"/>
      <c r="BA33" s="85"/>
      <c r="BB33" s="85"/>
      <c r="BC33" s="85"/>
    </row>
    <row r="34" spans="1:55" s="90" customFormat="1" ht="12.95" customHeight="1">
      <c r="A34" s="91">
        <v>28</v>
      </c>
      <c r="B34" s="92" t="s">
        <v>103</v>
      </c>
      <c r="C34" s="93"/>
      <c r="D34" s="93" t="s">
        <v>73</v>
      </c>
      <c r="E34" s="93"/>
      <c r="F34" s="93"/>
      <c r="G34" s="93"/>
      <c r="H34" s="93" t="s">
        <v>85</v>
      </c>
      <c r="I34" s="93"/>
      <c r="J34" s="93"/>
      <c r="K34" s="93"/>
      <c r="L34" s="93" t="s">
        <v>73</v>
      </c>
      <c r="M34" s="93"/>
      <c r="N34" s="93" t="s">
        <v>73</v>
      </c>
      <c r="O34" s="93"/>
      <c r="P34" s="93" t="s">
        <v>74</v>
      </c>
      <c r="Q34" s="93"/>
      <c r="R34" s="93" t="s">
        <v>73</v>
      </c>
      <c r="S34" s="93"/>
      <c r="T34" s="93"/>
      <c r="U34" s="93"/>
      <c r="V34" s="93" t="s">
        <v>74</v>
      </c>
      <c r="W34" s="93"/>
      <c r="X34" s="93"/>
      <c r="Y34" s="93" t="s">
        <v>73</v>
      </c>
      <c r="Z34" s="93" t="s">
        <v>75</v>
      </c>
      <c r="AA34" s="93"/>
      <c r="AB34" s="93" t="s">
        <v>75</v>
      </c>
      <c r="AC34" s="93"/>
      <c r="AD34" s="93" t="s">
        <v>74</v>
      </c>
      <c r="AE34" s="93"/>
      <c r="AF34" s="93"/>
      <c r="AG34" s="93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85"/>
      <c r="AW34" s="85"/>
      <c r="AX34" s="85"/>
      <c r="AY34" s="85"/>
      <c r="AZ34" s="85"/>
      <c r="BA34" s="85"/>
      <c r="BB34" s="85"/>
      <c r="BC34" s="85"/>
    </row>
    <row r="35" spans="1:55" s="90" customFormat="1" ht="12.95" customHeight="1">
      <c r="A35" s="91">
        <v>29</v>
      </c>
      <c r="B35" s="92" t="s">
        <v>104</v>
      </c>
      <c r="C35" s="93"/>
      <c r="D35" s="93"/>
      <c r="E35" s="93" t="s">
        <v>75</v>
      </c>
      <c r="F35" s="93"/>
      <c r="G35" s="93"/>
      <c r="H35" s="93" t="s">
        <v>75</v>
      </c>
      <c r="I35" s="93"/>
      <c r="J35" s="93"/>
      <c r="K35" s="93" t="s">
        <v>73</v>
      </c>
      <c r="L35" s="93" t="s">
        <v>74</v>
      </c>
      <c r="M35" s="93"/>
      <c r="N35" s="93"/>
      <c r="O35" s="93"/>
      <c r="P35" s="93"/>
      <c r="Q35" s="93"/>
      <c r="R35" s="93"/>
      <c r="S35" s="93"/>
      <c r="T35" s="93" t="s">
        <v>74</v>
      </c>
      <c r="U35" s="93"/>
      <c r="V35" s="93"/>
      <c r="W35" s="93"/>
      <c r="X35" s="93"/>
      <c r="Y35" s="93"/>
      <c r="Z35" s="93" t="s">
        <v>75</v>
      </c>
      <c r="AA35" s="93"/>
      <c r="AB35" s="93"/>
      <c r="AC35" s="93" t="s">
        <v>75</v>
      </c>
      <c r="AD35" s="93"/>
      <c r="AE35" s="93"/>
      <c r="AF35" s="93"/>
      <c r="AG35" s="93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85"/>
      <c r="AW35" s="85"/>
      <c r="AX35" s="85"/>
      <c r="AY35" s="85"/>
      <c r="AZ35" s="85"/>
      <c r="BA35" s="85"/>
      <c r="BB35" s="85"/>
      <c r="BC35" s="85"/>
    </row>
    <row r="36" spans="1:55" s="90" customFormat="1" ht="12.95" customHeight="1">
      <c r="A36" s="91">
        <v>30</v>
      </c>
      <c r="B36" s="92" t="s">
        <v>105</v>
      </c>
      <c r="C36" s="93"/>
      <c r="D36" s="93"/>
      <c r="E36" s="93"/>
      <c r="F36" s="93" t="s">
        <v>75</v>
      </c>
      <c r="G36" s="93"/>
      <c r="H36" s="93"/>
      <c r="I36" s="93" t="s">
        <v>73</v>
      </c>
      <c r="J36" s="93"/>
      <c r="K36" s="93"/>
      <c r="L36" s="93" t="s">
        <v>74</v>
      </c>
      <c r="M36" s="93"/>
      <c r="N36" s="93" t="s">
        <v>73</v>
      </c>
      <c r="O36" s="93"/>
      <c r="P36" s="93" t="s">
        <v>74</v>
      </c>
      <c r="Q36" s="93"/>
      <c r="R36" s="93"/>
      <c r="S36" s="93"/>
      <c r="T36" s="93"/>
      <c r="U36" s="93"/>
      <c r="V36" s="93" t="s">
        <v>73</v>
      </c>
      <c r="W36" s="93"/>
      <c r="X36" s="93"/>
      <c r="Y36" s="93" t="s">
        <v>74</v>
      </c>
      <c r="Z36" s="93"/>
      <c r="AA36" s="93" t="s">
        <v>73</v>
      </c>
      <c r="AB36" s="93"/>
      <c r="AC36" s="93" t="s">
        <v>73</v>
      </c>
      <c r="AD36" s="93"/>
      <c r="AE36" s="93"/>
      <c r="AF36" s="93"/>
      <c r="AG36" s="93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85"/>
      <c r="AW36" s="85"/>
      <c r="AX36" s="85"/>
      <c r="AY36" s="85"/>
      <c r="AZ36" s="85"/>
      <c r="BA36" s="85"/>
      <c r="BB36" s="85"/>
      <c r="BC36" s="85"/>
    </row>
    <row r="37" spans="1:55" s="90" customFormat="1" ht="12.95" customHeight="1">
      <c r="A37" s="91">
        <v>31</v>
      </c>
      <c r="B37" s="92" t="s">
        <v>106</v>
      </c>
      <c r="C37" s="93"/>
      <c r="D37" s="93"/>
      <c r="E37" s="93"/>
      <c r="F37" s="93" t="s">
        <v>75</v>
      </c>
      <c r="G37" s="93"/>
      <c r="H37" s="93" t="s">
        <v>85</v>
      </c>
      <c r="I37" s="93"/>
      <c r="J37" s="93"/>
      <c r="K37" s="93"/>
      <c r="L37" s="93" t="s">
        <v>73</v>
      </c>
      <c r="M37" s="93" t="s">
        <v>74</v>
      </c>
      <c r="N37" s="93"/>
      <c r="O37" s="93" t="s">
        <v>73</v>
      </c>
      <c r="P37" s="93"/>
      <c r="Q37" s="93"/>
      <c r="R37" s="93"/>
      <c r="S37" s="93"/>
      <c r="T37" s="93" t="s">
        <v>74</v>
      </c>
      <c r="U37" s="93"/>
      <c r="V37" s="93"/>
      <c r="W37" s="93"/>
      <c r="X37" s="93"/>
      <c r="Y37" s="93" t="s">
        <v>73</v>
      </c>
      <c r="Z37" s="93"/>
      <c r="AA37" s="93" t="s">
        <v>75</v>
      </c>
      <c r="AB37" s="93"/>
      <c r="AC37" s="93"/>
      <c r="AD37" s="93" t="s">
        <v>73</v>
      </c>
      <c r="AE37" s="93"/>
      <c r="AF37" s="93"/>
      <c r="AG37" s="93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85"/>
      <c r="AW37" s="85"/>
      <c r="AX37" s="85"/>
      <c r="AY37" s="85"/>
      <c r="AZ37" s="85"/>
      <c r="BA37" s="85"/>
      <c r="BB37" s="85"/>
      <c r="BC37" s="85"/>
    </row>
    <row r="38" spans="1:55" s="90" customFormat="1" ht="12.95" customHeight="1">
      <c r="A38" s="91">
        <v>32</v>
      </c>
      <c r="B38" s="92" t="s">
        <v>107</v>
      </c>
      <c r="C38" s="93"/>
      <c r="D38" s="93"/>
      <c r="E38" s="93" t="s">
        <v>73</v>
      </c>
      <c r="F38" s="93"/>
      <c r="G38" s="93" t="s">
        <v>74</v>
      </c>
      <c r="H38" s="93"/>
      <c r="I38" s="93"/>
      <c r="J38" s="93"/>
      <c r="K38" s="93" t="s">
        <v>73</v>
      </c>
      <c r="L38" s="93"/>
      <c r="M38" s="93" t="s">
        <v>75</v>
      </c>
      <c r="N38" s="93"/>
      <c r="O38" s="93"/>
      <c r="P38" s="93"/>
      <c r="Q38" s="93"/>
      <c r="R38" s="93" t="s">
        <v>73</v>
      </c>
      <c r="S38" s="93"/>
      <c r="T38" s="93" t="s">
        <v>74</v>
      </c>
      <c r="U38" s="93"/>
      <c r="V38" s="93"/>
      <c r="W38" s="93"/>
      <c r="X38" s="93"/>
      <c r="Y38" s="93" t="s">
        <v>73</v>
      </c>
      <c r="Z38" s="93"/>
      <c r="AA38" s="93" t="s">
        <v>73</v>
      </c>
      <c r="AB38" s="93" t="s">
        <v>74</v>
      </c>
      <c r="AC38" s="93"/>
      <c r="AD38" s="93"/>
      <c r="AE38" s="93"/>
      <c r="AF38" s="93"/>
      <c r="AG38" s="93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85"/>
      <c r="AW38" s="85"/>
      <c r="AX38" s="85"/>
      <c r="AY38" s="85"/>
      <c r="AZ38" s="85"/>
      <c r="BA38" s="85"/>
      <c r="BB38" s="85"/>
      <c r="BC38" s="85"/>
    </row>
    <row r="39" spans="1:55" s="90" customFormat="1" ht="12.95" customHeight="1">
      <c r="A39" s="91">
        <v>33</v>
      </c>
      <c r="B39" s="92" t="s">
        <v>108</v>
      </c>
      <c r="C39" s="93"/>
      <c r="D39" s="93"/>
      <c r="E39" s="93" t="s">
        <v>73</v>
      </c>
      <c r="F39" s="93"/>
      <c r="G39" s="93" t="s">
        <v>74</v>
      </c>
      <c r="H39" s="93"/>
      <c r="I39" s="93" t="s">
        <v>73</v>
      </c>
      <c r="J39" s="93"/>
      <c r="K39" s="93"/>
      <c r="L39" s="93" t="s">
        <v>73</v>
      </c>
      <c r="M39" s="93"/>
      <c r="N39" s="93"/>
      <c r="O39" s="93"/>
      <c r="P39" s="93"/>
      <c r="Q39" s="93"/>
      <c r="R39" s="93" t="s">
        <v>73</v>
      </c>
      <c r="S39" s="93"/>
      <c r="T39" s="93"/>
      <c r="U39" s="93" t="s">
        <v>75</v>
      </c>
      <c r="V39" s="93"/>
      <c r="W39" s="93"/>
      <c r="X39" s="93"/>
      <c r="Y39" s="93" t="s">
        <v>73</v>
      </c>
      <c r="Z39" s="93"/>
      <c r="AA39" s="93" t="s">
        <v>73</v>
      </c>
      <c r="AB39" s="93"/>
      <c r="AC39" s="93"/>
      <c r="AD39" s="93" t="s">
        <v>73</v>
      </c>
      <c r="AE39" s="93"/>
      <c r="AF39" s="93"/>
      <c r="AG39" s="93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85"/>
      <c r="AW39" s="85"/>
      <c r="AX39" s="85"/>
      <c r="AY39" s="85"/>
      <c r="AZ39" s="85"/>
      <c r="BA39" s="85"/>
      <c r="BB39" s="85"/>
      <c r="BC39" s="85"/>
    </row>
    <row r="40" spans="1:55" s="90" customFormat="1" ht="12.95" customHeight="1">
      <c r="A40" s="91">
        <v>34</v>
      </c>
      <c r="B40" s="92" t="s">
        <v>109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 t="s">
        <v>73</v>
      </c>
      <c r="AD40" s="93"/>
      <c r="AE40" s="93"/>
      <c r="AF40" s="93"/>
      <c r="AG40" s="93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85"/>
      <c r="AW40" s="85"/>
      <c r="AX40" s="85"/>
      <c r="AY40" s="85"/>
      <c r="AZ40" s="85"/>
      <c r="BA40" s="85"/>
      <c r="BB40" s="85"/>
      <c r="BC40" s="85"/>
    </row>
    <row r="41" spans="1:55" s="90" customFormat="1" ht="12.95" customHeight="1">
      <c r="A41" s="91">
        <v>35</v>
      </c>
      <c r="B41" s="92" t="s">
        <v>110</v>
      </c>
      <c r="C41" s="93"/>
      <c r="D41" s="93"/>
      <c r="E41" s="93" t="s">
        <v>73</v>
      </c>
      <c r="F41" s="93"/>
      <c r="G41" s="93"/>
      <c r="H41" s="93"/>
      <c r="I41" s="93"/>
      <c r="J41" s="93"/>
      <c r="K41" s="93"/>
      <c r="L41" s="93" t="s">
        <v>73</v>
      </c>
      <c r="M41" s="93"/>
      <c r="N41" s="93"/>
      <c r="O41" s="93"/>
      <c r="P41" s="93" t="s">
        <v>74</v>
      </c>
      <c r="Q41" s="93"/>
      <c r="R41" s="93"/>
      <c r="S41" s="93"/>
      <c r="T41" s="93"/>
      <c r="U41" s="93"/>
      <c r="V41" s="93" t="s">
        <v>75</v>
      </c>
      <c r="W41" s="93" t="s">
        <v>74</v>
      </c>
      <c r="X41" s="93"/>
      <c r="Y41" s="93"/>
      <c r="Z41" s="93"/>
      <c r="AA41" s="93"/>
      <c r="AB41" s="93" t="s">
        <v>73</v>
      </c>
      <c r="AC41" s="93"/>
      <c r="AD41" s="93"/>
      <c r="AE41" s="93"/>
      <c r="AF41" s="93"/>
      <c r="AG41" s="93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85"/>
      <c r="AW41" s="85"/>
      <c r="AX41" s="85"/>
      <c r="AY41" s="85"/>
      <c r="AZ41" s="85"/>
      <c r="BA41" s="85"/>
      <c r="BB41" s="85"/>
      <c r="BC41" s="85"/>
    </row>
    <row r="42" spans="1:55" s="90" customFormat="1" ht="12.95" customHeight="1">
      <c r="A42" s="91">
        <v>36</v>
      </c>
      <c r="B42" s="92" t="s">
        <v>111</v>
      </c>
      <c r="C42" s="93"/>
      <c r="D42" s="93"/>
      <c r="E42" s="93"/>
      <c r="F42" s="93" t="s">
        <v>73</v>
      </c>
      <c r="G42" s="93"/>
      <c r="H42" s="93" t="s">
        <v>73</v>
      </c>
      <c r="I42" s="93"/>
      <c r="J42" s="93"/>
      <c r="K42" s="93"/>
      <c r="L42" s="93" t="s">
        <v>74</v>
      </c>
      <c r="M42" s="93"/>
      <c r="N42" s="93" t="s">
        <v>73</v>
      </c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  <c r="AU42" s="97"/>
      <c r="AV42" s="85"/>
      <c r="AW42" s="85"/>
      <c r="AX42" s="85"/>
      <c r="AY42" s="85"/>
      <c r="AZ42" s="85"/>
      <c r="BA42" s="85"/>
      <c r="BB42" s="85"/>
      <c r="BC42" s="85"/>
    </row>
    <row r="43" spans="1:55" s="90" customFormat="1" ht="12.95" customHeight="1">
      <c r="A43" s="91">
        <v>37</v>
      </c>
      <c r="B43" s="92" t="s">
        <v>112</v>
      </c>
      <c r="C43" s="93"/>
      <c r="D43" s="93"/>
      <c r="E43" s="93" t="s">
        <v>73</v>
      </c>
      <c r="F43" s="93" t="s">
        <v>74</v>
      </c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 t="s">
        <v>73</v>
      </c>
      <c r="U43" s="93"/>
      <c r="V43" s="93"/>
      <c r="W43" s="93" t="s">
        <v>74</v>
      </c>
      <c r="X43" s="93"/>
      <c r="Y43" s="93"/>
      <c r="Z43" s="93"/>
      <c r="AA43" s="93" t="s">
        <v>73</v>
      </c>
      <c r="AB43" s="93"/>
      <c r="AC43" s="93" t="s">
        <v>74</v>
      </c>
      <c r="AD43" s="93"/>
      <c r="AE43" s="93"/>
      <c r="AF43" s="93"/>
      <c r="AG43" s="93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85"/>
      <c r="AW43" s="85"/>
      <c r="AX43" s="85"/>
      <c r="AY43" s="85"/>
      <c r="AZ43" s="85"/>
      <c r="BA43" s="85"/>
      <c r="BB43" s="85"/>
      <c r="BC43" s="85"/>
    </row>
    <row r="44" spans="1:55" s="90" customFormat="1" ht="12.95" customHeight="1">
      <c r="A44" s="91">
        <v>38</v>
      </c>
      <c r="B44" s="92" t="s">
        <v>113</v>
      </c>
      <c r="C44" s="93"/>
      <c r="D44" s="93"/>
      <c r="E44" s="93" t="s">
        <v>73</v>
      </c>
      <c r="F44" s="93"/>
      <c r="G44" s="93" t="s">
        <v>73</v>
      </c>
      <c r="H44" s="93"/>
      <c r="I44" s="93" t="s">
        <v>73</v>
      </c>
      <c r="J44" s="93"/>
      <c r="K44" s="93"/>
      <c r="L44" s="93" t="s">
        <v>73</v>
      </c>
      <c r="M44" s="93"/>
      <c r="N44" s="93" t="s">
        <v>73</v>
      </c>
      <c r="O44" s="93"/>
      <c r="P44" s="93"/>
      <c r="Q44" s="93"/>
      <c r="R44" s="93"/>
      <c r="S44" s="93"/>
      <c r="T44" s="93" t="s">
        <v>73</v>
      </c>
      <c r="U44" s="93"/>
      <c r="V44" s="93"/>
      <c r="W44" s="93"/>
      <c r="X44" s="93"/>
      <c r="Y44" s="93"/>
      <c r="Z44" s="93"/>
      <c r="AA44" s="93" t="s">
        <v>75</v>
      </c>
      <c r="AB44" s="93"/>
      <c r="AC44" s="93"/>
      <c r="AD44" s="93"/>
      <c r="AE44" s="93"/>
      <c r="AF44" s="93"/>
      <c r="AG44" s="93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85"/>
      <c r="AW44" s="85"/>
      <c r="AX44" s="85"/>
      <c r="AY44" s="85"/>
      <c r="AZ44" s="85"/>
      <c r="BA44" s="85"/>
      <c r="BB44" s="85"/>
      <c r="BC44" s="85"/>
    </row>
    <row r="45" spans="1:55" s="90" customFormat="1" ht="12.95" customHeight="1">
      <c r="A45" s="91">
        <v>39</v>
      </c>
      <c r="B45" s="92" t="s">
        <v>114</v>
      </c>
      <c r="C45" s="93"/>
      <c r="D45" s="93"/>
      <c r="E45" s="93"/>
      <c r="F45" s="93" t="s">
        <v>73</v>
      </c>
      <c r="G45" s="93"/>
      <c r="H45" s="93"/>
      <c r="I45" s="93" t="s">
        <v>75</v>
      </c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  <c r="AU45" s="97"/>
      <c r="AV45" s="85"/>
      <c r="AW45" s="85"/>
      <c r="AX45" s="85"/>
      <c r="AY45" s="85"/>
      <c r="AZ45" s="85"/>
      <c r="BA45" s="85"/>
      <c r="BB45" s="85"/>
      <c r="BC45" s="85"/>
    </row>
    <row r="46" spans="1:55" s="90" customFormat="1" ht="12.95" customHeight="1">
      <c r="A46" s="91">
        <v>40</v>
      </c>
      <c r="B46" s="92" t="s">
        <v>115</v>
      </c>
      <c r="C46" s="93"/>
      <c r="D46" s="93"/>
      <c r="E46" s="93" t="s">
        <v>73</v>
      </c>
      <c r="F46" s="93"/>
      <c r="G46" s="93" t="s">
        <v>73</v>
      </c>
      <c r="H46" s="93" t="s">
        <v>74</v>
      </c>
      <c r="I46" s="93" t="s">
        <v>73</v>
      </c>
      <c r="J46" s="93"/>
      <c r="K46" s="93"/>
      <c r="L46" s="93" t="s">
        <v>73</v>
      </c>
      <c r="M46" s="93" t="s">
        <v>74</v>
      </c>
      <c r="N46" s="93"/>
      <c r="O46" s="93"/>
      <c r="P46" s="93"/>
      <c r="Q46" s="93"/>
      <c r="R46" s="93" t="s">
        <v>73</v>
      </c>
      <c r="S46" s="93"/>
      <c r="T46" s="93"/>
      <c r="U46" s="93" t="s">
        <v>75</v>
      </c>
      <c r="V46" s="93"/>
      <c r="W46" s="93"/>
      <c r="X46" s="93"/>
      <c r="Y46" s="93" t="s">
        <v>73</v>
      </c>
      <c r="Z46" s="93"/>
      <c r="AA46" s="93" t="s">
        <v>73</v>
      </c>
      <c r="AB46" s="93"/>
      <c r="AC46" s="93" t="s">
        <v>74</v>
      </c>
      <c r="AD46" s="93"/>
      <c r="AE46" s="93"/>
      <c r="AF46" s="93"/>
      <c r="AG46" s="93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85"/>
      <c r="AW46" s="85"/>
      <c r="AX46" s="85"/>
      <c r="AY46" s="85"/>
      <c r="AZ46" s="85"/>
      <c r="BA46" s="85"/>
      <c r="BB46" s="85"/>
      <c r="BC46" s="85"/>
    </row>
    <row r="47" spans="1:55" s="90" customFormat="1" ht="12.95" customHeight="1">
      <c r="A47" s="91">
        <v>41</v>
      </c>
      <c r="B47" s="92" t="s">
        <v>116</v>
      </c>
      <c r="C47" s="93"/>
      <c r="D47" s="93"/>
      <c r="E47" s="93"/>
      <c r="F47" s="93"/>
      <c r="G47" s="93"/>
      <c r="H47" s="93"/>
      <c r="I47" s="93" t="s">
        <v>74</v>
      </c>
      <c r="J47" s="93"/>
      <c r="K47" s="93"/>
      <c r="L47" s="93"/>
      <c r="M47" s="93"/>
      <c r="N47" s="93"/>
      <c r="O47" s="93" t="s">
        <v>74</v>
      </c>
      <c r="P47" s="93"/>
      <c r="Q47" s="93"/>
      <c r="R47" s="93"/>
      <c r="S47" s="93"/>
      <c r="T47" s="93"/>
      <c r="U47" s="93"/>
      <c r="V47" s="93" t="s">
        <v>74</v>
      </c>
      <c r="W47" s="93"/>
      <c r="X47" s="93"/>
      <c r="Y47" s="93"/>
      <c r="Z47" s="93"/>
      <c r="AA47" s="93"/>
      <c r="AB47" s="93"/>
      <c r="AC47" s="93" t="s">
        <v>74</v>
      </c>
      <c r="AD47" s="93"/>
      <c r="AE47" s="93"/>
      <c r="AF47" s="93"/>
      <c r="AG47" s="93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  <c r="AU47" s="97"/>
      <c r="AV47" s="85"/>
      <c r="AW47" s="85"/>
      <c r="AX47" s="85"/>
      <c r="AY47" s="85"/>
      <c r="AZ47" s="85"/>
      <c r="BA47" s="85"/>
      <c r="BB47" s="85"/>
      <c r="BC47" s="85"/>
    </row>
    <row r="48" spans="1:55" s="90" customFormat="1" ht="12.95" customHeight="1">
      <c r="A48" s="91">
        <v>42</v>
      </c>
      <c r="B48" s="92" t="s">
        <v>117</v>
      </c>
      <c r="C48" s="93"/>
      <c r="D48" s="93"/>
      <c r="E48" s="93" t="s">
        <v>74</v>
      </c>
      <c r="F48" s="93" t="s">
        <v>74</v>
      </c>
      <c r="G48" s="93"/>
      <c r="H48" s="93"/>
      <c r="I48" s="93" t="s">
        <v>73</v>
      </c>
      <c r="J48" s="93"/>
      <c r="K48" s="93" t="s">
        <v>74</v>
      </c>
      <c r="L48" s="93"/>
      <c r="M48" s="93"/>
      <c r="N48" s="93" t="s">
        <v>73</v>
      </c>
      <c r="O48" s="93"/>
      <c r="P48" s="93"/>
      <c r="Q48" s="93"/>
      <c r="R48" s="93" t="s">
        <v>73</v>
      </c>
      <c r="S48" s="93"/>
      <c r="T48" s="93" t="s">
        <v>74</v>
      </c>
      <c r="U48" s="93"/>
      <c r="V48" s="93"/>
      <c r="W48" s="93"/>
      <c r="X48" s="93"/>
      <c r="Y48" s="93" t="s">
        <v>75</v>
      </c>
      <c r="Z48" s="93"/>
      <c r="AA48" s="93"/>
      <c r="AB48" s="93" t="s">
        <v>75</v>
      </c>
      <c r="AC48" s="93" t="s">
        <v>73</v>
      </c>
      <c r="AD48" s="93"/>
      <c r="AE48" s="93"/>
      <c r="AF48" s="93"/>
      <c r="AG48" s="93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85"/>
      <c r="AW48" s="85"/>
      <c r="AX48" s="85"/>
      <c r="AY48" s="85"/>
      <c r="AZ48" s="85"/>
      <c r="BA48" s="85"/>
      <c r="BB48" s="85"/>
      <c r="BC48" s="85"/>
    </row>
    <row r="49" spans="1:55" s="90" customFormat="1" ht="12.95" customHeight="1">
      <c r="A49" s="91">
        <v>43</v>
      </c>
      <c r="B49" s="92" t="s">
        <v>118</v>
      </c>
      <c r="C49" s="93"/>
      <c r="D49" s="93" t="s">
        <v>74</v>
      </c>
      <c r="E49" s="93"/>
      <c r="F49" s="93"/>
      <c r="G49" s="93"/>
      <c r="H49" s="93"/>
      <c r="I49" s="93"/>
      <c r="J49" s="93"/>
      <c r="K49" s="93" t="s">
        <v>73</v>
      </c>
      <c r="L49" s="93"/>
      <c r="M49" s="93" t="s">
        <v>74</v>
      </c>
      <c r="N49" s="93"/>
      <c r="O49" s="93"/>
      <c r="P49" s="93"/>
      <c r="Q49" s="93"/>
      <c r="R49" s="93" t="s">
        <v>74</v>
      </c>
      <c r="S49" s="93"/>
      <c r="T49" s="93"/>
      <c r="U49" s="93"/>
      <c r="V49" s="93"/>
      <c r="W49" s="93"/>
      <c r="X49" s="93"/>
      <c r="Y49" s="93"/>
      <c r="Z49" s="93"/>
      <c r="AA49" s="93"/>
      <c r="AB49" s="93" t="s">
        <v>74</v>
      </c>
      <c r="AC49" s="93"/>
      <c r="AD49" s="93"/>
      <c r="AE49" s="93"/>
      <c r="AF49" s="93"/>
      <c r="AG49" s="93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85"/>
      <c r="AW49" s="85"/>
      <c r="AX49" s="85"/>
      <c r="AY49" s="85"/>
      <c r="AZ49" s="85"/>
      <c r="BA49" s="85"/>
      <c r="BB49" s="85"/>
      <c r="BC49" s="85"/>
    </row>
    <row r="50" spans="1:55" s="90" customFormat="1" ht="12.95" customHeight="1">
      <c r="A50" s="91">
        <v>44</v>
      </c>
      <c r="B50" s="92" t="s">
        <v>49</v>
      </c>
      <c r="C50" s="93"/>
      <c r="D50" s="93"/>
      <c r="E50" s="93" t="s">
        <v>73</v>
      </c>
      <c r="F50" s="93"/>
      <c r="G50" s="93" t="s">
        <v>74</v>
      </c>
      <c r="H50" s="93"/>
      <c r="I50" s="93"/>
      <c r="J50" s="93"/>
      <c r="K50" s="93" t="s">
        <v>73</v>
      </c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 t="s">
        <v>75</v>
      </c>
      <c r="Z50" s="93"/>
      <c r="AA50" s="93" t="s">
        <v>73</v>
      </c>
      <c r="AB50" s="93"/>
      <c r="AC50" s="93"/>
      <c r="AD50" s="93"/>
      <c r="AE50" s="93"/>
      <c r="AF50" s="93"/>
      <c r="AG50" s="93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85"/>
      <c r="AW50" s="85"/>
      <c r="AX50" s="85"/>
      <c r="AY50" s="85"/>
      <c r="AZ50" s="85"/>
      <c r="BA50" s="85"/>
      <c r="BB50" s="85"/>
      <c r="BC50" s="85"/>
    </row>
    <row r="51" spans="1:55" s="90" customFormat="1" ht="12.95" customHeight="1">
      <c r="A51" s="91">
        <v>46</v>
      </c>
      <c r="B51" s="92" t="s">
        <v>119</v>
      </c>
      <c r="C51" s="93"/>
      <c r="D51" s="93"/>
      <c r="E51" s="93"/>
      <c r="F51" s="93" t="s">
        <v>74</v>
      </c>
      <c r="G51" s="93"/>
      <c r="H51" s="93" t="s">
        <v>73</v>
      </c>
      <c r="I51" s="93" t="s">
        <v>74</v>
      </c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 t="s">
        <v>73</v>
      </c>
      <c r="V51" s="93" t="s">
        <v>74</v>
      </c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85"/>
      <c r="AW51" s="85"/>
      <c r="AX51" s="85"/>
      <c r="AY51" s="85"/>
      <c r="AZ51" s="85"/>
      <c r="BA51" s="85"/>
      <c r="BB51" s="85"/>
      <c r="BC51" s="85"/>
    </row>
    <row r="52" spans="1:55" s="90" customFormat="1" ht="12.95" customHeight="1">
      <c r="A52" s="91">
        <v>47</v>
      </c>
      <c r="B52" s="92" t="s">
        <v>120</v>
      </c>
      <c r="C52" s="93"/>
      <c r="D52" s="93" t="s">
        <v>73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 t="s">
        <v>74</v>
      </c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  <c r="AU52" s="97"/>
      <c r="AV52" s="85"/>
      <c r="AW52" s="85"/>
      <c r="AX52" s="85"/>
      <c r="AY52" s="85"/>
      <c r="AZ52" s="85"/>
      <c r="BA52" s="85"/>
      <c r="BB52" s="85"/>
      <c r="BC52" s="85"/>
    </row>
    <row r="53" spans="1:55" s="90" customFormat="1" ht="12.95" customHeight="1">
      <c r="A53" s="91">
        <v>48</v>
      </c>
      <c r="B53" s="92" t="s">
        <v>121</v>
      </c>
      <c r="C53" s="93"/>
      <c r="D53" s="93"/>
      <c r="E53" s="93"/>
      <c r="F53" s="93" t="s">
        <v>73</v>
      </c>
      <c r="G53" s="93"/>
      <c r="H53" s="93"/>
      <c r="I53" s="93" t="s">
        <v>73</v>
      </c>
      <c r="J53" s="93"/>
      <c r="K53" s="93"/>
      <c r="L53" s="93"/>
      <c r="M53" s="93"/>
      <c r="N53" s="93"/>
      <c r="O53" s="93"/>
      <c r="P53" s="93" t="s">
        <v>73</v>
      </c>
      <c r="Q53" s="93"/>
      <c r="R53" s="93"/>
      <c r="S53" s="93"/>
      <c r="T53" s="93"/>
      <c r="U53" s="93" t="s">
        <v>74</v>
      </c>
      <c r="V53" s="93"/>
      <c r="W53" s="93"/>
      <c r="X53" s="93"/>
      <c r="Y53" s="93" t="s">
        <v>73</v>
      </c>
      <c r="Z53" s="93"/>
      <c r="AA53" s="93" t="s">
        <v>73</v>
      </c>
      <c r="AB53" s="93"/>
      <c r="AC53" s="93" t="s">
        <v>73</v>
      </c>
      <c r="AD53" s="93"/>
      <c r="AE53" s="93"/>
      <c r="AF53" s="93"/>
      <c r="AG53" s="93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  <c r="AU53" s="97"/>
      <c r="AV53" s="85"/>
      <c r="AW53" s="85"/>
      <c r="AX53" s="85"/>
      <c r="AY53" s="85"/>
      <c r="AZ53" s="85"/>
      <c r="BA53" s="85"/>
      <c r="BB53" s="85"/>
      <c r="BC53" s="85"/>
    </row>
    <row r="54" spans="1:55" s="90" customFormat="1" ht="12.95" customHeight="1">
      <c r="A54" s="91">
        <v>49</v>
      </c>
      <c r="B54" s="92" t="s">
        <v>122</v>
      </c>
      <c r="C54" s="93"/>
      <c r="D54" s="93"/>
      <c r="E54" s="93"/>
      <c r="F54" s="93" t="s">
        <v>74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 t="s">
        <v>73</v>
      </c>
      <c r="AA54" s="93"/>
      <c r="AB54" s="93"/>
      <c r="AC54" s="93"/>
      <c r="AD54" s="93" t="s">
        <v>74</v>
      </c>
      <c r="AE54" s="93"/>
      <c r="AF54" s="93"/>
      <c r="AG54" s="93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85"/>
      <c r="AW54" s="85"/>
      <c r="AX54" s="85"/>
      <c r="AY54" s="85"/>
      <c r="AZ54" s="85"/>
      <c r="BA54" s="85"/>
      <c r="BB54" s="85"/>
      <c r="BC54" s="85"/>
    </row>
    <row r="55" spans="1:55" s="90" customFormat="1" ht="12.95" customHeight="1">
      <c r="A55" s="91">
        <v>50</v>
      </c>
      <c r="B55" s="92" t="s">
        <v>123</v>
      </c>
      <c r="C55" s="93"/>
      <c r="D55" s="93" t="s">
        <v>74</v>
      </c>
      <c r="E55" s="93"/>
      <c r="F55" s="93"/>
      <c r="G55" s="93"/>
      <c r="H55" s="93" t="s">
        <v>73</v>
      </c>
      <c r="I55" s="93"/>
      <c r="J55" s="93"/>
      <c r="K55" s="93"/>
      <c r="L55" s="93" t="s">
        <v>75</v>
      </c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 t="s">
        <v>75</v>
      </c>
      <c r="Z55" s="93"/>
      <c r="AA55" s="93"/>
      <c r="AB55" s="93"/>
      <c r="AC55" s="93"/>
      <c r="AD55" s="93"/>
      <c r="AE55" s="93"/>
      <c r="AF55" s="93"/>
      <c r="AG55" s="93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  <c r="AU55" s="97"/>
      <c r="AV55" s="85"/>
      <c r="AW55" s="85"/>
      <c r="AX55" s="85"/>
      <c r="AY55" s="85"/>
      <c r="AZ55" s="85"/>
      <c r="BA55" s="85"/>
      <c r="BB55" s="85"/>
      <c r="BC55" s="85"/>
    </row>
    <row r="56" spans="1:55" s="90" customFormat="1" ht="12.95" customHeight="1">
      <c r="A56" s="91">
        <v>51</v>
      </c>
      <c r="B56" s="92" t="s">
        <v>124</v>
      </c>
      <c r="C56" s="93"/>
      <c r="D56" s="93"/>
      <c r="E56" s="93" t="s">
        <v>73</v>
      </c>
      <c r="F56" s="93"/>
      <c r="G56" s="93" t="s">
        <v>73</v>
      </c>
      <c r="H56" s="93"/>
      <c r="I56" s="93" t="s">
        <v>73</v>
      </c>
      <c r="J56" s="93"/>
      <c r="K56" s="93" t="s">
        <v>73</v>
      </c>
      <c r="L56" s="93"/>
      <c r="M56" s="93"/>
      <c r="N56" s="93"/>
      <c r="O56" s="93"/>
      <c r="P56" s="93"/>
      <c r="Q56" s="93"/>
      <c r="R56" s="93" t="s">
        <v>74</v>
      </c>
      <c r="S56" s="93"/>
      <c r="T56" s="93"/>
      <c r="U56" s="93" t="s">
        <v>73</v>
      </c>
      <c r="V56" s="93"/>
      <c r="W56" s="93" t="s">
        <v>75</v>
      </c>
      <c r="X56" s="93"/>
      <c r="Y56" s="93"/>
      <c r="Z56" s="93" t="s">
        <v>73</v>
      </c>
      <c r="AA56" s="93"/>
      <c r="AB56" s="93"/>
      <c r="AC56" s="93" t="s">
        <v>73</v>
      </c>
      <c r="AD56" s="93"/>
      <c r="AE56" s="93"/>
      <c r="AF56" s="93"/>
      <c r="AG56" s="93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85"/>
      <c r="AW56" s="85"/>
      <c r="AX56" s="85"/>
      <c r="AY56" s="85"/>
      <c r="AZ56" s="85"/>
      <c r="BA56" s="85"/>
      <c r="BB56" s="85"/>
      <c r="BC56" s="85"/>
    </row>
    <row r="57" spans="1:55" s="90" customFormat="1" ht="12.95" customHeight="1">
      <c r="A57" s="91">
        <v>52</v>
      </c>
      <c r="B57" s="92" t="s">
        <v>125</v>
      </c>
      <c r="C57" s="93"/>
      <c r="D57" s="93"/>
      <c r="E57" s="93" t="s">
        <v>73</v>
      </c>
      <c r="F57" s="93"/>
      <c r="G57" s="93"/>
      <c r="H57" s="93" t="s">
        <v>73</v>
      </c>
      <c r="I57" s="93"/>
      <c r="J57" s="93"/>
      <c r="K57" s="93"/>
      <c r="L57" s="93"/>
      <c r="M57" s="93" t="s">
        <v>73</v>
      </c>
      <c r="N57" s="93"/>
      <c r="O57" s="93" t="s">
        <v>74</v>
      </c>
      <c r="P57" s="93" t="s">
        <v>73</v>
      </c>
      <c r="Q57" s="93"/>
      <c r="R57" s="93"/>
      <c r="S57" s="93"/>
      <c r="T57" s="93"/>
      <c r="U57" s="93"/>
      <c r="V57" s="93"/>
      <c r="W57" s="93" t="s">
        <v>73</v>
      </c>
      <c r="X57" s="93"/>
      <c r="Y57" s="93"/>
      <c r="Z57" s="93" t="s">
        <v>75</v>
      </c>
      <c r="AA57" s="93"/>
      <c r="AB57" s="93" t="s">
        <v>74</v>
      </c>
      <c r="AC57" s="93"/>
      <c r="AD57" s="93"/>
      <c r="AE57" s="93"/>
      <c r="AF57" s="93"/>
      <c r="AG57" s="93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85"/>
      <c r="AW57" s="85"/>
      <c r="AX57" s="85"/>
      <c r="AY57" s="85"/>
      <c r="AZ57" s="85"/>
      <c r="BA57" s="85"/>
      <c r="BB57" s="85"/>
      <c r="BC57" s="85"/>
    </row>
    <row r="58" spans="1:55" s="90" customFormat="1" ht="12.95" customHeight="1">
      <c r="A58" s="91">
        <v>53</v>
      </c>
      <c r="B58" s="92" t="s">
        <v>126</v>
      </c>
      <c r="C58" s="93"/>
      <c r="D58" s="93"/>
      <c r="E58" s="93"/>
      <c r="F58" s="93"/>
      <c r="G58" s="93"/>
      <c r="H58" s="93" t="s">
        <v>73</v>
      </c>
      <c r="I58" s="93"/>
      <c r="J58" s="93"/>
      <c r="K58" s="93"/>
      <c r="L58" s="93" t="s">
        <v>75</v>
      </c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 t="s">
        <v>73</v>
      </c>
      <c r="AA58" s="93"/>
      <c r="AB58" s="93"/>
      <c r="AC58" s="93"/>
      <c r="AD58" s="93"/>
      <c r="AE58" s="93"/>
      <c r="AF58" s="93"/>
      <c r="AG58" s="93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85"/>
      <c r="AW58" s="85"/>
      <c r="AX58" s="85"/>
      <c r="AY58" s="85"/>
      <c r="AZ58" s="85"/>
      <c r="BA58" s="85"/>
      <c r="BB58" s="85"/>
      <c r="BC58" s="85"/>
    </row>
    <row r="59" spans="1:55" s="90" customFormat="1" ht="12.95" customHeight="1">
      <c r="A59" s="91">
        <v>54</v>
      </c>
      <c r="B59" s="92" t="s">
        <v>127</v>
      </c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 t="s">
        <v>73</v>
      </c>
      <c r="AD59" s="93"/>
      <c r="AE59" s="93"/>
      <c r="AF59" s="93"/>
      <c r="AG59" s="93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85"/>
      <c r="AW59" s="85"/>
      <c r="AX59" s="85"/>
      <c r="AY59" s="85"/>
      <c r="AZ59" s="85"/>
      <c r="BA59" s="85"/>
      <c r="BB59" s="85"/>
      <c r="BC59" s="85"/>
    </row>
    <row r="60" spans="1:55" s="90" customFormat="1" ht="12.95" customHeight="1">
      <c r="A60" s="91">
        <v>55</v>
      </c>
      <c r="B60" s="92" t="s">
        <v>128</v>
      </c>
      <c r="C60" s="93"/>
      <c r="D60" s="93" t="s">
        <v>74</v>
      </c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85"/>
      <c r="AW60" s="85"/>
      <c r="AX60" s="85"/>
      <c r="AY60" s="85"/>
      <c r="AZ60" s="85"/>
      <c r="BA60" s="85"/>
      <c r="BB60" s="85"/>
      <c r="BC60" s="85"/>
    </row>
    <row r="61" spans="1:55" s="90" customFormat="1" ht="12.95" customHeight="1">
      <c r="A61" s="91">
        <v>56</v>
      </c>
      <c r="B61" s="92" t="s">
        <v>129</v>
      </c>
      <c r="C61" s="93"/>
      <c r="D61" s="93"/>
      <c r="E61" s="93"/>
      <c r="F61" s="93" t="s">
        <v>75</v>
      </c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 t="s">
        <v>75</v>
      </c>
      <c r="Z61" s="93"/>
      <c r="AA61" s="93"/>
      <c r="AB61" s="93"/>
      <c r="AC61" s="93"/>
      <c r="AD61" s="93"/>
      <c r="AE61" s="93"/>
      <c r="AF61" s="93"/>
      <c r="AG61" s="93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85"/>
      <c r="AW61" s="85"/>
      <c r="AX61" s="85"/>
      <c r="AY61" s="85"/>
      <c r="AZ61" s="85"/>
      <c r="BA61" s="85"/>
      <c r="BB61" s="85"/>
      <c r="BC61" s="85"/>
    </row>
    <row r="62" spans="1:55" s="90" customFormat="1" ht="12.95" customHeight="1">
      <c r="A62" s="91">
        <v>57</v>
      </c>
      <c r="B62" s="92" t="s">
        <v>130</v>
      </c>
      <c r="C62" s="93"/>
      <c r="D62" s="93"/>
      <c r="E62" s="93"/>
      <c r="F62" s="93" t="s">
        <v>85</v>
      </c>
      <c r="G62" s="93"/>
      <c r="H62" s="93" t="s">
        <v>73</v>
      </c>
      <c r="I62" s="93"/>
      <c r="J62" s="93"/>
      <c r="K62" s="93"/>
      <c r="L62" s="93" t="s">
        <v>73</v>
      </c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  <c r="AU62" s="97"/>
      <c r="AV62" s="85"/>
      <c r="AW62" s="85"/>
      <c r="AX62" s="85"/>
      <c r="AY62" s="85"/>
      <c r="AZ62" s="85"/>
      <c r="BA62" s="85"/>
      <c r="BB62" s="85"/>
      <c r="BC62" s="85"/>
    </row>
    <row r="63" spans="1:55" s="90" customFormat="1" ht="12.95" customHeight="1">
      <c r="A63" s="91">
        <v>58</v>
      </c>
      <c r="B63" s="92" t="s">
        <v>131</v>
      </c>
      <c r="C63" s="93"/>
      <c r="D63" s="93"/>
      <c r="E63" s="93" t="s">
        <v>73</v>
      </c>
      <c r="F63" s="93"/>
      <c r="G63" s="93" t="s">
        <v>73</v>
      </c>
      <c r="H63" s="93"/>
      <c r="I63" s="93" t="s">
        <v>74</v>
      </c>
      <c r="J63" s="93"/>
      <c r="K63" s="93" t="s">
        <v>73</v>
      </c>
      <c r="L63" s="93"/>
      <c r="M63" s="93" t="s">
        <v>73</v>
      </c>
      <c r="N63" s="93"/>
      <c r="O63" s="93"/>
      <c r="P63" s="93" t="s">
        <v>73</v>
      </c>
      <c r="Q63" s="93"/>
      <c r="R63" s="93"/>
      <c r="S63" s="93"/>
      <c r="T63" s="93" t="s">
        <v>74</v>
      </c>
      <c r="U63" s="93"/>
      <c r="V63" s="93"/>
      <c r="W63" s="93"/>
      <c r="X63" s="93"/>
      <c r="Y63" s="93"/>
      <c r="Z63" s="93" t="s">
        <v>73</v>
      </c>
      <c r="AA63" s="93"/>
      <c r="AB63" s="93"/>
      <c r="AC63" s="93"/>
      <c r="AD63" s="93"/>
      <c r="AE63" s="93"/>
      <c r="AF63" s="93"/>
      <c r="AG63" s="93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85"/>
      <c r="AW63" s="85"/>
      <c r="AX63" s="85"/>
      <c r="AY63" s="85"/>
      <c r="AZ63" s="85"/>
      <c r="BA63" s="85"/>
      <c r="BB63" s="85"/>
      <c r="BC63" s="85"/>
    </row>
    <row r="64" spans="1:55" s="90" customFormat="1" ht="12.95" customHeight="1">
      <c r="A64" s="91">
        <v>59</v>
      </c>
      <c r="B64" s="92" t="s">
        <v>45</v>
      </c>
      <c r="C64" s="93"/>
      <c r="D64" s="93"/>
      <c r="E64" s="93"/>
      <c r="F64" s="93" t="s">
        <v>73</v>
      </c>
      <c r="G64" s="93" t="s">
        <v>74</v>
      </c>
      <c r="H64" s="93"/>
      <c r="I64" s="93"/>
      <c r="J64" s="93"/>
      <c r="K64" s="93"/>
      <c r="L64" s="93"/>
      <c r="M64" s="93"/>
      <c r="N64" s="93"/>
      <c r="O64" s="93" t="s">
        <v>73</v>
      </c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85"/>
      <c r="AW64" s="85"/>
      <c r="AX64" s="85"/>
      <c r="AY64" s="85"/>
      <c r="AZ64" s="85"/>
      <c r="BA64" s="85"/>
      <c r="BB64" s="85"/>
      <c r="BC64" s="85"/>
    </row>
    <row r="65" spans="1:55" s="90" customFormat="1" ht="12.95" customHeight="1">
      <c r="A65" s="91">
        <v>60</v>
      </c>
      <c r="B65" s="92" t="s">
        <v>132</v>
      </c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 t="s">
        <v>74</v>
      </c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85"/>
      <c r="AW65" s="85"/>
      <c r="AX65" s="85"/>
      <c r="AY65" s="85"/>
      <c r="AZ65" s="85"/>
      <c r="BA65" s="85"/>
      <c r="BB65" s="85"/>
      <c r="BC65" s="85"/>
    </row>
    <row r="66" spans="1:55" s="90" customFormat="1" ht="12.95" customHeight="1">
      <c r="A66" s="91">
        <v>61</v>
      </c>
      <c r="B66" s="92" t="s">
        <v>133</v>
      </c>
      <c r="C66" s="93"/>
      <c r="D66" s="93"/>
      <c r="E66" s="93"/>
      <c r="F66" s="93" t="s">
        <v>73</v>
      </c>
      <c r="G66" s="93"/>
      <c r="H66" s="93" t="s">
        <v>73</v>
      </c>
      <c r="I66" s="93"/>
      <c r="J66" s="93"/>
      <c r="K66" s="93" t="s">
        <v>74</v>
      </c>
      <c r="L66" s="93"/>
      <c r="M66" s="93"/>
      <c r="N66" s="93"/>
      <c r="O66" s="93"/>
      <c r="P66" s="93"/>
      <c r="Q66" s="93"/>
      <c r="R66" s="93"/>
      <c r="S66" s="93"/>
      <c r="T66" s="93"/>
      <c r="U66" s="93" t="s">
        <v>73</v>
      </c>
      <c r="V66" s="93"/>
      <c r="W66" s="93"/>
      <c r="X66" s="93"/>
      <c r="Y66" s="93"/>
      <c r="Z66" s="93"/>
      <c r="AA66" s="93"/>
      <c r="AB66" s="93"/>
      <c r="AC66" s="93" t="s">
        <v>74</v>
      </c>
      <c r="AD66" s="93"/>
      <c r="AE66" s="93"/>
      <c r="AF66" s="93"/>
      <c r="AG66" s="93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  <c r="AU66" s="97"/>
      <c r="AV66" s="85"/>
      <c r="AW66" s="85"/>
      <c r="AX66" s="85"/>
      <c r="AY66" s="85"/>
      <c r="AZ66" s="85"/>
      <c r="BA66" s="85"/>
      <c r="BB66" s="85"/>
      <c r="BC66" s="85"/>
    </row>
    <row r="67" spans="1:55" s="90" customFormat="1" ht="12.95" customHeight="1">
      <c r="A67" s="91">
        <v>62</v>
      </c>
      <c r="B67" s="92" t="s">
        <v>134</v>
      </c>
      <c r="C67" s="93"/>
      <c r="D67" s="93"/>
      <c r="E67" s="93" t="s">
        <v>73</v>
      </c>
      <c r="F67" s="93"/>
      <c r="G67" s="93" t="s">
        <v>75</v>
      </c>
      <c r="H67" s="93"/>
      <c r="I67" s="93"/>
      <c r="J67" s="93"/>
      <c r="K67" s="93"/>
      <c r="L67" s="93" t="s">
        <v>73</v>
      </c>
      <c r="M67" s="93"/>
      <c r="N67" s="93"/>
      <c r="O67" s="93"/>
      <c r="P67" s="93"/>
      <c r="Q67" s="93"/>
      <c r="R67" s="93" t="s">
        <v>73</v>
      </c>
      <c r="S67" s="93"/>
      <c r="T67" s="93"/>
      <c r="U67" s="93" t="s">
        <v>73</v>
      </c>
      <c r="V67" s="93"/>
      <c r="W67" s="93" t="s">
        <v>73</v>
      </c>
      <c r="X67" s="93"/>
      <c r="Y67" s="93"/>
      <c r="Z67" s="93"/>
      <c r="AA67" s="93" t="s">
        <v>75</v>
      </c>
      <c r="AB67" s="93"/>
      <c r="AC67" s="93"/>
      <c r="AD67" s="93"/>
      <c r="AE67" s="93"/>
      <c r="AF67" s="93"/>
      <c r="AG67" s="93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85"/>
      <c r="AW67" s="85"/>
      <c r="AX67" s="85"/>
      <c r="AY67" s="85"/>
      <c r="AZ67" s="85"/>
      <c r="BA67" s="85"/>
      <c r="BB67" s="85"/>
      <c r="BC67" s="85"/>
    </row>
    <row r="68" spans="1:55" s="90" customFormat="1" ht="12.95" customHeight="1">
      <c r="A68" s="91">
        <v>63</v>
      </c>
      <c r="B68" s="92" t="s">
        <v>47</v>
      </c>
      <c r="C68" s="93"/>
      <c r="D68" s="93"/>
      <c r="E68" s="93"/>
      <c r="F68" s="93"/>
      <c r="G68" s="93"/>
      <c r="H68" s="93" t="s">
        <v>73</v>
      </c>
      <c r="I68" s="93"/>
      <c r="J68" s="93"/>
      <c r="K68" s="93"/>
      <c r="L68" s="93"/>
      <c r="M68" s="93" t="s">
        <v>73</v>
      </c>
      <c r="N68" s="93"/>
      <c r="O68" s="93"/>
      <c r="P68" s="93" t="s">
        <v>73</v>
      </c>
      <c r="Q68" s="93"/>
      <c r="R68" s="93"/>
      <c r="S68" s="93"/>
      <c r="T68" s="93" t="s">
        <v>74</v>
      </c>
      <c r="U68" s="93"/>
      <c r="V68" s="93"/>
      <c r="W68" s="93" t="s">
        <v>73</v>
      </c>
      <c r="X68" s="93"/>
      <c r="Y68" s="93"/>
      <c r="Z68" s="93" t="s">
        <v>73</v>
      </c>
      <c r="AA68" s="93"/>
      <c r="AB68" s="93"/>
      <c r="AC68" s="93" t="s">
        <v>75</v>
      </c>
      <c r="AD68" s="93"/>
      <c r="AE68" s="93"/>
      <c r="AF68" s="93"/>
      <c r="AG68" s="93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85"/>
      <c r="AW68" s="85"/>
      <c r="AX68" s="85"/>
      <c r="AY68" s="85"/>
      <c r="AZ68" s="85"/>
      <c r="BA68" s="85"/>
      <c r="BB68" s="85"/>
      <c r="BC68" s="85"/>
    </row>
    <row r="69" spans="1:55" s="90" customFormat="1" ht="12.95" customHeight="1">
      <c r="A69" s="91">
        <v>64</v>
      </c>
      <c r="B69" s="92" t="s">
        <v>135</v>
      </c>
      <c r="C69" s="93"/>
      <c r="D69" s="93"/>
      <c r="E69" s="93"/>
      <c r="F69" s="93" t="s">
        <v>73</v>
      </c>
      <c r="G69" s="93"/>
      <c r="H69" s="93" t="s">
        <v>73</v>
      </c>
      <c r="I69" s="93" t="s">
        <v>74</v>
      </c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 t="s">
        <v>73</v>
      </c>
      <c r="AB69" s="93" t="s">
        <v>74</v>
      </c>
      <c r="AC69" s="93"/>
      <c r="AD69" s="93"/>
      <c r="AE69" s="93"/>
      <c r="AF69" s="93"/>
      <c r="AG69" s="93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85"/>
      <c r="AW69" s="85"/>
      <c r="AX69" s="85"/>
      <c r="AY69" s="85"/>
      <c r="AZ69" s="85"/>
      <c r="BA69" s="85"/>
      <c r="BB69" s="85"/>
      <c r="BC69" s="85"/>
    </row>
    <row r="70" spans="1:55" s="90" customFormat="1" ht="12.95" customHeight="1">
      <c r="A70" s="91">
        <v>65</v>
      </c>
      <c r="B70" s="92" t="s">
        <v>136</v>
      </c>
      <c r="C70" s="93"/>
      <c r="D70" s="93"/>
      <c r="E70" s="93"/>
      <c r="F70" s="93" t="s">
        <v>73</v>
      </c>
      <c r="G70" s="93"/>
      <c r="H70" s="93" t="s">
        <v>74</v>
      </c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 t="s">
        <v>75</v>
      </c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85"/>
      <c r="AW70" s="85"/>
      <c r="AX70" s="85"/>
      <c r="AY70" s="85"/>
      <c r="AZ70" s="85"/>
      <c r="BA70" s="85"/>
      <c r="BB70" s="85"/>
      <c r="BC70" s="85"/>
    </row>
    <row r="71" spans="1:55" s="90" customFormat="1" ht="12.95" customHeight="1">
      <c r="A71" s="91">
        <v>66</v>
      </c>
      <c r="B71" s="92" t="s">
        <v>137</v>
      </c>
      <c r="C71" s="93"/>
      <c r="D71" s="93"/>
      <c r="E71" s="93" t="s">
        <v>74</v>
      </c>
      <c r="F71" s="93"/>
      <c r="G71" s="93"/>
      <c r="H71" s="93"/>
      <c r="I71" s="93"/>
      <c r="J71" s="93"/>
      <c r="K71" s="93" t="s">
        <v>74</v>
      </c>
      <c r="L71" s="93"/>
      <c r="M71" s="93"/>
      <c r="N71" s="93"/>
      <c r="O71" s="93"/>
      <c r="P71" s="93" t="s">
        <v>73</v>
      </c>
      <c r="Q71" s="93"/>
      <c r="R71" s="93" t="s">
        <v>74</v>
      </c>
      <c r="S71" s="93"/>
      <c r="T71" s="93"/>
      <c r="U71" s="93"/>
      <c r="V71" s="93" t="s">
        <v>74</v>
      </c>
      <c r="W71" s="93"/>
      <c r="X71" s="93"/>
      <c r="Y71" s="93"/>
      <c r="Z71" s="93"/>
      <c r="AA71" s="93"/>
      <c r="AB71" s="93" t="s">
        <v>73</v>
      </c>
      <c r="AC71" s="93" t="s">
        <v>74</v>
      </c>
      <c r="AD71" s="93"/>
      <c r="AE71" s="93"/>
      <c r="AF71" s="93"/>
      <c r="AG71" s="93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  <c r="AU71" s="97"/>
      <c r="AV71" s="85"/>
      <c r="AW71" s="85"/>
      <c r="AX71" s="85"/>
      <c r="AY71" s="85"/>
      <c r="AZ71" s="85"/>
      <c r="BA71" s="85"/>
      <c r="BB71" s="85"/>
      <c r="BC71" s="85"/>
    </row>
    <row r="72" spans="1:55" s="90" customFormat="1" ht="12.95" customHeight="1">
      <c r="A72" s="91">
        <v>67</v>
      </c>
      <c r="B72" s="92" t="s">
        <v>138</v>
      </c>
      <c r="C72" s="93"/>
      <c r="D72" s="93"/>
      <c r="E72" s="93"/>
      <c r="F72" s="93" t="s">
        <v>73</v>
      </c>
      <c r="G72" s="93"/>
      <c r="H72" s="93" t="s">
        <v>73</v>
      </c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  <c r="AU72" s="97"/>
      <c r="AV72" s="85"/>
      <c r="AW72" s="85"/>
      <c r="AX72" s="85"/>
      <c r="AY72" s="85"/>
      <c r="AZ72" s="85"/>
      <c r="BA72" s="85"/>
      <c r="BB72" s="85"/>
      <c r="BC72" s="85"/>
    </row>
    <row r="73" spans="1:55" s="90" customFormat="1" ht="12.95" customHeight="1">
      <c r="A73" s="91">
        <v>68</v>
      </c>
      <c r="B73" s="92" t="s">
        <v>139</v>
      </c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85"/>
      <c r="AW73" s="85"/>
      <c r="AX73" s="85"/>
      <c r="AY73" s="85"/>
      <c r="AZ73" s="85"/>
      <c r="BA73" s="85"/>
      <c r="BB73" s="85"/>
      <c r="BC73" s="85"/>
    </row>
    <row r="74" spans="1:55" s="90" customFormat="1" ht="12.95" customHeight="1">
      <c r="A74" s="91">
        <v>69</v>
      </c>
      <c r="B74" s="92" t="s">
        <v>140</v>
      </c>
      <c r="C74" s="93"/>
      <c r="D74" s="93"/>
      <c r="E74" s="93" t="s">
        <v>75</v>
      </c>
      <c r="F74" s="93"/>
      <c r="G74" s="93"/>
      <c r="H74" s="93"/>
      <c r="I74" s="93"/>
      <c r="J74" s="93"/>
      <c r="K74" s="93" t="s">
        <v>75</v>
      </c>
      <c r="L74" s="93"/>
      <c r="M74" s="93"/>
      <c r="N74" s="93" t="s">
        <v>75</v>
      </c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 t="s">
        <v>73</v>
      </c>
      <c r="AA74" s="93" t="s">
        <v>74</v>
      </c>
      <c r="AB74" s="93"/>
      <c r="AC74" s="93"/>
      <c r="AD74" s="93"/>
      <c r="AE74" s="93"/>
      <c r="AF74" s="93"/>
      <c r="AG74" s="93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85"/>
      <c r="AW74" s="85"/>
      <c r="AX74" s="85"/>
      <c r="AY74" s="85"/>
      <c r="AZ74" s="85"/>
      <c r="BA74" s="85"/>
      <c r="BB74" s="85"/>
      <c r="BC74" s="85"/>
    </row>
    <row r="75" spans="1:55" s="90" customFormat="1" ht="12.95" customHeight="1">
      <c r="A75" s="91">
        <v>70</v>
      </c>
      <c r="B75" s="92" t="s">
        <v>141</v>
      </c>
      <c r="C75" s="93"/>
      <c r="D75" s="93"/>
      <c r="E75" s="93"/>
      <c r="F75" s="93" t="s">
        <v>73</v>
      </c>
      <c r="G75" s="93" t="s">
        <v>74</v>
      </c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 t="s">
        <v>73</v>
      </c>
      <c r="AC75" s="93" t="s">
        <v>74</v>
      </c>
      <c r="AD75" s="93"/>
      <c r="AE75" s="93"/>
      <c r="AF75" s="93"/>
      <c r="AG75" s="93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85"/>
      <c r="AW75" s="85"/>
      <c r="AX75" s="85"/>
      <c r="AY75" s="85"/>
      <c r="AZ75" s="85"/>
      <c r="BA75" s="85"/>
      <c r="BB75" s="85"/>
      <c r="BC75" s="85"/>
    </row>
    <row r="76" spans="1:55" s="90" customFormat="1" ht="12.95" customHeight="1">
      <c r="A76" s="91">
        <v>71</v>
      </c>
      <c r="B76" s="92" t="s">
        <v>42</v>
      </c>
      <c r="C76" s="93"/>
      <c r="D76" s="93"/>
      <c r="E76" s="93"/>
      <c r="F76" s="93"/>
      <c r="G76" s="93" t="s">
        <v>73</v>
      </c>
      <c r="H76" s="93" t="s">
        <v>74</v>
      </c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85"/>
      <c r="AW76" s="85"/>
      <c r="AX76" s="85"/>
      <c r="AY76" s="85"/>
      <c r="AZ76" s="85"/>
      <c r="BA76" s="85"/>
      <c r="BB76" s="85"/>
      <c r="BC76" s="85"/>
    </row>
    <row r="77" spans="1:55" s="90" customFormat="1" ht="12.95" customHeight="1">
      <c r="A77" s="91">
        <v>72</v>
      </c>
      <c r="B77" s="92" t="s">
        <v>142</v>
      </c>
      <c r="C77" s="93"/>
      <c r="D77" s="93"/>
      <c r="E77" s="93"/>
      <c r="F77" s="93"/>
      <c r="G77" s="93"/>
      <c r="H77" s="93" t="s">
        <v>73</v>
      </c>
      <c r="I77" s="93"/>
      <c r="J77" s="93"/>
      <c r="K77" s="93" t="s">
        <v>74</v>
      </c>
      <c r="L77" s="93"/>
      <c r="M77" s="93"/>
      <c r="N77" s="93"/>
      <c r="O77" s="93"/>
      <c r="P77" s="93" t="s">
        <v>73</v>
      </c>
      <c r="Q77" s="93"/>
      <c r="R77" s="93" t="s">
        <v>74</v>
      </c>
      <c r="S77" s="93"/>
      <c r="T77" s="93"/>
      <c r="U77" s="93"/>
      <c r="V77" s="93" t="s">
        <v>73</v>
      </c>
      <c r="W77" s="93"/>
      <c r="X77" s="93"/>
      <c r="Y77" s="93" t="s">
        <v>74</v>
      </c>
      <c r="Z77" s="93"/>
      <c r="AA77" s="93"/>
      <c r="AB77" s="93"/>
      <c r="AC77" s="93"/>
      <c r="AD77" s="93"/>
      <c r="AE77" s="93"/>
      <c r="AF77" s="93"/>
      <c r="AG77" s="93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  <c r="AU77" s="97"/>
      <c r="AV77" s="85"/>
      <c r="AW77" s="85"/>
      <c r="AX77" s="85"/>
      <c r="AY77" s="85"/>
      <c r="AZ77" s="85"/>
      <c r="BA77" s="85"/>
      <c r="BB77" s="85"/>
      <c r="BC77" s="85"/>
    </row>
    <row r="78" spans="1:55" s="90" customFormat="1" ht="12.95" customHeight="1">
      <c r="A78" s="91">
        <v>73</v>
      </c>
      <c r="B78" s="92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85"/>
      <c r="AW78" s="85"/>
      <c r="AX78" s="85"/>
      <c r="AY78" s="85"/>
      <c r="AZ78" s="85"/>
      <c r="BA78" s="85"/>
      <c r="BB78" s="85"/>
      <c r="BC78" s="85"/>
    </row>
    <row r="79" spans="1:55" s="90" customFormat="1" ht="12.95" customHeight="1">
      <c r="A79" s="91">
        <v>74</v>
      </c>
      <c r="B79" s="92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85"/>
      <c r="AW79" s="85"/>
      <c r="AX79" s="85"/>
      <c r="AY79" s="85"/>
      <c r="AZ79" s="85"/>
      <c r="BA79" s="85"/>
      <c r="BB79" s="85"/>
      <c r="BC79" s="85"/>
    </row>
    <row r="80" spans="1:55" s="90" customFormat="1" ht="12.95" customHeight="1">
      <c r="A80" s="91">
        <v>75</v>
      </c>
      <c r="B80" s="92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  <c r="AU80" s="97"/>
      <c r="AV80" s="85"/>
      <c r="AW80" s="85"/>
      <c r="AX80" s="85"/>
      <c r="AY80" s="85"/>
      <c r="AZ80" s="85"/>
      <c r="BA80" s="85"/>
      <c r="BB80" s="85"/>
      <c r="BC80" s="85"/>
    </row>
    <row r="81" spans="1:55" s="90" customFormat="1" ht="12.95" hidden="1" customHeight="1">
      <c r="A81" s="91">
        <v>76</v>
      </c>
      <c r="B81" s="92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85"/>
      <c r="AW81" s="85"/>
      <c r="AX81" s="85"/>
      <c r="AY81" s="85"/>
      <c r="AZ81" s="85"/>
      <c r="BA81" s="85"/>
      <c r="BB81" s="85"/>
      <c r="BC81" s="85"/>
    </row>
    <row r="82" spans="1:55" s="90" customFormat="1" ht="12.95" hidden="1" customHeight="1">
      <c r="A82" s="91">
        <v>77</v>
      </c>
      <c r="B82" s="92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85"/>
      <c r="AW82" s="85"/>
      <c r="AX82" s="85"/>
      <c r="AY82" s="85"/>
      <c r="AZ82" s="85"/>
      <c r="BA82" s="85"/>
      <c r="BB82" s="85"/>
      <c r="BC82" s="85"/>
    </row>
    <row r="83" spans="1:55" s="90" customFormat="1" ht="12.95" hidden="1" customHeight="1">
      <c r="A83" s="91">
        <v>78</v>
      </c>
      <c r="B83" s="92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85"/>
      <c r="AW83" s="85"/>
      <c r="AX83" s="85"/>
      <c r="AY83" s="85"/>
      <c r="AZ83" s="85"/>
      <c r="BA83" s="85"/>
      <c r="BB83" s="85"/>
      <c r="BC83" s="85"/>
    </row>
    <row r="84" spans="1:55" s="90" customFormat="1" ht="12.95" hidden="1" customHeight="1">
      <c r="A84" s="91">
        <v>79</v>
      </c>
      <c r="B84" s="92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85"/>
      <c r="AW84" s="85"/>
      <c r="AX84" s="85"/>
      <c r="AY84" s="85"/>
      <c r="AZ84" s="85"/>
      <c r="BA84" s="85"/>
      <c r="BB84" s="85"/>
      <c r="BC84" s="85"/>
    </row>
    <row r="85" spans="1:55" s="90" customFormat="1" ht="12.95" hidden="1" customHeight="1">
      <c r="A85" s="91">
        <v>80</v>
      </c>
      <c r="B85" s="92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85"/>
      <c r="AW85" s="85"/>
      <c r="AX85" s="85"/>
      <c r="AY85" s="85"/>
      <c r="AZ85" s="85"/>
      <c r="BA85" s="85"/>
      <c r="BB85" s="85"/>
      <c r="BC85" s="85"/>
    </row>
    <row r="86" spans="1:55" s="90" customFormat="1" ht="12.95" hidden="1" customHeight="1">
      <c r="A86" s="91">
        <v>81</v>
      </c>
      <c r="B86" s="92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85"/>
      <c r="AW86" s="85"/>
      <c r="AX86" s="85"/>
      <c r="AY86" s="85"/>
      <c r="AZ86" s="85"/>
      <c r="BA86" s="85"/>
      <c r="BB86" s="85"/>
      <c r="BC86" s="85"/>
    </row>
    <row r="87" spans="1:55" s="90" customFormat="1" ht="12.95" hidden="1" customHeight="1">
      <c r="A87" s="91">
        <v>82</v>
      </c>
      <c r="B87" s="92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85"/>
      <c r="AW87" s="85"/>
      <c r="AX87" s="85"/>
      <c r="AY87" s="85"/>
      <c r="AZ87" s="85"/>
      <c r="BA87" s="85"/>
      <c r="BB87" s="85"/>
      <c r="BC87" s="85"/>
    </row>
    <row r="88" spans="1:55" s="90" customFormat="1" ht="12.95" hidden="1" customHeight="1">
      <c r="A88" s="91">
        <v>83</v>
      </c>
      <c r="B88" s="92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  <c r="AU88" s="97"/>
      <c r="AV88" s="85"/>
      <c r="AW88" s="85"/>
      <c r="AX88" s="85"/>
      <c r="AY88" s="85"/>
      <c r="AZ88" s="85"/>
      <c r="BA88" s="85"/>
      <c r="BB88" s="85"/>
      <c r="BC88" s="85"/>
    </row>
    <row r="89" spans="1:55" s="90" customFormat="1" ht="12.95" hidden="1" customHeight="1">
      <c r="A89" s="91">
        <v>84</v>
      </c>
      <c r="B89" s="92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85"/>
      <c r="AW89" s="85"/>
      <c r="AX89" s="85"/>
      <c r="AY89" s="85"/>
      <c r="AZ89" s="85"/>
      <c r="BA89" s="85"/>
      <c r="BB89" s="85"/>
      <c r="BC89" s="85"/>
    </row>
    <row r="90" spans="1:55" s="90" customFormat="1" ht="12.95" hidden="1" customHeight="1">
      <c r="A90" s="91">
        <v>85</v>
      </c>
      <c r="B90" s="92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85"/>
      <c r="AW90" s="85"/>
      <c r="AX90" s="85"/>
      <c r="AY90" s="85"/>
      <c r="AZ90" s="85"/>
      <c r="BA90" s="85"/>
      <c r="BB90" s="85"/>
      <c r="BC90" s="85"/>
    </row>
    <row r="91" spans="1:55" s="90" customFormat="1" ht="12.95" hidden="1" customHeight="1">
      <c r="A91" s="91">
        <v>86</v>
      </c>
      <c r="B91" s="92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85"/>
      <c r="AW91" s="85"/>
      <c r="AX91" s="85"/>
      <c r="AY91" s="85"/>
      <c r="AZ91" s="85"/>
      <c r="BA91" s="85"/>
      <c r="BB91" s="85"/>
      <c r="BC91" s="85"/>
    </row>
    <row r="92" spans="1:55" s="90" customFormat="1" ht="12.95" hidden="1" customHeight="1">
      <c r="A92" s="91">
        <v>87</v>
      </c>
      <c r="B92" s="92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85"/>
      <c r="AW92" s="85"/>
      <c r="AX92" s="85"/>
      <c r="AY92" s="85"/>
      <c r="AZ92" s="85"/>
      <c r="BA92" s="85"/>
      <c r="BB92" s="85"/>
      <c r="BC92" s="85"/>
    </row>
    <row r="93" spans="1:55" s="90" customFormat="1" ht="12.95" hidden="1" customHeight="1">
      <c r="A93" s="91">
        <v>88</v>
      </c>
      <c r="B93" s="92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  <c r="AU93" s="97"/>
      <c r="AV93" s="85"/>
      <c r="AW93" s="85"/>
      <c r="AX93" s="85"/>
      <c r="AY93" s="85"/>
      <c r="AZ93" s="85"/>
      <c r="BA93" s="85"/>
      <c r="BB93" s="85"/>
      <c r="BC93" s="85"/>
    </row>
    <row r="94" spans="1:55" s="90" customFormat="1" ht="12.95" hidden="1" customHeight="1">
      <c r="A94" s="91">
        <v>89</v>
      </c>
      <c r="B94" s="92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  <c r="AU94" s="97"/>
      <c r="AV94" s="85"/>
      <c r="AW94" s="85"/>
      <c r="AX94" s="85"/>
      <c r="AY94" s="85"/>
      <c r="AZ94" s="85"/>
      <c r="BA94" s="85"/>
      <c r="BB94" s="85"/>
      <c r="BC94" s="85"/>
    </row>
    <row r="95" spans="1:55" s="90" customFormat="1" ht="12.95" hidden="1" customHeight="1">
      <c r="A95" s="91">
        <v>90</v>
      </c>
      <c r="B95" s="92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  <c r="AU95" s="97"/>
      <c r="AV95" s="85"/>
      <c r="AW95" s="85"/>
      <c r="AX95" s="85"/>
      <c r="AY95" s="85"/>
      <c r="AZ95" s="85"/>
      <c r="BA95" s="85"/>
      <c r="BB95" s="85"/>
      <c r="BC95" s="85"/>
    </row>
    <row r="96" spans="1:55" s="90" customFormat="1" ht="12.95" hidden="1" customHeight="1">
      <c r="A96" s="91">
        <v>91</v>
      </c>
      <c r="B96" s="92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  <c r="AU96" s="97"/>
      <c r="AV96" s="85"/>
      <c r="AW96" s="85"/>
      <c r="AX96" s="85"/>
      <c r="AY96" s="85"/>
      <c r="AZ96" s="85"/>
      <c r="BA96" s="85"/>
      <c r="BB96" s="85"/>
      <c r="BC96" s="85"/>
    </row>
    <row r="97" spans="1:55" s="90" customFormat="1" ht="12.95" hidden="1" customHeight="1">
      <c r="A97" s="91">
        <v>92</v>
      </c>
      <c r="B97" s="92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  <c r="AU97" s="97"/>
      <c r="AV97" s="85"/>
      <c r="AW97" s="85"/>
      <c r="AX97" s="85"/>
      <c r="AY97" s="85"/>
      <c r="AZ97" s="85"/>
      <c r="BA97" s="85"/>
      <c r="BB97" s="85"/>
      <c r="BC97" s="85"/>
    </row>
    <row r="98" spans="1:55" s="90" customFormat="1" ht="12.95" hidden="1" customHeight="1">
      <c r="A98" s="91">
        <v>93</v>
      </c>
      <c r="B98" s="92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85"/>
      <c r="AW98" s="85"/>
      <c r="AX98" s="85"/>
      <c r="AY98" s="85"/>
      <c r="AZ98" s="85"/>
      <c r="BA98" s="85"/>
      <c r="BB98" s="85"/>
      <c r="BC98" s="85"/>
    </row>
    <row r="99" spans="1:55" s="90" customFormat="1" ht="12.95" hidden="1" customHeight="1">
      <c r="A99" s="91">
        <v>94</v>
      </c>
      <c r="B99" s="92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  <c r="AU99" s="97"/>
      <c r="AV99" s="85"/>
      <c r="AW99" s="85"/>
      <c r="AX99" s="85"/>
      <c r="AY99" s="85"/>
      <c r="AZ99" s="85"/>
      <c r="BA99" s="85"/>
      <c r="BB99" s="85"/>
      <c r="BC99" s="85"/>
    </row>
    <row r="100" spans="1:55" s="90" customFormat="1" ht="12.95" hidden="1" customHeight="1">
      <c r="A100" s="91">
        <v>95</v>
      </c>
      <c r="B100" s="92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  <c r="AU100" s="97"/>
      <c r="AV100" s="85"/>
      <c r="AW100" s="85"/>
      <c r="AX100" s="85"/>
      <c r="AY100" s="85"/>
      <c r="AZ100" s="85"/>
      <c r="BA100" s="85"/>
      <c r="BB100" s="85"/>
      <c r="BC100" s="85"/>
    </row>
    <row r="101" spans="1:55" s="90" customFormat="1" ht="12.95" hidden="1" customHeight="1">
      <c r="A101" s="91">
        <v>96</v>
      </c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  <c r="AU101" s="97"/>
      <c r="AV101" s="85"/>
      <c r="AW101" s="85"/>
      <c r="AX101" s="85"/>
      <c r="AY101" s="85"/>
      <c r="AZ101" s="85"/>
      <c r="BA101" s="85"/>
      <c r="BB101" s="85"/>
      <c r="BC101" s="85"/>
    </row>
    <row r="102" spans="1:55" s="90" customFormat="1" ht="12.95" hidden="1" customHeight="1">
      <c r="A102" s="91">
        <v>97</v>
      </c>
      <c r="B102" s="92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  <c r="AU102" s="97"/>
      <c r="AV102" s="85"/>
      <c r="AW102" s="85"/>
      <c r="AX102" s="85"/>
      <c r="AY102" s="85"/>
      <c r="AZ102" s="85"/>
      <c r="BA102" s="85"/>
      <c r="BB102" s="85"/>
      <c r="BC102" s="85"/>
    </row>
    <row r="103" spans="1:55" s="90" customFormat="1" ht="12.95" hidden="1" customHeight="1">
      <c r="A103" s="91">
        <v>98</v>
      </c>
      <c r="B103" s="92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  <c r="AU103" s="97"/>
      <c r="AV103" s="85"/>
      <c r="AW103" s="85"/>
      <c r="AX103" s="85"/>
      <c r="AY103" s="85"/>
      <c r="AZ103" s="85"/>
      <c r="BA103" s="85"/>
      <c r="BB103" s="85"/>
      <c r="BC103" s="85"/>
    </row>
    <row r="104" spans="1:55" s="90" customFormat="1" ht="12.95" hidden="1" customHeight="1">
      <c r="A104" s="91">
        <v>99</v>
      </c>
      <c r="B104" s="92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  <c r="AU104" s="97"/>
      <c r="AV104" s="85"/>
      <c r="AW104" s="85"/>
      <c r="AX104" s="85"/>
      <c r="AY104" s="85"/>
      <c r="AZ104" s="85"/>
      <c r="BA104" s="85"/>
      <c r="BB104" s="85"/>
      <c r="BC104" s="85"/>
    </row>
    <row r="105" spans="1:55" s="90" customFormat="1" ht="12.95" hidden="1" customHeight="1">
      <c r="A105" s="91">
        <v>100</v>
      </c>
      <c r="B105" s="92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  <c r="AU105" s="97"/>
      <c r="AV105" s="85"/>
      <c r="AW105" s="85"/>
      <c r="AX105" s="85"/>
      <c r="AY105" s="85"/>
      <c r="AZ105" s="85"/>
      <c r="BA105" s="85"/>
      <c r="BB105" s="85"/>
      <c r="BC105" s="85"/>
    </row>
    <row r="106" spans="1:55" s="90" customFormat="1" ht="12.95" hidden="1" customHeight="1">
      <c r="A106" s="91">
        <v>101</v>
      </c>
      <c r="B106" s="92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  <c r="AU106" s="97"/>
      <c r="AV106" s="85"/>
      <c r="AW106" s="85"/>
      <c r="AX106" s="85"/>
      <c r="AY106" s="85"/>
      <c r="AZ106" s="85"/>
      <c r="BA106" s="85"/>
      <c r="BB106" s="85"/>
      <c r="BC106" s="85"/>
    </row>
    <row r="107" spans="1:55" s="90" customFormat="1" ht="12.95" hidden="1" customHeight="1">
      <c r="A107" s="91">
        <v>102</v>
      </c>
      <c r="B107" s="92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  <c r="AU107" s="97"/>
      <c r="AV107" s="85"/>
      <c r="AW107" s="85"/>
      <c r="AX107" s="85"/>
      <c r="AY107" s="85"/>
      <c r="AZ107" s="85"/>
      <c r="BA107" s="85"/>
      <c r="BB107" s="85"/>
      <c r="BC107" s="85"/>
    </row>
    <row r="108" spans="1:55" s="90" customFormat="1" ht="12.95" hidden="1" customHeight="1">
      <c r="A108" s="91">
        <v>103</v>
      </c>
      <c r="B108" s="92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7" t="s">
        <v>62</v>
      </c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  <c r="AU108" s="97"/>
      <c r="AV108" s="85"/>
      <c r="AW108" s="85"/>
      <c r="AX108" s="85"/>
      <c r="AY108" s="85"/>
      <c r="AZ108" s="85"/>
      <c r="BA108" s="85"/>
      <c r="BB108" s="85"/>
      <c r="BC108" s="85"/>
    </row>
    <row r="109" spans="1:55" s="90" customFormat="1" ht="12.95" hidden="1" customHeight="1">
      <c r="A109" s="91">
        <v>104</v>
      </c>
      <c r="B109" s="92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  <c r="AU109" s="97"/>
      <c r="AV109" s="85"/>
      <c r="AW109" s="85"/>
      <c r="AX109" s="85"/>
      <c r="AY109" s="85"/>
      <c r="AZ109" s="85"/>
      <c r="BA109" s="85"/>
      <c r="BB109" s="85"/>
      <c r="BC109" s="85"/>
    </row>
    <row r="110" spans="1:55" s="90" customFormat="1" ht="12.95" hidden="1" customHeight="1">
      <c r="A110" s="91">
        <v>105</v>
      </c>
      <c r="B110" s="92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  <c r="AU110" s="97"/>
      <c r="AV110" s="85"/>
      <c r="AW110" s="85"/>
      <c r="AX110" s="85"/>
      <c r="AY110" s="85"/>
      <c r="AZ110" s="85"/>
      <c r="BA110" s="85"/>
      <c r="BB110" s="85"/>
      <c r="BC110" s="85"/>
    </row>
    <row r="111" spans="1:55" s="90" customFormat="1" ht="12.95" hidden="1" customHeight="1">
      <c r="A111" s="91">
        <v>106</v>
      </c>
      <c r="B111" s="92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  <c r="AU111" s="97"/>
      <c r="AV111" s="85"/>
      <c r="AW111" s="85"/>
      <c r="AX111" s="85"/>
      <c r="AY111" s="85"/>
      <c r="AZ111" s="85"/>
      <c r="BA111" s="85"/>
      <c r="BB111" s="85"/>
      <c r="BC111" s="85"/>
    </row>
    <row r="112" spans="1:55" s="90" customFormat="1" ht="12.95" hidden="1" customHeight="1">
      <c r="A112" s="91">
        <v>107</v>
      </c>
      <c r="B112" s="92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  <c r="AU112" s="97"/>
      <c r="AV112" s="85"/>
      <c r="AW112" s="85"/>
      <c r="AX112" s="85"/>
      <c r="AY112" s="85"/>
      <c r="AZ112" s="85"/>
      <c r="BA112" s="85"/>
      <c r="BB112" s="85"/>
      <c r="BC112" s="85"/>
    </row>
    <row r="113" spans="1:55" s="90" customFormat="1" ht="12.95" hidden="1" customHeight="1">
      <c r="A113" s="91">
        <v>108</v>
      </c>
      <c r="B113" s="92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85"/>
      <c r="AW113" s="85"/>
      <c r="AX113" s="85"/>
      <c r="AY113" s="85"/>
      <c r="AZ113" s="85"/>
      <c r="BA113" s="85"/>
      <c r="BB113" s="85"/>
      <c r="BC113" s="85"/>
    </row>
    <row r="114" spans="1:55" s="90" customFormat="1" ht="12.95" hidden="1" customHeight="1">
      <c r="A114" s="91">
        <v>109</v>
      </c>
      <c r="B114" s="92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  <c r="AU114" s="97"/>
      <c r="AV114" s="85"/>
      <c r="AW114" s="85"/>
      <c r="AX114" s="85"/>
      <c r="AY114" s="85"/>
      <c r="AZ114" s="85"/>
      <c r="BA114" s="85"/>
      <c r="BB114" s="85"/>
      <c r="BC114" s="85"/>
    </row>
    <row r="115" spans="1:55" s="90" customFormat="1" ht="12.95" hidden="1" customHeight="1">
      <c r="A115" s="91">
        <v>110</v>
      </c>
      <c r="B115" s="92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  <c r="AU115" s="97"/>
      <c r="AV115" s="85"/>
      <c r="AW115" s="85"/>
      <c r="AX115" s="85"/>
      <c r="AY115" s="85"/>
      <c r="AZ115" s="85"/>
      <c r="BA115" s="85"/>
      <c r="BB115" s="85"/>
      <c r="BC115" s="85"/>
    </row>
    <row r="116" spans="1:55" s="90" customFormat="1" ht="12.95" hidden="1" customHeight="1">
      <c r="A116" s="91">
        <v>111</v>
      </c>
      <c r="B116" s="92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85"/>
      <c r="AW116" s="85"/>
      <c r="AX116" s="85"/>
      <c r="AY116" s="85"/>
      <c r="AZ116" s="85"/>
      <c r="BA116" s="85"/>
      <c r="BB116" s="85"/>
      <c r="BC116" s="85"/>
    </row>
    <row r="117" spans="1:55" s="90" customFormat="1" ht="12.95" hidden="1" customHeight="1">
      <c r="A117" s="91">
        <v>112</v>
      </c>
      <c r="B117" s="92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  <c r="AU117" s="97"/>
      <c r="AV117" s="85"/>
      <c r="AW117" s="85"/>
      <c r="AX117" s="85"/>
      <c r="AY117" s="85"/>
      <c r="AZ117" s="85"/>
      <c r="BA117" s="85"/>
      <c r="BB117" s="85"/>
      <c r="BC117" s="85"/>
    </row>
    <row r="118" spans="1:55" s="90" customFormat="1" ht="12.95" hidden="1" customHeight="1">
      <c r="A118" s="91">
        <v>113</v>
      </c>
      <c r="B118" s="92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  <c r="AU118" s="97"/>
      <c r="AV118" s="85"/>
      <c r="AW118" s="85"/>
      <c r="AX118" s="85"/>
      <c r="AY118" s="85"/>
      <c r="AZ118" s="85"/>
      <c r="BA118" s="85"/>
      <c r="BB118" s="85"/>
      <c r="BC118" s="85"/>
    </row>
    <row r="119" spans="1:55" s="90" customFormat="1" ht="12.95" hidden="1" customHeight="1">
      <c r="A119" s="91">
        <v>114</v>
      </c>
      <c r="B119" s="92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  <c r="AU119" s="97"/>
      <c r="AV119" s="85"/>
      <c r="AW119" s="85"/>
      <c r="AX119" s="85"/>
      <c r="AY119" s="85"/>
      <c r="AZ119" s="85"/>
      <c r="BA119" s="85"/>
      <c r="BB119" s="85"/>
      <c r="BC119" s="85"/>
    </row>
    <row r="120" spans="1:55" s="90" customFormat="1" ht="12.95" hidden="1" customHeight="1">
      <c r="A120" s="91">
        <v>115</v>
      </c>
      <c r="B120" s="92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  <c r="AU120" s="97"/>
      <c r="AV120" s="85"/>
      <c r="AW120" s="85"/>
      <c r="AX120" s="85"/>
      <c r="AY120" s="85"/>
      <c r="AZ120" s="85"/>
      <c r="BA120" s="85"/>
      <c r="BB120" s="85"/>
      <c r="BC120" s="85"/>
    </row>
    <row r="121" spans="1:55" s="90" customFormat="1" ht="12.95" hidden="1" customHeight="1">
      <c r="A121" s="91"/>
      <c r="B121" s="92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  <c r="AU121" s="97"/>
      <c r="AV121" s="85"/>
      <c r="AW121" s="85"/>
      <c r="AX121" s="85"/>
      <c r="AY121" s="85"/>
      <c r="AZ121" s="85"/>
      <c r="BA121" s="85"/>
      <c r="BB121" s="85"/>
      <c r="BC121" s="85"/>
    </row>
    <row r="122" spans="1:55" s="90" customFormat="1" ht="15" customHeight="1">
      <c r="A122" s="99"/>
      <c r="B122" s="100" t="s">
        <v>50</v>
      </c>
      <c r="C122" s="93">
        <f>COUNTA(C7:C121)</f>
        <v>0</v>
      </c>
      <c r="D122" s="93">
        <f>COUNTA(D7:D121)</f>
        <v>23</v>
      </c>
      <c r="E122" s="93">
        <f t="shared" ref="E122:AG122" si="0">COUNTA(E7:E121)</f>
        <v>22</v>
      </c>
      <c r="F122" s="93">
        <f t="shared" si="0"/>
        <v>24</v>
      </c>
      <c r="G122" s="93">
        <f t="shared" si="0"/>
        <v>18</v>
      </c>
      <c r="H122" s="93">
        <f t="shared" si="0"/>
        <v>22</v>
      </c>
      <c r="I122" s="93">
        <f t="shared" si="0"/>
        <v>16</v>
      </c>
      <c r="J122" s="93">
        <f t="shared" si="0"/>
        <v>0</v>
      </c>
      <c r="K122" s="93">
        <f t="shared" si="0"/>
        <v>15</v>
      </c>
      <c r="L122" s="93">
        <f t="shared" si="0"/>
        <v>16</v>
      </c>
      <c r="M122" s="93">
        <f t="shared" si="0"/>
        <v>13</v>
      </c>
      <c r="N122" s="93">
        <f t="shared" si="0"/>
        <v>10</v>
      </c>
      <c r="O122" s="93">
        <f t="shared" si="0"/>
        <v>11</v>
      </c>
      <c r="P122" s="93">
        <f t="shared" si="0"/>
        <v>11</v>
      </c>
      <c r="Q122" s="93">
        <f t="shared" si="0"/>
        <v>0</v>
      </c>
      <c r="R122" s="93">
        <f t="shared" si="0"/>
        <v>16</v>
      </c>
      <c r="S122" s="93">
        <f t="shared" si="0"/>
        <v>0</v>
      </c>
      <c r="T122" s="93">
        <f t="shared" si="0"/>
        <v>14</v>
      </c>
      <c r="U122" s="93">
        <f t="shared" si="0"/>
        <v>11</v>
      </c>
      <c r="V122" s="93">
        <f t="shared" si="0"/>
        <v>11</v>
      </c>
      <c r="W122" s="93">
        <f t="shared" si="0"/>
        <v>8</v>
      </c>
      <c r="X122" s="93">
        <f t="shared" si="0"/>
        <v>0</v>
      </c>
      <c r="Y122" s="93">
        <f t="shared" si="0"/>
        <v>19</v>
      </c>
      <c r="Z122" s="93">
        <f t="shared" si="0"/>
        <v>11</v>
      </c>
      <c r="AA122" s="93">
        <f t="shared" si="0"/>
        <v>21</v>
      </c>
      <c r="AB122" s="93">
        <f t="shared" si="0"/>
        <v>11</v>
      </c>
      <c r="AC122" s="93">
        <f t="shared" si="0"/>
        <v>15</v>
      </c>
      <c r="AD122" s="93">
        <f t="shared" si="0"/>
        <v>6</v>
      </c>
      <c r="AE122" s="93">
        <f t="shared" si="0"/>
        <v>0</v>
      </c>
      <c r="AF122" s="93">
        <f t="shared" si="0"/>
        <v>0</v>
      </c>
      <c r="AG122" s="93">
        <f t="shared" si="0"/>
        <v>0</v>
      </c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  <c r="AU122" s="97"/>
      <c r="AV122" s="85"/>
      <c r="AW122" s="85"/>
      <c r="AX122" s="85"/>
      <c r="AY122" s="85"/>
      <c r="AZ122" s="85"/>
      <c r="BA122" s="85"/>
      <c r="BB122" s="85"/>
      <c r="BC122" s="85"/>
    </row>
    <row r="123" spans="1:5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</row>
    <row r="124" spans="1:55">
      <c r="A124" s="101" t="s">
        <v>75</v>
      </c>
      <c r="B124" s="102" t="s">
        <v>143</v>
      </c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 t="s">
        <v>62</v>
      </c>
      <c r="X124" s="83"/>
      <c r="Y124" s="83"/>
      <c r="Z124" s="83" t="s">
        <v>62</v>
      </c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</row>
    <row r="125" spans="1:55">
      <c r="A125" s="101" t="s">
        <v>73</v>
      </c>
      <c r="B125" s="102" t="s">
        <v>144</v>
      </c>
      <c r="C125" s="83"/>
      <c r="D125" s="83"/>
      <c r="E125" s="83"/>
      <c r="F125" s="83"/>
      <c r="G125" s="83"/>
      <c r="H125" s="83"/>
      <c r="I125" s="83"/>
      <c r="J125" s="83"/>
      <c r="K125" s="83"/>
      <c r="L125" s="83" t="s">
        <v>62</v>
      </c>
      <c r="M125" s="83"/>
      <c r="N125" s="83"/>
      <c r="O125" s="83" t="s">
        <v>62</v>
      </c>
      <c r="P125" s="83"/>
      <c r="Q125" s="83" t="s">
        <v>62</v>
      </c>
      <c r="R125" s="83"/>
      <c r="S125" s="83"/>
      <c r="T125" s="83"/>
      <c r="U125" s="83"/>
      <c r="V125" s="83"/>
      <c r="W125" s="83"/>
      <c r="X125" s="83" t="s">
        <v>62</v>
      </c>
      <c r="Y125" s="83"/>
      <c r="Z125" s="83"/>
      <c r="AA125" s="83" t="s">
        <v>62</v>
      </c>
      <c r="AB125" s="83"/>
      <c r="AC125" s="83"/>
      <c r="AD125" s="83"/>
      <c r="AE125" s="83"/>
      <c r="AF125" s="83"/>
      <c r="AG125" s="83"/>
      <c r="AH125" s="83"/>
      <c r="AI125" s="83" t="s">
        <v>62</v>
      </c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</row>
    <row r="126" spans="1:55">
      <c r="A126" s="101" t="s">
        <v>74</v>
      </c>
      <c r="B126" s="102" t="s">
        <v>145</v>
      </c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 t="s">
        <v>62</v>
      </c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</row>
    <row r="127" spans="1:5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 t="s">
        <v>62</v>
      </c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 t="s">
        <v>62</v>
      </c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</row>
    <row r="128" spans="1:55" ht="15.75">
      <c r="A128" s="82" t="s">
        <v>60</v>
      </c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</row>
    <row r="129" spans="1:55">
      <c r="A129" s="84" t="s">
        <v>62</v>
      </c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</row>
    <row r="130" spans="1:55">
      <c r="A130" s="85"/>
      <c r="B130" s="86" t="s">
        <v>63</v>
      </c>
      <c r="C130" s="83" t="s">
        <v>64</v>
      </c>
      <c r="D130" s="87" t="s">
        <v>65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</row>
    <row r="131" spans="1:55">
      <c r="A131" s="86"/>
      <c r="B131" s="86" t="s">
        <v>66</v>
      </c>
      <c r="C131" s="83" t="s">
        <v>64</v>
      </c>
      <c r="D131" s="87" t="s">
        <v>67</v>
      </c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 t="s">
        <v>62</v>
      </c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</row>
    <row r="132" spans="1:55">
      <c r="A132" s="86"/>
      <c r="B132" s="86" t="s">
        <v>68</v>
      </c>
      <c r="C132" s="83" t="s">
        <v>64</v>
      </c>
      <c r="D132" s="87" t="s">
        <v>146</v>
      </c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</row>
    <row r="133" spans="1:55">
      <c r="A133" s="88" t="s">
        <v>70</v>
      </c>
      <c r="B133" s="88" t="s">
        <v>71</v>
      </c>
      <c r="C133" s="89">
        <v>1</v>
      </c>
      <c r="D133" s="88">
        <v>2</v>
      </c>
      <c r="E133" s="88">
        <v>3</v>
      </c>
      <c r="F133" s="88">
        <v>4</v>
      </c>
      <c r="G133" s="88">
        <v>5</v>
      </c>
      <c r="H133" s="88">
        <v>6</v>
      </c>
      <c r="I133" s="88">
        <v>7</v>
      </c>
      <c r="J133" s="89">
        <v>8</v>
      </c>
      <c r="K133" s="88">
        <v>9</v>
      </c>
      <c r="L133" s="88">
        <v>10</v>
      </c>
      <c r="M133" s="88">
        <v>11</v>
      </c>
      <c r="N133" s="88">
        <v>12</v>
      </c>
      <c r="O133" s="88">
        <v>13</v>
      </c>
      <c r="P133" s="88">
        <v>14</v>
      </c>
      <c r="Q133" s="89">
        <v>15</v>
      </c>
      <c r="R133" s="88">
        <v>16</v>
      </c>
      <c r="S133" s="89">
        <v>17</v>
      </c>
      <c r="T133" s="88">
        <v>18</v>
      </c>
      <c r="U133" s="88">
        <v>19</v>
      </c>
      <c r="V133" s="88">
        <v>20</v>
      </c>
      <c r="W133" s="88">
        <v>21</v>
      </c>
      <c r="X133" s="89">
        <v>22</v>
      </c>
      <c r="Y133" s="88">
        <v>23</v>
      </c>
      <c r="Z133" s="88">
        <v>24</v>
      </c>
      <c r="AA133" s="88">
        <v>25</v>
      </c>
      <c r="AB133" s="88">
        <v>26</v>
      </c>
      <c r="AC133" s="88">
        <v>27</v>
      </c>
      <c r="AD133" s="88">
        <v>28</v>
      </c>
      <c r="AE133" s="88">
        <v>29</v>
      </c>
      <c r="AF133" s="88"/>
      <c r="AG133" s="88">
        <v>30</v>
      </c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</row>
    <row r="134" spans="1:55">
      <c r="A134" s="91">
        <v>1</v>
      </c>
      <c r="B134" s="92" t="s">
        <v>147</v>
      </c>
      <c r="C134" s="93"/>
      <c r="D134" s="93" t="s">
        <v>148</v>
      </c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</row>
    <row r="135" spans="1:55">
      <c r="A135" s="91">
        <v>2</v>
      </c>
      <c r="B135" s="92" t="s">
        <v>149</v>
      </c>
      <c r="C135" s="93"/>
      <c r="D135" s="93"/>
      <c r="E135" s="93"/>
      <c r="F135" s="93" t="s">
        <v>75</v>
      </c>
      <c r="G135" s="93"/>
      <c r="H135" s="93"/>
      <c r="I135" s="93"/>
      <c r="J135" s="93"/>
      <c r="K135" s="93"/>
      <c r="L135" s="93"/>
      <c r="M135" s="93"/>
      <c r="N135" s="93"/>
      <c r="O135" s="93" t="s">
        <v>73</v>
      </c>
      <c r="P135" s="93"/>
      <c r="Q135" s="93"/>
      <c r="R135" s="93"/>
      <c r="S135" s="93"/>
      <c r="T135" s="93" t="s">
        <v>74</v>
      </c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</row>
    <row r="136" spans="1:55">
      <c r="A136" s="91">
        <v>3</v>
      </c>
      <c r="B136" s="92" t="s">
        <v>150</v>
      </c>
      <c r="C136" s="93"/>
      <c r="D136" s="93"/>
      <c r="E136" s="93"/>
      <c r="F136" s="93"/>
      <c r="G136" s="93"/>
      <c r="H136" s="93"/>
      <c r="I136" s="93"/>
      <c r="J136" s="93"/>
      <c r="K136" s="93" t="s">
        <v>74</v>
      </c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83"/>
      <c r="AI136" s="83" t="s">
        <v>62</v>
      </c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</row>
    <row r="137" spans="1:55">
      <c r="A137" s="91">
        <v>4</v>
      </c>
      <c r="B137" s="92" t="s">
        <v>151</v>
      </c>
      <c r="C137" s="93"/>
      <c r="D137" s="93" t="s">
        <v>73</v>
      </c>
      <c r="E137" s="93" t="s">
        <v>74</v>
      </c>
      <c r="F137" s="93"/>
      <c r="G137" s="93"/>
      <c r="H137" s="93"/>
      <c r="I137" s="93" t="s">
        <v>74</v>
      </c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 t="s">
        <v>75</v>
      </c>
      <c r="AA137" s="93"/>
      <c r="AB137" s="93"/>
      <c r="AC137" s="93"/>
      <c r="AD137" s="93"/>
      <c r="AE137" s="93"/>
      <c r="AF137" s="93"/>
      <c r="AG137" s="9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</row>
    <row r="138" spans="1:55">
      <c r="A138" s="91">
        <v>5</v>
      </c>
      <c r="B138" s="92" t="s">
        <v>152</v>
      </c>
      <c r="C138" s="93"/>
      <c r="D138" s="93" t="s">
        <v>74</v>
      </c>
      <c r="E138" s="93"/>
      <c r="F138" s="93"/>
      <c r="G138" s="93"/>
      <c r="H138" s="93"/>
      <c r="I138" s="93"/>
      <c r="J138" s="93"/>
      <c r="K138" s="93"/>
      <c r="L138" s="93" t="s">
        <v>74</v>
      </c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</row>
    <row r="139" spans="1:55">
      <c r="A139" s="91">
        <v>6</v>
      </c>
      <c r="B139" s="92" t="s">
        <v>153</v>
      </c>
      <c r="C139" s="93"/>
      <c r="D139" s="93"/>
      <c r="E139" s="93"/>
      <c r="F139" s="93"/>
      <c r="G139" s="93"/>
      <c r="H139" s="93"/>
      <c r="I139" s="93"/>
      <c r="J139" s="93"/>
      <c r="K139" s="93"/>
      <c r="L139" s="93" t="s">
        <v>74</v>
      </c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 t="s">
        <v>74</v>
      </c>
      <c r="Z139" s="93"/>
      <c r="AA139" s="93"/>
      <c r="AB139" s="93"/>
      <c r="AC139" s="93"/>
      <c r="AD139" s="93"/>
      <c r="AE139" s="93"/>
      <c r="AF139" s="93"/>
      <c r="AG139" s="9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</row>
    <row r="140" spans="1:55">
      <c r="A140" s="91">
        <v>7</v>
      </c>
      <c r="B140" s="92" t="s">
        <v>154</v>
      </c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 t="s">
        <v>74</v>
      </c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</row>
    <row r="141" spans="1:55">
      <c r="A141" s="91">
        <v>8</v>
      </c>
      <c r="B141" s="92" t="s">
        <v>155</v>
      </c>
      <c r="C141" s="93"/>
      <c r="D141" s="93"/>
      <c r="E141" s="93"/>
      <c r="F141" s="93"/>
      <c r="G141" s="93"/>
      <c r="H141" s="93"/>
      <c r="I141" s="93"/>
      <c r="J141" s="93"/>
      <c r="K141" s="93" t="s">
        <v>74</v>
      </c>
      <c r="L141" s="93"/>
      <c r="M141" s="93"/>
      <c r="N141" s="93" t="s">
        <v>74</v>
      </c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</row>
    <row r="142" spans="1:55">
      <c r="A142" s="91">
        <v>9</v>
      </c>
      <c r="B142" s="92" t="s">
        <v>156</v>
      </c>
      <c r="C142" s="93"/>
      <c r="D142" s="93"/>
      <c r="E142" s="93"/>
      <c r="F142" s="93"/>
      <c r="G142" s="93" t="s">
        <v>74</v>
      </c>
      <c r="H142" s="93"/>
      <c r="I142" s="93" t="s">
        <v>74</v>
      </c>
      <c r="J142" s="93"/>
      <c r="K142" s="93" t="s">
        <v>74</v>
      </c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 t="s">
        <v>74</v>
      </c>
      <c r="Z142" s="93"/>
      <c r="AA142" s="93"/>
      <c r="AB142" s="93"/>
      <c r="AC142" s="93"/>
      <c r="AD142" s="93"/>
      <c r="AE142" s="93"/>
      <c r="AF142" s="93"/>
      <c r="AG142" s="93"/>
      <c r="AH142" s="83"/>
      <c r="AI142" s="83"/>
      <c r="AJ142" s="83"/>
      <c r="AK142" s="83"/>
      <c r="AL142" s="83"/>
      <c r="AM142" s="83"/>
      <c r="AN142" s="83" t="s">
        <v>62</v>
      </c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</row>
    <row r="143" spans="1:55">
      <c r="A143" s="91">
        <v>10</v>
      </c>
      <c r="B143" s="92" t="s">
        <v>157</v>
      </c>
      <c r="C143" s="93"/>
      <c r="D143" s="93"/>
      <c r="E143" s="93"/>
      <c r="F143" s="93"/>
      <c r="G143" s="93"/>
      <c r="H143" s="93"/>
      <c r="I143" s="93" t="s">
        <v>73</v>
      </c>
      <c r="J143" s="93"/>
      <c r="K143" s="93" t="s">
        <v>74</v>
      </c>
      <c r="L143" s="93" t="s">
        <v>74</v>
      </c>
      <c r="M143" s="93"/>
      <c r="N143" s="93"/>
      <c r="O143" s="93"/>
      <c r="P143" s="93"/>
      <c r="Q143" s="93"/>
      <c r="R143" s="93"/>
      <c r="S143" s="93"/>
      <c r="T143" s="93"/>
      <c r="U143" s="93"/>
      <c r="V143" s="93" t="s">
        <v>74</v>
      </c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</row>
    <row r="144" spans="1:55">
      <c r="A144" s="91">
        <v>11</v>
      </c>
      <c r="B144" s="92" t="s">
        <v>158</v>
      </c>
      <c r="C144" s="93"/>
      <c r="D144" s="93" t="s">
        <v>85</v>
      </c>
      <c r="E144" s="93" t="s">
        <v>74</v>
      </c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</row>
    <row r="145" spans="1:55">
      <c r="A145" s="91">
        <v>12</v>
      </c>
      <c r="B145" s="92" t="s">
        <v>159</v>
      </c>
      <c r="C145" s="93"/>
      <c r="D145" s="93" t="s">
        <v>75</v>
      </c>
      <c r="E145" s="93"/>
      <c r="F145" s="93"/>
      <c r="G145" s="93"/>
      <c r="H145" s="93"/>
      <c r="I145" s="93"/>
      <c r="J145" s="93"/>
      <c r="K145" s="93" t="s">
        <v>75</v>
      </c>
      <c r="L145" s="93"/>
      <c r="M145" s="93" t="s">
        <v>74</v>
      </c>
      <c r="N145" s="93"/>
      <c r="O145" s="93"/>
      <c r="P145" s="93"/>
      <c r="Q145" s="93"/>
      <c r="R145" s="93"/>
      <c r="S145" s="93"/>
      <c r="T145" s="93" t="s">
        <v>74</v>
      </c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</row>
    <row r="146" spans="1:55">
      <c r="A146" s="91">
        <v>13</v>
      </c>
      <c r="B146" s="92" t="s">
        <v>160</v>
      </c>
      <c r="C146" s="93"/>
      <c r="D146" s="93"/>
      <c r="E146" s="93"/>
      <c r="F146" s="93"/>
      <c r="G146" s="93"/>
      <c r="H146" s="93" t="s">
        <v>74</v>
      </c>
      <c r="I146" s="93"/>
      <c r="J146" s="93"/>
      <c r="K146" s="93"/>
      <c r="L146" s="93"/>
      <c r="M146" s="93"/>
      <c r="N146" s="93"/>
      <c r="O146" s="93" t="s">
        <v>74</v>
      </c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 t="s">
        <v>74</v>
      </c>
      <c r="AA146" s="93"/>
      <c r="AB146" s="93"/>
      <c r="AC146" s="93"/>
      <c r="AD146" s="93" t="s">
        <v>75</v>
      </c>
      <c r="AE146" s="93"/>
      <c r="AF146" s="93"/>
      <c r="AG146" s="9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</row>
    <row r="147" spans="1:55">
      <c r="A147" s="91">
        <v>14</v>
      </c>
      <c r="B147" s="92" t="s">
        <v>161</v>
      </c>
      <c r="C147" s="93"/>
      <c r="D147" s="93"/>
      <c r="E147" s="93" t="s">
        <v>73</v>
      </c>
      <c r="F147" s="93" t="s">
        <v>74</v>
      </c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</row>
    <row r="148" spans="1:55">
      <c r="A148" s="91">
        <v>15</v>
      </c>
      <c r="B148" s="92" t="s">
        <v>162</v>
      </c>
      <c r="C148" s="93"/>
      <c r="D148" s="93"/>
      <c r="E148" s="93"/>
      <c r="F148" s="93"/>
      <c r="G148" s="93"/>
      <c r="H148" s="93"/>
      <c r="I148" s="93" t="s">
        <v>74</v>
      </c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</row>
    <row r="149" spans="1:55">
      <c r="A149" s="91">
        <v>16</v>
      </c>
      <c r="B149" s="92" t="s">
        <v>163</v>
      </c>
      <c r="C149" s="93"/>
      <c r="D149" s="93"/>
      <c r="E149" s="93"/>
      <c r="F149" s="93"/>
      <c r="G149" s="93" t="s">
        <v>74</v>
      </c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 t="s">
        <v>74</v>
      </c>
      <c r="S149" s="93"/>
      <c r="T149" s="93"/>
      <c r="U149" s="93"/>
      <c r="V149" s="93"/>
      <c r="W149" s="93" t="s">
        <v>74</v>
      </c>
      <c r="X149" s="93"/>
      <c r="Y149" s="93"/>
      <c r="Z149" s="93"/>
      <c r="AA149" s="93" t="s">
        <v>75</v>
      </c>
      <c r="AB149" s="93"/>
      <c r="AC149" s="93"/>
      <c r="AD149" s="93"/>
      <c r="AE149" s="93"/>
      <c r="AF149" s="93"/>
      <c r="AG149" s="9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</row>
    <row r="150" spans="1:55">
      <c r="A150" s="91">
        <v>17</v>
      </c>
      <c r="B150" s="92" t="s">
        <v>164</v>
      </c>
      <c r="C150" s="93"/>
      <c r="D150" s="93"/>
      <c r="E150" s="93"/>
      <c r="F150" s="93"/>
      <c r="G150" s="93"/>
      <c r="H150" s="93"/>
      <c r="I150" s="93"/>
      <c r="J150" s="93" t="s">
        <v>73</v>
      </c>
      <c r="K150" s="93" t="s">
        <v>74</v>
      </c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 t="s">
        <v>73</v>
      </c>
      <c r="AC150" s="93"/>
      <c r="AD150" s="93"/>
      <c r="AE150" s="93"/>
      <c r="AF150" s="93"/>
      <c r="AG150" s="9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</row>
    <row r="151" spans="1:55">
      <c r="A151" s="91">
        <v>18</v>
      </c>
      <c r="B151" s="92" t="s">
        <v>165</v>
      </c>
      <c r="C151" s="93"/>
      <c r="D151" s="93"/>
      <c r="E151" s="93" t="s">
        <v>75</v>
      </c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 t="s">
        <v>74</v>
      </c>
      <c r="S151" s="93"/>
      <c r="T151" s="93"/>
      <c r="U151" s="93" t="s">
        <v>74</v>
      </c>
      <c r="V151" s="93"/>
      <c r="W151" s="93"/>
      <c r="X151" s="93"/>
      <c r="Y151" s="93"/>
      <c r="Z151" s="93" t="s">
        <v>74</v>
      </c>
      <c r="AA151" s="93"/>
      <c r="AB151" s="93"/>
      <c r="AC151" s="93"/>
      <c r="AD151" s="93"/>
      <c r="AE151" s="93"/>
      <c r="AF151" s="93"/>
      <c r="AG151" s="9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</row>
    <row r="152" spans="1:55">
      <c r="A152" s="91">
        <v>19</v>
      </c>
      <c r="B152" s="63" t="s">
        <v>166</v>
      </c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 t="s">
        <v>74</v>
      </c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</row>
    <row r="153" spans="1:55">
      <c r="A153" s="91">
        <v>20</v>
      </c>
      <c r="B153" s="63" t="s">
        <v>167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 t="s">
        <v>74</v>
      </c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</row>
    <row r="154" spans="1:55">
      <c r="A154" s="91">
        <v>21</v>
      </c>
      <c r="B154" s="63" t="s">
        <v>168</v>
      </c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 t="s">
        <v>74</v>
      </c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 t="s">
        <v>75</v>
      </c>
      <c r="AB154" s="93"/>
      <c r="AC154" s="93"/>
      <c r="AD154" s="93"/>
      <c r="AE154" s="93"/>
      <c r="AF154" s="93"/>
      <c r="AG154" s="9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</row>
    <row r="155" spans="1:55">
      <c r="A155" s="91">
        <v>22</v>
      </c>
      <c r="B155" s="63" t="s">
        <v>169</v>
      </c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 t="s">
        <v>75</v>
      </c>
      <c r="P155" s="93"/>
      <c r="Q155" s="93"/>
      <c r="R155" s="93"/>
      <c r="S155" s="93"/>
      <c r="T155" s="93"/>
      <c r="U155" s="93" t="s">
        <v>75</v>
      </c>
      <c r="V155" s="93"/>
      <c r="W155" s="93"/>
      <c r="X155" s="93"/>
      <c r="Y155" s="93"/>
      <c r="Z155" s="93"/>
      <c r="AA155" s="93" t="s">
        <v>73</v>
      </c>
      <c r="AB155" s="93" t="s">
        <v>74</v>
      </c>
      <c r="AC155" s="93"/>
      <c r="AD155" s="93"/>
      <c r="AE155" s="93"/>
      <c r="AF155" s="93"/>
      <c r="AG155" s="9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</row>
    <row r="156" spans="1:55">
      <c r="A156" s="91">
        <v>23</v>
      </c>
      <c r="B156" s="63" t="s">
        <v>170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 t="s">
        <v>73</v>
      </c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 t="s">
        <v>73</v>
      </c>
      <c r="AB156" s="93"/>
      <c r="AC156" s="93"/>
      <c r="AD156" s="93"/>
      <c r="AE156" s="93"/>
      <c r="AF156" s="93"/>
      <c r="AG156" s="9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</row>
    <row r="157" spans="1:55">
      <c r="A157" s="91">
        <v>24</v>
      </c>
      <c r="B157" s="63" t="s">
        <v>171</v>
      </c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 t="s">
        <v>73</v>
      </c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</row>
    <row r="158" spans="1:55">
      <c r="A158" s="91">
        <v>25</v>
      </c>
      <c r="B158" s="63" t="s">
        <v>172</v>
      </c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 t="s">
        <v>74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</row>
    <row r="159" spans="1:55">
      <c r="A159" s="91">
        <v>26</v>
      </c>
      <c r="B159" s="63" t="s">
        <v>173</v>
      </c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 t="s">
        <v>74</v>
      </c>
      <c r="S159" s="93"/>
      <c r="T159" s="93"/>
      <c r="U159" s="93"/>
      <c r="V159" s="93"/>
      <c r="W159" s="93" t="s">
        <v>73</v>
      </c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</row>
    <row r="160" spans="1:55">
      <c r="A160" s="91">
        <v>27</v>
      </c>
      <c r="B160" s="63" t="s">
        <v>174</v>
      </c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 t="s">
        <v>74</v>
      </c>
      <c r="S160" s="93"/>
      <c r="T160" s="93"/>
      <c r="U160" s="93"/>
      <c r="V160" s="93"/>
      <c r="W160" s="93"/>
      <c r="X160" s="93"/>
      <c r="Y160" s="93" t="s">
        <v>75</v>
      </c>
      <c r="Z160" s="93"/>
      <c r="AA160" s="93"/>
      <c r="AB160" s="93"/>
      <c r="AC160" s="93"/>
      <c r="AD160" s="93"/>
      <c r="AE160" s="93"/>
      <c r="AF160" s="93"/>
      <c r="AG160" s="9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</row>
    <row r="161" spans="1:55">
      <c r="A161" s="91">
        <v>28</v>
      </c>
      <c r="B161" s="63" t="s">
        <v>175</v>
      </c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 t="s">
        <v>62</v>
      </c>
      <c r="R161" s="93" t="s">
        <v>73</v>
      </c>
      <c r="S161" s="93"/>
      <c r="T161" s="93"/>
      <c r="U161" s="93"/>
      <c r="V161" s="93"/>
      <c r="W161" s="93"/>
      <c r="X161" s="93"/>
      <c r="Y161" s="93" t="s">
        <v>74</v>
      </c>
      <c r="Z161" s="93"/>
      <c r="AA161" s="93"/>
      <c r="AB161" s="93"/>
      <c r="AC161" s="93"/>
      <c r="AD161" s="93"/>
      <c r="AE161" s="93"/>
      <c r="AF161" s="93"/>
      <c r="AG161" s="9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</row>
    <row r="162" spans="1:55">
      <c r="A162" s="91">
        <v>29</v>
      </c>
      <c r="B162" s="63" t="s">
        <v>176</v>
      </c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 t="s">
        <v>73</v>
      </c>
      <c r="S162" s="93"/>
      <c r="T162" s="93"/>
      <c r="U162" s="93"/>
      <c r="V162" s="93"/>
      <c r="W162" s="93"/>
      <c r="X162" s="93"/>
      <c r="Y162" s="93" t="s">
        <v>73</v>
      </c>
      <c r="Z162" s="93" t="s">
        <v>74</v>
      </c>
      <c r="AA162" s="93"/>
      <c r="AB162" s="93"/>
      <c r="AC162" s="93"/>
      <c r="AD162" s="93"/>
      <c r="AE162" s="93"/>
      <c r="AF162" s="93"/>
      <c r="AG162" s="9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</row>
    <row r="163" spans="1:55">
      <c r="A163" s="91">
        <v>30</v>
      </c>
      <c r="B163" s="63" t="s">
        <v>177</v>
      </c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 t="s">
        <v>75</v>
      </c>
      <c r="S163" s="93"/>
      <c r="T163" s="93"/>
      <c r="U163" s="93"/>
      <c r="V163" s="93"/>
      <c r="W163" s="93"/>
      <c r="X163" s="93"/>
      <c r="Y163" s="93" t="s">
        <v>75</v>
      </c>
      <c r="Z163" s="93"/>
      <c r="AA163" s="93"/>
      <c r="AB163" s="93"/>
      <c r="AC163" s="93"/>
      <c r="AD163" s="93"/>
      <c r="AE163" s="93"/>
      <c r="AF163" s="93"/>
      <c r="AG163" s="9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</row>
    <row r="164" spans="1:55">
      <c r="A164" s="91">
        <v>31</v>
      </c>
      <c r="B164" s="63" t="s">
        <v>178</v>
      </c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 t="s">
        <v>73</v>
      </c>
      <c r="U164" s="93" t="s">
        <v>74</v>
      </c>
      <c r="V164" s="93"/>
      <c r="W164" s="93"/>
      <c r="X164" s="93"/>
      <c r="Y164" s="93"/>
      <c r="Z164" s="93"/>
      <c r="AA164" s="93" t="s">
        <v>75</v>
      </c>
      <c r="AB164" s="93"/>
      <c r="AC164" s="93"/>
      <c r="AD164" s="93"/>
      <c r="AE164" s="93"/>
      <c r="AF164" s="93"/>
      <c r="AG164" s="9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</row>
    <row r="165" spans="1:55">
      <c r="A165" s="91">
        <v>32</v>
      </c>
      <c r="B165" s="63" t="s">
        <v>179</v>
      </c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 t="s">
        <v>73</v>
      </c>
      <c r="V165" s="93"/>
      <c r="W165" s="93"/>
      <c r="X165" s="93"/>
      <c r="Y165" s="93"/>
      <c r="Z165" s="93" t="s">
        <v>74</v>
      </c>
      <c r="AA165" s="93"/>
      <c r="AB165" s="93"/>
      <c r="AC165" s="93"/>
      <c r="AD165" s="93" t="s">
        <v>73</v>
      </c>
      <c r="AE165" s="93"/>
      <c r="AF165" s="93"/>
      <c r="AG165" s="9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</row>
    <row r="166" spans="1:55">
      <c r="A166" s="91">
        <v>33</v>
      </c>
      <c r="B166" s="63" t="s">
        <v>180</v>
      </c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 t="s">
        <v>73</v>
      </c>
      <c r="V166" s="93"/>
      <c r="W166" s="93"/>
      <c r="X166" s="93"/>
      <c r="Y166" s="93"/>
      <c r="Z166" s="93"/>
      <c r="AA166" s="93" t="s">
        <v>73</v>
      </c>
      <c r="AB166" s="93"/>
      <c r="AC166" s="93"/>
      <c r="AD166" s="93"/>
      <c r="AE166" s="93"/>
      <c r="AF166" s="93"/>
      <c r="AG166" s="9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</row>
    <row r="167" spans="1:55">
      <c r="A167" s="91">
        <v>34</v>
      </c>
      <c r="B167" s="63" t="s">
        <v>181</v>
      </c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 t="s">
        <v>73</v>
      </c>
      <c r="V167" s="93"/>
      <c r="W167" s="93"/>
      <c r="X167" s="93"/>
      <c r="Y167" s="93"/>
      <c r="Z167" s="93" t="s">
        <v>74</v>
      </c>
      <c r="AA167" s="93"/>
      <c r="AB167" s="93"/>
      <c r="AC167" s="93"/>
      <c r="AD167" s="93"/>
      <c r="AE167" s="93"/>
      <c r="AF167" s="93"/>
      <c r="AG167" s="9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</row>
    <row r="168" spans="1:55">
      <c r="A168" s="91">
        <v>35</v>
      </c>
      <c r="B168" s="63" t="s">
        <v>182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 t="s">
        <v>73</v>
      </c>
      <c r="V168" s="93" t="s">
        <v>74</v>
      </c>
      <c r="W168" s="93"/>
      <c r="X168" s="93"/>
      <c r="Y168" s="93"/>
      <c r="Z168" s="93"/>
      <c r="AA168" s="93" t="s">
        <v>74</v>
      </c>
      <c r="AB168" s="93"/>
      <c r="AC168" s="93"/>
      <c r="AD168" s="93"/>
      <c r="AE168" s="93"/>
      <c r="AF168" s="93"/>
      <c r="AG168" s="9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</row>
    <row r="169" spans="1:55">
      <c r="A169" s="91">
        <v>36</v>
      </c>
      <c r="B169" s="63" t="s">
        <v>183</v>
      </c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 t="s">
        <v>73</v>
      </c>
      <c r="V169" s="93" t="s">
        <v>74</v>
      </c>
      <c r="W169" s="93"/>
      <c r="X169" s="93"/>
      <c r="Y169" s="93"/>
      <c r="Z169" s="93"/>
      <c r="AA169" s="93" t="s">
        <v>73</v>
      </c>
      <c r="AB169" s="93"/>
      <c r="AC169" s="93"/>
      <c r="AD169" s="93"/>
      <c r="AE169" s="93"/>
      <c r="AF169" s="93"/>
      <c r="AG169" s="9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</row>
    <row r="170" spans="1:55">
      <c r="A170" s="91">
        <v>37</v>
      </c>
      <c r="B170" s="63" t="s">
        <v>184</v>
      </c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 t="s">
        <v>73</v>
      </c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</row>
    <row r="171" spans="1:55">
      <c r="A171" s="91">
        <v>38</v>
      </c>
      <c r="B171" s="63" t="s">
        <v>185</v>
      </c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 t="s">
        <v>73</v>
      </c>
      <c r="V171" s="93" t="s">
        <v>74</v>
      </c>
      <c r="W171" s="93"/>
      <c r="X171" s="93"/>
      <c r="Y171" s="93"/>
      <c r="Z171" s="93"/>
      <c r="AA171" s="93" t="s">
        <v>73</v>
      </c>
      <c r="AB171" s="93" t="s">
        <v>74</v>
      </c>
      <c r="AC171" s="93"/>
      <c r="AD171" s="93"/>
      <c r="AE171" s="93"/>
      <c r="AF171" s="93"/>
      <c r="AG171" s="9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</row>
    <row r="172" spans="1:55">
      <c r="A172" s="91">
        <v>39</v>
      </c>
      <c r="B172" s="63" t="s">
        <v>186</v>
      </c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 t="s">
        <v>74</v>
      </c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</row>
    <row r="173" spans="1:55">
      <c r="A173" s="91">
        <v>40</v>
      </c>
      <c r="B173" s="63" t="s">
        <v>187</v>
      </c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 t="s">
        <v>73</v>
      </c>
      <c r="Z173" s="93"/>
      <c r="AA173" s="93"/>
      <c r="AB173" s="93"/>
      <c r="AC173" s="93"/>
      <c r="AD173" s="93"/>
      <c r="AE173" s="93"/>
      <c r="AF173" s="93"/>
      <c r="AG173" s="9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</row>
    <row r="174" spans="1:55">
      <c r="A174" s="91">
        <v>41</v>
      </c>
      <c r="B174" s="63" t="s">
        <v>188</v>
      </c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 t="s">
        <v>73</v>
      </c>
      <c r="AA174" s="93"/>
      <c r="AB174" s="93"/>
      <c r="AC174" s="93" t="s">
        <v>75</v>
      </c>
      <c r="AD174" s="93"/>
      <c r="AE174" s="93"/>
      <c r="AF174" s="93"/>
      <c r="AG174" s="9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</row>
    <row r="175" spans="1:55">
      <c r="A175" s="91">
        <v>42</v>
      </c>
      <c r="B175" s="63" t="s">
        <v>189</v>
      </c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 t="s">
        <v>73</v>
      </c>
      <c r="AB175" s="93"/>
      <c r="AC175" s="93"/>
      <c r="AD175" s="93" t="s">
        <v>74</v>
      </c>
      <c r="AE175" s="93"/>
      <c r="AF175" s="93"/>
      <c r="AG175" s="9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</row>
    <row r="176" spans="1:55">
      <c r="A176" s="91">
        <v>43</v>
      </c>
      <c r="B176" s="63" t="s">
        <v>190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 t="s">
        <v>73</v>
      </c>
      <c r="AB176" s="93"/>
      <c r="AC176" s="93"/>
      <c r="AD176" s="93"/>
      <c r="AE176" s="93"/>
      <c r="AF176" s="93"/>
      <c r="AG176" s="9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</row>
    <row r="177" spans="1:55">
      <c r="A177" s="91">
        <v>44</v>
      </c>
      <c r="B177" s="63" t="s">
        <v>191</v>
      </c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 t="s">
        <v>73</v>
      </c>
      <c r="AB177" s="93"/>
      <c r="AC177" s="93"/>
      <c r="AD177" s="93"/>
      <c r="AE177" s="93"/>
      <c r="AF177" s="93"/>
      <c r="AG177" s="9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</row>
    <row r="178" spans="1:55">
      <c r="A178" s="91">
        <v>45</v>
      </c>
      <c r="B178" s="63" t="s">
        <v>192</v>
      </c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 t="s">
        <v>73</v>
      </c>
      <c r="AC178" s="93"/>
      <c r="AD178" s="93"/>
      <c r="AE178" s="93"/>
      <c r="AF178" s="93"/>
      <c r="AG178" s="9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</row>
    <row r="179" spans="1:55" hidden="1">
      <c r="A179" s="91">
        <v>46</v>
      </c>
      <c r="B179" s="92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</row>
    <row r="180" spans="1:55" hidden="1">
      <c r="A180" s="91">
        <v>47</v>
      </c>
      <c r="B180" s="92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</row>
    <row r="181" spans="1:55" hidden="1">
      <c r="A181" s="91">
        <v>48</v>
      </c>
      <c r="B181" s="92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</row>
    <row r="182" spans="1:55" hidden="1">
      <c r="A182" s="91">
        <v>49</v>
      </c>
      <c r="B182" s="92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</row>
    <row r="183" spans="1:55" hidden="1">
      <c r="A183" s="91">
        <v>50</v>
      </c>
      <c r="B183" s="92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</row>
    <row r="184" spans="1:55" hidden="1">
      <c r="A184" s="91">
        <v>51</v>
      </c>
      <c r="B184" s="92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</row>
    <row r="185" spans="1:55" hidden="1">
      <c r="A185" s="91">
        <v>52</v>
      </c>
      <c r="B185" s="92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</row>
    <row r="186" spans="1:55" hidden="1">
      <c r="A186" s="91">
        <v>53</v>
      </c>
      <c r="B186" s="92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</row>
    <row r="187" spans="1:55" hidden="1">
      <c r="A187" s="91">
        <v>54</v>
      </c>
      <c r="B187" s="92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</row>
    <row r="188" spans="1:55" hidden="1">
      <c r="A188" s="91">
        <v>55</v>
      </c>
      <c r="B188" s="92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</row>
    <row r="189" spans="1:55" hidden="1">
      <c r="A189" s="91">
        <v>56</v>
      </c>
      <c r="B189" s="92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</row>
    <row r="190" spans="1:55" hidden="1">
      <c r="A190" s="91">
        <v>57</v>
      </c>
      <c r="B190" s="92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</row>
    <row r="191" spans="1:55" hidden="1">
      <c r="A191" s="91">
        <v>58</v>
      </c>
      <c r="B191" s="92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</row>
    <row r="192" spans="1:55" hidden="1">
      <c r="A192" s="91">
        <v>59</v>
      </c>
      <c r="B192" s="92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</row>
    <row r="193" spans="1:55" hidden="1">
      <c r="A193" s="91">
        <v>60</v>
      </c>
      <c r="B193" s="92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</row>
    <row r="194" spans="1:55" hidden="1">
      <c r="A194" s="91">
        <v>61</v>
      </c>
      <c r="B194" s="92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</row>
    <row r="195" spans="1:55" hidden="1">
      <c r="A195" s="91">
        <v>62</v>
      </c>
      <c r="B195" s="92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</row>
    <row r="196" spans="1:55" hidden="1">
      <c r="A196" s="91">
        <v>63</v>
      </c>
      <c r="B196" s="92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</row>
    <row r="197" spans="1:55" hidden="1">
      <c r="A197" s="91">
        <v>64</v>
      </c>
      <c r="B197" s="92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</row>
    <row r="198" spans="1:55" hidden="1">
      <c r="A198" s="91">
        <v>65</v>
      </c>
      <c r="B198" s="92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</row>
    <row r="199" spans="1:55" hidden="1">
      <c r="A199" s="91">
        <v>66</v>
      </c>
      <c r="B199" s="92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</row>
    <row r="200" spans="1:55" hidden="1">
      <c r="A200" s="91">
        <v>67</v>
      </c>
      <c r="B200" s="92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</row>
    <row r="201" spans="1:55" hidden="1">
      <c r="A201" s="91">
        <v>68</v>
      </c>
      <c r="B201" s="92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</row>
    <row r="202" spans="1:55" hidden="1">
      <c r="A202" s="91">
        <v>69</v>
      </c>
      <c r="B202" s="92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</row>
    <row r="203" spans="1:55" hidden="1">
      <c r="A203" s="91">
        <v>70</v>
      </c>
      <c r="B203" s="92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</row>
    <row r="204" spans="1:55" hidden="1">
      <c r="A204" s="91">
        <v>71</v>
      </c>
      <c r="B204" s="92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</row>
    <row r="205" spans="1:55" hidden="1">
      <c r="A205" s="91">
        <v>72</v>
      </c>
      <c r="B205" s="92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</row>
    <row r="206" spans="1:55" hidden="1">
      <c r="A206" s="91">
        <v>73</v>
      </c>
      <c r="B206" s="92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</row>
    <row r="207" spans="1:55" hidden="1">
      <c r="A207" s="91">
        <v>74</v>
      </c>
      <c r="B207" s="92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</row>
    <row r="208" spans="1:55" hidden="1">
      <c r="A208" s="91">
        <v>75</v>
      </c>
      <c r="B208" s="92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</row>
    <row r="209" spans="1:55" hidden="1">
      <c r="A209" s="91">
        <v>76</v>
      </c>
      <c r="B209" s="92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</row>
    <row r="210" spans="1:55" hidden="1">
      <c r="A210" s="91">
        <v>77</v>
      </c>
      <c r="B210" s="92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</row>
    <row r="211" spans="1:55" hidden="1">
      <c r="A211" s="91">
        <v>78</v>
      </c>
      <c r="B211" s="92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</row>
    <row r="212" spans="1:55" hidden="1">
      <c r="A212" s="91">
        <v>79</v>
      </c>
      <c r="B212" s="92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</row>
    <row r="213" spans="1:55" hidden="1">
      <c r="A213" s="91">
        <v>80</v>
      </c>
      <c r="B213" s="92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</row>
    <row r="214" spans="1:55" hidden="1">
      <c r="A214" s="91">
        <v>81</v>
      </c>
      <c r="B214" s="92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</row>
    <row r="215" spans="1:55" hidden="1">
      <c r="A215" s="91">
        <v>82</v>
      </c>
      <c r="B215" s="92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</row>
    <row r="216" spans="1:55" hidden="1">
      <c r="A216" s="91">
        <v>83</v>
      </c>
      <c r="B216" s="92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</row>
    <row r="217" spans="1:55" hidden="1">
      <c r="A217" s="91">
        <v>84</v>
      </c>
      <c r="B217" s="92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</row>
    <row r="218" spans="1:55" hidden="1">
      <c r="A218" s="91">
        <v>85</v>
      </c>
      <c r="B218" s="92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</row>
    <row r="219" spans="1:55" hidden="1">
      <c r="A219" s="91">
        <v>86</v>
      </c>
      <c r="B219" s="92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</row>
    <row r="220" spans="1:55" hidden="1">
      <c r="A220" s="91">
        <v>87</v>
      </c>
      <c r="B220" s="92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</row>
    <row r="221" spans="1:55" hidden="1">
      <c r="A221" s="91">
        <v>88</v>
      </c>
      <c r="B221" s="92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</row>
    <row r="222" spans="1:55" hidden="1">
      <c r="A222" s="91">
        <v>89</v>
      </c>
      <c r="B222" s="92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</row>
    <row r="223" spans="1:55" hidden="1">
      <c r="A223" s="91">
        <v>90</v>
      </c>
      <c r="B223" s="92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</row>
    <row r="224" spans="1:55">
      <c r="A224" s="91"/>
      <c r="B224" s="103" t="s">
        <v>193</v>
      </c>
      <c r="C224" s="93">
        <f>COUNTA(C134:C223)</f>
        <v>0</v>
      </c>
      <c r="D224" s="93">
        <f>COUNTA(D134:D223)</f>
        <v>5</v>
      </c>
      <c r="E224" s="93">
        <f>COUNTA(E134:E223)</f>
        <v>4</v>
      </c>
      <c r="F224" s="93">
        <f t="shared" ref="F224:AG224" si="1">COUNTA(F134:F223)</f>
        <v>2</v>
      </c>
      <c r="G224" s="93">
        <f t="shared" si="1"/>
        <v>2</v>
      </c>
      <c r="H224" s="93">
        <f t="shared" si="1"/>
        <v>1</v>
      </c>
      <c r="I224" s="93">
        <f t="shared" si="1"/>
        <v>4</v>
      </c>
      <c r="J224" s="93">
        <f t="shared" si="1"/>
        <v>1</v>
      </c>
      <c r="K224" s="93">
        <f t="shared" si="1"/>
        <v>6</v>
      </c>
      <c r="L224" s="93">
        <f t="shared" si="1"/>
        <v>3</v>
      </c>
      <c r="M224" s="93">
        <f t="shared" si="1"/>
        <v>2</v>
      </c>
      <c r="N224" s="93">
        <f t="shared" si="1"/>
        <v>2</v>
      </c>
      <c r="O224" s="93">
        <f t="shared" si="1"/>
        <v>5</v>
      </c>
      <c r="P224" s="93">
        <f t="shared" si="1"/>
        <v>2</v>
      </c>
      <c r="Q224" s="93"/>
      <c r="R224" s="93">
        <f t="shared" si="1"/>
        <v>8</v>
      </c>
      <c r="S224" s="93">
        <f t="shared" si="1"/>
        <v>0</v>
      </c>
      <c r="T224" s="93">
        <f t="shared" si="1"/>
        <v>3</v>
      </c>
      <c r="U224" s="93">
        <f t="shared" si="1"/>
        <v>11</v>
      </c>
      <c r="V224" s="93">
        <f t="shared" si="1"/>
        <v>4</v>
      </c>
      <c r="W224" s="93">
        <f t="shared" si="1"/>
        <v>2</v>
      </c>
      <c r="X224" s="93">
        <f t="shared" si="1"/>
        <v>0</v>
      </c>
      <c r="Y224" s="93">
        <f t="shared" si="1"/>
        <v>7</v>
      </c>
      <c r="Z224" s="93">
        <f t="shared" si="1"/>
        <v>7</v>
      </c>
      <c r="AA224" s="93">
        <f t="shared" si="1"/>
        <v>12</v>
      </c>
      <c r="AB224" s="93">
        <f t="shared" si="1"/>
        <v>4</v>
      </c>
      <c r="AC224" s="93">
        <f t="shared" si="1"/>
        <v>1</v>
      </c>
      <c r="AD224" s="93">
        <f t="shared" si="1"/>
        <v>3</v>
      </c>
      <c r="AE224" s="93">
        <f t="shared" si="1"/>
        <v>0</v>
      </c>
      <c r="AF224" s="93">
        <f t="shared" si="1"/>
        <v>0</v>
      </c>
      <c r="AG224" s="93">
        <f t="shared" si="1"/>
        <v>0</v>
      </c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</row>
    <row r="225" spans="1:5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</row>
    <row r="226" spans="1:55">
      <c r="A226" s="101" t="s">
        <v>75</v>
      </c>
      <c r="B226" s="102" t="s">
        <v>143</v>
      </c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 t="s">
        <v>62</v>
      </c>
      <c r="N226" s="83"/>
      <c r="O226" s="83"/>
      <c r="P226" s="83"/>
      <c r="Q226" s="83"/>
      <c r="R226" s="83"/>
      <c r="S226" s="83"/>
      <c r="T226" s="83"/>
      <c r="U226" s="83"/>
      <c r="V226" s="83" t="s">
        <v>62</v>
      </c>
      <c r="W226" s="83"/>
      <c r="X226" s="83"/>
      <c r="Y226" s="83" t="s">
        <v>62</v>
      </c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</row>
    <row r="227" spans="1:55">
      <c r="A227" s="101" t="s">
        <v>73</v>
      </c>
      <c r="B227" s="102" t="s">
        <v>144</v>
      </c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 t="s">
        <v>62</v>
      </c>
      <c r="Q227" s="83"/>
      <c r="R227" s="83"/>
      <c r="S227" s="83"/>
      <c r="T227" s="83"/>
      <c r="U227" s="83"/>
      <c r="V227" s="83"/>
      <c r="W227" s="83"/>
      <c r="X227" s="83" t="s">
        <v>62</v>
      </c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</row>
    <row r="228" spans="1:55">
      <c r="A228" s="101" t="s">
        <v>74</v>
      </c>
      <c r="B228" s="102" t="s">
        <v>145</v>
      </c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 t="s">
        <v>62</v>
      </c>
      <c r="P228" s="83"/>
      <c r="Q228" s="83"/>
      <c r="R228" s="83" t="s">
        <v>62</v>
      </c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</row>
    <row r="229" spans="1:5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 t="s">
        <v>62</v>
      </c>
      <c r="O229" s="83"/>
      <c r="P229" s="83" t="s">
        <v>62</v>
      </c>
      <c r="Q229" s="83"/>
      <c r="R229" s="83"/>
      <c r="S229" s="83" t="s">
        <v>62</v>
      </c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</row>
    <row r="230" spans="1:5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 t="s">
        <v>62</v>
      </c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</row>
    <row r="231" spans="1:5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 t="s">
        <v>62</v>
      </c>
      <c r="T231" s="83"/>
      <c r="U231" s="83"/>
      <c r="V231" s="83"/>
      <c r="W231" s="83" t="s">
        <v>62</v>
      </c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</row>
    <row r="232" spans="1:5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</row>
    <row r="233" spans="1:5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 t="s">
        <v>62</v>
      </c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</row>
    <row r="234" spans="1:5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</row>
    <row r="235" spans="1:5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 t="s">
        <v>62</v>
      </c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104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</row>
    <row r="236" spans="1:5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 t="s">
        <v>62</v>
      </c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</row>
    <row r="237" spans="1:5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</row>
    <row r="238" spans="1:5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</row>
    <row r="239" spans="1:5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</row>
    <row r="240" spans="1:5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 t="s">
        <v>62</v>
      </c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</row>
    <row r="241" spans="1:5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</row>
    <row r="242" spans="1:5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</row>
    <row r="243" spans="1:5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</row>
    <row r="244" spans="1:5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</row>
    <row r="245" spans="1:5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</row>
    <row r="246" spans="1:5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</row>
    <row r="247" spans="1:5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</row>
    <row r="248" spans="1:5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</row>
    <row r="249" spans="1:5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</row>
    <row r="250" spans="1:5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</row>
    <row r="251" spans="1:5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</row>
    <row r="252" spans="1:5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</row>
    <row r="253" spans="1:5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</row>
    <row r="254" spans="1:5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</row>
    <row r="255" spans="1: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</row>
    <row r="256" spans="1:5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</row>
    <row r="257" spans="1:5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</row>
    <row r="258" spans="1:5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</row>
    <row r="259" spans="1:5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</row>
    <row r="260" spans="1:5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</row>
    <row r="261" spans="1:5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</row>
    <row r="262" spans="1:5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</row>
    <row r="263" spans="1:5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</row>
    <row r="264" spans="1:5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</row>
    <row r="265" spans="1:5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</row>
    <row r="266" spans="1:5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</row>
    <row r="267" spans="1:5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</row>
    <row r="268" spans="1:5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</row>
    <row r="269" spans="1:5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</row>
    <row r="270" spans="1:5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</row>
    <row r="271" spans="1:5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</row>
    <row r="272" spans="1:5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</row>
    <row r="273" spans="1:5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</row>
    <row r="274" spans="1:5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</row>
    <row r="275" spans="1:5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</row>
    <row r="276" spans="1:5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</row>
    <row r="277" spans="1:5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</row>
    <row r="278" spans="1:5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</row>
    <row r="279" spans="1:5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</row>
    <row r="280" spans="1:5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</row>
    <row r="281" spans="1:5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</row>
    <row r="282" spans="1:5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</row>
    <row r="283" spans="1:5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</row>
    <row r="284" spans="1:5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</row>
    <row r="285" spans="1:5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</row>
    <row r="286" spans="1:5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</row>
    <row r="287" spans="1:5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</row>
    <row r="288" spans="1:5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</row>
    <row r="289" spans="1:5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</row>
    <row r="290" spans="1:5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</row>
    <row r="291" spans="1:5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</row>
    <row r="292" spans="1:5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</row>
    <row r="293" spans="1:5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</row>
    <row r="294" spans="1:5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</row>
    <row r="295" spans="1:5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</row>
    <row r="296" spans="1:5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</row>
    <row r="297" spans="1:5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</row>
    <row r="298" spans="1:5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</row>
    <row r="299" spans="1:5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</row>
    <row r="300" spans="1:5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</row>
    <row r="301" spans="1:5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</row>
    <row r="302" spans="1:5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</row>
    <row r="303" spans="1:5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</row>
    <row r="304" spans="1:5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</row>
    <row r="305" spans="1:5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</row>
    <row r="306" spans="1:5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</row>
    <row r="307" spans="1:5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</row>
    <row r="308" spans="1:5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</row>
    <row r="309" spans="1:5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</row>
    <row r="310" spans="1:5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</row>
    <row r="311" spans="1:5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</row>
    <row r="312" spans="1:5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</row>
    <row r="313" spans="1:5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</row>
    <row r="314" spans="1:5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</row>
    <row r="315" spans="1:5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</row>
    <row r="316" spans="1:5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</row>
    <row r="317" spans="1:5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</row>
    <row r="318" spans="1:5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</row>
    <row r="319" spans="1:5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</row>
    <row r="320" spans="1:5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</row>
    <row r="321" spans="1:5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</row>
    <row r="322" spans="1:5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</row>
    <row r="323" spans="1:5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</row>
    <row r="324" spans="1:5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</row>
  </sheetData>
  <mergeCells count="4">
    <mergeCell ref="A1:AG1"/>
    <mergeCell ref="A2:AG2"/>
    <mergeCell ref="A128:AG128"/>
    <mergeCell ref="A129:AG129"/>
  </mergeCells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21:AG121 C109:C120 E109:AG120 E73:AG74 E104:AG107 E101:AG102 E98:AG98 E93:AG93 E88:AG88 E81:AG82 E68:AG68 E64:AG65 E62:AG62 E59:AG59 E46:AG47 E40:AG42 E35:AG37 E29:AG31 E27:AG27 C134:AG149">
    <cfRule type="containsText" dxfId="642" priority="404" operator="containsText" text="B">
      <formula>NOT(ISERROR(SEARCH("B",C7)))</formula>
    </cfRule>
    <cfRule type="containsText" dxfId="641" priority="405" operator="containsText" text="TB">
      <formula>NOT(ISERROR(SEARCH("TB",C7)))</formula>
    </cfRule>
    <cfRule type="containsText" dxfId="640" priority="406" operator="containsText" text="T">
      <formula>NOT(ISERROR(SEARCH("T",C7)))</formula>
    </cfRule>
  </conditionalFormatting>
  <conditionalFormatting sqref="L7:AG7 C27 N28:AG28 C29:C31 C35:C37 N32:AG34 N38:AG39 C40:C42 C46:C47 N43:AG45 C59 N48:AG58 C62 N60:AG61 C64:C65 N63:AG63 C68 N66:AG67 N69:AG70 K76:AG76 N75:AG75 K79:AG79 O77:AG77 C81:C82 N80:AG80 C88 N83:AG87 C93 N89:AG90 N94:AG95 C96:C98 O96:AG97 C101:C102 N99:AG100 C104:C107 N103:AG103 K71:AG72 N78:AG78 K91:AG92 C73:C74 C109:C120 E109:AG120 E73:AG74 E104:AG107 E101:AG102 E98:AG98 E93:AG93 E88:AG88 E81:AG82 E68:AG68 E64:AG65 E62:AG62 E59:AG59 E46:AG47 E40:AG42 E35:AG37 E29:AG31 E27:AG27 C121:AG121 C134:AG149">
    <cfRule type="containsText" dxfId="639" priority="403" operator="containsText" text="TB">
      <formula>NOT(ISERROR(SEARCH("TB",C7)))</formula>
    </cfRule>
  </conditionalFormatting>
  <conditionalFormatting sqref="A124:A126">
    <cfRule type="containsText" dxfId="638" priority="400" operator="containsText" text="B">
      <formula>NOT(ISERROR(SEARCH("B",A124)))</formula>
    </cfRule>
    <cfRule type="containsText" dxfId="637" priority="401" operator="containsText" text="TB">
      <formula>NOT(ISERROR(SEARCH("TB",A124)))</formula>
    </cfRule>
    <cfRule type="containsText" dxfId="636" priority="402" operator="containsText" text="T">
      <formula>NOT(ISERROR(SEARCH("T",A124)))</formula>
    </cfRule>
  </conditionalFormatting>
  <conditionalFormatting sqref="A124:A126">
    <cfRule type="containsText" dxfId="635" priority="399" operator="containsText" text="TB">
      <formula>NOT(ISERROR(SEARCH("TB",A124)))</formula>
    </cfRule>
  </conditionalFormatting>
  <conditionalFormatting sqref="C165:AG223 N150:AG164">
    <cfRule type="containsText" dxfId="634" priority="396" operator="containsText" text="B">
      <formula>NOT(ISERROR(SEARCH("B",C150)))</formula>
    </cfRule>
    <cfRule type="containsText" dxfId="633" priority="397" operator="containsText" text="TB">
      <formula>NOT(ISERROR(SEARCH("TB",C150)))</formula>
    </cfRule>
    <cfRule type="containsText" dxfId="632" priority="398" operator="containsText" text="T">
      <formula>NOT(ISERROR(SEARCH("T",C150)))</formula>
    </cfRule>
  </conditionalFormatting>
  <conditionalFormatting sqref="N150:AG164 C165:AG224">
    <cfRule type="containsText" dxfId="631" priority="395" operator="containsText" text="TB">
      <formula>NOT(ISERROR(SEARCH("TB",C150)))</formula>
    </cfRule>
  </conditionalFormatting>
  <conditionalFormatting sqref="A226:A228">
    <cfRule type="containsText" dxfId="630" priority="392" operator="containsText" text="B">
      <formula>NOT(ISERROR(SEARCH("B",A226)))</formula>
    </cfRule>
    <cfRule type="containsText" dxfId="629" priority="393" operator="containsText" text="TB">
      <formula>NOT(ISERROR(SEARCH("TB",A226)))</formula>
    </cfRule>
    <cfRule type="containsText" dxfId="628" priority="394" operator="containsText" text="T">
      <formula>NOT(ISERROR(SEARCH("T",A226)))</formula>
    </cfRule>
  </conditionalFormatting>
  <conditionalFormatting sqref="A226:A228">
    <cfRule type="containsText" dxfId="627" priority="391" operator="containsText" text="TB">
      <formula>NOT(ISERROR(SEARCH("TB",A226)))</formula>
    </cfRule>
  </conditionalFormatting>
  <conditionalFormatting sqref="C8:C12 C15:C19 L13:AG14 C21 L20:AG20 C24 N22:AG23 C26 N25:AG25 E26:AG26 E24:AG24 E21:AG21 E15:AG19 E8:AG12">
    <cfRule type="containsText" dxfId="626" priority="388" operator="containsText" text="B">
      <formula>NOT(ISERROR(SEARCH("B",C8)))</formula>
    </cfRule>
    <cfRule type="containsText" dxfId="625" priority="389" operator="containsText" text="TB">
      <formula>NOT(ISERROR(SEARCH("TB",C8)))</formula>
    </cfRule>
    <cfRule type="containsText" dxfId="624" priority="390" operator="containsText" text="T">
      <formula>NOT(ISERROR(SEARCH("T",C8)))</formula>
    </cfRule>
  </conditionalFormatting>
  <conditionalFormatting sqref="C8:C12 C15:C19 L13:AG14 C21 L20:AG20 C24 N22:AG23 C26 N25:AG25 E26:AG26 E24:AG24 E21:AG21 E15:AG19 E8:AG12">
    <cfRule type="containsText" dxfId="623" priority="387" operator="containsText" text="TB">
      <formula>NOT(ISERROR(SEARCH("TB",C8)))</formula>
    </cfRule>
  </conditionalFormatting>
  <conditionalFormatting sqref="C7 E7:K7">
    <cfRule type="containsText" dxfId="622" priority="384" operator="containsText" text="B">
      <formula>NOT(ISERROR(SEARCH("B",C7)))</formula>
    </cfRule>
    <cfRule type="containsText" dxfId="621" priority="385" operator="containsText" text="TB">
      <formula>NOT(ISERROR(SEARCH("TB",C7)))</formula>
    </cfRule>
    <cfRule type="containsText" dxfId="620" priority="386" operator="containsText" text="T">
      <formula>NOT(ISERROR(SEARCH("T",C7)))</formula>
    </cfRule>
  </conditionalFormatting>
  <conditionalFormatting sqref="C7 E7:K7">
    <cfRule type="containsText" dxfId="619" priority="383" operator="containsText" text="TB">
      <formula>NOT(ISERROR(SEARCH("TB",C7)))</formula>
    </cfRule>
  </conditionalFormatting>
  <conditionalFormatting sqref="C13:C14 E13:K14">
    <cfRule type="containsText" dxfId="618" priority="380" operator="containsText" text="B">
      <formula>NOT(ISERROR(SEARCH("B",C13)))</formula>
    </cfRule>
    <cfRule type="containsText" dxfId="617" priority="381" operator="containsText" text="TB">
      <formula>NOT(ISERROR(SEARCH("TB",C13)))</formula>
    </cfRule>
    <cfRule type="containsText" dxfId="616" priority="382" operator="containsText" text="T">
      <formula>NOT(ISERROR(SEARCH("T",C13)))</formula>
    </cfRule>
  </conditionalFormatting>
  <conditionalFormatting sqref="C13:C14 E13:K14">
    <cfRule type="containsText" dxfId="615" priority="379" operator="containsText" text="TB">
      <formula>NOT(ISERROR(SEARCH("TB",C13)))</formula>
    </cfRule>
  </conditionalFormatting>
  <conditionalFormatting sqref="C20 E20:K20">
    <cfRule type="containsText" dxfId="614" priority="376" operator="containsText" text="B">
      <formula>NOT(ISERROR(SEARCH("B",C20)))</formula>
    </cfRule>
    <cfRule type="containsText" dxfId="613" priority="377" operator="containsText" text="TB">
      <formula>NOT(ISERROR(SEARCH("TB",C20)))</formula>
    </cfRule>
    <cfRule type="containsText" dxfId="612" priority="378" operator="containsText" text="T">
      <formula>NOT(ISERROR(SEARCH("T",C20)))</formula>
    </cfRule>
  </conditionalFormatting>
  <conditionalFormatting sqref="C20 E20:K20">
    <cfRule type="containsText" dxfId="611" priority="375" operator="containsText" text="TB">
      <formula>NOT(ISERROR(SEARCH("TB",C20)))</formula>
    </cfRule>
  </conditionalFormatting>
  <conditionalFormatting sqref="C22:C23 E22:M23">
    <cfRule type="containsText" dxfId="610" priority="372" operator="containsText" text="B">
      <formula>NOT(ISERROR(SEARCH("B",C22)))</formula>
    </cfRule>
    <cfRule type="containsText" dxfId="609" priority="373" operator="containsText" text="TB">
      <formula>NOT(ISERROR(SEARCH("TB",C22)))</formula>
    </cfRule>
    <cfRule type="containsText" dxfId="608" priority="374" operator="containsText" text="T">
      <formula>NOT(ISERROR(SEARCH("T",C22)))</formula>
    </cfRule>
  </conditionalFormatting>
  <conditionalFormatting sqref="C22:C23 E22:M23">
    <cfRule type="containsText" dxfId="607" priority="371" operator="containsText" text="TB">
      <formula>NOT(ISERROR(SEARCH("TB",C22)))</formula>
    </cfRule>
  </conditionalFormatting>
  <conditionalFormatting sqref="C25 E25:M25">
    <cfRule type="containsText" dxfId="606" priority="368" operator="containsText" text="B">
      <formula>NOT(ISERROR(SEARCH("B",C25)))</formula>
    </cfRule>
    <cfRule type="containsText" dxfId="605" priority="369" operator="containsText" text="TB">
      <formula>NOT(ISERROR(SEARCH("TB",C25)))</formula>
    </cfRule>
    <cfRule type="containsText" dxfId="604" priority="370" operator="containsText" text="T">
      <formula>NOT(ISERROR(SEARCH("T",C25)))</formula>
    </cfRule>
  </conditionalFormatting>
  <conditionalFormatting sqref="C25 E25:M25">
    <cfRule type="containsText" dxfId="603" priority="367" operator="containsText" text="TB">
      <formula>NOT(ISERROR(SEARCH("TB",C25)))</formula>
    </cfRule>
  </conditionalFormatting>
  <conditionalFormatting sqref="C28 E28:M28">
    <cfRule type="containsText" dxfId="602" priority="364" operator="containsText" text="B">
      <formula>NOT(ISERROR(SEARCH("B",C28)))</formula>
    </cfRule>
    <cfRule type="containsText" dxfId="601" priority="365" operator="containsText" text="TB">
      <formula>NOT(ISERROR(SEARCH("TB",C28)))</formula>
    </cfRule>
    <cfRule type="containsText" dxfId="600" priority="366" operator="containsText" text="T">
      <formula>NOT(ISERROR(SEARCH("T",C28)))</formula>
    </cfRule>
  </conditionalFormatting>
  <conditionalFormatting sqref="C28 E28:M28">
    <cfRule type="containsText" dxfId="599" priority="363" operator="containsText" text="TB">
      <formula>NOT(ISERROR(SEARCH("TB",C28)))</formula>
    </cfRule>
  </conditionalFormatting>
  <conditionalFormatting sqref="C32:C34 E32:M34">
    <cfRule type="containsText" dxfId="598" priority="360" operator="containsText" text="B">
      <formula>NOT(ISERROR(SEARCH("B",C32)))</formula>
    </cfRule>
    <cfRule type="containsText" dxfId="597" priority="361" operator="containsText" text="TB">
      <formula>NOT(ISERROR(SEARCH("TB",C32)))</formula>
    </cfRule>
    <cfRule type="containsText" dxfId="596" priority="362" operator="containsText" text="T">
      <formula>NOT(ISERROR(SEARCH("T",C32)))</formula>
    </cfRule>
  </conditionalFormatting>
  <conditionalFormatting sqref="C32:C34 E32:M34">
    <cfRule type="containsText" dxfId="595" priority="359" operator="containsText" text="TB">
      <formula>NOT(ISERROR(SEARCH("TB",C32)))</formula>
    </cfRule>
  </conditionalFormatting>
  <conditionalFormatting sqref="C38:C39 E38:M39">
    <cfRule type="containsText" dxfId="594" priority="356" operator="containsText" text="B">
      <formula>NOT(ISERROR(SEARCH("B",C38)))</formula>
    </cfRule>
    <cfRule type="containsText" dxfId="593" priority="357" operator="containsText" text="TB">
      <formula>NOT(ISERROR(SEARCH("TB",C38)))</formula>
    </cfRule>
    <cfRule type="containsText" dxfId="592" priority="358" operator="containsText" text="T">
      <formula>NOT(ISERROR(SEARCH("T",C38)))</formula>
    </cfRule>
  </conditionalFormatting>
  <conditionalFormatting sqref="C38:C39 E38:M39">
    <cfRule type="containsText" dxfId="591" priority="355" operator="containsText" text="TB">
      <formula>NOT(ISERROR(SEARCH("TB",C38)))</formula>
    </cfRule>
  </conditionalFormatting>
  <conditionalFormatting sqref="C43:C45 E43:M45">
    <cfRule type="containsText" dxfId="590" priority="352" operator="containsText" text="B">
      <formula>NOT(ISERROR(SEARCH("B",C43)))</formula>
    </cfRule>
    <cfRule type="containsText" dxfId="589" priority="353" operator="containsText" text="TB">
      <formula>NOT(ISERROR(SEARCH("TB",C43)))</formula>
    </cfRule>
    <cfRule type="containsText" dxfId="588" priority="354" operator="containsText" text="T">
      <formula>NOT(ISERROR(SEARCH("T",C43)))</formula>
    </cfRule>
  </conditionalFormatting>
  <conditionalFormatting sqref="C43:C45 E43:M45">
    <cfRule type="containsText" dxfId="587" priority="351" operator="containsText" text="TB">
      <formula>NOT(ISERROR(SEARCH("TB",C43)))</formula>
    </cfRule>
  </conditionalFormatting>
  <conditionalFormatting sqref="C48:C50 E48:M50">
    <cfRule type="containsText" dxfId="586" priority="348" operator="containsText" text="B">
      <formula>NOT(ISERROR(SEARCH("B",C48)))</formula>
    </cfRule>
    <cfRule type="containsText" dxfId="585" priority="349" operator="containsText" text="TB">
      <formula>NOT(ISERROR(SEARCH("TB",C48)))</formula>
    </cfRule>
    <cfRule type="containsText" dxfId="584" priority="350" operator="containsText" text="T">
      <formula>NOT(ISERROR(SEARCH("T",C48)))</formula>
    </cfRule>
  </conditionalFormatting>
  <conditionalFormatting sqref="C48:C50 E48:M50">
    <cfRule type="containsText" dxfId="583" priority="347" operator="containsText" text="TB">
      <formula>NOT(ISERROR(SEARCH("TB",C48)))</formula>
    </cfRule>
  </conditionalFormatting>
  <conditionalFormatting sqref="C51:C53 E51:M53">
    <cfRule type="containsText" dxfId="582" priority="344" operator="containsText" text="B">
      <formula>NOT(ISERROR(SEARCH("B",C51)))</formula>
    </cfRule>
    <cfRule type="containsText" dxfId="581" priority="345" operator="containsText" text="TB">
      <formula>NOT(ISERROR(SEARCH("TB",C51)))</formula>
    </cfRule>
    <cfRule type="containsText" dxfId="580" priority="346" operator="containsText" text="T">
      <formula>NOT(ISERROR(SEARCH("T",C51)))</formula>
    </cfRule>
  </conditionalFormatting>
  <conditionalFormatting sqref="C51:C53 E51:M53">
    <cfRule type="containsText" dxfId="579" priority="343" operator="containsText" text="TB">
      <formula>NOT(ISERROR(SEARCH("TB",C51)))</formula>
    </cfRule>
  </conditionalFormatting>
  <conditionalFormatting sqref="C54:C55 E54:M55">
    <cfRule type="containsText" dxfId="578" priority="340" operator="containsText" text="B">
      <formula>NOT(ISERROR(SEARCH("B",C54)))</formula>
    </cfRule>
    <cfRule type="containsText" dxfId="577" priority="341" operator="containsText" text="TB">
      <formula>NOT(ISERROR(SEARCH("TB",C54)))</formula>
    </cfRule>
    <cfRule type="containsText" dxfId="576" priority="342" operator="containsText" text="T">
      <formula>NOT(ISERROR(SEARCH("T",C54)))</formula>
    </cfRule>
  </conditionalFormatting>
  <conditionalFormatting sqref="C54:C55 E54:M55">
    <cfRule type="containsText" dxfId="575" priority="339" operator="containsText" text="TB">
      <formula>NOT(ISERROR(SEARCH("TB",C54)))</formula>
    </cfRule>
  </conditionalFormatting>
  <conditionalFormatting sqref="C56:C58 E56:M58">
    <cfRule type="containsText" dxfId="574" priority="336" operator="containsText" text="B">
      <formula>NOT(ISERROR(SEARCH("B",C56)))</formula>
    </cfRule>
    <cfRule type="containsText" dxfId="573" priority="337" operator="containsText" text="TB">
      <formula>NOT(ISERROR(SEARCH("TB",C56)))</formula>
    </cfRule>
    <cfRule type="containsText" dxfId="572" priority="338" operator="containsText" text="T">
      <formula>NOT(ISERROR(SEARCH("T",C56)))</formula>
    </cfRule>
  </conditionalFormatting>
  <conditionalFormatting sqref="C56:C58 E56:M58">
    <cfRule type="containsText" dxfId="571" priority="335" operator="containsText" text="TB">
      <formula>NOT(ISERROR(SEARCH("TB",C56)))</formula>
    </cfRule>
  </conditionalFormatting>
  <conditionalFormatting sqref="C60:C61 E60:M61">
    <cfRule type="containsText" dxfId="570" priority="332" operator="containsText" text="B">
      <formula>NOT(ISERROR(SEARCH("B",C60)))</formula>
    </cfRule>
    <cfRule type="containsText" dxfId="569" priority="333" operator="containsText" text="TB">
      <formula>NOT(ISERROR(SEARCH("TB",C60)))</formula>
    </cfRule>
    <cfRule type="containsText" dxfId="568" priority="334" operator="containsText" text="T">
      <formula>NOT(ISERROR(SEARCH("T",C60)))</formula>
    </cfRule>
  </conditionalFormatting>
  <conditionalFormatting sqref="C60:C61 E60:M61">
    <cfRule type="containsText" dxfId="567" priority="331" operator="containsText" text="TB">
      <formula>NOT(ISERROR(SEARCH("TB",C60)))</formula>
    </cfRule>
  </conditionalFormatting>
  <conditionalFormatting sqref="C63 E63:M63">
    <cfRule type="containsText" dxfId="566" priority="328" operator="containsText" text="B">
      <formula>NOT(ISERROR(SEARCH("B",C63)))</formula>
    </cfRule>
    <cfRule type="containsText" dxfId="565" priority="329" operator="containsText" text="TB">
      <formula>NOT(ISERROR(SEARCH("TB",C63)))</formula>
    </cfRule>
    <cfRule type="containsText" dxfId="564" priority="330" operator="containsText" text="T">
      <formula>NOT(ISERROR(SEARCH("T",C63)))</formula>
    </cfRule>
  </conditionalFormatting>
  <conditionalFormatting sqref="C63 E63:M63">
    <cfRule type="containsText" dxfId="563" priority="327" operator="containsText" text="TB">
      <formula>NOT(ISERROR(SEARCH("TB",C63)))</formula>
    </cfRule>
  </conditionalFormatting>
  <conditionalFormatting sqref="C66 E66:M66">
    <cfRule type="containsText" dxfId="562" priority="324" operator="containsText" text="B">
      <formula>NOT(ISERROR(SEARCH("B",C66)))</formula>
    </cfRule>
    <cfRule type="containsText" dxfId="561" priority="325" operator="containsText" text="TB">
      <formula>NOT(ISERROR(SEARCH("TB",C66)))</formula>
    </cfRule>
    <cfRule type="containsText" dxfId="560" priority="326" operator="containsText" text="T">
      <formula>NOT(ISERROR(SEARCH("T",C66)))</formula>
    </cfRule>
  </conditionalFormatting>
  <conditionalFormatting sqref="C66 E66:M66">
    <cfRule type="containsText" dxfId="559" priority="323" operator="containsText" text="TB">
      <formula>NOT(ISERROR(SEARCH("TB",C66)))</formula>
    </cfRule>
  </conditionalFormatting>
  <conditionalFormatting sqref="C67 E67:M67">
    <cfRule type="containsText" dxfId="558" priority="320" operator="containsText" text="B">
      <formula>NOT(ISERROR(SEARCH("B",C67)))</formula>
    </cfRule>
    <cfRule type="containsText" dxfId="557" priority="321" operator="containsText" text="TB">
      <formula>NOT(ISERROR(SEARCH("TB",C67)))</formula>
    </cfRule>
    <cfRule type="containsText" dxfId="556" priority="322" operator="containsText" text="T">
      <formula>NOT(ISERROR(SEARCH("T",C67)))</formula>
    </cfRule>
  </conditionalFormatting>
  <conditionalFormatting sqref="C67 E67:M67">
    <cfRule type="containsText" dxfId="555" priority="319" operator="containsText" text="TB">
      <formula>NOT(ISERROR(SEARCH("TB",C67)))</formula>
    </cfRule>
  </conditionalFormatting>
  <conditionalFormatting sqref="C69:C70 E69:M70">
    <cfRule type="containsText" dxfId="554" priority="316" operator="containsText" text="B">
      <formula>NOT(ISERROR(SEARCH("B",C69)))</formula>
    </cfRule>
    <cfRule type="containsText" dxfId="553" priority="317" operator="containsText" text="TB">
      <formula>NOT(ISERROR(SEARCH("TB",C69)))</formula>
    </cfRule>
    <cfRule type="containsText" dxfId="552" priority="318" operator="containsText" text="T">
      <formula>NOT(ISERROR(SEARCH("T",C69)))</formula>
    </cfRule>
  </conditionalFormatting>
  <conditionalFormatting sqref="C69:C70 E69:M70">
    <cfRule type="containsText" dxfId="551" priority="315" operator="containsText" text="TB">
      <formula>NOT(ISERROR(SEARCH("TB",C69)))</formula>
    </cfRule>
  </conditionalFormatting>
  <conditionalFormatting sqref="C75 E75:M75">
    <cfRule type="containsText" dxfId="550" priority="312" operator="containsText" text="B">
      <formula>NOT(ISERROR(SEARCH("B",C75)))</formula>
    </cfRule>
    <cfRule type="containsText" dxfId="549" priority="313" operator="containsText" text="TB">
      <formula>NOT(ISERROR(SEARCH("TB",C75)))</formula>
    </cfRule>
    <cfRule type="containsText" dxfId="548" priority="314" operator="containsText" text="T">
      <formula>NOT(ISERROR(SEARCH("T",C75)))</formula>
    </cfRule>
  </conditionalFormatting>
  <conditionalFormatting sqref="C75 E75:M75">
    <cfRule type="containsText" dxfId="547" priority="311" operator="containsText" text="TB">
      <formula>NOT(ISERROR(SEARCH("TB",C75)))</formula>
    </cfRule>
  </conditionalFormatting>
  <conditionalFormatting sqref="C77">
    <cfRule type="containsText" dxfId="546" priority="308" operator="containsText" text="B">
      <formula>NOT(ISERROR(SEARCH("B",C77)))</formula>
    </cfRule>
    <cfRule type="containsText" dxfId="545" priority="309" operator="containsText" text="TB">
      <formula>NOT(ISERROR(SEARCH("TB",C77)))</formula>
    </cfRule>
    <cfRule type="containsText" dxfId="544" priority="310" operator="containsText" text="T">
      <formula>NOT(ISERROR(SEARCH("T",C77)))</formula>
    </cfRule>
  </conditionalFormatting>
  <conditionalFormatting sqref="C77">
    <cfRule type="containsText" dxfId="543" priority="307" operator="containsText" text="TB">
      <formula>NOT(ISERROR(SEARCH("TB",C77)))</formula>
    </cfRule>
  </conditionalFormatting>
  <conditionalFormatting sqref="E77:N77">
    <cfRule type="containsText" dxfId="542" priority="304" operator="containsText" text="B">
      <formula>NOT(ISERROR(SEARCH("B",E77)))</formula>
    </cfRule>
    <cfRule type="containsText" dxfId="541" priority="305" operator="containsText" text="TB">
      <formula>NOT(ISERROR(SEARCH("TB",E77)))</formula>
    </cfRule>
    <cfRule type="containsText" dxfId="540" priority="306" operator="containsText" text="T">
      <formula>NOT(ISERROR(SEARCH("T",E77)))</formula>
    </cfRule>
  </conditionalFormatting>
  <conditionalFormatting sqref="E77:N77">
    <cfRule type="containsText" dxfId="539" priority="303" operator="containsText" text="TB">
      <formula>NOT(ISERROR(SEARCH("TB",E77)))</formula>
    </cfRule>
  </conditionalFormatting>
  <conditionalFormatting sqref="C80 E80:M80">
    <cfRule type="containsText" dxfId="538" priority="300" operator="containsText" text="B">
      <formula>NOT(ISERROR(SEARCH("B",C80)))</formula>
    </cfRule>
    <cfRule type="containsText" dxfId="537" priority="301" operator="containsText" text="TB">
      <formula>NOT(ISERROR(SEARCH("TB",C80)))</formula>
    </cfRule>
    <cfRule type="containsText" dxfId="536" priority="302" operator="containsText" text="T">
      <formula>NOT(ISERROR(SEARCH("T",C80)))</formula>
    </cfRule>
  </conditionalFormatting>
  <conditionalFormatting sqref="C80 E80:M80">
    <cfRule type="containsText" dxfId="535" priority="299" operator="containsText" text="TB">
      <formula>NOT(ISERROR(SEARCH("TB",C80)))</formula>
    </cfRule>
  </conditionalFormatting>
  <conditionalFormatting sqref="C83:C84 E83:M84">
    <cfRule type="containsText" dxfId="534" priority="296" operator="containsText" text="B">
      <formula>NOT(ISERROR(SEARCH("B",C83)))</formula>
    </cfRule>
    <cfRule type="containsText" dxfId="533" priority="297" operator="containsText" text="TB">
      <formula>NOT(ISERROR(SEARCH("TB",C83)))</formula>
    </cfRule>
    <cfRule type="containsText" dxfId="532" priority="298" operator="containsText" text="T">
      <formula>NOT(ISERROR(SEARCH("T",C83)))</formula>
    </cfRule>
  </conditionalFormatting>
  <conditionalFormatting sqref="C83:C84 E83:M84">
    <cfRule type="containsText" dxfId="531" priority="295" operator="containsText" text="TB">
      <formula>NOT(ISERROR(SEARCH("TB",C83)))</formula>
    </cfRule>
  </conditionalFormatting>
  <conditionalFormatting sqref="C85:C87 E85:M87">
    <cfRule type="containsText" dxfId="530" priority="292" operator="containsText" text="B">
      <formula>NOT(ISERROR(SEARCH("B",C85)))</formula>
    </cfRule>
    <cfRule type="containsText" dxfId="529" priority="293" operator="containsText" text="TB">
      <formula>NOT(ISERROR(SEARCH("TB",C85)))</formula>
    </cfRule>
    <cfRule type="containsText" dxfId="528" priority="294" operator="containsText" text="T">
      <formula>NOT(ISERROR(SEARCH("T",C85)))</formula>
    </cfRule>
  </conditionalFormatting>
  <conditionalFormatting sqref="C85:C87 E85:M87">
    <cfRule type="containsText" dxfId="527" priority="291" operator="containsText" text="TB">
      <formula>NOT(ISERROR(SEARCH("TB",C85)))</formula>
    </cfRule>
  </conditionalFormatting>
  <conditionalFormatting sqref="C89:C90 E89:M90">
    <cfRule type="containsText" dxfId="526" priority="288" operator="containsText" text="B">
      <formula>NOT(ISERROR(SEARCH("B",C89)))</formula>
    </cfRule>
    <cfRule type="containsText" dxfId="525" priority="289" operator="containsText" text="TB">
      <formula>NOT(ISERROR(SEARCH("TB",C89)))</formula>
    </cfRule>
    <cfRule type="containsText" dxfId="524" priority="290" operator="containsText" text="T">
      <formula>NOT(ISERROR(SEARCH("T",C89)))</formula>
    </cfRule>
  </conditionalFormatting>
  <conditionalFormatting sqref="C89:C90 E89:M90">
    <cfRule type="containsText" dxfId="523" priority="287" operator="containsText" text="TB">
      <formula>NOT(ISERROR(SEARCH("TB",C89)))</formula>
    </cfRule>
  </conditionalFormatting>
  <conditionalFormatting sqref="C94 E94:M94">
    <cfRule type="containsText" dxfId="522" priority="284" operator="containsText" text="B">
      <formula>NOT(ISERROR(SEARCH("B",C94)))</formula>
    </cfRule>
    <cfRule type="containsText" dxfId="521" priority="285" operator="containsText" text="TB">
      <formula>NOT(ISERROR(SEARCH("TB",C94)))</formula>
    </cfRule>
    <cfRule type="containsText" dxfId="520" priority="286" operator="containsText" text="T">
      <formula>NOT(ISERROR(SEARCH("T",C94)))</formula>
    </cfRule>
  </conditionalFormatting>
  <conditionalFormatting sqref="C94 E94:M94">
    <cfRule type="containsText" dxfId="519" priority="283" operator="containsText" text="TB">
      <formula>NOT(ISERROR(SEARCH("TB",C94)))</formula>
    </cfRule>
  </conditionalFormatting>
  <conditionalFormatting sqref="C95 E95:M95">
    <cfRule type="containsText" dxfId="518" priority="280" operator="containsText" text="B">
      <formula>NOT(ISERROR(SEARCH("B",C95)))</formula>
    </cfRule>
    <cfRule type="containsText" dxfId="517" priority="281" operator="containsText" text="TB">
      <formula>NOT(ISERROR(SEARCH("TB",C95)))</formula>
    </cfRule>
    <cfRule type="containsText" dxfId="516" priority="282" operator="containsText" text="T">
      <formula>NOT(ISERROR(SEARCH("T",C95)))</formula>
    </cfRule>
  </conditionalFormatting>
  <conditionalFormatting sqref="C95 E95:M95">
    <cfRule type="containsText" dxfId="515" priority="279" operator="containsText" text="TB">
      <formula>NOT(ISERROR(SEARCH("TB",C95)))</formula>
    </cfRule>
  </conditionalFormatting>
  <conditionalFormatting sqref="E96:N97">
    <cfRule type="containsText" dxfId="514" priority="276" operator="containsText" text="B">
      <formula>NOT(ISERROR(SEARCH("B",E96)))</formula>
    </cfRule>
    <cfRule type="containsText" dxfId="513" priority="277" operator="containsText" text="TB">
      <formula>NOT(ISERROR(SEARCH("TB",E96)))</formula>
    </cfRule>
    <cfRule type="containsText" dxfId="512" priority="278" operator="containsText" text="T">
      <formula>NOT(ISERROR(SEARCH("T",E96)))</formula>
    </cfRule>
  </conditionalFormatting>
  <conditionalFormatting sqref="E96:N97">
    <cfRule type="containsText" dxfId="511" priority="275" operator="containsText" text="TB">
      <formula>NOT(ISERROR(SEARCH("TB",E96)))</formula>
    </cfRule>
  </conditionalFormatting>
  <conditionalFormatting sqref="C99:C100 E99:M100">
    <cfRule type="containsText" dxfId="510" priority="272" operator="containsText" text="B">
      <formula>NOT(ISERROR(SEARCH("B",C99)))</formula>
    </cfRule>
    <cfRule type="containsText" dxfId="509" priority="273" operator="containsText" text="TB">
      <formula>NOT(ISERROR(SEARCH("TB",C99)))</formula>
    </cfRule>
    <cfRule type="containsText" dxfId="508" priority="274" operator="containsText" text="T">
      <formula>NOT(ISERROR(SEARCH("T",C99)))</formula>
    </cfRule>
  </conditionalFormatting>
  <conditionalFormatting sqref="C99:C100 E99:M100">
    <cfRule type="containsText" dxfId="507" priority="271" operator="containsText" text="TB">
      <formula>NOT(ISERROR(SEARCH("TB",C99)))</formula>
    </cfRule>
  </conditionalFormatting>
  <conditionalFormatting sqref="C103 E103:M103">
    <cfRule type="containsText" dxfId="506" priority="268" operator="containsText" text="B">
      <formula>NOT(ISERROR(SEARCH("B",C103)))</formula>
    </cfRule>
    <cfRule type="containsText" dxfId="505" priority="269" operator="containsText" text="TB">
      <formula>NOT(ISERROR(SEARCH("TB",C103)))</formula>
    </cfRule>
    <cfRule type="containsText" dxfId="504" priority="270" operator="containsText" text="T">
      <formula>NOT(ISERROR(SEARCH("T",C103)))</formula>
    </cfRule>
  </conditionalFormatting>
  <conditionalFormatting sqref="C103 E103:M103">
    <cfRule type="containsText" dxfId="503" priority="267" operator="containsText" text="TB">
      <formula>NOT(ISERROR(SEARCH("TB",C103)))</formula>
    </cfRule>
  </conditionalFormatting>
  <conditionalFormatting sqref="C71:C72 E71:J72">
    <cfRule type="containsText" dxfId="502" priority="264" operator="containsText" text="B">
      <formula>NOT(ISERROR(SEARCH("B",C71)))</formula>
    </cfRule>
    <cfRule type="containsText" dxfId="501" priority="265" operator="containsText" text="TB">
      <formula>NOT(ISERROR(SEARCH("TB",C71)))</formula>
    </cfRule>
    <cfRule type="containsText" dxfId="500" priority="266" operator="containsText" text="T">
      <formula>NOT(ISERROR(SEARCH("T",C71)))</formula>
    </cfRule>
  </conditionalFormatting>
  <conditionalFormatting sqref="C71:C72 E71:J72">
    <cfRule type="containsText" dxfId="499" priority="263" operator="containsText" text="TB">
      <formula>NOT(ISERROR(SEARCH("TB",C71)))</formula>
    </cfRule>
  </conditionalFormatting>
  <conditionalFormatting sqref="C76 E76:J76">
    <cfRule type="containsText" dxfId="498" priority="260" operator="containsText" text="B">
      <formula>NOT(ISERROR(SEARCH("B",C76)))</formula>
    </cfRule>
    <cfRule type="containsText" dxfId="497" priority="261" operator="containsText" text="TB">
      <formula>NOT(ISERROR(SEARCH("TB",C76)))</formula>
    </cfRule>
    <cfRule type="containsText" dxfId="496" priority="262" operator="containsText" text="T">
      <formula>NOT(ISERROR(SEARCH("T",C76)))</formula>
    </cfRule>
  </conditionalFormatting>
  <conditionalFormatting sqref="C76 E76:J76">
    <cfRule type="containsText" dxfId="495" priority="259" operator="containsText" text="TB">
      <formula>NOT(ISERROR(SEARCH("TB",C76)))</formula>
    </cfRule>
  </conditionalFormatting>
  <conditionalFormatting sqref="C78 E78:M78">
    <cfRule type="containsText" dxfId="494" priority="256" operator="containsText" text="B">
      <formula>NOT(ISERROR(SEARCH("B",C78)))</formula>
    </cfRule>
    <cfRule type="containsText" dxfId="493" priority="257" operator="containsText" text="TB">
      <formula>NOT(ISERROR(SEARCH("TB",C78)))</formula>
    </cfRule>
    <cfRule type="containsText" dxfId="492" priority="258" operator="containsText" text="T">
      <formula>NOT(ISERROR(SEARCH("T",C78)))</formula>
    </cfRule>
  </conditionalFormatting>
  <conditionalFormatting sqref="C78 E78:M78">
    <cfRule type="containsText" dxfId="491" priority="255" operator="containsText" text="TB">
      <formula>NOT(ISERROR(SEARCH("TB",C78)))</formula>
    </cfRule>
  </conditionalFormatting>
  <conditionalFormatting sqref="C79 E79:J79">
    <cfRule type="containsText" dxfId="490" priority="252" operator="containsText" text="B">
      <formula>NOT(ISERROR(SEARCH("B",C79)))</formula>
    </cfRule>
    <cfRule type="containsText" dxfId="489" priority="253" operator="containsText" text="TB">
      <formula>NOT(ISERROR(SEARCH("TB",C79)))</formula>
    </cfRule>
    <cfRule type="containsText" dxfId="488" priority="254" operator="containsText" text="T">
      <formula>NOT(ISERROR(SEARCH("T",C79)))</formula>
    </cfRule>
  </conditionalFormatting>
  <conditionalFormatting sqref="C79 E79:J79">
    <cfRule type="containsText" dxfId="487" priority="251" operator="containsText" text="TB">
      <formula>NOT(ISERROR(SEARCH("TB",C79)))</formula>
    </cfRule>
  </conditionalFormatting>
  <conditionalFormatting sqref="C91:C92 E91:J92">
    <cfRule type="containsText" dxfId="486" priority="248" operator="containsText" text="B">
      <formula>NOT(ISERROR(SEARCH("B",C91)))</formula>
    </cfRule>
    <cfRule type="containsText" dxfId="485" priority="249" operator="containsText" text="TB">
      <formula>NOT(ISERROR(SEARCH("TB",C91)))</formula>
    </cfRule>
    <cfRule type="containsText" dxfId="484" priority="250" operator="containsText" text="T">
      <formula>NOT(ISERROR(SEARCH("T",C91)))</formula>
    </cfRule>
  </conditionalFormatting>
  <conditionalFormatting sqref="C91:C92 E91:J92">
    <cfRule type="containsText" dxfId="483" priority="247" operator="containsText" text="TB">
      <formula>NOT(ISERROR(SEARCH("TB",C91)))</formula>
    </cfRule>
  </conditionalFormatting>
  <conditionalFormatting sqref="C150:I151 K150:M151 C154:J154 L154:M154 C152:M153 C155:M164">
    <cfRule type="containsText" dxfId="482" priority="244" operator="containsText" text="B">
      <formula>NOT(ISERROR(SEARCH("B",C150)))</formula>
    </cfRule>
    <cfRule type="containsText" dxfId="481" priority="245" operator="containsText" text="TB">
      <formula>NOT(ISERROR(SEARCH("TB",C150)))</formula>
    </cfRule>
    <cfRule type="containsText" dxfId="480" priority="246" operator="containsText" text="T">
      <formula>NOT(ISERROR(SEARCH("T",C150)))</formula>
    </cfRule>
  </conditionalFormatting>
  <conditionalFormatting sqref="C150:I151 K150:M151 C154:J154 L154:M154 C152:M153 C155:M164">
    <cfRule type="containsText" dxfId="479" priority="243" operator="containsText" text="TB">
      <formula>NOT(ISERROR(SEARCH("TB",C150)))</formula>
    </cfRule>
  </conditionalFormatting>
  <conditionalFormatting sqref="J151">
    <cfRule type="containsText" dxfId="478" priority="240" operator="containsText" text="B">
      <formula>NOT(ISERROR(SEARCH("B",J151)))</formula>
    </cfRule>
    <cfRule type="containsText" dxfId="477" priority="241" operator="containsText" text="TB">
      <formula>NOT(ISERROR(SEARCH("TB",J151)))</formula>
    </cfRule>
    <cfRule type="containsText" dxfId="476" priority="242" operator="containsText" text="T">
      <formula>NOT(ISERROR(SEARCH("T",J151)))</formula>
    </cfRule>
  </conditionalFormatting>
  <conditionalFormatting sqref="J151">
    <cfRule type="containsText" dxfId="475" priority="239" operator="containsText" text="TB">
      <formula>NOT(ISERROR(SEARCH("TB",J151)))</formula>
    </cfRule>
  </conditionalFormatting>
  <conditionalFormatting sqref="J150">
    <cfRule type="containsText" dxfId="474" priority="236" operator="containsText" text="B">
      <formula>NOT(ISERROR(SEARCH("B",J150)))</formula>
    </cfRule>
    <cfRule type="containsText" dxfId="473" priority="237" operator="containsText" text="TB">
      <formula>NOT(ISERROR(SEARCH("TB",J150)))</formula>
    </cfRule>
    <cfRule type="containsText" dxfId="472" priority="238" operator="containsText" text="T">
      <formula>NOT(ISERROR(SEARCH("T",J150)))</formula>
    </cfRule>
  </conditionalFormatting>
  <conditionalFormatting sqref="J150">
    <cfRule type="containsText" dxfId="471" priority="235" operator="containsText" text="TB">
      <formula>NOT(ISERROR(SEARCH("TB",J150)))</formula>
    </cfRule>
  </conditionalFormatting>
  <conditionalFormatting sqref="K154">
    <cfRule type="containsText" dxfId="470" priority="232" operator="containsText" text="B">
      <formula>NOT(ISERROR(SEARCH("B",K154)))</formula>
    </cfRule>
    <cfRule type="containsText" dxfId="469" priority="233" operator="containsText" text="TB">
      <formula>NOT(ISERROR(SEARCH("TB",K154)))</formula>
    </cfRule>
    <cfRule type="containsText" dxfId="468" priority="234" operator="containsText" text="T">
      <formula>NOT(ISERROR(SEARCH("T",K154)))</formula>
    </cfRule>
  </conditionalFormatting>
  <conditionalFormatting sqref="K154">
    <cfRule type="containsText" dxfId="467" priority="231" operator="containsText" text="TB">
      <formula>NOT(ISERROR(SEARCH("TB",K154)))</formula>
    </cfRule>
  </conditionalFormatting>
  <conditionalFormatting sqref="C108 E108:AG108">
    <cfRule type="containsText" dxfId="466" priority="228" operator="containsText" text="B">
      <formula>NOT(ISERROR(SEARCH("B",C108)))</formula>
    </cfRule>
    <cfRule type="containsText" dxfId="465" priority="229" operator="containsText" text="TB">
      <formula>NOT(ISERROR(SEARCH("TB",C108)))</formula>
    </cfRule>
    <cfRule type="containsText" dxfId="464" priority="230" operator="containsText" text="T">
      <formula>NOT(ISERROR(SEARCH("T",C108)))</formula>
    </cfRule>
  </conditionalFormatting>
  <conditionalFormatting sqref="C108 E108:AG108">
    <cfRule type="containsText" dxfId="463" priority="227" operator="containsText" text="TB">
      <formula>NOT(ISERROR(SEARCH("TB",C108)))</formula>
    </cfRule>
  </conditionalFormatting>
  <conditionalFormatting sqref="D27 D29:D31 D35:D37 D40:D42 D46:D47 D59 D62 D64:D65 D68 D81:D82 D88 D93 D96:D98 D101:D102 D104:D107 D73:D74 D109:D120">
    <cfRule type="containsText" dxfId="462" priority="224" operator="containsText" text="B">
      <formula>NOT(ISERROR(SEARCH("B",D27)))</formula>
    </cfRule>
    <cfRule type="containsText" dxfId="461" priority="225" operator="containsText" text="TB">
      <formula>NOT(ISERROR(SEARCH("TB",D27)))</formula>
    </cfRule>
    <cfRule type="containsText" dxfId="460" priority="226" operator="containsText" text="T">
      <formula>NOT(ISERROR(SEARCH("T",D27)))</formula>
    </cfRule>
  </conditionalFormatting>
  <conditionalFormatting sqref="D27 D29:D31 D35:D37 D40:D42 D46:D47 D59 D62 D64:D65 D68 D81:D82 D88 D93 D96:D98 D101:D102 D104:D107 D73:D74 D109:D120">
    <cfRule type="containsText" dxfId="459" priority="223" operator="containsText" text="TB">
      <formula>NOT(ISERROR(SEARCH("TB",D27)))</formula>
    </cfRule>
  </conditionalFormatting>
  <conditionalFormatting sqref="D8:D12 D15:D19 D21 D24 D26">
    <cfRule type="containsText" dxfId="458" priority="220" operator="containsText" text="B">
      <formula>NOT(ISERROR(SEARCH("B",D8)))</formula>
    </cfRule>
    <cfRule type="containsText" dxfId="457" priority="221" operator="containsText" text="TB">
      <formula>NOT(ISERROR(SEARCH("TB",D8)))</formula>
    </cfRule>
    <cfRule type="containsText" dxfId="456" priority="222" operator="containsText" text="T">
      <formula>NOT(ISERROR(SEARCH("T",D8)))</formula>
    </cfRule>
  </conditionalFormatting>
  <conditionalFormatting sqref="D8:D12 D15:D19 D21 D24 D26">
    <cfRule type="containsText" dxfId="455" priority="219" operator="containsText" text="TB">
      <formula>NOT(ISERROR(SEARCH("TB",D8)))</formula>
    </cfRule>
  </conditionalFormatting>
  <conditionalFormatting sqref="D7">
    <cfRule type="containsText" dxfId="454" priority="216" operator="containsText" text="B">
      <formula>NOT(ISERROR(SEARCH("B",D7)))</formula>
    </cfRule>
    <cfRule type="containsText" dxfId="453" priority="217" operator="containsText" text="TB">
      <formula>NOT(ISERROR(SEARCH("TB",D7)))</formula>
    </cfRule>
    <cfRule type="containsText" dxfId="452" priority="218" operator="containsText" text="T">
      <formula>NOT(ISERROR(SEARCH("T",D7)))</formula>
    </cfRule>
  </conditionalFormatting>
  <conditionalFormatting sqref="D7">
    <cfRule type="containsText" dxfId="451" priority="215" operator="containsText" text="TB">
      <formula>NOT(ISERROR(SEARCH("TB",D7)))</formula>
    </cfRule>
  </conditionalFormatting>
  <conditionalFormatting sqref="D13:D14">
    <cfRule type="containsText" dxfId="450" priority="212" operator="containsText" text="B">
      <formula>NOT(ISERROR(SEARCH("B",D13)))</formula>
    </cfRule>
    <cfRule type="containsText" dxfId="449" priority="213" operator="containsText" text="TB">
      <formula>NOT(ISERROR(SEARCH("TB",D13)))</formula>
    </cfRule>
    <cfRule type="containsText" dxfId="448" priority="214" operator="containsText" text="T">
      <formula>NOT(ISERROR(SEARCH("T",D13)))</formula>
    </cfRule>
  </conditionalFormatting>
  <conditionalFormatting sqref="D13:D14">
    <cfRule type="containsText" dxfId="447" priority="211" operator="containsText" text="TB">
      <formula>NOT(ISERROR(SEARCH("TB",D13)))</formula>
    </cfRule>
  </conditionalFormatting>
  <conditionalFormatting sqref="D20">
    <cfRule type="containsText" dxfId="446" priority="208" operator="containsText" text="B">
      <formula>NOT(ISERROR(SEARCH("B",D20)))</formula>
    </cfRule>
    <cfRule type="containsText" dxfId="445" priority="209" operator="containsText" text="TB">
      <formula>NOT(ISERROR(SEARCH("TB",D20)))</formula>
    </cfRule>
    <cfRule type="containsText" dxfId="444" priority="210" operator="containsText" text="T">
      <formula>NOT(ISERROR(SEARCH("T",D20)))</formula>
    </cfRule>
  </conditionalFormatting>
  <conditionalFormatting sqref="D20">
    <cfRule type="containsText" dxfId="443" priority="207" operator="containsText" text="TB">
      <formula>NOT(ISERROR(SEARCH("TB",D20)))</formula>
    </cfRule>
  </conditionalFormatting>
  <conditionalFormatting sqref="D22:D23">
    <cfRule type="containsText" dxfId="442" priority="204" operator="containsText" text="B">
      <formula>NOT(ISERROR(SEARCH("B",D22)))</formula>
    </cfRule>
    <cfRule type="containsText" dxfId="441" priority="205" operator="containsText" text="TB">
      <formula>NOT(ISERROR(SEARCH("TB",D22)))</formula>
    </cfRule>
    <cfRule type="containsText" dxfId="440" priority="206" operator="containsText" text="T">
      <formula>NOT(ISERROR(SEARCH("T",D22)))</formula>
    </cfRule>
  </conditionalFormatting>
  <conditionalFormatting sqref="D22:D23">
    <cfRule type="containsText" dxfId="439" priority="203" operator="containsText" text="TB">
      <formula>NOT(ISERROR(SEARCH("TB",D22)))</formula>
    </cfRule>
  </conditionalFormatting>
  <conditionalFormatting sqref="D25">
    <cfRule type="containsText" dxfId="438" priority="200" operator="containsText" text="B">
      <formula>NOT(ISERROR(SEARCH("B",D25)))</formula>
    </cfRule>
    <cfRule type="containsText" dxfId="437" priority="201" operator="containsText" text="TB">
      <formula>NOT(ISERROR(SEARCH("TB",D25)))</formula>
    </cfRule>
    <cfRule type="containsText" dxfId="436" priority="202" operator="containsText" text="T">
      <formula>NOT(ISERROR(SEARCH("T",D25)))</formula>
    </cfRule>
  </conditionalFormatting>
  <conditionalFormatting sqref="D25">
    <cfRule type="containsText" dxfId="435" priority="199" operator="containsText" text="TB">
      <formula>NOT(ISERROR(SEARCH("TB",D25)))</formula>
    </cfRule>
  </conditionalFormatting>
  <conditionalFormatting sqref="D28">
    <cfRule type="containsText" dxfId="434" priority="196" operator="containsText" text="B">
      <formula>NOT(ISERROR(SEARCH("B",D28)))</formula>
    </cfRule>
    <cfRule type="containsText" dxfId="433" priority="197" operator="containsText" text="TB">
      <formula>NOT(ISERROR(SEARCH("TB",D28)))</formula>
    </cfRule>
    <cfRule type="containsText" dxfId="432" priority="198" operator="containsText" text="T">
      <formula>NOT(ISERROR(SEARCH("T",D28)))</formula>
    </cfRule>
  </conditionalFormatting>
  <conditionalFormatting sqref="D28">
    <cfRule type="containsText" dxfId="431" priority="195" operator="containsText" text="TB">
      <formula>NOT(ISERROR(SEARCH("TB",D28)))</formula>
    </cfRule>
  </conditionalFormatting>
  <conditionalFormatting sqref="D32:D34">
    <cfRule type="containsText" dxfId="430" priority="192" operator="containsText" text="B">
      <formula>NOT(ISERROR(SEARCH("B",D32)))</formula>
    </cfRule>
    <cfRule type="containsText" dxfId="429" priority="193" operator="containsText" text="TB">
      <formula>NOT(ISERROR(SEARCH("TB",D32)))</formula>
    </cfRule>
    <cfRule type="containsText" dxfId="428" priority="194" operator="containsText" text="T">
      <formula>NOT(ISERROR(SEARCH("T",D32)))</formula>
    </cfRule>
  </conditionalFormatting>
  <conditionalFormatting sqref="D32:D34">
    <cfRule type="containsText" dxfId="427" priority="191" operator="containsText" text="TB">
      <formula>NOT(ISERROR(SEARCH("TB",D32)))</formula>
    </cfRule>
  </conditionalFormatting>
  <conditionalFormatting sqref="D38:D39">
    <cfRule type="containsText" dxfId="426" priority="188" operator="containsText" text="B">
      <formula>NOT(ISERROR(SEARCH("B",D38)))</formula>
    </cfRule>
    <cfRule type="containsText" dxfId="425" priority="189" operator="containsText" text="TB">
      <formula>NOT(ISERROR(SEARCH("TB",D38)))</formula>
    </cfRule>
    <cfRule type="containsText" dxfId="424" priority="190" operator="containsText" text="T">
      <formula>NOT(ISERROR(SEARCH("T",D38)))</formula>
    </cfRule>
  </conditionalFormatting>
  <conditionalFormatting sqref="D38:D39">
    <cfRule type="containsText" dxfId="423" priority="187" operator="containsText" text="TB">
      <formula>NOT(ISERROR(SEARCH("TB",D38)))</formula>
    </cfRule>
  </conditionalFormatting>
  <conditionalFormatting sqref="D43:D45">
    <cfRule type="containsText" dxfId="422" priority="184" operator="containsText" text="B">
      <formula>NOT(ISERROR(SEARCH("B",D43)))</formula>
    </cfRule>
    <cfRule type="containsText" dxfId="421" priority="185" operator="containsText" text="TB">
      <formula>NOT(ISERROR(SEARCH("TB",D43)))</formula>
    </cfRule>
    <cfRule type="containsText" dxfId="420" priority="186" operator="containsText" text="T">
      <formula>NOT(ISERROR(SEARCH("T",D43)))</formula>
    </cfRule>
  </conditionalFormatting>
  <conditionalFormatting sqref="D43:D45">
    <cfRule type="containsText" dxfId="419" priority="183" operator="containsText" text="TB">
      <formula>NOT(ISERROR(SEARCH("TB",D43)))</formula>
    </cfRule>
  </conditionalFormatting>
  <conditionalFormatting sqref="D48:D50">
    <cfRule type="containsText" dxfId="418" priority="180" operator="containsText" text="B">
      <formula>NOT(ISERROR(SEARCH("B",D48)))</formula>
    </cfRule>
    <cfRule type="containsText" dxfId="417" priority="181" operator="containsText" text="TB">
      <formula>NOT(ISERROR(SEARCH("TB",D48)))</formula>
    </cfRule>
    <cfRule type="containsText" dxfId="416" priority="182" operator="containsText" text="T">
      <formula>NOT(ISERROR(SEARCH("T",D48)))</formula>
    </cfRule>
  </conditionalFormatting>
  <conditionalFormatting sqref="D48:D50">
    <cfRule type="containsText" dxfId="415" priority="179" operator="containsText" text="TB">
      <formula>NOT(ISERROR(SEARCH("TB",D48)))</formula>
    </cfRule>
  </conditionalFormatting>
  <conditionalFormatting sqref="D51:D53">
    <cfRule type="containsText" dxfId="414" priority="176" operator="containsText" text="B">
      <formula>NOT(ISERROR(SEARCH("B",D51)))</formula>
    </cfRule>
    <cfRule type="containsText" dxfId="413" priority="177" operator="containsText" text="TB">
      <formula>NOT(ISERROR(SEARCH("TB",D51)))</formula>
    </cfRule>
    <cfRule type="containsText" dxfId="412" priority="178" operator="containsText" text="T">
      <formula>NOT(ISERROR(SEARCH("T",D51)))</formula>
    </cfRule>
  </conditionalFormatting>
  <conditionalFormatting sqref="D51:D53">
    <cfRule type="containsText" dxfId="411" priority="175" operator="containsText" text="TB">
      <formula>NOT(ISERROR(SEARCH("TB",D51)))</formula>
    </cfRule>
  </conditionalFormatting>
  <conditionalFormatting sqref="D54:D55">
    <cfRule type="containsText" dxfId="410" priority="172" operator="containsText" text="B">
      <formula>NOT(ISERROR(SEARCH("B",D54)))</formula>
    </cfRule>
    <cfRule type="containsText" dxfId="409" priority="173" operator="containsText" text="TB">
      <formula>NOT(ISERROR(SEARCH("TB",D54)))</formula>
    </cfRule>
    <cfRule type="containsText" dxfId="408" priority="174" operator="containsText" text="T">
      <formula>NOT(ISERROR(SEARCH("T",D54)))</formula>
    </cfRule>
  </conditionalFormatting>
  <conditionalFormatting sqref="D54:D55">
    <cfRule type="containsText" dxfId="407" priority="171" operator="containsText" text="TB">
      <formula>NOT(ISERROR(SEARCH("TB",D54)))</formula>
    </cfRule>
  </conditionalFormatting>
  <conditionalFormatting sqref="D56:D58">
    <cfRule type="containsText" dxfId="406" priority="168" operator="containsText" text="B">
      <formula>NOT(ISERROR(SEARCH("B",D56)))</formula>
    </cfRule>
    <cfRule type="containsText" dxfId="405" priority="169" operator="containsText" text="TB">
      <formula>NOT(ISERROR(SEARCH("TB",D56)))</formula>
    </cfRule>
    <cfRule type="containsText" dxfId="404" priority="170" operator="containsText" text="T">
      <formula>NOT(ISERROR(SEARCH("T",D56)))</formula>
    </cfRule>
  </conditionalFormatting>
  <conditionalFormatting sqref="D56:D58">
    <cfRule type="containsText" dxfId="403" priority="167" operator="containsText" text="TB">
      <formula>NOT(ISERROR(SEARCH("TB",D56)))</formula>
    </cfRule>
  </conditionalFormatting>
  <conditionalFormatting sqref="D60:D61">
    <cfRule type="containsText" dxfId="402" priority="164" operator="containsText" text="B">
      <formula>NOT(ISERROR(SEARCH("B",D60)))</formula>
    </cfRule>
    <cfRule type="containsText" dxfId="401" priority="165" operator="containsText" text="TB">
      <formula>NOT(ISERROR(SEARCH("TB",D60)))</formula>
    </cfRule>
    <cfRule type="containsText" dxfId="400" priority="166" operator="containsText" text="T">
      <formula>NOT(ISERROR(SEARCH("T",D60)))</formula>
    </cfRule>
  </conditionalFormatting>
  <conditionalFormatting sqref="D60:D61">
    <cfRule type="containsText" dxfId="399" priority="163" operator="containsText" text="TB">
      <formula>NOT(ISERROR(SEARCH("TB",D60)))</formula>
    </cfRule>
  </conditionalFormatting>
  <conditionalFormatting sqref="D63">
    <cfRule type="containsText" dxfId="398" priority="160" operator="containsText" text="B">
      <formula>NOT(ISERROR(SEARCH("B",D63)))</formula>
    </cfRule>
    <cfRule type="containsText" dxfId="397" priority="161" operator="containsText" text="TB">
      <formula>NOT(ISERROR(SEARCH("TB",D63)))</formula>
    </cfRule>
    <cfRule type="containsText" dxfId="396" priority="162" operator="containsText" text="T">
      <formula>NOT(ISERROR(SEARCH("T",D63)))</formula>
    </cfRule>
  </conditionalFormatting>
  <conditionalFormatting sqref="D63">
    <cfRule type="containsText" dxfId="395" priority="159" operator="containsText" text="TB">
      <formula>NOT(ISERROR(SEARCH("TB",D63)))</formula>
    </cfRule>
  </conditionalFormatting>
  <conditionalFormatting sqref="D66">
    <cfRule type="containsText" dxfId="394" priority="156" operator="containsText" text="B">
      <formula>NOT(ISERROR(SEARCH("B",D66)))</formula>
    </cfRule>
    <cfRule type="containsText" dxfId="393" priority="157" operator="containsText" text="TB">
      <formula>NOT(ISERROR(SEARCH("TB",D66)))</formula>
    </cfRule>
    <cfRule type="containsText" dxfId="392" priority="158" operator="containsText" text="T">
      <formula>NOT(ISERROR(SEARCH("T",D66)))</formula>
    </cfRule>
  </conditionalFormatting>
  <conditionalFormatting sqref="D66">
    <cfRule type="containsText" dxfId="391" priority="155" operator="containsText" text="TB">
      <formula>NOT(ISERROR(SEARCH("TB",D66)))</formula>
    </cfRule>
  </conditionalFormatting>
  <conditionalFormatting sqref="D67">
    <cfRule type="containsText" dxfId="390" priority="152" operator="containsText" text="B">
      <formula>NOT(ISERROR(SEARCH("B",D67)))</formula>
    </cfRule>
    <cfRule type="containsText" dxfId="389" priority="153" operator="containsText" text="TB">
      <formula>NOT(ISERROR(SEARCH("TB",D67)))</formula>
    </cfRule>
    <cfRule type="containsText" dxfId="388" priority="154" operator="containsText" text="T">
      <formula>NOT(ISERROR(SEARCH("T",D67)))</formula>
    </cfRule>
  </conditionalFormatting>
  <conditionalFormatting sqref="D67">
    <cfRule type="containsText" dxfId="387" priority="151" operator="containsText" text="TB">
      <formula>NOT(ISERROR(SEARCH("TB",D67)))</formula>
    </cfRule>
  </conditionalFormatting>
  <conditionalFormatting sqref="D69:D70">
    <cfRule type="containsText" dxfId="386" priority="148" operator="containsText" text="B">
      <formula>NOT(ISERROR(SEARCH("B",D69)))</formula>
    </cfRule>
    <cfRule type="containsText" dxfId="385" priority="149" operator="containsText" text="TB">
      <formula>NOT(ISERROR(SEARCH("TB",D69)))</formula>
    </cfRule>
    <cfRule type="containsText" dxfId="384" priority="150" operator="containsText" text="T">
      <formula>NOT(ISERROR(SEARCH("T",D69)))</formula>
    </cfRule>
  </conditionalFormatting>
  <conditionalFormatting sqref="D69:D70">
    <cfRule type="containsText" dxfId="383" priority="147" operator="containsText" text="TB">
      <formula>NOT(ISERROR(SEARCH("TB",D69)))</formula>
    </cfRule>
  </conditionalFormatting>
  <conditionalFormatting sqref="D75">
    <cfRule type="containsText" dxfId="382" priority="144" operator="containsText" text="B">
      <formula>NOT(ISERROR(SEARCH("B",D75)))</formula>
    </cfRule>
    <cfRule type="containsText" dxfId="381" priority="145" operator="containsText" text="TB">
      <formula>NOT(ISERROR(SEARCH("TB",D75)))</formula>
    </cfRule>
    <cfRule type="containsText" dxfId="380" priority="146" operator="containsText" text="T">
      <formula>NOT(ISERROR(SEARCH("T",D75)))</formula>
    </cfRule>
  </conditionalFormatting>
  <conditionalFormatting sqref="D75">
    <cfRule type="containsText" dxfId="379" priority="143" operator="containsText" text="TB">
      <formula>NOT(ISERROR(SEARCH("TB",D75)))</formula>
    </cfRule>
  </conditionalFormatting>
  <conditionalFormatting sqref="D77">
    <cfRule type="containsText" dxfId="378" priority="140" operator="containsText" text="B">
      <formula>NOT(ISERROR(SEARCH("B",D77)))</formula>
    </cfRule>
    <cfRule type="containsText" dxfId="377" priority="141" operator="containsText" text="TB">
      <formula>NOT(ISERROR(SEARCH("TB",D77)))</formula>
    </cfRule>
    <cfRule type="containsText" dxfId="376" priority="142" operator="containsText" text="T">
      <formula>NOT(ISERROR(SEARCH("T",D77)))</formula>
    </cfRule>
  </conditionalFormatting>
  <conditionalFormatting sqref="D77">
    <cfRule type="containsText" dxfId="375" priority="139" operator="containsText" text="TB">
      <formula>NOT(ISERROR(SEARCH("TB",D77)))</formula>
    </cfRule>
  </conditionalFormatting>
  <conditionalFormatting sqref="D80">
    <cfRule type="containsText" dxfId="374" priority="136" operator="containsText" text="B">
      <formula>NOT(ISERROR(SEARCH("B",D80)))</formula>
    </cfRule>
    <cfRule type="containsText" dxfId="373" priority="137" operator="containsText" text="TB">
      <formula>NOT(ISERROR(SEARCH("TB",D80)))</formula>
    </cfRule>
    <cfRule type="containsText" dxfId="372" priority="138" operator="containsText" text="T">
      <formula>NOT(ISERROR(SEARCH("T",D80)))</formula>
    </cfRule>
  </conditionalFormatting>
  <conditionalFormatting sqref="D80">
    <cfRule type="containsText" dxfId="371" priority="135" operator="containsText" text="TB">
      <formula>NOT(ISERROR(SEARCH("TB",D80)))</formula>
    </cfRule>
  </conditionalFormatting>
  <conditionalFormatting sqref="D83:D84">
    <cfRule type="containsText" dxfId="370" priority="132" operator="containsText" text="B">
      <formula>NOT(ISERROR(SEARCH("B",D83)))</formula>
    </cfRule>
    <cfRule type="containsText" dxfId="369" priority="133" operator="containsText" text="TB">
      <formula>NOT(ISERROR(SEARCH("TB",D83)))</formula>
    </cfRule>
    <cfRule type="containsText" dxfId="368" priority="134" operator="containsText" text="T">
      <formula>NOT(ISERROR(SEARCH("T",D83)))</formula>
    </cfRule>
  </conditionalFormatting>
  <conditionalFormatting sqref="D83:D84">
    <cfRule type="containsText" dxfId="367" priority="131" operator="containsText" text="TB">
      <formula>NOT(ISERROR(SEARCH("TB",D83)))</formula>
    </cfRule>
  </conditionalFormatting>
  <conditionalFormatting sqref="D85:D87">
    <cfRule type="containsText" dxfId="366" priority="128" operator="containsText" text="B">
      <formula>NOT(ISERROR(SEARCH("B",D85)))</formula>
    </cfRule>
    <cfRule type="containsText" dxfId="365" priority="129" operator="containsText" text="TB">
      <formula>NOT(ISERROR(SEARCH("TB",D85)))</formula>
    </cfRule>
    <cfRule type="containsText" dxfId="364" priority="130" operator="containsText" text="T">
      <formula>NOT(ISERROR(SEARCH("T",D85)))</formula>
    </cfRule>
  </conditionalFormatting>
  <conditionalFormatting sqref="D85:D87">
    <cfRule type="containsText" dxfId="363" priority="127" operator="containsText" text="TB">
      <formula>NOT(ISERROR(SEARCH("TB",D85)))</formula>
    </cfRule>
  </conditionalFormatting>
  <conditionalFormatting sqref="D89:D90">
    <cfRule type="containsText" dxfId="362" priority="124" operator="containsText" text="B">
      <formula>NOT(ISERROR(SEARCH("B",D89)))</formula>
    </cfRule>
    <cfRule type="containsText" dxfId="361" priority="125" operator="containsText" text="TB">
      <formula>NOT(ISERROR(SEARCH("TB",D89)))</formula>
    </cfRule>
    <cfRule type="containsText" dxfId="360" priority="126" operator="containsText" text="T">
      <formula>NOT(ISERROR(SEARCH("T",D89)))</formula>
    </cfRule>
  </conditionalFormatting>
  <conditionalFormatting sqref="D89:D90">
    <cfRule type="containsText" dxfId="359" priority="123" operator="containsText" text="TB">
      <formula>NOT(ISERROR(SEARCH("TB",D89)))</formula>
    </cfRule>
  </conditionalFormatting>
  <conditionalFormatting sqref="D94">
    <cfRule type="containsText" dxfId="358" priority="120" operator="containsText" text="B">
      <formula>NOT(ISERROR(SEARCH("B",D94)))</formula>
    </cfRule>
    <cfRule type="containsText" dxfId="357" priority="121" operator="containsText" text="TB">
      <formula>NOT(ISERROR(SEARCH("TB",D94)))</formula>
    </cfRule>
    <cfRule type="containsText" dxfId="356" priority="122" operator="containsText" text="T">
      <formula>NOT(ISERROR(SEARCH("T",D94)))</formula>
    </cfRule>
  </conditionalFormatting>
  <conditionalFormatting sqref="D94">
    <cfRule type="containsText" dxfId="355" priority="119" operator="containsText" text="TB">
      <formula>NOT(ISERROR(SEARCH("TB",D94)))</formula>
    </cfRule>
  </conditionalFormatting>
  <conditionalFormatting sqref="D95">
    <cfRule type="containsText" dxfId="354" priority="116" operator="containsText" text="B">
      <formula>NOT(ISERROR(SEARCH("B",D95)))</formula>
    </cfRule>
    <cfRule type="containsText" dxfId="353" priority="117" operator="containsText" text="TB">
      <formula>NOT(ISERROR(SEARCH("TB",D95)))</formula>
    </cfRule>
    <cfRule type="containsText" dxfId="352" priority="118" operator="containsText" text="T">
      <formula>NOT(ISERROR(SEARCH("T",D95)))</formula>
    </cfRule>
  </conditionalFormatting>
  <conditionalFormatting sqref="D95">
    <cfRule type="containsText" dxfId="351" priority="115" operator="containsText" text="TB">
      <formula>NOT(ISERROR(SEARCH("TB",D95)))</formula>
    </cfRule>
  </conditionalFormatting>
  <conditionalFormatting sqref="D99:D100">
    <cfRule type="containsText" dxfId="350" priority="112" operator="containsText" text="B">
      <formula>NOT(ISERROR(SEARCH("B",D99)))</formula>
    </cfRule>
    <cfRule type="containsText" dxfId="349" priority="113" operator="containsText" text="TB">
      <formula>NOT(ISERROR(SEARCH("TB",D99)))</formula>
    </cfRule>
    <cfRule type="containsText" dxfId="348" priority="114" operator="containsText" text="T">
      <formula>NOT(ISERROR(SEARCH("T",D99)))</formula>
    </cfRule>
  </conditionalFormatting>
  <conditionalFormatting sqref="D99:D100">
    <cfRule type="containsText" dxfId="347" priority="111" operator="containsText" text="TB">
      <formula>NOT(ISERROR(SEARCH("TB",D99)))</formula>
    </cfRule>
  </conditionalFormatting>
  <conditionalFormatting sqref="D103">
    <cfRule type="containsText" dxfId="346" priority="108" operator="containsText" text="B">
      <formula>NOT(ISERROR(SEARCH("B",D103)))</formula>
    </cfRule>
    <cfRule type="containsText" dxfId="345" priority="109" operator="containsText" text="TB">
      <formula>NOT(ISERROR(SEARCH("TB",D103)))</formula>
    </cfRule>
    <cfRule type="containsText" dxfId="344" priority="110" operator="containsText" text="T">
      <formula>NOT(ISERROR(SEARCH("T",D103)))</formula>
    </cfRule>
  </conditionalFormatting>
  <conditionalFormatting sqref="D103">
    <cfRule type="containsText" dxfId="343" priority="107" operator="containsText" text="TB">
      <formula>NOT(ISERROR(SEARCH("TB",D103)))</formula>
    </cfRule>
  </conditionalFormatting>
  <conditionalFormatting sqref="D71:D72">
    <cfRule type="containsText" dxfId="342" priority="104" operator="containsText" text="B">
      <formula>NOT(ISERROR(SEARCH("B",D71)))</formula>
    </cfRule>
    <cfRule type="containsText" dxfId="341" priority="105" operator="containsText" text="TB">
      <formula>NOT(ISERROR(SEARCH("TB",D71)))</formula>
    </cfRule>
    <cfRule type="containsText" dxfId="340" priority="106" operator="containsText" text="T">
      <formula>NOT(ISERROR(SEARCH("T",D71)))</formula>
    </cfRule>
  </conditionalFormatting>
  <conditionalFormatting sqref="D71:D72">
    <cfRule type="containsText" dxfId="339" priority="103" operator="containsText" text="TB">
      <formula>NOT(ISERROR(SEARCH("TB",D71)))</formula>
    </cfRule>
  </conditionalFormatting>
  <conditionalFormatting sqref="D76">
    <cfRule type="containsText" dxfId="338" priority="100" operator="containsText" text="B">
      <formula>NOT(ISERROR(SEARCH("B",D76)))</formula>
    </cfRule>
    <cfRule type="containsText" dxfId="337" priority="101" operator="containsText" text="TB">
      <formula>NOT(ISERROR(SEARCH("TB",D76)))</formula>
    </cfRule>
    <cfRule type="containsText" dxfId="336" priority="102" operator="containsText" text="T">
      <formula>NOT(ISERROR(SEARCH("T",D76)))</formula>
    </cfRule>
  </conditionalFormatting>
  <conditionalFormatting sqref="D76">
    <cfRule type="containsText" dxfId="335" priority="99" operator="containsText" text="TB">
      <formula>NOT(ISERROR(SEARCH("TB",D76)))</formula>
    </cfRule>
  </conditionalFormatting>
  <conditionalFormatting sqref="D78">
    <cfRule type="containsText" dxfId="334" priority="96" operator="containsText" text="B">
      <formula>NOT(ISERROR(SEARCH("B",D78)))</formula>
    </cfRule>
    <cfRule type="containsText" dxfId="333" priority="97" operator="containsText" text="TB">
      <formula>NOT(ISERROR(SEARCH("TB",D78)))</formula>
    </cfRule>
    <cfRule type="containsText" dxfId="332" priority="98" operator="containsText" text="T">
      <formula>NOT(ISERROR(SEARCH("T",D78)))</formula>
    </cfRule>
  </conditionalFormatting>
  <conditionalFormatting sqref="D78">
    <cfRule type="containsText" dxfId="331" priority="95" operator="containsText" text="TB">
      <formula>NOT(ISERROR(SEARCH("TB",D78)))</formula>
    </cfRule>
  </conditionalFormatting>
  <conditionalFormatting sqref="D79">
    <cfRule type="containsText" dxfId="330" priority="92" operator="containsText" text="B">
      <formula>NOT(ISERROR(SEARCH("B",D79)))</formula>
    </cfRule>
    <cfRule type="containsText" dxfId="329" priority="93" operator="containsText" text="TB">
      <formula>NOT(ISERROR(SEARCH("TB",D79)))</formula>
    </cfRule>
    <cfRule type="containsText" dxfId="328" priority="94" operator="containsText" text="T">
      <formula>NOT(ISERROR(SEARCH("T",D79)))</formula>
    </cfRule>
  </conditionalFormatting>
  <conditionalFormatting sqref="D79">
    <cfRule type="containsText" dxfId="327" priority="91" operator="containsText" text="TB">
      <formula>NOT(ISERROR(SEARCH("TB",D79)))</formula>
    </cfRule>
  </conditionalFormatting>
  <conditionalFormatting sqref="D91:D92">
    <cfRule type="containsText" dxfId="326" priority="88" operator="containsText" text="B">
      <formula>NOT(ISERROR(SEARCH("B",D91)))</formula>
    </cfRule>
    <cfRule type="containsText" dxfId="325" priority="89" operator="containsText" text="TB">
      <formula>NOT(ISERROR(SEARCH("TB",D91)))</formula>
    </cfRule>
    <cfRule type="containsText" dxfId="324" priority="90" operator="containsText" text="T">
      <formula>NOT(ISERROR(SEARCH("T",D91)))</formula>
    </cfRule>
  </conditionalFormatting>
  <conditionalFormatting sqref="D91:D92">
    <cfRule type="containsText" dxfId="323" priority="87" operator="containsText" text="TB">
      <formula>NOT(ISERROR(SEARCH("TB",D91)))</formula>
    </cfRule>
  </conditionalFormatting>
  <conditionalFormatting sqref="D108">
    <cfRule type="containsText" dxfId="322" priority="84" operator="containsText" text="B">
      <formula>NOT(ISERROR(SEARCH("B",D108)))</formula>
    </cfRule>
    <cfRule type="containsText" dxfId="321" priority="85" operator="containsText" text="TB">
      <formula>NOT(ISERROR(SEARCH("TB",D108)))</formula>
    </cfRule>
    <cfRule type="containsText" dxfId="320" priority="86" operator="containsText" text="T">
      <formula>NOT(ISERROR(SEARCH("T",D108)))</formula>
    </cfRule>
  </conditionalFormatting>
  <conditionalFormatting sqref="D108">
    <cfRule type="containsText" dxfId="319" priority="83" operator="containsText" text="TB">
      <formula>NOT(ISERROR(SEARCH("TB",D108)))</formula>
    </cfRule>
  </conditionalFormatting>
  <conditionalFormatting sqref="C122:AG122">
    <cfRule type="containsText" dxfId="318" priority="82" operator="containsText" text="TB">
      <formula>NOT(ISERROR(SEARCH("TB",C122)))</formula>
    </cfRule>
  </conditionalFormatting>
  <conditionalFormatting sqref="B152">
    <cfRule type="expression" dxfId="317" priority="79">
      <formula>AND($AK152&gt;0,$W152&gt;89)</formula>
    </cfRule>
    <cfRule type="expression" dxfId="316" priority="80">
      <formula>AND($AK152&gt;0,$W152&gt;59)</formula>
    </cfRule>
    <cfRule type="expression" dxfId="315" priority="81">
      <formula>AND($AK152&gt;0,$W152&gt;44)</formula>
    </cfRule>
  </conditionalFormatting>
  <conditionalFormatting sqref="B153">
    <cfRule type="expression" dxfId="314" priority="76">
      <formula>AND($AK153&gt;0,$W153&gt;89)</formula>
    </cfRule>
    <cfRule type="expression" dxfId="313" priority="77">
      <formula>AND($AK153&gt;0,$W153&gt;59)</formula>
    </cfRule>
    <cfRule type="expression" dxfId="312" priority="78">
      <formula>AND($AK153&gt;0,$W153&gt;44)</formula>
    </cfRule>
  </conditionalFormatting>
  <conditionalFormatting sqref="B154">
    <cfRule type="expression" dxfId="311" priority="73">
      <formula>AND($AK154&gt;0,$W154&gt;89)</formula>
    </cfRule>
    <cfRule type="expression" dxfId="310" priority="74">
      <formula>AND($AK154&gt;0,$W154&gt;59)</formula>
    </cfRule>
    <cfRule type="expression" dxfId="309" priority="75">
      <formula>AND($AK154&gt;0,$W154&gt;44)</formula>
    </cfRule>
  </conditionalFormatting>
  <conditionalFormatting sqref="B155">
    <cfRule type="expression" dxfId="308" priority="70">
      <formula>AND($AK155&gt;0,$W155&gt;89)</formula>
    </cfRule>
    <cfRule type="expression" dxfId="307" priority="71">
      <formula>AND($AK155&gt;0,$W155&gt;59)</formula>
    </cfRule>
    <cfRule type="expression" dxfId="306" priority="72">
      <formula>AND($AK155&gt;0,$W155&gt;44)</formula>
    </cfRule>
  </conditionalFormatting>
  <conditionalFormatting sqref="B156">
    <cfRule type="expression" dxfId="305" priority="67">
      <formula>AND($AK156&gt;0,$W156&gt;89)</formula>
    </cfRule>
    <cfRule type="expression" dxfId="304" priority="68">
      <formula>AND($AK156&gt;0,$W156&gt;59)</formula>
    </cfRule>
    <cfRule type="expression" dxfId="303" priority="69">
      <formula>AND($AK156&gt;0,$W156&gt;44)</formula>
    </cfRule>
  </conditionalFormatting>
  <conditionalFormatting sqref="B157">
    <cfRule type="expression" dxfId="302" priority="64">
      <formula>AND($AK157&gt;0,$W157&gt;89)</formula>
    </cfRule>
    <cfRule type="expression" dxfId="301" priority="65">
      <formula>AND($AK157&gt;0,$W157&gt;59)</formula>
    </cfRule>
    <cfRule type="expression" dxfId="300" priority="66">
      <formula>AND($AK157&gt;0,$W157&gt;44)</formula>
    </cfRule>
  </conditionalFormatting>
  <conditionalFormatting sqref="B158">
    <cfRule type="expression" dxfId="299" priority="61">
      <formula>AND($AK158&gt;0,$W158&gt;89)</formula>
    </cfRule>
    <cfRule type="expression" dxfId="298" priority="62">
      <formula>AND($AK158&gt;0,$W158&gt;59)</formula>
    </cfRule>
    <cfRule type="expression" dxfId="297" priority="63">
      <formula>AND($AK158&gt;0,$W158&gt;44)</formula>
    </cfRule>
  </conditionalFormatting>
  <conditionalFormatting sqref="B159">
    <cfRule type="expression" dxfId="296" priority="58">
      <formula>AND($AK159&gt;0,$W159&gt;89)</formula>
    </cfRule>
    <cfRule type="expression" dxfId="295" priority="59">
      <formula>AND($AK159&gt;0,$W159&gt;59)</formula>
    </cfRule>
    <cfRule type="expression" dxfId="294" priority="60">
      <formula>AND($AK159&gt;0,$W159&gt;44)</formula>
    </cfRule>
  </conditionalFormatting>
  <conditionalFormatting sqref="B160">
    <cfRule type="expression" dxfId="293" priority="55">
      <formula>AND($AK160&gt;0,$W160&gt;89)</formula>
    </cfRule>
    <cfRule type="expression" dxfId="292" priority="56">
      <formula>AND($AK160&gt;0,$W160&gt;59)</formula>
    </cfRule>
    <cfRule type="expression" dxfId="291" priority="57">
      <formula>AND($AK160&gt;0,$W160&gt;44)</formula>
    </cfRule>
  </conditionalFormatting>
  <conditionalFormatting sqref="B161">
    <cfRule type="expression" dxfId="290" priority="52">
      <formula>AND($AK161&gt;0,$W161&gt;89)</formula>
    </cfRule>
    <cfRule type="expression" dxfId="289" priority="53">
      <formula>AND($AK161&gt;0,$W161&gt;59)</formula>
    </cfRule>
    <cfRule type="expression" dxfId="288" priority="54">
      <formula>AND($AK161&gt;0,$W161&gt;44)</formula>
    </cfRule>
  </conditionalFormatting>
  <conditionalFormatting sqref="B162">
    <cfRule type="expression" dxfId="287" priority="49">
      <formula>AND($AK162&gt;0,$W162&gt;89)</formula>
    </cfRule>
    <cfRule type="expression" dxfId="286" priority="50">
      <formula>AND($AK162&gt;0,$W162&gt;59)</formula>
    </cfRule>
    <cfRule type="expression" dxfId="285" priority="51">
      <formula>AND($AK162&gt;0,$W162&gt;44)</formula>
    </cfRule>
  </conditionalFormatting>
  <conditionalFormatting sqref="B163">
    <cfRule type="expression" dxfId="284" priority="46">
      <formula>AND($AK163&gt;0,$W163&gt;89)</formula>
    </cfRule>
    <cfRule type="expression" dxfId="283" priority="47">
      <formula>AND($AK163&gt;0,$W163&gt;59)</formula>
    </cfRule>
    <cfRule type="expression" dxfId="282" priority="48">
      <formula>AND($AK163&gt;0,$W163&gt;44)</formula>
    </cfRule>
  </conditionalFormatting>
  <conditionalFormatting sqref="B164">
    <cfRule type="expression" dxfId="281" priority="43">
      <formula>AND($AK164&gt;0,$W164&gt;89)</formula>
    </cfRule>
    <cfRule type="expression" dxfId="280" priority="44">
      <formula>AND($AK164&gt;0,$W164&gt;59)</formula>
    </cfRule>
    <cfRule type="expression" dxfId="279" priority="45">
      <formula>AND($AK164&gt;0,$W164&gt;44)</formula>
    </cfRule>
  </conditionalFormatting>
  <conditionalFormatting sqref="B165">
    <cfRule type="expression" dxfId="278" priority="40">
      <formula>AND($AK165&gt;0,$W165&gt;89)</formula>
    </cfRule>
    <cfRule type="expression" dxfId="277" priority="41">
      <formula>AND($AK165&gt;0,$W165&gt;59)</formula>
    </cfRule>
    <cfRule type="expression" dxfId="276" priority="42">
      <formula>AND($AK165&gt;0,$W165&gt;44)</formula>
    </cfRule>
  </conditionalFormatting>
  <conditionalFormatting sqref="B166">
    <cfRule type="expression" dxfId="275" priority="37">
      <formula>AND($AK166&gt;0,$W166&gt;89)</formula>
    </cfRule>
    <cfRule type="expression" dxfId="274" priority="38">
      <formula>AND($AK166&gt;0,$W166&gt;59)</formula>
    </cfRule>
    <cfRule type="expression" dxfId="273" priority="39">
      <formula>AND($AK166&gt;0,$W166&gt;44)</formula>
    </cfRule>
  </conditionalFormatting>
  <conditionalFormatting sqref="B167">
    <cfRule type="expression" dxfId="272" priority="34">
      <formula>AND($AK167&gt;0,$W167&gt;89)</formula>
    </cfRule>
    <cfRule type="expression" dxfId="271" priority="35">
      <formula>AND($AK167&gt;0,$W167&gt;59)</formula>
    </cfRule>
    <cfRule type="expression" dxfId="270" priority="36">
      <formula>AND($AK167&gt;0,$W167&gt;44)</formula>
    </cfRule>
  </conditionalFormatting>
  <conditionalFormatting sqref="B168">
    <cfRule type="expression" dxfId="269" priority="31">
      <formula>AND($AK168&gt;0,$W168&gt;89)</formula>
    </cfRule>
    <cfRule type="expression" dxfId="268" priority="32">
      <formula>AND($AK168&gt;0,$W168&gt;59)</formula>
    </cfRule>
    <cfRule type="expression" dxfId="267" priority="33">
      <formula>AND($AK168&gt;0,$W168&gt;44)</formula>
    </cfRule>
  </conditionalFormatting>
  <conditionalFormatting sqref="B169">
    <cfRule type="expression" dxfId="266" priority="28">
      <formula>AND($AK169&gt;0,$W169&gt;89)</formula>
    </cfRule>
    <cfRule type="expression" dxfId="265" priority="29">
      <formula>AND($AK169&gt;0,$W169&gt;59)</formula>
    </cfRule>
    <cfRule type="expression" dxfId="264" priority="30">
      <formula>AND($AK169&gt;0,$W169&gt;44)</formula>
    </cfRule>
  </conditionalFormatting>
  <conditionalFormatting sqref="B170">
    <cfRule type="expression" dxfId="263" priority="25">
      <formula>AND($AK170&gt;0,$W170&gt;89)</formula>
    </cfRule>
    <cfRule type="expression" dxfId="262" priority="26">
      <formula>AND($AK170&gt;0,$W170&gt;59)</formula>
    </cfRule>
    <cfRule type="expression" dxfId="261" priority="27">
      <formula>AND($AK170&gt;0,$W170&gt;44)</formula>
    </cfRule>
  </conditionalFormatting>
  <conditionalFormatting sqref="B171">
    <cfRule type="expression" dxfId="260" priority="22">
      <formula>AND($AK171&gt;0,$W171&gt;89)</formula>
    </cfRule>
    <cfRule type="expression" dxfId="259" priority="23">
      <formula>AND($AK171&gt;0,$W171&gt;59)</formula>
    </cfRule>
    <cfRule type="expression" dxfId="258" priority="24">
      <formula>AND($AK171&gt;0,$W171&gt;44)</formula>
    </cfRule>
  </conditionalFormatting>
  <conditionalFormatting sqref="B172">
    <cfRule type="expression" dxfId="257" priority="19">
      <formula>AND($AK172&gt;0,$W172&gt;89)</formula>
    </cfRule>
    <cfRule type="expression" dxfId="256" priority="20">
      <formula>AND($AK172&gt;0,$W172&gt;59)</formula>
    </cfRule>
    <cfRule type="expression" dxfId="255" priority="21">
      <formula>AND($AK172&gt;0,$W172&gt;44)</formula>
    </cfRule>
  </conditionalFormatting>
  <conditionalFormatting sqref="B173">
    <cfRule type="expression" dxfId="254" priority="16">
      <formula>AND($AK173&gt;0,$W173&gt;89)</formula>
    </cfRule>
    <cfRule type="expression" dxfId="253" priority="17">
      <formula>AND($AK173&gt;0,$W173&gt;59)</formula>
    </cfRule>
    <cfRule type="expression" dxfId="252" priority="18">
      <formula>AND($AK173&gt;0,$W173&gt;44)</formula>
    </cfRule>
  </conditionalFormatting>
  <conditionalFormatting sqref="B174">
    <cfRule type="expression" dxfId="251" priority="13">
      <formula>AND($AK174&gt;0,$W174&gt;89)</formula>
    </cfRule>
    <cfRule type="expression" dxfId="250" priority="14">
      <formula>AND($AK174&gt;0,$W174&gt;59)</formula>
    </cfRule>
    <cfRule type="expression" dxfId="249" priority="15">
      <formula>AND($AK174&gt;0,$W174&gt;44)</formula>
    </cfRule>
  </conditionalFormatting>
  <conditionalFormatting sqref="B175">
    <cfRule type="expression" dxfId="248" priority="10">
      <formula>AND($AK175&gt;0,$W175&gt;89)</formula>
    </cfRule>
    <cfRule type="expression" dxfId="247" priority="11">
      <formula>AND($AK175&gt;0,$W175&gt;59)</formula>
    </cfRule>
    <cfRule type="expression" dxfId="246" priority="12">
      <formula>AND($AK175&gt;0,$W175&gt;44)</formula>
    </cfRule>
  </conditionalFormatting>
  <conditionalFormatting sqref="B176">
    <cfRule type="expression" dxfId="245" priority="7">
      <formula>AND($AK176&gt;0,$W176&gt;89)</formula>
    </cfRule>
    <cfRule type="expression" dxfId="244" priority="8">
      <formula>AND($AK176&gt;0,$W176&gt;59)</formula>
    </cfRule>
    <cfRule type="expression" dxfId="243" priority="9">
      <formula>AND($AK176&gt;0,$W176&gt;44)</formula>
    </cfRule>
  </conditionalFormatting>
  <conditionalFormatting sqref="B177">
    <cfRule type="expression" dxfId="242" priority="4">
      <formula>AND($AK177&gt;0,$W177&gt;89)</formula>
    </cfRule>
    <cfRule type="expression" dxfId="241" priority="5">
      <formula>AND($AK177&gt;0,$W177&gt;59)</formula>
    </cfRule>
    <cfRule type="expression" dxfId="240" priority="6">
      <formula>AND($AK177&gt;0,$W177&gt;44)</formula>
    </cfRule>
  </conditionalFormatting>
  <conditionalFormatting sqref="B178">
    <cfRule type="expression" dxfId="239" priority="1">
      <formula>AND($AK178&gt;0,$W178&gt;89)</formula>
    </cfRule>
    <cfRule type="expression" dxfId="238" priority="2">
      <formula>AND($AK178&gt;0,$W178&gt;59)</formula>
    </cfRule>
    <cfRule type="expression" dxfId="237" priority="3">
      <formula>AND($AK178&gt;0,$W178&gt;44)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zoomScale="90" zoomScaleNormal="90" workbookViewId="0">
      <pane xSplit="1" ySplit="3" topLeftCell="B82" activePane="bottomRight" state="frozen"/>
      <selection pane="topRight" activeCell="B1" sqref="B1"/>
      <selection pane="bottomLeft" activeCell="A4" sqref="A4"/>
      <selection pane="bottomRight" activeCell="D11" sqref="D11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</cols>
  <sheetData>
    <row r="1" spans="1:13" ht="20.25" thickTop="1" thickBot="1">
      <c r="A1" s="105" t="s">
        <v>194</v>
      </c>
      <c r="B1" s="105"/>
      <c r="C1" s="105"/>
      <c r="D1" s="105"/>
      <c r="E1" s="105"/>
      <c r="F1" s="105"/>
      <c r="G1" s="105"/>
      <c r="H1" s="105"/>
      <c r="I1" s="105"/>
      <c r="J1" s="106"/>
      <c r="K1" s="106"/>
      <c r="L1" s="106"/>
      <c r="M1" s="106"/>
    </row>
    <row r="2" spans="1:13" ht="20.25" thickTop="1" thickBot="1">
      <c r="A2" s="105" t="s">
        <v>195</v>
      </c>
      <c r="B2" s="105"/>
      <c r="C2" s="105"/>
      <c r="D2" s="105"/>
      <c r="E2" s="105"/>
      <c r="F2" s="105"/>
      <c r="G2" s="105"/>
      <c r="H2" s="105"/>
      <c r="I2" s="105"/>
      <c r="J2" s="106"/>
      <c r="K2" s="106"/>
      <c r="L2" s="106"/>
      <c r="M2" s="106"/>
    </row>
    <row r="3" spans="1:13" ht="16.5" thickTop="1" thickBot="1">
      <c r="A3" s="107" t="s">
        <v>70</v>
      </c>
      <c r="B3" s="107" t="s">
        <v>71</v>
      </c>
      <c r="C3" s="107" t="s">
        <v>196</v>
      </c>
      <c r="D3" s="107" t="s">
        <v>197</v>
      </c>
      <c r="E3" s="107" t="s">
        <v>198</v>
      </c>
      <c r="F3" s="107" t="s">
        <v>199</v>
      </c>
      <c r="G3" s="107" t="s">
        <v>200</v>
      </c>
      <c r="H3" s="107" t="s">
        <v>201</v>
      </c>
      <c r="I3" s="107" t="s">
        <v>202</v>
      </c>
      <c r="J3" s="106"/>
      <c r="K3" s="106"/>
      <c r="L3" s="106"/>
      <c r="M3" s="106"/>
    </row>
    <row r="4" spans="1:13" ht="15.75" thickTop="1">
      <c r="A4" s="108">
        <v>1</v>
      </c>
      <c r="B4" s="63" t="s">
        <v>203</v>
      </c>
      <c r="C4" s="109">
        <f t="shared" ref="C4:C67" si="0">SUMIFS(tballsa,tballnk,B4)</f>
        <v>10196500</v>
      </c>
      <c r="D4" s="110"/>
      <c r="E4" s="111">
        <f>C4-D4</f>
        <v>10196500</v>
      </c>
      <c r="F4" s="112"/>
      <c r="G4" s="111"/>
      <c r="H4" s="111">
        <f t="shared" ref="H4:H51" si="1">E4-G4</f>
        <v>10196500</v>
      </c>
      <c r="I4" s="113"/>
      <c r="J4" s="106"/>
      <c r="K4" s="106"/>
      <c r="L4" s="106"/>
      <c r="M4" s="106"/>
    </row>
    <row r="5" spans="1:13">
      <c r="A5" s="76">
        <f>1+A4</f>
        <v>2</v>
      </c>
      <c r="B5" s="63" t="s">
        <v>86</v>
      </c>
      <c r="C5" s="109">
        <f t="shared" si="0"/>
        <v>179662500</v>
      </c>
      <c r="D5" s="110">
        <v>93650000</v>
      </c>
      <c r="E5" s="111">
        <f t="shared" ref="E5:E68" si="2">C5-D5</f>
        <v>86012500</v>
      </c>
      <c r="F5" s="114"/>
      <c r="G5" s="111"/>
      <c r="H5" s="111">
        <f>E5-G5</f>
        <v>86012500</v>
      </c>
      <c r="I5" s="115"/>
      <c r="J5" s="106"/>
      <c r="K5" s="106"/>
      <c r="L5" s="106"/>
      <c r="M5" s="106"/>
    </row>
    <row r="6" spans="1:13">
      <c r="A6" s="76">
        <f t="shared" ref="A6:A69" si="3">1+A5</f>
        <v>3</v>
      </c>
      <c r="B6" s="63" t="s">
        <v>128</v>
      </c>
      <c r="C6" s="109">
        <f t="shared" si="0"/>
        <v>563325000</v>
      </c>
      <c r="D6" s="110">
        <v>423525000</v>
      </c>
      <c r="E6" s="111">
        <f t="shared" si="2"/>
        <v>139800000</v>
      </c>
      <c r="F6" s="114"/>
      <c r="G6" s="111"/>
      <c r="H6" s="111">
        <f t="shared" si="1"/>
        <v>139800000</v>
      </c>
      <c r="I6" s="115"/>
      <c r="J6" s="106"/>
      <c r="K6" s="106"/>
      <c r="L6" s="106"/>
      <c r="M6" s="106"/>
    </row>
    <row r="7" spans="1:13">
      <c r="A7" s="76">
        <f t="shared" si="3"/>
        <v>4</v>
      </c>
      <c r="B7" s="63" t="s">
        <v>84</v>
      </c>
      <c r="C7" s="109">
        <f t="shared" si="0"/>
        <v>234459200</v>
      </c>
      <c r="D7" s="110">
        <v>116000000</v>
      </c>
      <c r="E7" s="111">
        <f t="shared" si="2"/>
        <v>118459200</v>
      </c>
      <c r="F7" s="114"/>
      <c r="G7" s="111"/>
      <c r="H7" s="111">
        <f t="shared" si="1"/>
        <v>118459200</v>
      </c>
      <c r="I7" s="115"/>
      <c r="J7" s="106"/>
      <c r="K7" s="106"/>
      <c r="L7" s="106"/>
      <c r="M7" s="106"/>
    </row>
    <row r="8" spans="1:13">
      <c r="A8" s="76">
        <f t="shared" si="3"/>
        <v>5</v>
      </c>
      <c r="B8" s="63" t="s">
        <v>93</v>
      </c>
      <c r="C8" s="109">
        <f t="shared" si="0"/>
        <v>30968000</v>
      </c>
      <c r="D8" s="116">
        <v>30968000</v>
      </c>
      <c r="E8" s="111">
        <f t="shared" si="2"/>
        <v>0</v>
      </c>
      <c r="F8" s="114"/>
      <c r="G8" s="111"/>
      <c r="H8" s="111">
        <f t="shared" si="1"/>
        <v>0</v>
      </c>
      <c r="I8" s="115"/>
      <c r="J8" s="106"/>
      <c r="K8" s="106"/>
      <c r="L8" s="106"/>
      <c r="M8" s="106"/>
    </row>
    <row r="9" spans="1:13">
      <c r="A9" s="76">
        <f t="shared" si="3"/>
        <v>6</v>
      </c>
      <c r="B9" s="63" t="s">
        <v>101</v>
      </c>
      <c r="C9" s="109">
        <f t="shared" si="0"/>
        <v>8525000</v>
      </c>
      <c r="D9" s="110">
        <v>8525000</v>
      </c>
      <c r="E9" s="111">
        <f t="shared" si="2"/>
        <v>0</v>
      </c>
      <c r="F9" s="114"/>
      <c r="G9" s="111"/>
      <c r="H9" s="111">
        <f t="shared" si="1"/>
        <v>0</v>
      </c>
      <c r="I9" s="115"/>
      <c r="J9" s="106"/>
      <c r="K9" s="106"/>
      <c r="L9" s="106"/>
      <c r="M9" s="106"/>
    </row>
    <row r="10" spans="1:13">
      <c r="A10" s="76">
        <f t="shared" si="3"/>
        <v>7</v>
      </c>
      <c r="B10" s="63" t="s">
        <v>103</v>
      </c>
      <c r="C10" s="109">
        <f t="shared" si="0"/>
        <v>261060000</v>
      </c>
      <c r="D10" s="116">
        <v>200000000</v>
      </c>
      <c r="E10" s="111">
        <f t="shared" si="2"/>
        <v>61060000</v>
      </c>
      <c r="F10" s="114"/>
      <c r="G10" s="111"/>
      <c r="H10" s="111">
        <f t="shared" si="1"/>
        <v>61060000</v>
      </c>
      <c r="I10" s="115"/>
      <c r="J10" s="106"/>
      <c r="K10" s="106"/>
      <c r="L10" s="106"/>
      <c r="M10" s="106"/>
    </row>
    <row r="11" spans="1:13">
      <c r="A11" s="76">
        <f t="shared" si="3"/>
        <v>8</v>
      </c>
      <c r="B11" s="63" t="s">
        <v>106</v>
      </c>
      <c r="C11" s="109">
        <f t="shared" si="0"/>
        <v>107841800</v>
      </c>
      <c r="D11" s="110">
        <v>60000000</v>
      </c>
      <c r="E11" s="111">
        <f t="shared" si="2"/>
        <v>47841800</v>
      </c>
      <c r="F11" s="114"/>
      <c r="G11" s="111"/>
      <c r="H11" s="111">
        <f t="shared" si="1"/>
        <v>47841800</v>
      </c>
      <c r="I11" s="115"/>
      <c r="J11" s="106"/>
      <c r="K11" s="106"/>
      <c r="L11" s="106"/>
      <c r="M11" s="106"/>
    </row>
    <row r="12" spans="1:13">
      <c r="A12" s="76">
        <f t="shared" si="3"/>
        <v>9</v>
      </c>
      <c r="B12" s="63" t="s">
        <v>108</v>
      </c>
      <c r="C12" s="109">
        <f t="shared" si="0"/>
        <v>34906000</v>
      </c>
      <c r="D12" s="116">
        <v>34906000</v>
      </c>
      <c r="E12" s="111">
        <f t="shared" si="2"/>
        <v>0</v>
      </c>
      <c r="F12" s="117"/>
      <c r="G12" s="118"/>
      <c r="H12" s="118">
        <f t="shared" si="1"/>
        <v>0</v>
      </c>
      <c r="I12" s="115"/>
      <c r="J12" s="106"/>
      <c r="K12" s="106"/>
      <c r="L12" s="106"/>
      <c r="M12" s="106"/>
    </row>
    <row r="13" spans="1:13">
      <c r="A13" s="76">
        <f t="shared" si="3"/>
        <v>10</v>
      </c>
      <c r="B13" s="63" t="s">
        <v>110</v>
      </c>
      <c r="C13" s="109">
        <f t="shared" si="0"/>
        <v>27727000</v>
      </c>
      <c r="D13" s="110">
        <v>27727000</v>
      </c>
      <c r="E13" s="111">
        <f t="shared" si="2"/>
        <v>0</v>
      </c>
      <c r="F13" s="117"/>
      <c r="G13" s="118"/>
      <c r="H13" s="118">
        <f t="shared" si="1"/>
        <v>0</v>
      </c>
      <c r="I13" s="115"/>
      <c r="J13" s="106"/>
      <c r="K13" s="106"/>
      <c r="L13" s="106"/>
      <c r="M13" s="106"/>
    </row>
    <row r="14" spans="1:13">
      <c r="A14" s="76">
        <f t="shared" si="3"/>
        <v>11</v>
      </c>
      <c r="B14" s="63" t="s">
        <v>113</v>
      </c>
      <c r="C14" s="110">
        <f t="shared" si="0"/>
        <v>124845000</v>
      </c>
      <c r="D14" s="110">
        <v>67095000</v>
      </c>
      <c r="E14" s="111">
        <f t="shared" si="2"/>
        <v>57750000</v>
      </c>
      <c r="F14" s="117"/>
      <c r="G14" s="118"/>
      <c r="H14" s="118">
        <f t="shared" si="1"/>
        <v>57750000</v>
      </c>
      <c r="I14" s="115"/>
      <c r="J14" s="106"/>
      <c r="K14" s="106"/>
      <c r="L14" s="106"/>
      <c r="M14" s="106"/>
    </row>
    <row r="15" spans="1:13">
      <c r="A15" s="76">
        <f t="shared" si="3"/>
        <v>12</v>
      </c>
      <c r="B15" s="63" t="s">
        <v>115</v>
      </c>
      <c r="C15" s="110">
        <f t="shared" si="0"/>
        <v>195536500</v>
      </c>
      <c r="D15" s="110">
        <v>75576000</v>
      </c>
      <c r="E15" s="111">
        <f t="shared" si="2"/>
        <v>119960500</v>
      </c>
      <c r="F15" s="117"/>
      <c r="G15" s="118"/>
      <c r="H15" s="118">
        <f t="shared" si="1"/>
        <v>119960500</v>
      </c>
      <c r="I15" s="115"/>
      <c r="J15" s="106"/>
      <c r="K15" s="106"/>
      <c r="L15" s="106"/>
      <c r="M15" s="106"/>
    </row>
    <row r="16" spans="1:13">
      <c r="A16" s="76">
        <f t="shared" si="3"/>
        <v>13</v>
      </c>
      <c r="B16" s="63" t="s">
        <v>116</v>
      </c>
      <c r="C16" s="110">
        <f t="shared" si="0"/>
        <v>1082000000</v>
      </c>
      <c r="D16" s="116">
        <v>866000000</v>
      </c>
      <c r="E16" s="111">
        <f t="shared" si="2"/>
        <v>216000000</v>
      </c>
      <c r="F16" s="117"/>
      <c r="G16" s="118"/>
      <c r="H16" s="118">
        <f t="shared" si="1"/>
        <v>216000000</v>
      </c>
      <c r="I16" s="115"/>
      <c r="J16" s="106"/>
      <c r="K16" s="106"/>
      <c r="L16" s="106"/>
      <c r="M16" s="106"/>
    </row>
    <row r="17" spans="1:13">
      <c r="A17" s="76">
        <f t="shared" si="3"/>
        <v>14</v>
      </c>
      <c r="B17" s="63" t="s">
        <v>117</v>
      </c>
      <c r="C17" s="110">
        <f t="shared" si="0"/>
        <v>1684251000</v>
      </c>
      <c r="D17" s="110">
        <v>1684251000</v>
      </c>
      <c r="E17" s="111">
        <f t="shared" si="2"/>
        <v>0</v>
      </c>
      <c r="F17" s="117"/>
      <c r="G17" s="118"/>
      <c r="H17" s="118">
        <f t="shared" si="1"/>
        <v>0</v>
      </c>
      <c r="I17" s="115"/>
      <c r="J17" s="106"/>
      <c r="K17" s="106"/>
      <c r="L17" s="106"/>
      <c r="M17" s="106"/>
    </row>
    <row r="18" spans="1:13">
      <c r="A18" s="76">
        <f t="shared" si="3"/>
        <v>15</v>
      </c>
      <c r="B18" s="63" t="s">
        <v>120</v>
      </c>
      <c r="C18" s="110">
        <f t="shared" si="0"/>
        <v>111000000</v>
      </c>
      <c r="D18" s="110">
        <v>111000000</v>
      </c>
      <c r="E18" s="111">
        <f t="shared" si="2"/>
        <v>0</v>
      </c>
      <c r="F18" s="117"/>
      <c r="G18" s="118"/>
      <c r="H18" s="118">
        <f t="shared" si="1"/>
        <v>0</v>
      </c>
      <c r="I18" s="115"/>
      <c r="J18" s="106"/>
      <c r="K18" s="106"/>
      <c r="L18" s="106"/>
      <c r="M18" s="106"/>
    </row>
    <row r="19" spans="1:13">
      <c r="A19" s="76">
        <f t="shared" si="3"/>
        <v>16</v>
      </c>
      <c r="B19" s="63" t="s">
        <v>121</v>
      </c>
      <c r="C19" s="110">
        <f t="shared" si="0"/>
        <v>15962000</v>
      </c>
      <c r="D19" s="110">
        <v>15962000</v>
      </c>
      <c r="E19" s="111">
        <f t="shared" si="2"/>
        <v>0</v>
      </c>
      <c r="F19" s="117"/>
      <c r="G19" s="118"/>
      <c r="H19" s="118">
        <f t="shared" si="1"/>
        <v>0</v>
      </c>
      <c r="I19" s="115"/>
      <c r="J19" s="106"/>
      <c r="K19" s="106"/>
      <c r="L19" s="106"/>
      <c r="M19" s="106"/>
    </row>
    <row r="20" spans="1:13">
      <c r="A20" s="76">
        <f t="shared" si="3"/>
        <v>17</v>
      </c>
      <c r="B20" s="63" t="s">
        <v>124</v>
      </c>
      <c r="C20" s="110">
        <f t="shared" si="0"/>
        <v>171265500</v>
      </c>
      <c r="D20" s="116">
        <v>70000000</v>
      </c>
      <c r="E20" s="111">
        <f t="shared" si="2"/>
        <v>101265500</v>
      </c>
      <c r="F20" s="117"/>
      <c r="G20" s="118"/>
      <c r="H20" s="118">
        <f t="shared" si="1"/>
        <v>101265500</v>
      </c>
      <c r="I20" s="115"/>
      <c r="J20" s="106"/>
      <c r="K20" s="106"/>
      <c r="L20" s="106"/>
      <c r="M20" s="106"/>
    </row>
    <row r="21" spans="1:13">
      <c r="A21" s="76">
        <f t="shared" si="3"/>
        <v>18</v>
      </c>
      <c r="B21" s="63" t="s">
        <v>125</v>
      </c>
      <c r="C21" s="110">
        <f t="shared" si="0"/>
        <v>72140000</v>
      </c>
      <c r="D21" s="110">
        <v>72140000</v>
      </c>
      <c r="E21" s="111">
        <f t="shared" si="2"/>
        <v>0</v>
      </c>
      <c r="F21" s="117"/>
      <c r="G21" s="118"/>
      <c r="H21" s="118">
        <f t="shared" si="1"/>
        <v>0</v>
      </c>
      <c r="I21" s="115"/>
      <c r="J21" s="106"/>
      <c r="K21" s="106"/>
      <c r="L21" s="106"/>
      <c r="M21" s="106"/>
    </row>
    <row r="22" spans="1:13">
      <c r="A22" s="76">
        <f t="shared" si="3"/>
        <v>19</v>
      </c>
      <c r="B22" s="63" t="s">
        <v>130</v>
      </c>
      <c r="C22" s="110">
        <f t="shared" si="0"/>
        <v>1462500</v>
      </c>
      <c r="D22" s="110">
        <v>1462500</v>
      </c>
      <c r="E22" s="111">
        <f t="shared" si="2"/>
        <v>0</v>
      </c>
      <c r="F22" s="117"/>
      <c r="G22" s="118"/>
      <c r="H22" s="118">
        <f t="shared" si="1"/>
        <v>0</v>
      </c>
      <c r="I22" s="115"/>
      <c r="J22" s="106"/>
      <c r="K22" s="106"/>
      <c r="L22" s="106"/>
      <c r="M22" s="106"/>
    </row>
    <row r="23" spans="1:13">
      <c r="A23" s="76">
        <f t="shared" si="3"/>
        <v>20</v>
      </c>
      <c r="B23" s="63" t="s">
        <v>134</v>
      </c>
      <c r="C23" s="110">
        <f t="shared" si="0"/>
        <v>17720000</v>
      </c>
      <c r="D23" s="110">
        <v>17720000</v>
      </c>
      <c r="E23" s="111">
        <f t="shared" si="2"/>
        <v>0</v>
      </c>
      <c r="F23" s="117"/>
      <c r="G23" s="118"/>
      <c r="H23" s="118">
        <f t="shared" si="1"/>
        <v>0</v>
      </c>
      <c r="I23" s="115"/>
      <c r="J23" s="106"/>
      <c r="K23" s="106"/>
      <c r="L23" s="106"/>
      <c r="M23" s="106"/>
    </row>
    <row r="24" spans="1:13">
      <c r="A24" s="76">
        <f t="shared" si="3"/>
        <v>21</v>
      </c>
      <c r="B24" s="63" t="s">
        <v>47</v>
      </c>
      <c r="C24" s="110">
        <f t="shared" si="0"/>
        <v>203922000</v>
      </c>
      <c r="D24" s="110">
        <v>60000000</v>
      </c>
      <c r="E24" s="111">
        <f t="shared" si="2"/>
        <v>143922000</v>
      </c>
      <c r="F24" s="117"/>
      <c r="G24" s="118"/>
      <c r="H24" s="118">
        <f t="shared" si="1"/>
        <v>143922000</v>
      </c>
      <c r="I24" s="115"/>
      <c r="J24" s="106"/>
      <c r="K24" s="106"/>
      <c r="L24" s="106"/>
      <c r="M24" s="106"/>
    </row>
    <row r="25" spans="1:13">
      <c r="A25" s="76">
        <f t="shared" si="3"/>
        <v>22</v>
      </c>
      <c r="B25" s="63" t="s">
        <v>72</v>
      </c>
      <c r="C25" s="110">
        <f t="shared" si="0"/>
        <v>13600000</v>
      </c>
      <c r="D25" s="110">
        <v>13600000</v>
      </c>
      <c r="E25" s="111">
        <f t="shared" si="2"/>
        <v>0</v>
      </c>
      <c r="F25" s="117"/>
      <c r="G25" s="118"/>
      <c r="H25" s="118">
        <f t="shared" si="1"/>
        <v>0</v>
      </c>
      <c r="I25" s="115"/>
      <c r="J25" s="106"/>
      <c r="K25" s="106"/>
      <c r="L25" s="106"/>
      <c r="M25" s="106"/>
    </row>
    <row r="26" spans="1:13">
      <c r="A26" s="76">
        <f t="shared" si="3"/>
        <v>23</v>
      </c>
      <c r="B26" s="63" t="s">
        <v>76</v>
      </c>
      <c r="C26" s="110">
        <f t="shared" si="0"/>
        <v>111700000</v>
      </c>
      <c r="D26" s="110">
        <v>111700000</v>
      </c>
      <c r="E26" s="111">
        <f t="shared" si="2"/>
        <v>0</v>
      </c>
      <c r="F26" s="117"/>
      <c r="G26" s="118"/>
      <c r="H26" s="118">
        <f t="shared" si="1"/>
        <v>0</v>
      </c>
      <c r="I26" s="115"/>
      <c r="J26" s="106"/>
      <c r="K26" s="106"/>
      <c r="L26" s="106"/>
      <c r="M26" s="106"/>
    </row>
    <row r="27" spans="1:13">
      <c r="A27" s="76">
        <f t="shared" si="3"/>
        <v>24</v>
      </c>
      <c r="B27" s="63" t="s">
        <v>204</v>
      </c>
      <c r="C27" s="110">
        <f t="shared" si="0"/>
        <v>48797500</v>
      </c>
      <c r="D27" s="110">
        <v>48797500</v>
      </c>
      <c r="E27" s="111">
        <f t="shared" si="2"/>
        <v>0</v>
      </c>
      <c r="F27" s="117"/>
      <c r="G27" s="118"/>
      <c r="H27" s="118">
        <f t="shared" si="1"/>
        <v>0</v>
      </c>
      <c r="I27" s="115"/>
      <c r="J27" s="106"/>
      <c r="K27" s="106"/>
      <c r="L27" s="106"/>
      <c r="M27" s="106"/>
    </row>
    <row r="28" spans="1:13">
      <c r="A28" s="76">
        <f t="shared" si="3"/>
        <v>25</v>
      </c>
      <c r="B28" s="63" t="s">
        <v>78</v>
      </c>
      <c r="C28" s="110">
        <f t="shared" si="0"/>
        <v>426910000</v>
      </c>
      <c r="D28" s="116">
        <v>426910000</v>
      </c>
      <c r="E28" s="111">
        <f t="shared" si="2"/>
        <v>0</v>
      </c>
      <c r="F28" s="117"/>
      <c r="G28" s="118"/>
      <c r="H28" s="118">
        <f t="shared" si="1"/>
        <v>0</v>
      </c>
      <c r="I28" s="115"/>
      <c r="J28" s="106"/>
      <c r="K28" s="106"/>
      <c r="L28" s="106"/>
      <c r="M28" s="106"/>
    </row>
    <row r="29" spans="1:13">
      <c r="A29" s="76">
        <f t="shared" si="3"/>
        <v>26</v>
      </c>
      <c r="B29" s="63" t="s">
        <v>205</v>
      </c>
      <c r="C29" s="110">
        <f t="shared" si="0"/>
        <v>9500000</v>
      </c>
      <c r="D29" s="110"/>
      <c r="E29" s="111">
        <f t="shared" si="2"/>
        <v>9500000</v>
      </c>
      <c r="F29" s="117"/>
      <c r="G29" s="118"/>
      <c r="H29" s="118">
        <f t="shared" si="1"/>
        <v>9500000</v>
      </c>
      <c r="I29" s="115"/>
      <c r="J29" s="106"/>
      <c r="K29" s="106"/>
      <c r="L29" s="106"/>
      <c r="M29" s="106"/>
    </row>
    <row r="30" spans="1:13">
      <c r="A30" s="76">
        <f t="shared" si="3"/>
        <v>27</v>
      </c>
      <c r="B30" s="63" t="s">
        <v>82</v>
      </c>
      <c r="C30" s="110">
        <f t="shared" si="0"/>
        <v>2000000</v>
      </c>
      <c r="D30" s="110">
        <v>2000000</v>
      </c>
      <c r="E30" s="111">
        <f t="shared" si="2"/>
        <v>0</v>
      </c>
      <c r="F30" s="117"/>
      <c r="G30" s="118"/>
      <c r="H30" s="118">
        <f t="shared" si="1"/>
        <v>0</v>
      </c>
      <c r="I30" s="115"/>
      <c r="J30" s="106"/>
      <c r="K30" s="106"/>
      <c r="L30" s="106"/>
      <c r="M30" s="106"/>
    </row>
    <row r="31" spans="1:13">
      <c r="A31" s="76">
        <f t="shared" si="3"/>
        <v>28</v>
      </c>
      <c r="B31" s="63" t="s">
        <v>87</v>
      </c>
      <c r="C31" s="110">
        <f t="shared" si="0"/>
        <v>900000</v>
      </c>
      <c r="D31" s="110">
        <v>900000</v>
      </c>
      <c r="E31" s="111">
        <f t="shared" si="2"/>
        <v>0</v>
      </c>
      <c r="F31" s="117"/>
      <c r="G31" s="118"/>
      <c r="H31" s="118">
        <f t="shared" si="1"/>
        <v>0</v>
      </c>
      <c r="I31" s="115"/>
      <c r="J31" s="106"/>
      <c r="K31" s="106"/>
      <c r="L31" s="106"/>
      <c r="M31" s="106"/>
    </row>
    <row r="32" spans="1:13">
      <c r="A32" s="76">
        <f t="shared" si="3"/>
        <v>29</v>
      </c>
      <c r="B32" s="63" t="s">
        <v>88</v>
      </c>
      <c r="C32" s="110">
        <f t="shared" si="0"/>
        <v>35120000</v>
      </c>
      <c r="D32" s="110">
        <v>35120000</v>
      </c>
      <c r="E32" s="111">
        <f t="shared" si="2"/>
        <v>0</v>
      </c>
      <c r="F32" s="117"/>
      <c r="G32" s="118"/>
      <c r="H32" s="118">
        <f t="shared" si="1"/>
        <v>0</v>
      </c>
      <c r="I32" s="115"/>
      <c r="J32" s="106"/>
      <c r="K32" s="106"/>
      <c r="L32" s="106"/>
      <c r="M32" s="106"/>
    </row>
    <row r="33" spans="1:13">
      <c r="A33" s="76">
        <f t="shared" si="3"/>
        <v>30</v>
      </c>
      <c r="B33" s="63" t="s">
        <v>206</v>
      </c>
      <c r="C33" s="110">
        <f t="shared" si="0"/>
        <v>3839500</v>
      </c>
      <c r="D33" s="110">
        <v>3839500</v>
      </c>
      <c r="E33" s="111">
        <f t="shared" si="2"/>
        <v>0</v>
      </c>
      <c r="F33" s="117"/>
      <c r="G33" s="118"/>
      <c r="H33" s="118">
        <f t="shared" si="1"/>
        <v>0</v>
      </c>
      <c r="I33" s="115"/>
      <c r="J33" s="106"/>
      <c r="K33" s="106"/>
      <c r="L33" s="106"/>
      <c r="M33" s="106"/>
    </row>
    <row r="34" spans="1:13">
      <c r="A34" s="76">
        <f t="shared" si="3"/>
        <v>31</v>
      </c>
      <c r="B34" s="63" t="s">
        <v>89</v>
      </c>
      <c r="C34" s="110">
        <f t="shared" si="0"/>
        <v>24166900</v>
      </c>
      <c r="D34" s="116">
        <v>24166900</v>
      </c>
      <c r="E34" s="111">
        <f t="shared" si="2"/>
        <v>0</v>
      </c>
      <c r="F34" s="117"/>
      <c r="G34" s="118"/>
      <c r="H34" s="118">
        <f t="shared" si="1"/>
        <v>0</v>
      </c>
      <c r="I34" s="115"/>
      <c r="J34" s="106"/>
      <c r="K34" s="106"/>
      <c r="L34" s="106"/>
      <c r="M34" s="106"/>
    </row>
    <row r="35" spans="1:13">
      <c r="A35" s="76">
        <f t="shared" si="3"/>
        <v>32</v>
      </c>
      <c r="B35" s="63" t="s">
        <v>90</v>
      </c>
      <c r="C35" s="110">
        <f t="shared" si="0"/>
        <v>3570000</v>
      </c>
      <c r="D35" s="110">
        <v>3570000</v>
      </c>
      <c r="E35" s="111">
        <f t="shared" si="2"/>
        <v>0</v>
      </c>
      <c r="F35" s="74"/>
      <c r="G35" s="118"/>
      <c r="H35" s="118">
        <f t="shared" si="1"/>
        <v>0</v>
      </c>
      <c r="I35" s="115"/>
      <c r="J35" s="106"/>
      <c r="K35" s="106"/>
      <c r="L35" s="106"/>
      <c r="M35" s="106"/>
    </row>
    <row r="36" spans="1:13">
      <c r="A36" s="76">
        <f t="shared" si="3"/>
        <v>33</v>
      </c>
      <c r="B36" s="63" t="s">
        <v>149</v>
      </c>
      <c r="C36" s="110">
        <f t="shared" si="0"/>
        <v>20240000</v>
      </c>
      <c r="D36" s="110">
        <v>20240000</v>
      </c>
      <c r="E36" s="111">
        <f t="shared" si="2"/>
        <v>0</v>
      </c>
      <c r="F36" s="74"/>
      <c r="G36" s="118"/>
      <c r="H36" s="118">
        <f t="shared" si="1"/>
        <v>0</v>
      </c>
      <c r="I36" s="115"/>
      <c r="J36" s="106"/>
      <c r="K36" s="106"/>
      <c r="L36" s="106"/>
      <c r="M36" s="106"/>
    </row>
    <row r="37" spans="1:13">
      <c r="A37" s="76">
        <f t="shared" si="3"/>
        <v>34</v>
      </c>
      <c r="B37" s="63" t="s">
        <v>91</v>
      </c>
      <c r="C37" s="110">
        <f t="shared" si="0"/>
        <v>42350000</v>
      </c>
      <c r="D37" s="110">
        <v>42350000</v>
      </c>
      <c r="E37" s="111">
        <f t="shared" si="2"/>
        <v>0</v>
      </c>
      <c r="F37" s="74"/>
      <c r="G37" s="118"/>
      <c r="H37" s="118">
        <f t="shared" si="1"/>
        <v>0</v>
      </c>
      <c r="I37" s="115"/>
      <c r="J37" s="106"/>
      <c r="K37" s="106"/>
      <c r="L37" s="106"/>
      <c r="M37" s="106"/>
    </row>
    <row r="38" spans="1:13">
      <c r="A38" s="76">
        <f t="shared" si="3"/>
        <v>35</v>
      </c>
      <c r="B38" s="63" t="s">
        <v>207</v>
      </c>
      <c r="C38" s="110">
        <f t="shared" si="0"/>
        <v>3400000</v>
      </c>
      <c r="D38" s="110">
        <v>3400000</v>
      </c>
      <c r="E38" s="111">
        <f t="shared" si="2"/>
        <v>0</v>
      </c>
      <c r="F38" s="74"/>
      <c r="G38" s="118"/>
      <c r="H38" s="118">
        <f t="shared" si="1"/>
        <v>0</v>
      </c>
      <c r="I38" s="115"/>
      <c r="J38" s="106"/>
      <c r="K38" s="106"/>
      <c r="L38" s="106"/>
      <c r="M38" s="106"/>
    </row>
    <row r="39" spans="1:13">
      <c r="A39" s="76">
        <f t="shared" si="3"/>
        <v>36</v>
      </c>
      <c r="B39" s="63" t="s">
        <v>179</v>
      </c>
      <c r="C39" s="110">
        <f t="shared" si="0"/>
        <v>12350000</v>
      </c>
      <c r="D39" s="110">
        <v>12350000</v>
      </c>
      <c r="E39" s="111">
        <f t="shared" si="2"/>
        <v>0</v>
      </c>
      <c r="F39" s="74"/>
      <c r="G39" s="118"/>
      <c r="H39" s="118">
        <f t="shared" si="1"/>
        <v>0</v>
      </c>
      <c r="I39" s="115"/>
      <c r="J39" s="106"/>
      <c r="K39" s="106"/>
      <c r="L39" s="106"/>
      <c r="M39" s="106"/>
    </row>
    <row r="40" spans="1:13">
      <c r="A40" s="76">
        <f t="shared" si="3"/>
        <v>37</v>
      </c>
      <c r="B40" s="63" t="s">
        <v>151</v>
      </c>
      <c r="C40" s="110">
        <f t="shared" si="0"/>
        <v>4075000</v>
      </c>
      <c r="D40" s="110">
        <v>4075000</v>
      </c>
      <c r="E40" s="111">
        <f t="shared" si="2"/>
        <v>0</v>
      </c>
      <c r="F40" s="74"/>
      <c r="G40" s="118"/>
      <c r="H40" s="118">
        <f t="shared" si="1"/>
        <v>0</v>
      </c>
      <c r="I40" s="115"/>
      <c r="J40" s="106"/>
      <c r="K40" s="106"/>
      <c r="L40" s="106"/>
      <c r="M40" s="106"/>
    </row>
    <row r="41" spans="1:13">
      <c r="A41" s="76">
        <f t="shared" si="3"/>
        <v>38</v>
      </c>
      <c r="B41" s="63" t="s">
        <v>94</v>
      </c>
      <c r="C41" s="110">
        <f t="shared" si="0"/>
        <v>826835000</v>
      </c>
      <c r="D41" s="110">
        <v>826835000</v>
      </c>
      <c r="E41" s="111">
        <f t="shared" si="2"/>
        <v>0</v>
      </c>
      <c r="F41" s="74"/>
      <c r="G41" s="118"/>
      <c r="H41" s="118">
        <f t="shared" si="1"/>
        <v>0</v>
      </c>
      <c r="I41" s="115"/>
      <c r="J41" s="106"/>
      <c r="K41" s="106"/>
      <c r="L41" s="106"/>
      <c r="M41" s="106"/>
    </row>
    <row r="42" spans="1:13">
      <c r="A42" s="76">
        <f t="shared" si="3"/>
        <v>39</v>
      </c>
      <c r="B42" s="63" t="s">
        <v>95</v>
      </c>
      <c r="C42" s="110">
        <f t="shared" si="0"/>
        <v>2300000</v>
      </c>
      <c r="D42" s="110"/>
      <c r="E42" s="111">
        <f t="shared" si="2"/>
        <v>2300000</v>
      </c>
      <c r="F42" s="74"/>
      <c r="G42" s="118"/>
      <c r="H42" s="118">
        <f t="shared" si="1"/>
        <v>2300000</v>
      </c>
      <c r="I42" s="115"/>
      <c r="J42" s="106"/>
      <c r="K42" s="106"/>
      <c r="L42" s="106"/>
      <c r="M42" s="106"/>
    </row>
    <row r="43" spans="1:13">
      <c r="A43" s="76">
        <f t="shared" si="3"/>
        <v>40</v>
      </c>
      <c r="B43" s="63" t="s">
        <v>96</v>
      </c>
      <c r="C43" s="110">
        <f t="shared" si="0"/>
        <v>389945000</v>
      </c>
      <c r="D43" s="110">
        <v>389945000</v>
      </c>
      <c r="E43" s="111">
        <f t="shared" si="2"/>
        <v>0</v>
      </c>
      <c r="F43" s="74"/>
      <c r="G43" s="118"/>
      <c r="H43" s="118">
        <f t="shared" si="1"/>
        <v>0</v>
      </c>
      <c r="I43" s="115"/>
      <c r="J43" s="106"/>
      <c r="K43" s="106"/>
      <c r="L43" s="106"/>
      <c r="M43" s="106"/>
    </row>
    <row r="44" spans="1:13">
      <c r="A44" s="76">
        <f t="shared" si="3"/>
        <v>41</v>
      </c>
      <c r="B44" s="63" t="s">
        <v>100</v>
      </c>
      <c r="C44" s="110">
        <f t="shared" si="0"/>
        <v>12162500</v>
      </c>
      <c r="D44" s="116">
        <v>12162500</v>
      </c>
      <c r="E44" s="111">
        <f t="shared" si="2"/>
        <v>0</v>
      </c>
      <c r="F44" s="74"/>
      <c r="G44" s="118"/>
      <c r="H44" s="118">
        <f t="shared" si="1"/>
        <v>0</v>
      </c>
      <c r="I44" s="115"/>
      <c r="J44" s="106"/>
      <c r="K44" s="106"/>
      <c r="L44" s="106"/>
      <c r="M44" s="106"/>
    </row>
    <row r="45" spans="1:13">
      <c r="A45" s="76">
        <f t="shared" si="3"/>
        <v>42</v>
      </c>
      <c r="B45" s="63" t="s">
        <v>208</v>
      </c>
      <c r="C45" s="110">
        <f t="shared" si="0"/>
        <v>3340000</v>
      </c>
      <c r="D45" s="110"/>
      <c r="E45" s="111">
        <f t="shared" si="2"/>
        <v>3340000</v>
      </c>
      <c r="F45" s="74"/>
      <c r="G45" s="118"/>
      <c r="H45" s="118">
        <f t="shared" si="1"/>
        <v>3340000</v>
      </c>
      <c r="I45" s="115"/>
      <c r="J45" s="106"/>
      <c r="K45" s="106"/>
      <c r="L45" s="106"/>
      <c r="M45" s="106"/>
    </row>
    <row r="46" spans="1:13">
      <c r="A46" s="76">
        <f t="shared" si="3"/>
        <v>43</v>
      </c>
      <c r="B46" s="63" t="s">
        <v>209</v>
      </c>
      <c r="C46" s="110">
        <f t="shared" si="0"/>
        <v>12000000</v>
      </c>
      <c r="D46" s="110">
        <v>12000000</v>
      </c>
      <c r="E46" s="111">
        <f t="shared" si="2"/>
        <v>0</v>
      </c>
      <c r="F46" s="74"/>
      <c r="G46" s="118"/>
      <c r="H46" s="118">
        <f t="shared" si="1"/>
        <v>0</v>
      </c>
      <c r="I46" s="115"/>
      <c r="J46" s="106"/>
      <c r="K46" s="106"/>
      <c r="L46" s="106"/>
      <c r="M46" s="106"/>
    </row>
    <row r="47" spans="1:13">
      <c r="A47" s="76">
        <f t="shared" si="3"/>
        <v>44</v>
      </c>
      <c r="B47" s="63" t="s">
        <v>210</v>
      </c>
      <c r="C47" s="110">
        <f t="shared" si="0"/>
        <v>1785000</v>
      </c>
      <c r="D47" s="110">
        <v>1785000</v>
      </c>
      <c r="E47" s="111">
        <f t="shared" si="2"/>
        <v>0</v>
      </c>
      <c r="F47" s="74"/>
      <c r="G47" s="118"/>
      <c r="H47" s="118">
        <f t="shared" si="1"/>
        <v>0</v>
      </c>
      <c r="I47" s="115"/>
      <c r="J47" s="106"/>
      <c r="K47" s="106"/>
      <c r="L47" s="106"/>
      <c r="M47" s="106"/>
    </row>
    <row r="48" spans="1:13">
      <c r="A48" s="76">
        <f t="shared" si="3"/>
        <v>45</v>
      </c>
      <c r="B48" s="63" t="s">
        <v>154</v>
      </c>
      <c r="C48" s="110">
        <f t="shared" si="0"/>
        <v>3860000</v>
      </c>
      <c r="D48" s="110">
        <v>3860000</v>
      </c>
      <c r="E48" s="111">
        <f t="shared" si="2"/>
        <v>0</v>
      </c>
      <c r="F48" s="74"/>
      <c r="G48" s="118"/>
      <c r="H48" s="118">
        <f t="shared" si="1"/>
        <v>0</v>
      </c>
      <c r="I48" s="115"/>
      <c r="J48" s="106"/>
      <c r="K48" s="106"/>
      <c r="L48" s="106"/>
      <c r="M48" s="106"/>
    </row>
    <row r="49" spans="1:13">
      <c r="A49" s="76">
        <f t="shared" si="3"/>
        <v>46</v>
      </c>
      <c r="B49" s="63" t="s">
        <v>211</v>
      </c>
      <c r="C49" s="110">
        <f t="shared" si="0"/>
        <v>2000000</v>
      </c>
      <c r="D49" s="110">
        <v>2000000</v>
      </c>
      <c r="E49" s="111">
        <f t="shared" si="2"/>
        <v>0</v>
      </c>
      <c r="F49" s="74"/>
      <c r="G49" s="118"/>
      <c r="H49" s="118">
        <f t="shared" si="1"/>
        <v>0</v>
      </c>
      <c r="I49" s="115"/>
      <c r="J49" s="106"/>
      <c r="K49" s="106"/>
      <c r="L49" s="106"/>
      <c r="M49" s="106"/>
    </row>
    <row r="50" spans="1:13">
      <c r="A50" s="76">
        <f t="shared" si="3"/>
        <v>47</v>
      </c>
      <c r="B50" s="63" t="s">
        <v>212</v>
      </c>
      <c r="C50" s="110">
        <f t="shared" si="0"/>
        <v>1300000</v>
      </c>
      <c r="D50" s="110">
        <v>1300000</v>
      </c>
      <c r="E50" s="111">
        <f t="shared" si="2"/>
        <v>0</v>
      </c>
      <c r="F50" s="74"/>
      <c r="G50" s="118"/>
      <c r="H50" s="118">
        <f t="shared" si="1"/>
        <v>0</v>
      </c>
      <c r="I50" s="115"/>
      <c r="J50" s="106"/>
      <c r="K50" s="106"/>
      <c r="L50" s="106"/>
      <c r="M50" s="106"/>
    </row>
    <row r="51" spans="1:13">
      <c r="A51" s="76">
        <f t="shared" si="3"/>
        <v>48</v>
      </c>
      <c r="B51" s="63" t="s">
        <v>102</v>
      </c>
      <c r="C51" s="110">
        <f t="shared" si="0"/>
        <v>36165000</v>
      </c>
      <c r="D51" s="110">
        <v>36165000</v>
      </c>
      <c r="E51" s="111">
        <f t="shared" si="2"/>
        <v>0</v>
      </c>
      <c r="F51" s="74"/>
      <c r="G51" s="118"/>
      <c r="H51" s="118">
        <f t="shared" si="1"/>
        <v>0</v>
      </c>
      <c r="I51" s="115"/>
      <c r="J51" s="106"/>
      <c r="K51" s="106"/>
      <c r="L51" s="106"/>
      <c r="M51" s="106"/>
    </row>
    <row r="52" spans="1:13">
      <c r="A52" s="76">
        <f t="shared" si="3"/>
        <v>49</v>
      </c>
      <c r="B52" s="63" t="s">
        <v>156</v>
      </c>
      <c r="C52" s="110">
        <f t="shared" si="0"/>
        <v>7500000</v>
      </c>
      <c r="D52" s="110">
        <v>7500000</v>
      </c>
      <c r="E52" s="111">
        <f t="shared" si="2"/>
        <v>0</v>
      </c>
      <c r="F52" s="74"/>
      <c r="G52" s="118"/>
      <c r="H52" s="118">
        <f t="shared" ref="H52:H103" si="4">G52-D52</f>
        <v>-7500000</v>
      </c>
      <c r="I52" s="115"/>
      <c r="J52" s="106"/>
      <c r="K52" s="106"/>
      <c r="L52" s="106"/>
      <c r="M52" s="106"/>
    </row>
    <row r="53" spans="1:13">
      <c r="A53" s="76">
        <f t="shared" si="3"/>
        <v>50</v>
      </c>
      <c r="B53" s="63" t="s">
        <v>104</v>
      </c>
      <c r="C53" s="110">
        <f t="shared" si="0"/>
        <v>115630000</v>
      </c>
      <c r="D53" s="110">
        <v>115630000</v>
      </c>
      <c r="E53" s="111">
        <f t="shared" si="2"/>
        <v>0</v>
      </c>
      <c r="F53" s="74"/>
      <c r="G53" s="118"/>
      <c r="H53" s="118">
        <f t="shared" si="4"/>
        <v>-115630000</v>
      </c>
      <c r="I53" s="74"/>
      <c r="J53" s="106"/>
      <c r="K53" s="106"/>
      <c r="L53" s="106"/>
      <c r="M53" s="106"/>
    </row>
    <row r="54" spans="1:13">
      <c r="A54" s="76">
        <f t="shared" si="3"/>
        <v>51</v>
      </c>
      <c r="B54" s="63" t="s">
        <v>180</v>
      </c>
      <c r="C54" s="110">
        <f t="shared" si="0"/>
        <v>32567500</v>
      </c>
      <c r="D54" s="110">
        <v>32567500</v>
      </c>
      <c r="E54" s="111">
        <f t="shared" si="2"/>
        <v>0</v>
      </c>
      <c r="F54" s="74"/>
      <c r="G54" s="118"/>
      <c r="H54" s="118">
        <f t="shared" si="4"/>
        <v>-32567500</v>
      </c>
      <c r="I54" s="74"/>
      <c r="J54" s="106"/>
      <c r="K54" s="106"/>
      <c r="L54" s="106"/>
      <c r="M54" s="106"/>
    </row>
    <row r="55" spans="1:13">
      <c r="A55" s="76">
        <f t="shared" si="3"/>
        <v>52</v>
      </c>
      <c r="B55" s="63" t="s">
        <v>105</v>
      </c>
      <c r="C55" s="110">
        <f t="shared" si="0"/>
        <v>9275000</v>
      </c>
      <c r="D55" s="110">
        <v>9275000</v>
      </c>
      <c r="E55" s="111">
        <f t="shared" si="2"/>
        <v>0</v>
      </c>
      <c r="F55" s="74"/>
      <c r="G55" s="118"/>
      <c r="H55" s="118">
        <f t="shared" si="4"/>
        <v>-9275000</v>
      </c>
      <c r="I55" s="74"/>
      <c r="J55" s="106"/>
      <c r="K55" s="106"/>
      <c r="L55" s="106"/>
      <c r="M55" s="106"/>
    </row>
    <row r="56" spans="1:13">
      <c r="A56" s="76">
        <f t="shared" si="3"/>
        <v>53</v>
      </c>
      <c r="B56" s="63" t="s">
        <v>213</v>
      </c>
      <c r="C56" s="110">
        <f t="shared" si="0"/>
        <v>10000000</v>
      </c>
      <c r="D56" s="110">
        <v>10000000</v>
      </c>
      <c r="E56" s="111">
        <f t="shared" si="2"/>
        <v>0</v>
      </c>
      <c r="F56" s="74"/>
      <c r="G56" s="118"/>
      <c r="H56" s="118">
        <f t="shared" si="4"/>
        <v>-10000000</v>
      </c>
      <c r="I56" s="74"/>
      <c r="J56" s="106"/>
      <c r="K56" s="106"/>
      <c r="L56" s="106"/>
      <c r="M56" s="106"/>
    </row>
    <row r="57" spans="1:13">
      <c r="A57" s="76">
        <f t="shared" si="3"/>
        <v>54</v>
      </c>
      <c r="B57" s="63" t="s">
        <v>107</v>
      </c>
      <c r="C57" s="110">
        <f t="shared" si="0"/>
        <v>12475000</v>
      </c>
      <c r="D57" s="110">
        <v>12475000</v>
      </c>
      <c r="E57" s="111">
        <f t="shared" si="2"/>
        <v>0</v>
      </c>
      <c r="F57" s="74"/>
      <c r="G57" s="118"/>
      <c r="H57" s="118">
        <f t="shared" si="4"/>
        <v>-12475000</v>
      </c>
      <c r="I57" s="74"/>
      <c r="J57" s="106"/>
      <c r="K57" s="106"/>
      <c r="L57" s="106"/>
      <c r="M57" s="106"/>
    </row>
    <row r="58" spans="1:13">
      <c r="A58" s="76">
        <f t="shared" si="3"/>
        <v>55</v>
      </c>
      <c r="B58" s="63" t="s">
        <v>214</v>
      </c>
      <c r="C58" s="110">
        <f t="shared" si="0"/>
        <v>8625800</v>
      </c>
      <c r="D58" s="110">
        <v>8625800</v>
      </c>
      <c r="E58" s="111">
        <f t="shared" si="2"/>
        <v>0</v>
      </c>
      <c r="F58" s="74"/>
      <c r="G58" s="118"/>
      <c r="H58" s="118">
        <f t="shared" si="4"/>
        <v>-8625800</v>
      </c>
      <c r="I58" s="74"/>
      <c r="J58" s="106"/>
      <c r="K58" s="106"/>
      <c r="L58" s="106"/>
      <c r="M58" s="106"/>
    </row>
    <row r="59" spans="1:13">
      <c r="A59" s="76">
        <f t="shared" si="3"/>
        <v>56</v>
      </c>
      <c r="B59" s="63" t="s">
        <v>175</v>
      </c>
      <c r="C59" s="110">
        <f t="shared" si="0"/>
        <v>1900000</v>
      </c>
      <c r="D59" s="110">
        <v>1900000</v>
      </c>
      <c r="E59" s="111">
        <f t="shared" si="2"/>
        <v>0</v>
      </c>
      <c r="F59" s="74"/>
      <c r="G59" s="118"/>
      <c r="H59" s="118">
        <f t="shared" si="4"/>
        <v>-1900000</v>
      </c>
      <c r="I59" s="74"/>
      <c r="J59" s="106"/>
      <c r="K59" s="106"/>
      <c r="L59" s="106"/>
      <c r="M59" s="106"/>
    </row>
    <row r="60" spans="1:13">
      <c r="A60" s="76">
        <f t="shared" si="3"/>
        <v>57</v>
      </c>
      <c r="B60" s="63" t="s">
        <v>112</v>
      </c>
      <c r="C60" s="110">
        <f t="shared" si="0"/>
        <v>32155000</v>
      </c>
      <c r="D60" s="110">
        <v>32155000</v>
      </c>
      <c r="E60" s="111">
        <f t="shared" si="2"/>
        <v>0</v>
      </c>
      <c r="F60" s="74"/>
      <c r="G60" s="118"/>
      <c r="H60" s="118">
        <f t="shared" si="4"/>
        <v>-32155000</v>
      </c>
      <c r="I60" s="74"/>
      <c r="J60" s="106"/>
      <c r="K60" s="106"/>
      <c r="L60" s="106"/>
      <c r="M60" s="106"/>
    </row>
    <row r="61" spans="1:13">
      <c r="A61" s="76">
        <f t="shared" si="3"/>
        <v>58</v>
      </c>
      <c r="B61" s="63" t="s">
        <v>187</v>
      </c>
      <c r="C61" s="110">
        <f t="shared" si="0"/>
        <v>3080000</v>
      </c>
      <c r="D61" s="110">
        <v>3080000</v>
      </c>
      <c r="E61" s="111">
        <f t="shared" si="2"/>
        <v>0</v>
      </c>
      <c r="F61" s="74"/>
      <c r="G61" s="118"/>
      <c r="H61" s="118">
        <f t="shared" si="4"/>
        <v>-3080000</v>
      </c>
      <c r="I61" s="74"/>
      <c r="J61" s="106"/>
      <c r="K61" s="106"/>
      <c r="L61" s="106"/>
      <c r="M61" s="106"/>
    </row>
    <row r="62" spans="1:13">
      <c r="A62" s="76">
        <f t="shared" si="3"/>
        <v>59</v>
      </c>
      <c r="B62" s="63" t="s">
        <v>215</v>
      </c>
      <c r="C62" s="110">
        <f t="shared" si="0"/>
        <v>8180000</v>
      </c>
      <c r="D62" s="110">
        <v>8180000</v>
      </c>
      <c r="E62" s="111">
        <f t="shared" si="2"/>
        <v>0</v>
      </c>
      <c r="F62" s="74"/>
      <c r="G62" s="118"/>
      <c r="H62" s="118">
        <f t="shared" si="4"/>
        <v>-8180000</v>
      </c>
      <c r="I62" s="74"/>
      <c r="J62" s="106"/>
      <c r="K62" s="106"/>
      <c r="L62" s="106"/>
      <c r="M62" s="106"/>
    </row>
    <row r="63" spans="1:13">
      <c r="A63" s="76">
        <f t="shared" si="3"/>
        <v>60</v>
      </c>
      <c r="B63" s="63" t="s">
        <v>122</v>
      </c>
      <c r="C63" s="110">
        <f t="shared" si="0"/>
        <v>1950000</v>
      </c>
      <c r="D63" s="110">
        <v>1950000</v>
      </c>
      <c r="E63" s="111">
        <f t="shared" si="2"/>
        <v>0</v>
      </c>
      <c r="F63" s="74"/>
      <c r="G63" s="118"/>
      <c r="H63" s="118">
        <f t="shared" si="4"/>
        <v>-1950000</v>
      </c>
      <c r="I63" s="74"/>
      <c r="J63" s="106"/>
      <c r="K63" s="106"/>
      <c r="L63" s="106"/>
      <c r="M63" s="106"/>
    </row>
    <row r="64" spans="1:13">
      <c r="A64" s="76">
        <f t="shared" si="3"/>
        <v>61</v>
      </c>
      <c r="B64" s="63" t="s">
        <v>177</v>
      </c>
      <c r="C64" s="110">
        <f t="shared" si="0"/>
        <v>8304000</v>
      </c>
      <c r="D64" s="116">
        <v>8304000</v>
      </c>
      <c r="E64" s="111">
        <f t="shared" si="2"/>
        <v>0</v>
      </c>
      <c r="F64" s="74"/>
      <c r="G64" s="118"/>
      <c r="H64" s="118">
        <f t="shared" si="4"/>
        <v>-8304000</v>
      </c>
      <c r="I64" s="74"/>
      <c r="J64" s="106"/>
      <c r="K64" s="106"/>
      <c r="L64" s="106"/>
      <c r="M64" s="106"/>
    </row>
    <row r="65" spans="1:13">
      <c r="A65" s="76">
        <f t="shared" si="3"/>
        <v>62</v>
      </c>
      <c r="B65" s="63" t="s">
        <v>123</v>
      </c>
      <c r="C65" s="110">
        <f t="shared" si="0"/>
        <v>3160000</v>
      </c>
      <c r="D65" s="110">
        <v>3160000</v>
      </c>
      <c r="E65" s="111">
        <f t="shared" si="2"/>
        <v>0</v>
      </c>
      <c r="F65" s="74"/>
      <c r="G65" s="118"/>
      <c r="H65" s="118">
        <f t="shared" si="4"/>
        <v>-3160000</v>
      </c>
      <c r="I65" s="74"/>
      <c r="J65" s="106"/>
      <c r="K65" s="106"/>
      <c r="L65" s="106"/>
      <c r="M65" s="106"/>
    </row>
    <row r="66" spans="1:13">
      <c r="A66" s="76">
        <f t="shared" si="3"/>
        <v>63</v>
      </c>
      <c r="B66" s="63" t="s">
        <v>216</v>
      </c>
      <c r="C66" s="110">
        <f t="shared" si="0"/>
        <v>7327500</v>
      </c>
      <c r="D66" s="110">
        <v>7327500</v>
      </c>
      <c r="E66" s="111">
        <f t="shared" si="2"/>
        <v>0</v>
      </c>
      <c r="F66" s="74"/>
      <c r="G66" s="118"/>
      <c r="H66" s="118">
        <f t="shared" si="4"/>
        <v>-7327500</v>
      </c>
      <c r="I66" s="74"/>
      <c r="J66" s="106"/>
      <c r="K66" s="106"/>
      <c r="L66" s="106"/>
      <c r="M66" s="106"/>
    </row>
    <row r="67" spans="1:13">
      <c r="A67" s="76">
        <f t="shared" si="3"/>
        <v>64</v>
      </c>
      <c r="B67" s="63" t="s">
        <v>126</v>
      </c>
      <c r="C67" s="110">
        <f t="shared" si="0"/>
        <v>3400000</v>
      </c>
      <c r="D67" s="110">
        <v>3400000</v>
      </c>
      <c r="E67" s="111">
        <f t="shared" si="2"/>
        <v>0</v>
      </c>
      <c r="F67" s="74"/>
      <c r="G67" s="118"/>
      <c r="H67" s="118">
        <f t="shared" si="4"/>
        <v>-3400000</v>
      </c>
      <c r="I67" s="74"/>
      <c r="J67" s="106"/>
      <c r="K67" s="106"/>
      <c r="L67" s="106"/>
      <c r="M67" s="106"/>
    </row>
    <row r="68" spans="1:13">
      <c r="A68" s="76">
        <f t="shared" si="3"/>
        <v>65</v>
      </c>
      <c r="B68" s="63" t="s">
        <v>217</v>
      </c>
      <c r="C68" s="110">
        <f t="shared" ref="C68:C117" si="5">SUMIFS(tballsa,tballnk,B68)</f>
        <v>20800000</v>
      </c>
      <c r="D68" s="116">
        <v>20800000</v>
      </c>
      <c r="E68" s="111">
        <f t="shared" si="2"/>
        <v>0</v>
      </c>
      <c r="F68" s="74"/>
      <c r="G68" s="118"/>
      <c r="H68" s="118">
        <f t="shared" si="4"/>
        <v>-20800000</v>
      </c>
      <c r="I68" s="74"/>
      <c r="J68" s="106"/>
      <c r="K68" s="106"/>
      <c r="L68" s="106"/>
      <c r="M68" s="106"/>
    </row>
    <row r="69" spans="1:13">
      <c r="A69" s="76">
        <f t="shared" si="3"/>
        <v>66</v>
      </c>
      <c r="B69" s="63" t="s">
        <v>131</v>
      </c>
      <c r="C69" s="110">
        <f t="shared" si="5"/>
        <v>73649200</v>
      </c>
      <c r="D69" s="110">
        <v>73649200</v>
      </c>
      <c r="E69" s="111">
        <f t="shared" ref="E69:E79" si="6">C69-D69</f>
        <v>0</v>
      </c>
      <c r="F69" s="74"/>
      <c r="G69" s="118"/>
      <c r="H69" s="118">
        <f t="shared" si="4"/>
        <v>-73649200</v>
      </c>
      <c r="I69" s="74"/>
      <c r="J69" s="106"/>
      <c r="K69" s="106"/>
      <c r="L69" s="106"/>
      <c r="M69" s="106"/>
    </row>
    <row r="70" spans="1:13">
      <c r="A70" s="76">
        <f t="shared" ref="A70:A133" si="7">1+A69</f>
        <v>67</v>
      </c>
      <c r="B70" s="63" t="s">
        <v>218</v>
      </c>
      <c r="C70" s="110">
        <f t="shared" si="5"/>
        <v>10786000</v>
      </c>
      <c r="D70" s="110">
        <v>10786000</v>
      </c>
      <c r="E70" s="111">
        <f t="shared" si="6"/>
        <v>0</v>
      </c>
      <c r="F70" s="74"/>
      <c r="G70" s="118"/>
      <c r="H70" s="118">
        <f t="shared" si="4"/>
        <v>-10786000</v>
      </c>
      <c r="I70" s="74"/>
      <c r="J70" s="106"/>
      <c r="K70" s="106"/>
      <c r="L70" s="106"/>
      <c r="M70" s="106"/>
    </row>
    <row r="71" spans="1:13">
      <c r="A71" s="76">
        <f t="shared" si="7"/>
        <v>68</v>
      </c>
      <c r="B71" s="63" t="s">
        <v>162</v>
      </c>
      <c r="C71" s="110">
        <f t="shared" si="5"/>
        <v>2800000</v>
      </c>
      <c r="D71" s="110">
        <v>2800000</v>
      </c>
      <c r="E71" s="111">
        <f t="shared" si="6"/>
        <v>0</v>
      </c>
      <c r="F71" s="74"/>
      <c r="G71" s="118"/>
      <c r="H71" s="118">
        <f t="shared" si="4"/>
        <v>-2800000</v>
      </c>
      <c r="I71" s="74"/>
      <c r="J71" s="106"/>
      <c r="K71" s="106"/>
      <c r="L71" s="106"/>
      <c r="M71" s="106"/>
    </row>
    <row r="72" spans="1:13">
      <c r="A72" s="76">
        <f t="shared" si="7"/>
        <v>69</v>
      </c>
      <c r="B72" s="63" t="s">
        <v>219</v>
      </c>
      <c r="C72" s="110">
        <f t="shared" si="5"/>
        <v>1560000</v>
      </c>
      <c r="D72" s="110">
        <v>1560000</v>
      </c>
      <c r="E72" s="111">
        <f t="shared" si="6"/>
        <v>0</v>
      </c>
      <c r="F72" s="74"/>
      <c r="G72" s="118"/>
      <c r="H72" s="118">
        <f t="shared" si="4"/>
        <v>-1560000</v>
      </c>
      <c r="I72" s="74"/>
      <c r="J72" s="106"/>
      <c r="K72" s="106"/>
      <c r="L72" s="106"/>
      <c r="M72" s="106"/>
    </row>
    <row r="73" spans="1:13">
      <c r="A73" s="76">
        <f t="shared" si="7"/>
        <v>70</v>
      </c>
      <c r="B73" s="63" t="s">
        <v>220</v>
      </c>
      <c r="C73" s="110">
        <f t="shared" si="5"/>
        <v>5360000</v>
      </c>
      <c r="D73" s="110">
        <v>5360000</v>
      </c>
      <c r="E73" s="111">
        <f t="shared" si="6"/>
        <v>0</v>
      </c>
      <c r="F73" s="74"/>
      <c r="G73" s="118"/>
      <c r="H73" s="118">
        <f t="shared" si="4"/>
        <v>-5360000</v>
      </c>
      <c r="I73" s="74"/>
      <c r="J73" s="106"/>
      <c r="K73" s="106"/>
      <c r="L73" s="106"/>
      <c r="M73" s="106"/>
    </row>
    <row r="74" spans="1:13">
      <c r="A74" s="76">
        <f t="shared" si="7"/>
        <v>71</v>
      </c>
      <c r="B74" s="63" t="s">
        <v>170</v>
      </c>
      <c r="C74" s="110">
        <f t="shared" si="5"/>
        <v>5895000</v>
      </c>
      <c r="D74" s="110">
        <v>5895000</v>
      </c>
      <c r="E74" s="111">
        <f t="shared" si="6"/>
        <v>0</v>
      </c>
      <c r="F74" s="74"/>
      <c r="G74" s="118"/>
      <c r="H74" s="118">
        <f t="shared" si="4"/>
        <v>-5895000</v>
      </c>
      <c r="I74" s="74"/>
      <c r="J74" s="106"/>
      <c r="K74" s="106"/>
      <c r="L74" s="106"/>
      <c r="M74" s="106"/>
    </row>
    <row r="75" spans="1:13">
      <c r="A75" s="76">
        <f t="shared" si="7"/>
        <v>72</v>
      </c>
      <c r="B75" s="63" t="s">
        <v>221</v>
      </c>
      <c r="C75" s="110">
        <f t="shared" si="5"/>
        <v>8055000</v>
      </c>
      <c r="D75" s="110">
        <v>8055000</v>
      </c>
      <c r="E75" s="111">
        <f t="shared" si="6"/>
        <v>0</v>
      </c>
      <c r="F75" s="74"/>
      <c r="G75" s="118"/>
      <c r="H75" s="118">
        <f t="shared" si="4"/>
        <v>-8055000</v>
      </c>
      <c r="I75" s="74"/>
      <c r="J75" s="106"/>
      <c r="K75" s="106"/>
      <c r="L75" s="106"/>
      <c r="M75" s="106"/>
    </row>
    <row r="76" spans="1:13">
      <c r="A76" s="76">
        <f t="shared" si="7"/>
        <v>73</v>
      </c>
      <c r="B76" s="63" t="s">
        <v>190</v>
      </c>
      <c r="C76" s="110">
        <f t="shared" si="5"/>
        <v>4500000</v>
      </c>
      <c r="D76" s="110">
        <v>4500000</v>
      </c>
      <c r="E76" s="111">
        <f t="shared" si="6"/>
        <v>0</v>
      </c>
      <c r="F76" s="74"/>
      <c r="G76" s="118"/>
      <c r="H76" s="118">
        <f t="shared" si="4"/>
        <v>-4500000</v>
      </c>
      <c r="I76" s="74"/>
      <c r="J76" s="106"/>
      <c r="K76" s="106"/>
      <c r="L76" s="106"/>
      <c r="M76" s="106"/>
    </row>
    <row r="77" spans="1:13">
      <c r="A77" s="76">
        <f t="shared" si="7"/>
        <v>74</v>
      </c>
      <c r="B77" s="63" t="s">
        <v>183</v>
      </c>
      <c r="C77" s="110">
        <f t="shared" si="5"/>
        <v>2020000</v>
      </c>
      <c r="D77" s="110">
        <v>2020000</v>
      </c>
      <c r="E77" s="111">
        <f t="shared" si="6"/>
        <v>0</v>
      </c>
      <c r="F77" s="74"/>
      <c r="G77" s="118"/>
      <c r="H77" s="118">
        <f t="shared" si="4"/>
        <v>-2020000</v>
      </c>
      <c r="I77" s="74"/>
      <c r="J77" s="106"/>
      <c r="K77" s="106"/>
      <c r="L77" s="106"/>
      <c r="M77" s="106"/>
    </row>
    <row r="78" spans="1:13">
      <c r="A78" s="76">
        <f t="shared" si="7"/>
        <v>75</v>
      </c>
      <c r="B78" s="63" t="s">
        <v>222</v>
      </c>
      <c r="C78" s="110">
        <f t="shared" si="5"/>
        <v>8030000</v>
      </c>
      <c r="D78" s="110">
        <v>8030000</v>
      </c>
      <c r="E78" s="111">
        <f t="shared" si="6"/>
        <v>0</v>
      </c>
      <c r="F78" s="74"/>
      <c r="G78" s="118"/>
      <c r="H78" s="118">
        <f>G78-D78</f>
        <v>-8030000</v>
      </c>
      <c r="I78" s="74"/>
      <c r="J78" s="106"/>
      <c r="K78" s="106"/>
      <c r="L78" s="106"/>
      <c r="M78" s="106"/>
    </row>
    <row r="79" spans="1:13">
      <c r="A79" s="76">
        <f t="shared" si="7"/>
        <v>76</v>
      </c>
      <c r="B79" s="63" t="s">
        <v>223</v>
      </c>
      <c r="C79" s="110">
        <f t="shared" si="5"/>
        <v>35787250</v>
      </c>
      <c r="D79" s="110">
        <v>35787250</v>
      </c>
      <c r="E79" s="118">
        <f>C79-D79</f>
        <v>0</v>
      </c>
      <c r="F79" s="74"/>
      <c r="G79" s="118"/>
      <c r="H79" s="118">
        <f>G79-D79</f>
        <v>-35787250</v>
      </c>
      <c r="I79" s="74"/>
      <c r="J79" s="106"/>
      <c r="K79" s="106"/>
      <c r="L79" s="106"/>
      <c r="M79" s="106"/>
    </row>
    <row r="80" spans="1:13">
      <c r="A80" s="76">
        <f t="shared" si="7"/>
        <v>77</v>
      </c>
      <c r="B80" s="63" t="s">
        <v>224</v>
      </c>
      <c r="C80" s="110">
        <f t="shared" si="5"/>
        <v>6255000</v>
      </c>
      <c r="D80" s="110">
        <v>6255000</v>
      </c>
      <c r="E80" s="111">
        <f>C80-D80</f>
        <v>0</v>
      </c>
      <c r="F80" s="74"/>
      <c r="G80" s="118"/>
      <c r="H80" s="118">
        <f>G80-D80</f>
        <v>-6255000</v>
      </c>
      <c r="I80" s="74"/>
      <c r="J80" s="106"/>
      <c r="K80" s="106"/>
      <c r="L80" s="106"/>
      <c r="M80" s="106"/>
    </row>
    <row r="81" spans="1:13">
      <c r="A81" s="76">
        <f t="shared" si="7"/>
        <v>78</v>
      </c>
      <c r="B81" s="63" t="s">
        <v>185</v>
      </c>
      <c r="C81" s="110">
        <f t="shared" si="5"/>
        <v>14400000</v>
      </c>
      <c r="D81" s="110">
        <v>14400000</v>
      </c>
      <c r="E81" s="111">
        <f t="shared" ref="E81:E103" si="8">C81-D81</f>
        <v>0</v>
      </c>
      <c r="F81" s="74"/>
      <c r="G81" s="118"/>
      <c r="H81" s="118">
        <f t="shared" ref="H81:H87" si="9">G81-D81</f>
        <v>-14400000</v>
      </c>
      <c r="I81" s="74"/>
      <c r="J81" s="106"/>
      <c r="K81" s="106"/>
      <c r="L81" s="106"/>
      <c r="M81" s="106"/>
    </row>
    <row r="82" spans="1:13">
      <c r="A82" s="76">
        <f t="shared" si="7"/>
        <v>79</v>
      </c>
      <c r="B82" s="63" t="s">
        <v>225</v>
      </c>
      <c r="C82" s="110">
        <f t="shared" si="5"/>
        <v>2132000</v>
      </c>
      <c r="D82" s="110">
        <v>2132000</v>
      </c>
      <c r="E82" s="111">
        <f t="shared" si="8"/>
        <v>0</v>
      </c>
      <c r="F82" s="74"/>
      <c r="G82" s="118"/>
      <c r="H82" s="118">
        <f t="shared" si="9"/>
        <v>-2132000</v>
      </c>
      <c r="I82" s="74"/>
      <c r="J82" s="106"/>
      <c r="K82" s="106"/>
      <c r="L82" s="106"/>
      <c r="M82" s="106"/>
    </row>
    <row r="83" spans="1:13">
      <c r="A83" s="76">
        <f t="shared" si="7"/>
        <v>80</v>
      </c>
      <c r="B83" s="63" t="s">
        <v>137</v>
      </c>
      <c r="C83" s="110">
        <f t="shared" si="5"/>
        <v>3320000</v>
      </c>
      <c r="D83" s="110">
        <v>3320000</v>
      </c>
      <c r="E83" s="111">
        <f t="shared" si="8"/>
        <v>0</v>
      </c>
      <c r="F83" s="74"/>
      <c r="G83" s="118"/>
      <c r="H83" s="118">
        <f t="shared" si="9"/>
        <v>-3320000</v>
      </c>
      <c r="I83" s="74"/>
      <c r="J83" s="106"/>
      <c r="K83" s="106"/>
      <c r="L83" s="106"/>
      <c r="M83" s="106"/>
    </row>
    <row r="84" spans="1:13">
      <c r="A84" s="76">
        <f t="shared" si="7"/>
        <v>81</v>
      </c>
      <c r="B84" s="63" t="s">
        <v>164</v>
      </c>
      <c r="C84" s="110">
        <f t="shared" si="5"/>
        <v>17100000</v>
      </c>
      <c r="D84" s="110">
        <v>17100000</v>
      </c>
      <c r="E84" s="111">
        <f t="shared" si="8"/>
        <v>0</v>
      </c>
      <c r="F84" s="74"/>
      <c r="G84" s="118"/>
      <c r="H84" s="118">
        <f t="shared" si="9"/>
        <v>-17100000</v>
      </c>
      <c r="I84" s="74"/>
      <c r="J84" s="106"/>
      <c r="K84" s="106"/>
      <c r="L84" s="106"/>
      <c r="M84" s="106"/>
    </row>
    <row r="85" spans="1:13">
      <c r="A85" s="76">
        <f t="shared" si="7"/>
        <v>82</v>
      </c>
      <c r="B85" s="63" t="s">
        <v>141</v>
      </c>
      <c r="C85" s="110">
        <f t="shared" si="5"/>
        <v>6000000</v>
      </c>
      <c r="D85" s="110">
        <v>6000000</v>
      </c>
      <c r="E85" s="111">
        <f t="shared" si="8"/>
        <v>0</v>
      </c>
      <c r="F85" s="74"/>
      <c r="G85" s="118"/>
      <c r="H85" s="118">
        <f t="shared" si="9"/>
        <v>-6000000</v>
      </c>
      <c r="I85" s="74"/>
      <c r="J85" s="106"/>
      <c r="K85" s="106"/>
      <c r="L85" s="106"/>
      <c r="M85" s="106"/>
    </row>
    <row r="86" spans="1:13">
      <c r="A86" s="76">
        <f t="shared" si="7"/>
        <v>83</v>
      </c>
      <c r="B86" s="63" t="s">
        <v>226</v>
      </c>
      <c r="C86" s="110">
        <f t="shared" si="5"/>
        <v>2000000</v>
      </c>
      <c r="D86" s="110">
        <v>2000000</v>
      </c>
      <c r="E86" s="111">
        <f t="shared" si="8"/>
        <v>0</v>
      </c>
      <c r="F86" s="74"/>
      <c r="G86" s="118"/>
      <c r="H86" s="118">
        <f t="shared" si="9"/>
        <v>-2000000</v>
      </c>
      <c r="I86" s="74"/>
      <c r="J86" s="106"/>
      <c r="K86" s="106"/>
      <c r="L86" s="106"/>
      <c r="M86" s="106"/>
    </row>
    <row r="87" spans="1:13">
      <c r="A87" s="76">
        <f t="shared" si="7"/>
        <v>84</v>
      </c>
      <c r="B87" s="63" t="s">
        <v>142</v>
      </c>
      <c r="C87" s="110">
        <f t="shared" si="5"/>
        <v>33665000</v>
      </c>
      <c r="D87" s="110">
        <v>33665000</v>
      </c>
      <c r="E87" s="111">
        <f t="shared" si="8"/>
        <v>0</v>
      </c>
      <c r="F87" s="74"/>
      <c r="G87" s="118"/>
      <c r="H87" s="118">
        <f t="shared" si="9"/>
        <v>-33665000</v>
      </c>
      <c r="I87" s="74"/>
      <c r="J87" s="106"/>
      <c r="K87" s="106"/>
      <c r="L87" s="106"/>
      <c r="M87" s="106"/>
    </row>
    <row r="88" spans="1:13">
      <c r="A88" s="76">
        <f t="shared" si="7"/>
        <v>85</v>
      </c>
      <c r="B88" s="63"/>
      <c r="C88" s="110">
        <f t="shared" si="5"/>
        <v>0</v>
      </c>
      <c r="D88" s="110"/>
      <c r="E88" s="111">
        <f t="shared" si="8"/>
        <v>0</v>
      </c>
      <c r="F88" s="74"/>
      <c r="G88" s="118"/>
      <c r="H88" s="118">
        <f>E88-G88</f>
        <v>0</v>
      </c>
      <c r="I88" s="74"/>
      <c r="J88" s="106"/>
      <c r="K88" s="106"/>
      <c r="L88" s="106"/>
      <c r="M88" s="106"/>
    </row>
    <row r="89" spans="1:13" hidden="1">
      <c r="A89" s="76">
        <f t="shared" si="7"/>
        <v>86</v>
      </c>
      <c r="B89" s="63"/>
      <c r="C89" s="110">
        <f t="shared" si="5"/>
        <v>0</v>
      </c>
      <c r="D89" s="110"/>
      <c r="E89" s="118">
        <f t="shared" si="8"/>
        <v>0</v>
      </c>
      <c r="F89" s="74"/>
      <c r="G89" s="118"/>
      <c r="H89" s="118">
        <f>E89-G89</f>
        <v>0</v>
      </c>
      <c r="I89" s="115"/>
      <c r="J89" s="106"/>
      <c r="K89" s="106"/>
      <c r="L89" s="106"/>
      <c r="M89" s="106"/>
    </row>
    <row r="90" spans="1:13" hidden="1">
      <c r="A90" s="76">
        <f t="shared" si="7"/>
        <v>87</v>
      </c>
      <c r="B90" s="63"/>
      <c r="C90" s="110">
        <f t="shared" si="5"/>
        <v>0</v>
      </c>
      <c r="D90" s="110"/>
      <c r="E90" s="118">
        <f t="shared" si="8"/>
        <v>0</v>
      </c>
      <c r="F90" s="74"/>
      <c r="G90" s="118"/>
      <c r="H90" s="118">
        <f t="shared" ref="H90:H101" si="10">G90-D90</f>
        <v>0</v>
      </c>
      <c r="I90" s="115"/>
      <c r="J90" s="106"/>
      <c r="K90" s="106"/>
      <c r="L90" s="106"/>
      <c r="M90" s="106"/>
    </row>
    <row r="91" spans="1:13" hidden="1">
      <c r="A91" s="76">
        <f t="shared" si="7"/>
        <v>88</v>
      </c>
      <c r="B91" s="63"/>
      <c r="C91" s="110">
        <f t="shared" si="5"/>
        <v>0</v>
      </c>
      <c r="D91" s="110"/>
      <c r="E91" s="118">
        <f t="shared" si="8"/>
        <v>0</v>
      </c>
      <c r="F91" s="74"/>
      <c r="G91" s="118"/>
      <c r="H91" s="118">
        <f t="shared" si="10"/>
        <v>0</v>
      </c>
      <c r="I91" s="74"/>
      <c r="J91" s="106"/>
      <c r="K91" s="106"/>
      <c r="L91" s="106"/>
      <c r="M91" s="106"/>
    </row>
    <row r="92" spans="1:13" hidden="1">
      <c r="A92" s="76">
        <f t="shared" si="7"/>
        <v>89</v>
      </c>
      <c r="B92" s="63"/>
      <c r="C92" s="110">
        <f t="shared" si="5"/>
        <v>0</v>
      </c>
      <c r="D92" s="110"/>
      <c r="E92" s="118">
        <f t="shared" si="8"/>
        <v>0</v>
      </c>
      <c r="F92" s="74"/>
      <c r="G92" s="118"/>
      <c r="H92" s="118">
        <f t="shared" si="10"/>
        <v>0</v>
      </c>
      <c r="I92" s="74"/>
      <c r="J92" s="106"/>
      <c r="K92" s="106"/>
      <c r="L92" s="106"/>
      <c r="M92" s="106"/>
    </row>
    <row r="93" spans="1:13" hidden="1">
      <c r="A93" s="76">
        <f t="shared" si="7"/>
        <v>90</v>
      </c>
      <c r="B93" s="63"/>
      <c r="C93" s="110">
        <f t="shared" si="5"/>
        <v>0</v>
      </c>
      <c r="D93" s="110"/>
      <c r="E93" s="118">
        <f t="shared" si="8"/>
        <v>0</v>
      </c>
      <c r="F93" s="74"/>
      <c r="G93" s="118"/>
      <c r="H93" s="118">
        <f t="shared" si="10"/>
        <v>0</v>
      </c>
      <c r="I93" s="74"/>
      <c r="J93" s="106"/>
      <c r="K93" s="106"/>
      <c r="L93" s="106"/>
      <c r="M93" s="106"/>
    </row>
    <row r="94" spans="1:13" hidden="1">
      <c r="A94" s="76">
        <f t="shared" si="7"/>
        <v>91</v>
      </c>
      <c r="B94" s="63"/>
      <c r="C94" s="110">
        <f t="shared" si="5"/>
        <v>0</v>
      </c>
      <c r="D94" s="110"/>
      <c r="E94" s="118">
        <f t="shared" si="8"/>
        <v>0</v>
      </c>
      <c r="F94" s="74"/>
      <c r="G94" s="118"/>
      <c r="H94" s="118">
        <f t="shared" si="10"/>
        <v>0</v>
      </c>
      <c r="I94" s="74"/>
      <c r="J94" s="106"/>
      <c r="K94" s="106"/>
      <c r="L94" s="106"/>
      <c r="M94" s="106"/>
    </row>
    <row r="95" spans="1:13" hidden="1">
      <c r="A95" s="76">
        <f t="shared" si="7"/>
        <v>92</v>
      </c>
      <c r="B95" s="63"/>
      <c r="C95" s="110">
        <f t="shared" si="5"/>
        <v>0</v>
      </c>
      <c r="D95" s="110"/>
      <c r="E95" s="118">
        <f t="shared" si="8"/>
        <v>0</v>
      </c>
      <c r="F95" s="74"/>
      <c r="G95" s="118"/>
      <c r="H95" s="118">
        <f t="shared" si="10"/>
        <v>0</v>
      </c>
      <c r="I95" s="74"/>
      <c r="J95" s="106"/>
      <c r="K95" s="106"/>
      <c r="L95" s="106"/>
      <c r="M95" s="106"/>
    </row>
    <row r="96" spans="1:13" hidden="1">
      <c r="A96" s="76">
        <f t="shared" si="7"/>
        <v>93</v>
      </c>
      <c r="B96" s="63"/>
      <c r="C96" s="110">
        <f t="shared" si="5"/>
        <v>0</v>
      </c>
      <c r="D96" s="110"/>
      <c r="E96" s="118">
        <f t="shared" si="8"/>
        <v>0</v>
      </c>
      <c r="F96" s="74"/>
      <c r="G96" s="118"/>
      <c r="H96" s="118">
        <f t="shared" si="10"/>
        <v>0</v>
      </c>
      <c r="I96" s="74"/>
      <c r="J96" s="106"/>
      <c r="K96" s="106"/>
      <c r="L96" s="106"/>
      <c r="M96" s="106"/>
    </row>
    <row r="97" spans="1:13" hidden="1">
      <c r="A97" s="76">
        <f t="shared" si="7"/>
        <v>94</v>
      </c>
      <c r="B97" s="63"/>
      <c r="C97" s="110">
        <f t="shared" si="5"/>
        <v>0</v>
      </c>
      <c r="D97" s="116"/>
      <c r="E97" s="118">
        <f t="shared" si="8"/>
        <v>0</v>
      </c>
      <c r="F97" s="74"/>
      <c r="G97" s="118"/>
      <c r="H97" s="118">
        <f t="shared" si="10"/>
        <v>0</v>
      </c>
      <c r="I97" s="74"/>
      <c r="J97" s="106"/>
      <c r="K97" s="106"/>
      <c r="L97" s="106"/>
      <c r="M97" s="106"/>
    </row>
    <row r="98" spans="1:13" hidden="1">
      <c r="A98" s="76">
        <f t="shared" si="7"/>
        <v>95</v>
      </c>
      <c r="B98" s="63"/>
      <c r="C98" s="110">
        <f t="shared" si="5"/>
        <v>0</v>
      </c>
      <c r="D98" s="110"/>
      <c r="E98" s="118">
        <f t="shared" si="8"/>
        <v>0</v>
      </c>
      <c r="F98" s="74"/>
      <c r="G98" s="118"/>
      <c r="H98" s="118">
        <f t="shared" si="10"/>
        <v>0</v>
      </c>
      <c r="I98" s="74"/>
      <c r="J98" s="106"/>
      <c r="K98" s="106"/>
      <c r="L98" s="106"/>
      <c r="M98" s="106"/>
    </row>
    <row r="99" spans="1:13" hidden="1">
      <c r="A99" s="76">
        <f t="shared" si="7"/>
        <v>96</v>
      </c>
      <c r="B99" s="63"/>
      <c r="C99" s="110">
        <f t="shared" si="5"/>
        <v>0</v>
      </c>
      <c r="D99" s="110"/>
      <c r="E99" s="118">
        <f t="shared" si="8"/>
        <v>0</v>
      </c>
      <c r="F99" s="74"/>
      <c r="G99" s="118"/>
      <c r="H99" s="118">
        <f t="shared" si="10"/>
        <v>0</v>
      </c>
      <c r="I99" s="74"/>
      <c r="J99" s="106"/>
      <c r="K99" s="106"/>
      <c r="L99" s="106"/>
      <c r="M99" s="106"/>
    </row>
    <row r="100" spans="1:13" hidden="1">
      <c r="A100" s="76">
        <f t="shared" si="7"/>
        <v>97</v>
      </c>
      <c r="B100" s="63"/>
      <c r="C100" s="110">
        <f t="shared" si="5"/>
        <v>0</v>
      </c>
      <c r="D100" s="110"/>
      <c r="E100" s="118">
        <f t="shared" si="8"/>
        <v>0</v>
      </c>
      <c r="F100" s="74"/>
      <c r="G100" s="118"/>
      <c r="H100" s="118">
        <f t="shared" si="10"/>
        <v>0</v>
      </c>
      <c r="I100" s="74"/>
      <c r="J100" s="106"/>
      <c r="K100" s="106"/>
      <c r="L100" s="106"/>
      <c r="M100" s="106"/>
    </row>
    <row r="101" spans="1:13" hidden="1">
      <c r="A101" s="76">
        <f t="shared" si="7"/>
        <v>98</v>
      </c>
      <c r="B101" s="63"/>
      <c r="C101" s="110">
        <f t="shared" si="5"/>
        <v>0</v>
      </c>
      <c r="D101" s="110"/>
      <c r="E101" s="118">
        <f t="shared" si="8"/>
        <v>0</v>
      </c>
      <c r="F101" s="74"/>
      <c r="G101" s="118"/>
      <c r="H101" s="118">
        <f t="shared" si="10"/>
        <v>0</v>
      </c>
      <c r="I101" s="74"/>
      <c r="J101" s="106"/>
      <c r="K101" s="106"/>
      <c r="L101" s="106"/>
      <c r="M101" s="106"/>
    </row>
    <row r="102" spans="1:13" hidden="1">
      <c r="A102" s="76">
        <f t="shared" si="7"/>
        <v>99</v>
      </c>
      <c r="B102" s="63"/>
      <c r="C102" s="110">
        <f t="shared" si="5"/>
        <v>0</v>
      </c>
      <c r="D102" s="110"/>
      <c r="E102" s="118">
        <f t="shared" si="8"/>
        <v>0</v>
      </c>
      <c r="F102" s="74"/>
      <c r="G102" s="118"/>
      <c r="H102" s="118">
        <f t="shared" si="4"/>
        <v>0</v>
      </c>
      <c r="I102" s="74"/>
      <c r="J102" s="106"/>
      <c r="K102" s="106"/>
      <c r="L102" s="106"/>
      <c r="M102" s="106"/>
    </row>
    <row r="103" spans="1:13" hidden="1">
      <c r="A103" s="76">
        <f t="shared" si="7"/>
        <v>100</v>
      </c>
      <c r="B103" s="63"/>
      <c r="C103" s="110">
        <f t="shared" si="5"/>
        <v>0</v>
      </c>
      <c r="D103" s="110"/>
      <c r="E103" s="118">
        <f t="shared" si="8"/>
        <v>0</v>
      </c>
      <c r="F103" s="74"/>
      <c r="G103" s="118"/>
      <c r="H103" s="118">
        <f t="shared" si="4"/>
        <v>0</v>
      </c>
      <c r="I103" s="74"/>
      <c r="J103" s="106"/>
      <c r="K103" s="106"/>
      <c r="L103" s="106"/>
      <c r="M103" s="106"/>
    </row>
    <row r="104" spans="1:13" hidden="1">
      <c r="A104" s="76">
        <f t="shared" si="7"/>
        <v>101</v>
      </c>
      <c r="B104" s="63"/>
      <c r="C104" s="110">
        <f t="shared" si="5"/>
        <v>0</v>
      </c>
      <c r="D104" s="110"/>
      <c r="E104" s="118">
        <f>C104-D104</f>
        <v>0</v>
      </c>
      <c r="F104" s="74"/>
      <c r="G104" s="118"/>
      <c r="H104" s="118">
        <f>G104-D104</f>
        <v>0</v>
      </c>
      <c r="I104" s="74"/>
      <c r="J104" s="106"/>
      <c r="K104" s="106"/>
      <c r="L104" s="106"/>
      <c r="M104" s="106"/>
    </row>
    <row r="105" spans="1:13" hidden="1">
      <c r="A105" s="76">
        <f t="shared" si="7"/>
        <v>102</v>
      </c>
      <c r="B105" s="63"/>
      <c r="C105" s="110">
        <f t="shared" si="5"/>
        <v>0</v>
      </c>
      <c r="D105" s="110"/>
      <c r="E105" s="118">
        <f t="shared" ref="E105:E141" si="11">C105-D105</f>
        <v>0</v>
      </c>
      <c r="F105" s="74"/>
      <c r="G105" s="118"/>
      <c r="H105" s="118">
        <f t="shared" ref="H105:H111" si="12">G105-D105</f>
        <v>0</v>
      </c>
      <c r="I105" s="74"/>
      <c r="J105" s="106"/>
      <c r="K105" s="106"/>
      <c r="L105" s="106"/>
      <c r="M105" s="106"/>
    </row>
    <row r="106" spans="1:13" hidden="1">
      <c r="A106" s="76">
        <f t="shared" si="7"/>
        <v>103</v>
      </c>
      <c r="B106" s="63"/>
      <c r="C106" s="110">
        <f t="shared" si="5"/>
        <v>0</v>
      </c>
      <c r="D106" s="110"/>
      <c r="E106" s="118">
        <f t="shared" si="11"/>
        <v>0</v>
      </c>
      <c r="F106" s="74"/>
      <c r="G106" s="118"/>
      <c r="H106" s="118">
        <f t="shared" si="12"/>
        <v>0</v>
      </c>
      <c r="I106" s="74"/>
      <c r="J106" s="106"/>
      <c r="K106" s="106"/>
      <c r="L106" s="106"/>
      <c r="M106" s="106"/>
    </row>
    <row r="107" spans="1:13" hidden="1">
      <c r="A107" s="76">
        <f t="shared" si="7"/>
        <v>104</v>
      </c>
      <c r="B107" s="63"/>
      <c r="C107" s="110">
        <f t="shared" si="5"/>
        <v>0</v>
      </c>
      <c r="D107" s="110"/>
      <c r="E107" s="118">
        <f t="shared" si="11"/>
        <v>0</v>
      </c>
      <c r="F107" s="74"/>
      <c r="G107" s="118"/>
      <c r="H107" s="118">
        <f t="shared" si="12"/>
        <v>0</v>
      </c>
      <c r="I107" s="74"/>
      <c r="J107" s="106"/>
      <c r="K107" s="106"/>
      <c r="L107" s="106"/>
      <c r="M107" s="106"/>
    </row>
    <row r="108" spans="1:13" hidden="1">
      <c r="A108" s="76">
        <f t="shared" si="7"/>
        <v>105</v>
      </c>
      <c r="B108" s="63"/>
      <c r="C108" s="110">
        <f t="shared" si="5"/>
        <v>0</v>
      </c>
      <c r="D108" s="110"/>
      <c r="E108" s="118">
        <f t="shared" si="11"/>
        <v>0</v>
      </c>
      <c r="F108" s="74"/>
      <c r="G108" s="118"/>
      <c r="H108" s="118">
        <f t="shared" si="12"/>
        <v>0</v>
      </c>
      <c r="I108" s="74"/>
      <c r="J108" s="106"/>
      <c r="K108" s="106"/>
      <c r="L108" s="106"/>
      <c r="M108" s="106"/>
    </row>
    <row r="109" spans="1:13" hidden="1">
      <c r="A109" s="76">
        <f t="shared" si="7"/>
        <v>106</v>
      </c>
      <c r="B109" s="63"/>
      <c r="C109" s="110">
        <f t="shared" si="5"/>
        <v>0</v>
      </c>
      <c r="D109" s="110"/>
      <c r="E109" s="118">
        <f t="shared" si="11"/>
        <v>0</v>
      </c>
      <c r="F109" s="74"/>
      <c r="G109" s="118"/>
      <c r="H109" s="118">
        <f t="shared" si="12"/>
        <v>0</v>
      </c>
      <c r="I109" s="74"/>
      <c r="J109" s="106"/>
      <c r="K109" s="106"/>
      <c r="L109" s="106"/>
      <c r="M109" s="106"/>
    </row>
    <row r="110" spans="1:13" hidden="1">
      <c r="A110" s="76">
        <f t="shared" si="7"/>
        <v>107</v>
      </c>
      <c r="B110" s="63"/>
      <c r="C110" s="110">
        <f t="shared" si="5"/>
        <v>0</v>
      </c>
      <c r="D110" s="110"/>
      <c r="E110" s="118">
        <f t="shared" si="11"/>
        <v>0</v>
      </c>
      <c r="F110" s="74"/>
      <c r="G110" s="118"/>
      <c r="H110" s="118">
        <f t="shared" si="12"/>
        <v>0</v>
      </c>
      <c r="I110" s="74"/>
      <c r="J110" s="106"/>
      <c r="K110" s="106"/>
      <c r="L110" s="106"/>
      <c r="M110" s="106"/>
    </row>
    <row r="111" spans="1:13" hidden="1">
      <c r="A111" s="76">
        <f t="shared" si="7"/>
        <v>108</v>
      </c>
      <c r="B111" s="63"/>
      <c r="C111" s="110">
        <f t="shared" si="5"/>
        <v>0</v>
      </c>
      <c r="D111" s="110"/>
      <c r="E111" s="118">
        <f t="shared" si="11"/>
        <v>0</v>
      </c>
      <c r="F111" s="74"/>
      <c r="G111" s="118"/>
      <c r="H111" s="118">
        <f t="shared" si="12"/>
        <v>0</v>
      </c>
      <c r="I111" s="74"/>
      <c r="J111" s="106"/>
      <c r="K111" s="106"/>
      <c r="L111" s="106"/>
      <c r="M111" s="106"/>
    </row>
    <row r="112" spans="1:13" hidden="1">
      <c r="A112" s="76">
        <f t="shared" si="7"/>
        <v>109</v>
      </c>
      <c r="B112" s="63"/>
      <c r="C112" s="110">
        <f t="shared" si="5"/>
        <v>0</v>
      </c>
      <c r="D112" s="110"/>
      <c r="E112" s="118">
        <f t="shared" si="11"/>
        <v>0</v>
      </c>
      <c r="F112" s="74"/>
      <c r="G112" s="118"/>
      <c r="H112" s="118">
        <f>E112-G112</f>
        <v>0</v>
      </c>
      <c r="I112" s="74"/>
      <c r="J112" s="106"/>
      <c r="K112" s="106"/>
      <c r="L112" s="106"/>
      <c r="M112" s="106"/>
    </row>
    <row r="113" spans="1:13" hidden="1">
      <c r="A113" s="76">
        <f t="shared" si="7"/>
        <v>110</v>
      </c>
      <c r="B113" s="63"/>
      <c r="C113" s="110">
        <f t="shared" si="5"/>
        <v>0</v>
      </c>
      <c r="D113" s="110"/>
      <c r="E113" s="118">
        <f t="shared" si="11"/>
        <v>0</v>
      </c>
      <c r="F113" s="74"/>
      <c r="G113" s="118"/>
      <c r="H113" s="118">
        <f>E113-G113</f>
        <v>0</v>
      </c>
      <c r="I113" s="115"/>
      <c r="J113" s="106"/>
      <c r="K113" s="106"/>
      <c r="L113" s="106"/>
      <c r="M113" s="106"/>
    </row>
    <row r="114" spans="1:13" hidden="1">
      <c r="A114" s="76">
        <f t="shared" si="7"/>
        <v>111</v>
      </c>
      <c r="B114" s="63"/>
      <c r="C114" s="110">
        <f t="shared" si="5"/>
        <v>0</v>
      </c>
      <c r="D114" s="110"/>
      <c r="E114" s="118">
        <f t="shared" si="11"/>
        <v>0</v>
      </c>
      <c r="F114" s="74"/>
      <c r="G114" s="118"/>
      <c r="H114" s="118">
        <f t="shared" ref="H114:H141" si="13">G114-D114</f>
        <v>0</v>
      </c>
      <c r="I114" s="115"/>
      <c r="J114" s="106"/>
      <c r="K114" s="106"/>
      <c r="L114" s="106"/>
      <c r="M114" s="106"/>
    </row>
    <row r="115" spans="1:13" hidden="1">
      <c r="A115" s="76">
        <f t="shared" si="7"/>
        <v>112</v>
      </c>
      <c r="B115" s="63"/>
      <c r="C115" s="110">
        <f t="shared" si="5"/>
        <v>0</v>
      </c>
      <c r="D115" s="110"/>
      <c r="E115" s="118">
        <f t="shared" si="11"/>
        <v>0</v>
      </c>
      <c r="F115" s="74"/>
      <c r="G115" s="118"/>
      <c r="H115" s="118">
        <f t="shared" si="13"/>
        <v>0</v>
      </c>
      <c r="I115" s="74"/>
      <c r="J115" s="106"/>
      <c r="K115" s="106"/>
      <c r="L115" s="106"/>
      <c r="M115" s="106"/>
    </row>
    <row r="116" spans="1:13" hidden="1">
      <c r="A116" s="76">
        <f t="shared" si="7"/>
        <v>113</v>
      </c>
      <c r="B116" s="63"/>
      <c r="C116" s="110">
        <f t="shared" si="5"/>
        <v>0</v>
      </c>
      <c r="D116" s="110"/>
      <c r="E116" s="118">
        <f t="shared" si="11"/>
        <v>0</v>
      </c>
      <c r="F116" s="74"/>
      <c r="G116" s="118"/>
      <c r="H116" s="118">
        <f t="shared" si="13"/>
        <v>0</v>
      </c>
      <c r="I116" s="74"/>
      <c r="J116" s="106"/>
      <c r="K116" s="106"/>
      <c r="L116" s="106"/>
      <c r="M116" s="106"/>
    </row>
    <row r="117" spans="1:13" hidden="1">
      <c r="A117" s="76">
        <f t="shared" si="7"/>
        <v>114</v>
      </c>
      <c r="B117" s="63"/>
      <c r="C117" s="110">
        <f t="shared" si="5"/>
        <v>0</v>
      </c>
      <c r="D117" s="110"/>
      <c r="E117" s="118">
        <f t="shared" si="11"/>
        <v>0</v>
      </c>
      <c r="F117" s="74"/>
      <c r="G117" s="118"/>
      <c r="H117" s="118">
        <f t="shared" si="13"/>
        <v>0</v>
      </c>
      <c r="I117" s="74"/>
      <c r="J117" s="106"/>
      <c r="K117" s="106"/>
      <c r="L117" s="106"/>
      <c r="M117" s="106"/>
    </row>
    <row r="118" spans="1:13" hidden="1">
      <c r="A118" s="76">
        <f t="shared" si="7"/>
        <v>115</v>
      </c>
      <c r="B118" s="63"/>
      <c r="C118" s="119">
        <f t="shared" ref="C118:C121" si="14">SUMIFS(tballsa,tballnk,B118)</f>
        <v>0</v>
      </c>
      <c r="D118" s="116"/>
      <c r="E118" s="118">
        <f t="shared" si="11"/>
        <v>0</v>
      </c>
      <c r="F118" s="74"/>
      <c r="G118" s="118"/>
      <c r="H118" s="118">
        <f t="shared" si="13"/>
        <v>0</v>
      </c>
      <c r="I118" s="74"/>
      <c r="J118" s="106"/>
      <c r="K118" s="106"/>
      <c r="L118" s="106"/>
      <c r="M118" s="106"/>
    </row>
    <row r="119" spans="1:13" hidden="1">
      <c r="A119" s="76">
        <f t="shared" si="7"/>
        <v>116</v>
      </c>
      <c r="B119" s="120"/>
      <c r="C119" s="110">
        <f t="shared" si="14"/>
        <v>0</v>
      </c>
      <c r="D119" s="116"/>
      <c r="E119" s="118">
        <f t="shared" si="11"/>
        <v>0</v>
      </c>
      <c r="F119" s="74"/>
      <c r="G119" s="118"/>
      <c r="H119" s="118">
        <f t="shared" si="13"/>
        <v>0</v>
      </c>
      <c r="I119" s="74"/>
      <c r="J119" s="106"/>
      <c r="K119" s="106"/>
      <c r="L119" s="106"/>
      <c r="M119" s="106"/>
    </row>
    <row r="120" spans="1:13" hidden="1">
      <c r="A120" s="76">
        <f t="shared" si="7"/>
        <v>117</v>
      </c>
      <c r="B120" s="120"/>
      <c r="C120" s="110">
        <f t="shared" si="14"/>
        <v>0</v>
      </c>
      <c r="D120" s="116"/>
      <c r="E120" s="118">
        <f t="shared" si="11"/>
        <v>0</v>
      </c>
      <c r="F120" s="74"/>
      <c r="G120" s="118"/>
      <c r="H120" s="118">
        <f t="shared" si="13"/>
        <v>0</v>
      </c>
      <c r="I120" s="74"/>
      <c r="J120" s="106"/>
      <c r="K120" s="106"/>
      <c r="L120" s="106"/>
      <c r="M120" s="106"/>
    </row>
    <row r="121" spans="1:13" hidden="1">
      <c r="A121" s="76">
        <f t="shared" si="7"/>
        <v>118</v>
      </c>
      <c r="B121" s="63"/>
      <c r="C121" s="110">
        <f t="shared" si="14"/>
        <v>0</v>
      </c>
      <c r="D121" s="116"/>
      <c r="E121" s="118">
        <f t="shared" si="11"/>
        <v>0</v>
      </c>
      <c r="F121" s="74"/>
      <c r="G121" s="118"/>
      <c r="H121" s="118">
        <f t="shared" si="13"/>
        <v>0</v>
      </c>
      <c r="I121" s="74"/>
      <c r="J121" s="106"/>
      <c r="K121" s="106"/>
      <c r="L121" s="106"/>
      <c r="M121" s="106"/>
    </row>
    <row r="122" spans="1:13" hidden="1">
      <c r="A122" s="76">
        <f t="shared" si="7"/>
        <v>119</v>
      </c>
      <c r="B122" s="63"/>
      <c r="C122" s="116"/>
      <c r="D122" s="116"/>
      <c r="E122" s="118">
        <f t="shared" si="11"/>
        <v>0</v>
      </c>
      <c r="F122" s="74"/>
      <c r="G122" s="118"/>
      <c r="H122" s="118">
        <f t="shared" si="13"/>
        <v>0</v>
      </c>
      <c r="I122" s="74"/>
      <c r="J122" s="106"/>
      <c r="K122" s="106"/>
      <c r="L122" s="106"/>
      <c r="M122" s="106"/>
    </row>
    <row r="123" spans="1:13" hidden="1">
      <c r="A123" s="76">
        <f t="shared" si="7"/>
        <v>120</v>
      </c>
      <c r="B123" s="63"/>
      <c r="C123" s="116"/>
      <c r="D123" s="116"/>
      <c r="E123" s="118">
        <f t="shared" si="11"/>
        <v>0</v>
      </c>
      <c r="F123" s="74"/>
      <c r="G123" s="118"/>
      <c r="H123" s="118">
        <f t="shared" si="13"/>
        <v>0</v>
      </c>
      <c r="I123" s="74"/>
      <c r="J123" s="106"/>
      <c r="K123" s="106"/>
      <c r="L123" s="106"/>
      <c r="M123" s="106"/>
    </row>
    <row r="124" spans="1:13" hidden="1">
      <c r="A124" s="76">
        <f t="shared" si="7"/>
        <v>121</v>
      </c>
      <c r="B124" s="63"/>
      <c r="C124" s="116"/>
      <c r="D124" s="116"/>
      <c r="E124" s="118">
        <f t="shared" si="11"/>
        <v>0</v>
      </c>
      <c r="F124" s="74"/>
      <c r="G124" s="118"/>
      <c r="H124" s="118">
        <f t="shared" si="13"/>
        <v>0</v>
      </c>
      <c r="I124" s="74"/>
      <c r="J124" s="106"/>
      <c r="K124" s="106"/>
      <c r="L124" s="106"/>
      <c r="M124" s="106"/>
    </row>
    <row r="125" spans="1:13" hidden="1">
      <c r="A125" s="76">
        <f t="shared" si="7"/>
        <v>122</v>
      </c>
      <c r="B125" s="63"/>
      <c r="C125" s="116"/>
      <c r="D125" s="116"/>
      <c r="E125" s="118">
        <f t="shared" si="11"/>
        <v>0</v>
      </c>
      <c r="F125" s="74"/>
      <c r="G125" s="118"/>
      <c r="H125" s="118">
        <f t="shared" si="13"/>
        <v>0</v>
      </c>
      <c r="I125" s="74"/>
      <c r="J125" s="106"/>
      <c r="K125" s="106"/>
      <c r="L125" s="106"/>
      <c r="M125" s="106"/>
    </row>
    <row r="126" spans="1:13" hidden="1">
      <c r="A126" s="76">
        <f t="shared" si="7"/>
        <v>123</v>
      </c>
      <c r="B126" s="63"/>
      <c r="C126" s="116"/>
      <c r="D126" s="116"/>
      <c r="E126" s="118">
        <f t="shared" si="11"/>
        <v>0</v>
      </c>
      <c r="F126" s="74"/>
      <c r="G126" s="118"/>
      <c r="H126" s="118">
        <f t="shared" si="13"/>
        <v>0</v>
      </c>
      <c r="I126" s="74"/>
      <c r="J126" s="106"/>
      <c r="K126" s="106"/>
      <c r="L126" s="106"/>
      <c r="M126" s="106"/>
    </row>
    <row r="127" spans="1:13" hidden="1">
      <c r="A127" s="76">
        <f t="shared" si="7"/>
        <v>124</v>
      </c>
      <c r="B127" s="63"/>
      <c r="C127" s="116"/>
      <c r="D127" s="116"/>
      <c r="E127" s="118">
        <f t="shared" si="11"/>
        <v>0</v>
      </c>
      <c r="F127" s="74"/>
      <c r="G127" s="118"/>
      <c r="H127" s="118">
        <f t="shared" si="13"/>
        <v>0</v>
      </c>
      <c r="I127" s="74"/>
      <c r="J127" s="106"/>
      <c r="K127" s="106"/>
      <c r="L127" s="106"/>
      <c r="M127" s="106"/>
    </row>
    <row r="128" spans="1:13" hidden="1">
      <c r="A128" s="76">
        <f t="shared" si="7"/>
        <v>125</v>
      </c>
      <c r="B128" s="63"/>
      <c r="C128" s="116"/>
      <c r="D128" s="116"/>
      <c r="E128" s="118">
        <f t="shared" si="11"/>
        <v>0</v>
      </c>
      <c r="F128" s="74"/>
      <c r="G128" s="118"/>
      <c r="H128" s="118">
        <f t="shared" si="13"/>
        <v>0</v>
      </c>
      <c r="I128" s="74"/>
      <c r="J128" s="106"/>
      <c r="K128" s="106"/>
      <c r="L128" s="106"/>
      <c r="M128" s="106"/>
    </row>
    <row r="129" spans="1:13" hidden="1">
      <c r="A129" s="76">
        <f t="shared" si="7"/>
        <v>126</v>
      </c>
      <c r="B129" s="63"/>
      <c r="C129" s="116"/>
      <c r="D129" s="116"/>
      <c r="E129" s="118">
        <f t="shared" si="11"/>
        <v>0</v>
      </c>
      <c r="F129" s="74"/>
      <c r="G129" s="118"/>
      <c r="H129" s="118">
        <f t="shared" si="13"/>
        <v>0</v>
      </c>
      <c r="I129" s="74"/>
      <c r="J129" s="106"/>
      <c r="K129" s="106"/>
      <c r="L129" s="106"/>
      <c r="M129" s="106"/>
    </row>
    <row r="130" spans="1:13" hidden="1">
      <c r="A130" s="76">
        <f t="shared" si="7"/>
        <v>127</v>
      </c>
      <c r="B130" s="63"/>
      <c r="C130" s="116"/>
      <c r="D130" s="116"/>
      <c r="E130" s="118">
        <f t="shared" si="11"/>
        <v>0</v>
      </c>
      <c r="F130" s="74"/>
      <c r="G130" s="118"/>
      <c r="H130" s="118">
        <f t="shared" si="13"/>
        <v>0</v>
      </c>
      <c r="I130" s="74"/>
      <c r="J130" s="106"/>
      <c r="K130" s="106"/>
      <c r="L130" s="106"/>
      <c r="M130" s="106"/>
    </row>
    <row r="131" spans="1:13" hidden="1">
      <c r="A131" s="76">
        <f t="shared" si="7"/>
        <v>128</v>
      </c>
      <c r="B131" s="63"/>
      <c r="C131" s="116"/>
      <c r="D131" s="116"/>
      <c r="E131" s="118">
        <f t="shared" si="11"/>
        <v>0</v>
      </c>
      <c r="F131" s="74"/>
      <c r="G131" s="118"/>
      <c r="H131" s="118">
        <f t="shared" si="13"/>
        <v>0</v>
      </c>
      <c r="I131" s="74"/>
      <c r="J131" s="106"/>
      <c r="K131" s="106"/>
      <c r="L131" s="106"/>
      <c r="M131" s="106"/>
    </row>
    <row r="132" spans="1:13" hidden="1">
      <c r="A132" s="76">
        <f t="shared" si="7"/>
        <v>129</v>
      </c>
      <c r="B132" s="63"/>
      <c r="C132" s="116"/>
      <c r="D132" s="116"/>
      <c r="E132" s="118">
        <f t="shared" si="11"/>
        <v>0</v>
      </c>
      <c r="F132" s="74"/>
      <c r="G132" s="118"/>
      <c r="H132" s="118">
        <f t="shared" si="13"/>
        <v>0</v>
      </c>
      <c r="I132" s="74"/>
      <c r="J132" s="106"/>
      <c r="K132" s="106"/>
      <c r="L132" s="106"/>
      <c r="M132" s="106"/>
    </row>
    <row r="133" spans="1:13" hidden="1">
      <c r="A133" s="76">
        <f t="shared" si="7"/>
        <v>130</v>
      </c>
      <c r="B133" s="63"/>
      <c r="C133" s="116"/>
      <c r="D133" s="116"/>
      <c r="E133" s="118">
        <f t="shared" si="11"/>
        <v>0</v>
      </c>
      <c r="F133" s="74"/>
      <c r="G133" s="118"/>
      <c r="H133" s="118">
        <f t="shared" si="13"/>
        <v>0</v>
      </c>
      <c r="I133" s="74"/>
      <c r="J133" s="106"/>
      <c r="K133" s="106"/>
      <c r="L133" s="106"/>
      <c r="M133" s="106"/>
    </row>
    <row r="134" spans="1:13" hidden="1">
      <c r="A134" s="76">
        <f t="shared" ref="A134:A197" si="15">1+A133</f>
        <v>131</v>
      </c>
      <c r="B134" s="63"/>
      <c r="C134" s="116"/>
      <c r="D134" s="116"/>
      <c r="E134" s="118">
        <f t="shared" si="11"/>
        <v>0</v>
      </c>
      <c r="F134" s="74"/>
      <c r="G134" s="118"/>
      <c r="H134" s="118">
        <f t="shared" si="13"/>
        <v>0</v>
      </c>
      <c r="I134" s="74"/>
      <c r="J134" s="106"/>
      <c r="K134" s="106"/>
      <c r="L134" s="106"/>
      <c r="M134" s="106"/>
    </row>
    <row r="135" spans="1:13" hidden="1">
      <c r="A135" s="76">
        <f t="shared" si="15"/>
        <v>132</v>
      </c>
      <c r="B135" s="63"/>
      <c r="C135" s="116"/>
      <c r="D135" s="116"/>
      <c r="E135" s="118">
        <f t="shared" si="11"/>
        <v>0</v>
      </c>
      <c r="F135" s="74"/>
      <c r="G135" s="118"/>
      <c r="H135" s="118">
        <f t="shared" si="13"/>
        <v>0</v>
      </c>
      <c r="I135" s="74"/>
      <c r="J135" s="106"/>
      <c r="K135" s="106"/>
      <c r="L135" s="106"/>
      <c r="M135" s="106"/>
    </row>
    <row r="136" spans="1:13" hidden="1">
      <c r="A136" s="76">
        <f t="shared" si="15"/>
        <v>133</v>
      </c>
      <c r="B136" s="63"/>
      <c r="C136" s="116"/>
      <c r="D136" s="116"/>
      <c r="E136" s="118">
        <f t="shared" si="11"/>
        <v>0</v>
      </c>
      <c r="F136" s="74"/>
      <c r="G136" s="118"/>
      <c r="H136" s="118">
        <f t="shared" si="13"/>
        <v>0</v>
      </c>
      <c r="I136" s="74"/>
      <c r="J136" s="106"/>
      <c r="K136" s="106"/>
      <c r="L136" s="106"/>
      <c r="M136" s="106"/>
    </row>
    <row r="137" spans="1:13" hidden="1">
      <c r="A137" s="76">
        <f t="shared" si="15"/>
        <v>134</v>
      </c>
      <c r="B137" s="63"/>
      <c r="C137" s="116"/>
      <c r="D137" s="116"/>
      <c r="E137" s="118">
        <f t="shared" si="11"/>
        <v>0</v>
      </c>
      <c r="F137" s="74"/>
      <c r="G137" s="118"/>
      <c r="H137" s="118">
        <f t="shared" si="13"/>
        <v>0</v>
      </c>
      <c r="I137" s="74"/>
      <c r="J137" s="106"/>
      <c r="K137" s="106"/>
      <c r="L137" s="106"/>
      <c r="M137" s="106"/>
    </row>
    <row r="138" spans="1:13" hidden="1">
      <c r="A138" s="76">
        <f t="shared" si="15"/>
        <v>135</v>
      </c>
      <c r="B138" s="63"/>
      <c r="C138" s="116"/>
      <c r="D138" s="116"/>
      <c r="E138" s="118">
        <f t="shared" si="11"/>
        <v>0</v>
      </c>
      <c r="F138" s="74"/>
      <c r="G138" s="118"/>
      <c r="H138" s="118">
        <f t="shared" si="13"/>
        <v>0</v>
      </c>
      <c r="I138" s="74"/>
      <c r="J138" s="106"/>
      <c r="K138" s="106"/>
      <c r="L138" s="106"/>
      <c r="M138" s="106"/>
    </row>
    <row r="139" spans="1:13" hidden="1">
      <c r="A139" s="76">
        <f t="shared" si="15"/>
        <v>136</v>
      </c>
      <c r="B139" s="63"/>
      <c r="C139" s="116"/>
      <c r="D139" s="116"/>
      <c r="E139" s="118">
        <f t="shared" si="11"/>
        <v>0</v>
      </c>
      <c r="F139" s="74"/>
      <c r="G139" s="118"/>
      <c r="H139" s="118">
        <f t="shared" si="13"/>
        <v>0</v>
      </c>
      <c r="I139" s="74"/>
      <c r="J139" s="106"/>
      <c r="K139" s="106"/>
      <c r="L139" s="106"/>
      <c r="M139" s="106"/>
    </row>
    <row r="140" spans="1:13" hidden="1">
      <c r="A140" s="76">
        <f t="shared" si="15"/>
        <v>137</v>
      </c>
      <c r="B140" s="63"/>
      <c r="C140" s="116"/>
      <c r="D140" s="116"/>
      <c r="E140" s="118">
        <f t="shared" si="11"/>
        <v>0</v>
      </c>
      <c r="F140" s="74"/>
      <c r="G140" s="118"/>
      <c r="H140" s="118">
        <f t="shared" si="13"/>
        <v>0</v>
      </c>
      <c r="I140" s="74"/>
      <c r="J140" s="106"/>
      <c r="K140" s="106"/>
      <c r="L140" s="106"/>
      <c r="M140" s="106"/>
    </row>
    <row r="141" spans="1:13" hidden="1">
      <c r="A141" s="76">
        <f t="shared" si="15"/>
        <v>138</v>
      </c>
      <c r="B141" s="63"/>
      <c r="C141" s="116"/>
      <c r="D141" s="116"/>
      <c r="E141" s="118">
        <f t="shared" si="11"/>
        <v>0</v>
      </c>
      <c r="F141" s="74"/>
      <c r="G141" s="118"/>
      <c r="H141" s="118">
        <f t="shared" si="13"/>
        <v>0</v>
      </c>
      <c r="I141" s="74"/>
      <c r="J141" s="106"/>
      <c r="K141" s="106"/>
      <c r="L141" s="106"/>
      <c r="M141" s="106"/>
    </row>
    <row r="142" spans="1:13" hidden="1">
      <c r="A142" s="76">
        <f t="shared" si="15"/>
        <v>139</v>
      </c>
      <c r="B142" s="63"/>
      <c r="C142" s="116"/>
      <c r="D142" s="116"/>
      <c r="E142" s="118">
        <f>C142-D142</f>
        <v>0</v>
      </c>
      <c r="F142" s="74"/>
      <c r="G142" s="118"/>
      <c r="H142" s="118">
        <f>G142-D142</f>
        <v>0</v>
      </c>
      <c r="I142" s="74"/>
      <c r="J142" s="106"/>
      <c r="K142" s="106"/>
      <c r="L142" s="106"/>
      <c r="M142" s="106"/>
    </row>
    <row r="143" spans="1:13" hidden="1">
      <c r="A143" s="76">
        <f t="shared" si="15"/>
        <v>140</v>
      </c>
      <c r="B143" s="63"/>
      <c r="C143" s="116"/>
      <c r="D143" s="116"/>
      <c r="E143" s="118">
        <f t="shared" ref="E143:E170" si="16">C143-D143</f>
        <v>0</v>
      </c>
      <c r="F143" s="74"/>
      <c r="G143" s="118"/>
      <c r="H143" s="118">
        <f t="shared" ref="H143:H170" si="17">G143-D143</f>
        <v>0</v>
      </c>
      <c r="I143" s="74"/>
      <c r="J143" s="106"/>
      <c r="K143" s="106"/>
      <c r="L143" s="106"/>
      <c r="M143" s="106"/>
    </row>
    <row r="144" spans="1:13" hidden="1">
      <c r="A144" s="76">
        <f t="shared" si="15"/>
        <v>141</v>
      </c>
      <c r="B144" s="63"/>
      <c r="C144" s="116"/>
      <c r="D144" s="116"/>
      <c r="E144" s="118">
        <f t="shared" si="16"/>
        <v>0</v>
      </c>
      <c r="F144" s="74"/>
      <c r="G144" s="118"/>
      <c r="H144" s="118">
        <f t="shared" si="17"/>
        <v>0</v>
      </c>
      <c r="I144" s="74"/>
      <c r="J144" s="106"/>
      <c r="K144" s="106"/>
      <c r="L144" s="106"/>
      <c r="M144" s="106"/>
    </row>
    <row r="145" spans="1:13" hidden="1">
      <c r="A145" s="76">
        <f t="shared" si="15"/>
        <v>142</v>
      </c>
      <c r="B145" s="63"/>
      <c r="C145" s="116"/>
      <c r="D145" s="116"/>
      <c r="E145" s="118">
        <f t="shared" si="16"/>
        <v>0</v>
      </c>
      <c r="F145" s="74"/>
      <c r="G145" s="118"/>
      <c r="H145" s="118">
        <f t="shared" si="17"/>
        <v>0</v>
      </c>
      <c r="I145" s="74"/>
      <c r="J145" s="106"/>
      <c r="K145" s="106"/>
      <c r="L145" s="106"/>
      <c r="M145" s="106"/>
    </row>
    <row r="146" spans="1:13" hidden="1">
      <c r="A146" s="76">
        <f t="shared" si="15"/>
        <v>143</v>
      </c>
      <c r="B146" s="63"/>
      <c r="C146" s="116"/>
      <c r="D146" s="116"/>
      <c r="E146" s="118">
        <f t="shared" si="16"/>
        <v>0</v>
      </c>
      <c r="F146" s="74"/>
      <c r="G146" s="118"/>
      <c r="H146" s="118">
        <f t="shared" si="17"/>
        <v>0</v>
      </c>
      <c r="I146" s="74"/>
      <c r="J146" s="106"/>
      <c r="K146" s="106"/>
      <c r="L146" s="106"/>
      <c r="M146" s="106"/>
    </row>
    <row r="147" spans="1:13" hidden="1">
      <c r="A147" s="76">
        <f t="shared" si="15"/>
        <v>144</v>
      </c>
      <c r="B147" s="63"/>
      <c r="C147" s="116"/>
      <c r="D147" s="116"/>
      <c r="E147" s="118">
        <f t="shared" si="16"/>
        <v>0</v>
      </c>
      <c r="F147" s="74"/>
      <c r="G147" s="118"/>
      <c r="H147" s="118">
        <f t="shared" si="17"/>
        <v>0</v>
      </c>
      <c r="I147" s="74"/>
      <c r="J147" s="106"/>
      <c r="K147" s="106"/>
      <c r="L147" s="106"/>
      <c r="M147" s="106"/>
    </row>
    <row r="148" spans="1:13" hidden="1">
      <c r="A148" s="76">
        <f t="shared" si="15"/>
        <v>145</v>
      </c>
      <c r="B148" s="63"/>
      <c r="C148" s="116"/>
      <c r="D148" s="116"/>
      <c r="E148" s="118">
        <f t="shared" si="16"/>
        <v>0</v>
      </c>
      <c r="F148" s="74"/>
      <c r="G148" s="118"/>
      <c r="H148" s="118">
        <f t="shared" si="17"/>
        <v>0</v>
      </c>
      <c r="I148" s="74"/>
      <c r="J148" s="106"/>
      <c r="K148" s="106"/>
      <c r="L148" s="106"/>
      <c r="M148" s="106"/>
    </row>
    <row r="149" spans="1:13" hidden="1">
      <c r="A149" s="76">
        <f t="shared" si="15"/>
        <v>146</v>
      </c>
      <c r="B149" s="63"/>
      <c r="C149" s="116"/>
      <c r="D149" s="116"/>
      <c r="E149" s="118">
        <f t="shared" si="16"/>
        <v>0</v>
      </c>
      <c r="F149" s="74"/>
      <c r="G149" s="118"/>
      <c r="H149" s="118">
        <f t="shared" si="17"/>
        <v>0</v>
      </c>
      <c r="I149" s="74"/>
      <c r="J149" s="106"/>
      <c r="K149" s="106"/>
      <c r="L149" s="106"/>
      <c r="M149" s="106"/>
    </row>
    <row r="150" spans="1:13" hidden="1">
      <c r="A150" s="76">
        <f t="shared" si="15"/>
        <v>147</v>
      </c>
      <c r="B150" s="63"/>
      <c r="C150" s="116"/>
      <c r="D150" s="116"/>
      <c r="E150" s="118">
        <f t="shared" si="16"/>
        <v>0</v>
      </c>
      <c r="F150" s="74"/>
      <c r="G150" s="118">
        <f t="shared" ref="G150:G164" si="18">C150-D150</f>
        <v>0</v>
      </c>
      <c r="H150" s="118">
        <f t="shared" si="17"/>
        <v>0</v>
      </c>
      <c r="I150" s="74"/>
      <c r="J150" s="106"/>
      <c r="K150" s="106"/>
      <c r="L150" s="106"/>
      <c r="M150" s="106"/>
    </row>
    <row r="151" spans="1:13" hidden="1">
      <c r="A151" s="76">
        <f t="shared" si="15"/>
        <v>148</v>
      </c>
      <c r="B151" s="63"/>
      <c r="C151" s="116"/>
      <c r="D151" s="116"/>
      <c r="E151" s="118">
        <f t="shared" si="16"/>
        <v>0</v>
      </c>
      <c r="F151" s="74"/>
      <c r="G151" s="118">
        <f t="shared" si="18"/>
        <v>0</v>
      </c>
      <c r="H151" s="118">
        <f t="shared" si="17"/>
        <v>0</v>
      </c>
      <c r="I151" s="74"/>
      <c r="J151" s="106"/>
      <c r="K151" s="106"/>
      <c r="L151" s="106"/>
      <c r="M151" s="106"/>
    </row>
    <row r="152" spans="1:13" hidden="1">
      <c r="A152" s="76">
        <f t="shared" si="15"/>
        <v>149</v>
      </c>
      <c r="B152" s="63"/>
      <c r="C152" s="116"/>
      <c r="D152" s="118"/>
      <c r="E152" s="118">
        <f t="shared" si="16"/>
        <v>0</v>
      </c>
      <c r="F152" s="74"/>
      <c r="G152" s="118">
        <f t="shared" si="18"/>
        <v>0</v>
      </c>
      <c r="H152" s="118">
        <f t="shared" si="17"/>
        <v>0</v>
      </c>
      <c r="I152" s="74"/>
      <c r="J152" s="106"/>
      <c r="K152" s="106"/>
      <c r="L152" s="106"/>
      <c r="M152" s="106"/>
    </row>
    <row r="153" spans="1:13" hidden="1">
      <c r="A153" s="76">
        <f t="shared" si="15"/>
        <v>150</v>
      </c>
      <c r="B153" s="63"/>
      <c r="C153" s="116"/>
      <c r="D153" s="118"/>
      <c r="E153" s="118">
        <f t="shared" si="16"/>
        <v>0</v>
      </c>
      <c r="F153" s="74"/>
      <c r="G153" s="118">
        <f t="shared" si="18"/>
        <v>0</v>
      </c>
      <c r="H153" s="118">
        <f t="shared" si="17"/>
        <v>0</v>
      </c>
      <c r="I153" s="74"/>
      <c r="J153" s="106"/>
      <c r="K153" s="106"/>
      <c r="L153" s="106"/>
      <c r="M153" s="106"/>
    </row>
    <row r="154" spans="1:13" hidden="1">
      <c r="A154" s="76">
        <f t="shared" si="15"/>
        <v>151</v>
      </c>
      <c r="B154" s="63"/>
      <c r="C154" s="116"/>
      <c r="D154" s="118"/>
      <c r="E154" s="118">
        <f t="shared" si="16"/>
        <v>0</v>
      </c>
      <c r="F154" s="74"/>
      <c r="G154" s="118">
        <f t="shared" si="18"/>
        <v>0</v>
      </c>
      <c r="H154" s="118">
        <f t="shared" si="17"/>
        <v>0</v>
      </c>
      <c r="I154" s="74"/>
      <c r="J154" s="106"/>
      <c r="K154" s="106"/>
      <c r="L154" s="106"/>
      <c r="M154" s="106"/>
    </row>
    <row r="155" spans="1:13" hidden="1">
      <c r="A155" s="76">
        <f t="shared" si="15"/>
        <v>152</v>
      </c>
      <c r="B155" s="63"/>
      <c r="C155" s="116"/>
      <c r="D155" s="118"/>
      <c r="E155" s="118">
        <f t="shared" si="16"/>
        <v>0</v>
      </c>
      <c r="F155" s="74"/>
      <c r="G155" s="118">
        <f t="shared" si="18"/>
        <v>0</v>
      </c>
      <c r="H155" s="118">
        <f t="shared" si="17"/>
        <v>0</v>
      </c>
      <c r="I155" s="74"/>
      <c r="J155" s="106"/>
      <c r="K155" s="106"/>
      <c r="L155" s="106"/>
      <c r="M155" s="106"/>
    </row>
    <row r="156" spans="1:13" hidden="1">
      <c r="A156" s="76">
        <f t="shared" si="15"/>
        <v>153</v>
      </c>
      <c r="B156" s="63"/>
      <c r="C156" s="116"/>
      <c r="D156" s="116"/>
      <c r="E156" s="118">
        <f t="shared" si="16"/>
        <v>0</v>
      </c>
      <c r="F156" s="74"/>
      <c r="G156" s="118">
        <f t="shared" si="18"/>
        <v>0</v>
      </c>
      <c r="H156" s="118">
        <f t="shared" si="17"/>
        <v>0</v>
      </c>
      <c r="I156" s="74"/>
      <c r="J156" s="106"/>
      <c r="K156" s="106"/>
      <c r="L156" s="106"/>
      <c r="M156" s="106"/>
    </row>
    <row r="157" spans="1:13" hidden="1">
      <c r="A157" s="76">
        <f t="shared" si="15"/>
        <v>154</v>
      </c>
      <c r="B157" s="63"/>
      <c r="C157" s="116"/>
      <c r="D157" s="118"/>
      <c r="E157" s="118">
        <f t="shared" si="16"/>
        <v>0</v>
      </c>
      <c r="F157" s="74"/>
      <c r="G157" s="118">
        <f t="shared" si="18"/>
        <v>0</v>
      </c>
      <c r="H157" s="118">
        <f t="shared" si="17"/>
        <v>0</v>
      </c>
      <c r="I157" s="74"/>
      <c r="J157" s="106"/>
      <c r="K157" s="106"/>
      <c r="L157" s="106"/>
      <c r="M157" s="106"/>
    </row>
    <row r="158" spans="1:13" hidden="1">
      <c r="A158" s="76">
        <f t="shared" si="15"/>
        <v>155</v>
      </c>
      <c r="B158" s="63"/>
      <c r="C158" s="116"/>
      <c r="D158" s="118"/>
      <c r="E158" s="118">
        <f t="shared" si="16"/>
        <v>0</v>
      </c>
      <c r="F158" s="74"/>
      <c r="G158" s="118">
        <f t="shared" si="18"/>
        <v>0</v>
      </c>
      <c r="H158" s="118">
        <f t="shared" si="17"/>
        <v>0</v>
      </c>
      <c r="I158" s="74"/>
      <c r="J158" s="106"/>
      <c r="K158" s="106"/>
      <c r="L158" s="106"/>
      <c r="M158" s="106"/>
    </row>
    <row r="159" spans="1:13" hidden="1">
      <c r="A159" s="76">
        <f t="shared" si="15"/>
        <v>156</v>
      </c>
      <c r="B159" s="63"/>
      <c r="C159" s="116"/>
      <c r="D159" s="118"/>
      <c r="E159" s="118">
        <f t="shared" si="16"/>
        <v>0</v>
      </c>
      <c r="F159" s="74"/>
      <c r="G159" s="118">
        <f t="shared" si="18"/>
        <v>0</v>
      </c>
      <c r="H159" s="118">
        <f t="shared" si="17"/>
        <v>0</v>
      </c>
      <c r="I159" s="74"/>
      <c r="J159" s="106"/>
      <c r="K159" s="106"/>
      <c r="L159" s="106"/>
      <c r="M159" s="106"/>
    </row>
    <row r="160" spans="1:13" hidden="1">
      <c r="A160" s="76">
        <f t="shared" si="15"/>
        <v>157</v>
      </c>
      <c r="B160" s="63"/>
      <c r="C160" s="116"/>
      <c r="D160" s="118"/>
      <c r="E160" s="118">
        <f t="shared" si="16"/>
        <v>0</v>
      </c>
      <c r="F160" s="74"/>
      <c r="G160" s="118">
        <f t="shared" si="18"/>
        <v>0</v>
      </c>
      <c r="H160" s="118">
        <f t="shared" si="17"/>
        <v>0</v>
      </c>
      <c r="I160" s="74"/>
      <c r="J160" s="106"/>
      <c r="K160" s="106"/>
      <c r="L160" s="106"/>
      <c r="M160" s="106"/>
    </row>
    <row r="161" spans="1:13" hidden="1">
      <c r="A161" s="76">
        <f t="shared" si="15"/>
        <v>158</v>
      </c>
      <c r="B161" s="63"/>
      <c r="C161" s="116"/>
      <c r="D161" s="118"/>
      <c r="E161" s="118">
        <f t="shared" si="16"/>
        <v>0</v>
      </c>
      <c r="F161" s="74"/>
      <c r="G161" s="118">
        <f t="shared" si="18"/>
        <v>0</v>
      </c>
      <c r="H161" s="118">
        <f t="shared" si="17"/>
        <v>0</v>
      </c>
      <c r="I161" s="74"/>
      <c r="J161" s="106"/>
      <c r="K161" s="106"/>
      <c r="L161" s="106"/>
      <c r="M161" s="106"/>
    </row>
    <row r="162" spans="1:13" hidden="1">
      <c r="A162" s="76">
        <f t="shared" si="15"/>
        <v>159</v>
      </c>
      <c r="B162" s="63"/>
      <c r="C162" s="116"/>
      <c r="D162" s="118"/>
      <c r="E162" s="118">
        <f t="shared" si="16"/>
        <v>0</v>
      </c>
      <c r="F162" s="74"/>
      <c r="G162" s="118">
        <f t="shared" si="18"/>
        <v>0</v>
      </c>
      <c r="H162" s="118">
        <f t="shared" si="17"/>
        <v>0</v>
      </c>
      <c r="I162" s="74"/>
      <c r="J162" s="106"/>
      <c r="K162" s="106"/>
      <c r="L162" s="106"/>
      <c r="M162" s="106"/>
    </row>
    <row r="163" spans="1:13" hidden="1">
      <c r="A163" s="76">
        <f t="shared" si="15"/>
        <v>160</v>
      </c>
      <c r="B163" s="63"/>
      <c r="C163" s="116"/>
      <c r="D163" s="118"/>
      <c r="E163" s="118">
        <f t="shared" si="16"/>
        <v>0</v>
      </c>
      <c r="F163" s="74"/>
      <c r="G163" s="118">
        <f t="shared" si="18"/>
        <v>0</v>
      </c>
      <c r="H163" s="118">
        <f t="shared" si="17"/>
        <v>0</v>
      </c>
      <c r="I163" s="74"/>
      <c r="J163" s="106"/>
      <c r="K163" s="106"/>
      <c r="L163" s="106"/>
      <c r="M163" s="106"/>
    </row>
    <row r="164" spans="1:13" hidden="1">
      <c r="A164" s="76">
        <f t="shared" si="15"/>
        <v>161</v>
      </c>
      <c r="B164" s="63"/>
      <c r="C164" s="116"/>
      <c r="D164" s="118"/>
      <c r="E164" s="118">
        <f t="shared" si="16"/>
        <v>0</v>
      </c>
      <c r="F164" s="74"/>
      <c r="G164" s="118">
        <f t="shared" si="18"/>
        <v>0</v>
      </c>
      <c r="H164" s="118">
        <f t="shared" si="17"/>
        <v>0</v>
      </c>
      <c r="I164" s="74"/>
      <c r="J164" s="106"/>
      <c r="K164" s="106"/>
      <c r="L164" s="106"/>
      <c r="M164" s="106"/>
    </row>
    <row r="165" spans="1:13" hidden="1">
      <c r="A165" s="76">
        <f t="shared" si="15"/>
        <v>162</v>
      </c>
      <c r="B165" s="63"/>
      <c r="C165" s="116"/>
      <c r="D165" s="118"/>
      <c r="E165" s="118">
        <f t="shared" si="16"/>
        <v>0</v>
      </c>
      <c r="F165" s="74"/>
      <c r="G165" s="118"/>
      <c r="H165" s="118">
        <f t="shared" si="17"/>
        <v>0</v>
      </c>
      <c r="I165" s="74"/>
      <c r="J165" s="106"/>
      <c r="K165" s="106"/>
      <c r="L165" s="106"/>
      <c r="M165" s="106"/>
    </row>
    <row r="166" spans="1:13" hidden="1">
      <c r="A166" s="76">
        <f t="shared" si="15"/>
        <v>163</v>
      </c>
      <c r="B166" s="63"/>
      <c r="C166" s="116"/>
      <c r="D166" s="118"/>
      <c r="E166" s="118">
        <f t="shared" si="16"/>
        <v>0</v>
      </c>
      <c r="F166" s="74"/>
      <c r="G166" s="118"/>
      <c r="H166" s="118">
        <f t="shared" si="17"/>
        <v>0</v>
      </c>
      <c r="I166" s="74"/>
      <c r="J166" s="106"/>
      <c r="K166" s="106"/>
      <c r="L166" s="106"/>
      <c r="M166" s="106"/>
    </row>
    <row r="167" spans="1:13" hidden="1">
      <c r="A167" s="76">
        <f t="shared" si="15"/>
        <v>164</v>
      </c>
      <c r="B167" s="63"/>
      <c r="C167" s="116"/>
      <c r="D167" s="118"/>
      <c r="E167" s="118">
        <f t="shared" si="16"/>
        <v>0</v>
      </c>
      <c r="F167" s="74"/>
      <c r="G167" s="118"/>
      <c r="H167" s="118">
        <f t="shared" si="17"/>
        <v>0</v>
      </c>
      <c r="I167" s="74"/>
      <c r="J167" s="106"/>
      <c r="K167" s="106"/>
      <c r="L167" s="106"/>
      <c r="M167" s="106"/>
    </row>
    <row r="168" spans="1:13" hidden="1">
      <c r="A168" s="76">
        <f t="shared" si="15"/>
        <v>165</v>
      </c>
      <c r="B168" s="63"/>
      <c r="C168" s="116"/>
      <c r="D168" s="118"/>
      <c r="E168" s="118">
        <f t="shared" si="16"/>
        <v>0</v>
      </c>
      <c r="F168" s="74"/>
      <c r="G168" s="118"/>
      <c r="H168" s="118">
        <f t="shared" si="17"/>
        <v>0</v>
      </c>
      <c r="I168" s="74"/>
      <c r="J168" s="106"/>
      <c r="K168" s="106"/>
      <c r="L168" s="106"/>
      <c r="M168" s="106"/>
    </row>
    <row r="169" spans="1:13" hidden="1">
      <c r="A169" s="76">
        <f t="shared" si="15"/>
        <v>166</v>
      </c>
      <c r="B169" s="63"/>
      <c r="C169" s="116"/>
      <c r="D169" s="118"/>
      <c r="E169" s="118">
        <f t="shared" si="16"/>
        <v>0</v>
      </c>
      <c r="F169" s="74"/>
      <c r="G169" s="118"/>
      <c r="H169" s="118">
        <f t="shared" si="17"/>
        <v>0</v>
      </c>
      <c r="I169" s="74"/>
      <c r="J169" s="106"/>
      <c r="K169" s="106"/>
      <c r="L169" s="106"/>
      <c r="M169" s="106"/>
    </row>
    <row r="170" spans="1:13" hidden="1">
      <c r="A170" s="76">
        <f t="shared" si="15"/>
        <v>167</v>
      </c>
      <c r="B170" s="63"/>
      <c r="C170" s="116"/>
      <c r="D170" s="118"/>
      <c r="E170" s="118">
        <f t="shared" si="16"/>
        <v>0</v>
      </c>
      <c r="F170" s="74"/>
      <c r="G170" s="118"/>
      <c r="H170" s="118">
        <f t="shared" si="17"/>
        <v>0</v>
      </c>
      <c r="I170" s="74"/>
      <c r="J170" s="106"/>
      <c r="K170" s="106"/>
      <c r="L170" s="106"/>
      <c r="M170" s="106"/>
    </row>
    <row r="171" spans="1:13" hidden="1">
      <c r="A171" s="76">
        <f t="shared" si="15"/>
        <v>168</v>
      </c>
      <c r="B171" s="63"/>
      <c r="C171" s="116"/>
      <c r="D171" s="118"/>
      <c r="E171" s="118">
        <f>C171-D171</f>
        <v>0</v>
      </c>
      <c r="F171" s="74"/>
      <c r="G171" s="118"/>
      <c r="H171" s="118">
        <f>G171-D171</f>
        <v>0</v>
      </c>
      <c r="I171" s="74"/>
      <c r="J171" s="106"/>
      <c r="K171" s="106"/>
      <c r="L171" s="106"/>
      <c r="M171" s="106"/>
    </row>
    <row r="172" spans="1:13" hidden="1">
      <c r="A172" s="76">
        <f t="shared" si="15"/>
        <v>169</v>
      </c>
      <c r="B172" s="63"/>
      <c r="C172" s="116"/>
      <c r="D172" s="118"/>
      <c r="E172" s="118">
        <f t="shared" ref="E172:E178" si="19">C172-D172</f>
        <v>0</v>
      </c>
      <c r="F172" s="74"/>
      <c r="G172" s="118"/>
      <c r="H172" s="118">
        <f t="shared" ref="H172:H178" si="20">G172-D172</f>
        <v>0</v>
      </c>
      <c r="I172" s="74"/>
      <c r="J172" s="106"/>
      <c r="K172" s="106"/>
      <c r="L172" s="106"/>
      <c r="M172" s="106"/>
    </row>
    <row r="173" spans="1:13" hidden="1">
      <c r="A173" s="76">
        <f t="shared" si="15"/>
        <v>170</v>
      </c>
      <c r="B173" s="63"/>
      <c r="C173" s="116"/>
      <c r="D173" s="118"/>
      <c r="E173" s="118">
        <f t="shared" si="19"/>
        <v>0</v>
      </c>
      <c r="F173" s="74"/>
      <c r="G173" s="118"/>
      <c r="H173" s="118">
        <f t="shared" si="20"/>
        <v>0</v>
      </c>
      <c r="I173" s="74"/>
      <c r="J173" s="106"/>
      <c r="K173" s="106"/>
      <c r="L173" s="106"/>
      <c r="M173" s="106"/>
    </row>
    <row r="174" spans="1:13" hidden="1">
      <c r="A174" s="76">
        <f t="shared" si="15"/>
        <v>171</v>
      </c>
      <c r="B174" s="63"/>
      <c r="C174" s="116"/>
      <c r="D174" s="118"/>
      <c r="E174" s="118">
        <f t="shared" si="19"/>
        <v>0</v>
      </c>
      <c r="F174" s="74"/>
      <c r="G174" s="118"/>
      <c r="H174" s="118">
        <f t="shared" si="20"/>
        <v>0</v>
      </c>
      <c r="I174" s="74"/>
      <c r="J174" s="106"/>
      <c r="K174" s="106"/>
      <c r="L174" s="106"/>
      <c r="M174" s="106"/>
    </row>
    <row r="175" spans="1:13" hidden="1">
      <c r="A175" s="76">
        <f t="shared" si="15"/>
        <v>172</v>
      </c>
      <c r="B175" s="63"/>
      <c r="C175" s="116"/>
      <c r="D175" s="116"/>
      <c r="E175" s="118">
        <f t="shared" si="19"/>
        <v>0</v>
      </c>
      <c r="F175" s="74"/>
      <c r="G175" s="118"/>
      <c r="H175" s="118">
        <f t="shared" si="20"/>
        <v>0</v>
      </c>
      <c r="I175" s="74"/>
      <c r="J175" s="106"/>
      <c r="K175" s="106"/>
      <c r="L175" s="106"/>
      <c r="M175" s="106"/>
    </row>
    <row r="176" spans="1:13" hidden="1">
      <c r="A176" s="76">
        <f t="shared" si="15"/>
        <v>173</v>
      </c>
      <c r="B176" s="63"/>
      <c r="C176" s="116"/>
      <c r="D176" s="116"/>
      <c r="E176" s="118">
        <f t="shared" si="19"/>
        <v>0</v>
      </c>
      <c r="F176" s="74"/>
      <c r="G176" s="118"/>
      <c r="H176" s="118">
        <f t="shared" si="20"/>
        <v>0</v>
      </c>
      <c r="I176" s="74"/>
      <c r="J176" s="106"/>
      <c r="K176" s="106"/>
      <c r="L176" s="106"/>
      <c r="M176" s="106"/>
    </row>
    <row r="177" spans="1:13" hidden="1">
      <c r="A177" s="76">
        <f t="shared" si="15"/>
        <v>174</v>
      </c>
      <c r="B177" s="63"/>
      <c r="C177" s="116"/>
      <c r="D177" s="118"/>
      <c r="E177" s="118">
        <f t="shared" si="19"/>
        <v>0</v>
      </c>
      <c r="F177" s="74"/>
      <c r="G177" s="118"/>
      <c r="H177" s="118">
        <f t="shared" si="20"/>
        <v>0</v>
      </c>
      <c r="I177" s="74"/>
      <c r="J177" s="106"/>
      <c r="K177" s="106"/>
      <c r="L177" s="106"/>
      <c r="M177" s="106"/>
    </row>
    <row r="178" spans="1:13" hidden="1">
      <c r="A178" s="76">
        <f t="shared" si="15"/>
        <v>175</v>
      </c>
      <c r="B178" s="63"/>
      <c r="C178" s="116"/>
      <c r="D178" s="118"/>
      <c r="E178" s="118">
        <f t="shared" si="19"/>
        <v>0</v>
      </c>
      <c r="F178" s="74"/>
      <c r="G178" s="118"/>
      <c r="H178" s="118">
        <f t="shared" si="20"/>
        <v>0</v>
      </c>
      <c r="I178" s="74"/>
      <c r="J178" s="106"/>
      <c r="K178" s="106"/>
      <c r="L178" s="106"/>
      <c r="M178" s="106"/>
    </row>
    <row r="179" spans="1:13" hidden="1">
      <c r="A179" s="76">
        <f t="shared" si="15"/>
        <v>176</v>
      </c>
      <c r="B179" s="63"/>
      <c r="C179" s="116"/>
      <c r="D179" s="116"/>
      <c r="E179" s="118">
        <f>C179-D179</f>
        <v>0</v>
      </c>
      <c r="F179" s="74"/>
      <c r="G179" s="118"/>
      <c r="H179" s="118">
        <f>E179-G179</f>
        <v>0</v>
      </c>
      <c r="I179" s="74"/>
      <c r="J179" s="106"/>
      <c r="K179" s="106"/>
      <c r="L179" s="106"/>
      <c r="M179" s="106"/>
    </row>
    <row r="180" spans="1:13" hidden="1">
      <c r="A180" s="76">
        <f t="shared" si="15"/>
        <v>177</v>
      </c>
      <c r="B180" s="63"/>
      <c r="C180" s="116"/>
      <c r="D180" s="116"/>
      <c r="E180" s="118">
        <f>C180-D180</f>
        <v>0</v>
      </c>
      <c r="F180" s="74"/>
      <c r="G180" s="118"/>
      <c r="H180" s="118">
        <f>E180-G180</f>
        <v>0</v>
      </c>
      <c r="I180" s="115"/>
      <c r="J180" s="106"/>
      <c r="K180" s="106"/>
      <c r="L180" s="106"/>
      <c r="M180" s="106"/>
    </row>
    <row r="181" spans="1:13" hidden="1">
      <c r="A181" s="76">
        <f t="shared" si="15"/>
        <v>178</v>
      </c>
      <c r="B181" s="63"/>
      <c r="C181" s="116"/>
      <c r="D181" s="118"/>
      <c r="E181" s="118">
        <f t="shared" ref="E181:E213" si="21">C181-D181</f>
        <v>0</v>
      </c>
      <c r="F181" s="74"/>
      <c r="G181" s="118"/>
      <c r="H181" s="118">
        <f t="shared" ref="H181:H214" si="22">G181-D181</f>
        <v>0</v>
      </c>
      <c r="I181" s="115"/>
      <c r="J181" s="106"/>
      <c r="K181" s="106"/>
      <c r="L181" s="106"/>
      <c r="M181" s="106"/>
    </row>
    <row r="182" spans="1:13" hidden="1">
      <c r="A182" s="76">
        <f t="shared" si="15"/>
        <v>179</v>
      </c>
      <c r="B182" s="63"/>
      <c r="C182" s="116"/>
      <c r="D182" s="116"/>
      <c r="E182" s="118">
        <f t="shared" si="21"/>
        <v>0</v>
      </c>
      <c r="F182" s="74"/>
      <c r="G182" s="118"/>
      <c r="H182" s="118">
        <f t="shared" si="22"/>
        <v>0</v>
      </c>
      <c r="I182" s="74"/>
      <c r="J182" s="106"/>
      <c r="K182" s="106"/>
      <c r="L182" s="106"/>
      <c r="M182" s="106"/>
    </row>
    <row r="183" spans="1:13" hidden="1">
      <c r="A183" s="76">
        <f t="shared" si="15"/>
        <v>180</v>
      </c>
      <c r="B183" s="63"/>
      <c r="C183" s="116"/>
      <c r="D183" s="118"/>
      <c r="E183" s="118">
        <f t="shared" si="21"/>
        <v>0</v>
      </c>
      <c r="F183" s="74"/>
      <c r="G183" s="118"/>
      <c r="H183" s="118">
        <f t="shared" si="22"/>
        <v>0</v>
      </c>
      <c r="I183" s="74"/>
      <c r="J183" s="106"/>
      <c r="K183" s="106"/>
      <c r="L183" s="106"/>
      <c r="M183" s="106"/>
    </row>
    <row r="184" spans="1:13" hidden="1">
      <c r="A184" s="76">
        <f t="shared" si="15"/>
        <v>181</v>
      </c>
      <c r="B184" s="63"/>
      <c r="C184" s="116"/>
      <c r="D184" s="118"/>
      <c r="E184" s="118">
        <f t="shared" si="21"/>
        <v>0</v>
      </c>
      <c r="F184" s="74"/>
      <c r="G184" s="118"/>
      <c r="H184" s="118">
        <f t="shared" si="22"/>
        <v>0</v>
      </c>
      <c r="I184" s="74"/>
      <c r="J184" s="106"/>
      <c r="K184" s="106"/>
      <c r="L184" s="106"/>
      <c r="M184" s="106"/>
    </row>
    <row r="185" spans="1:13" hidden="1">
      <c r="A185" s="76">
        <f t="shared" si="15"/>
        <v>182</v>
      </c>
      <c r="B185" s="63"/>
      <c r="C185" s="116"/>
      <c r="D185" s="118"/>
      <c r="E185" s="118">
        <f t="shared" si="21"/>
        <v>0</v>
      </c>
      <c r="F185" s="74"/>
      <c r="G185" s="118"/>
      <c r="H185" s="118">
        <f t="shared" si="22"/>
        <v>0</v>
      </c>
      <c r="I185" s="74"/>
      <c r="J185" s="106"/>
      <c r="K185" s="106"/>
      <c r="L185" s="106"/>
      <c r="M185" s="106"/>
    </row>
    <row r="186" spans="1:13" hidden="1">
      <c r="A186" s="76">
        <f t="shared" si="15"/>
        <v>183</v>
      </c>
      <c r="B186" s="63"/>
      <c r="C186" s="116"/>
      <c r="D186" s="118"/>
      <c r="E186" s="118">
        <f t="shared" si="21"/>
        <v>0</v>
      </c>
      <c r="F186" s="74"/>
      <c r="G186" s="118"/>
      <c r="H186" s="118">
        <f t="shared" si="22"/>
        <v>0</v>
      </c>
      <c r="I186" s="74"/>
      <c r="J186" s="106"/>
      <c r="K186" s="106"/>
      <c r="L186" s="106"/>
      <c r="M186" s="106"/>
    </row>
    <row r="187" spans="1:13" hidden="1">
      <c r="A187" s="76">
        <f t="shared" si="15"/>
        <v>184</v>
      </c>
      <c r="B187" s="63"/>
      <c r="C187" s="116"/>
      <c r="D187" s="118"/>
      <c r="E187" s="118">
        <f t="shared" si="21"/>
        <v>0</v>
      </c>
      <c r="F187" s="74"/>
      <c r="G187" s="118"/>
      <c r="H187" s="118">
        <f t="shared" si="22"/>
        <v>0</v>
      </c>
      <c r="I187" s="74"/>
      <c r="J187" s="106"/>
      <c r="K187" s="106"/>
      <c r="L187" s="106"/>
      <c r="M187" s="106"/>
    </row>
    <row r="188" spans="1:13" hidden="1">
      <c r="A188" s="76">
        <f t="shared" si="15"/>
        <v>185</v>
      </c>
      <c r="B188" s="63"/>
      <c r="C188" s="116"/>
      <c r="D188" s="116"/>
      <c r="E188" s="118">
        <f t="shared" si="21"/>
        <v>0</v>
      </c>
      <c r="F188" s="74"/>
      <c r="G188" s="118"/>
      <c r="H188" s="118">
        <f t="shared" si="22"/>
        <v>0</v>
      </c>
      <c r="I188" s="74"/>
      <c r="J188" s="106"/>
      <c r="K188" s="106"/>
      <c r="L188" s="106"/>
      <c r="M188" s="106"/>
    </row>
    <row r="189" spans="1:13" hidden="1">
      <c r="A189" s="76">
        <f t="shared" si="15"/>
        <v>186</v>
      </c>
      <c r="B189" s="63"/>
      <c r="C189" s="116"/>
      <c r="D189" s="118"/>
      <c r="E189" s="118">
        <f t="shared" si="21"/>
        <v>0</v>
      </c>
      <c r="F189" s="74"/>
      <c r="G189" s="118"/>
      <c r="H189" s="118">
        <f t="shared" si="22"/>
        <v>0</v>
      </c>
      <c r="I189" s="74"/>
      <c r="J189" s="106"/>
      <c r="K189" s="106"/>
      <c r="L189" s="106"/>
      <c r="M189" s="106"/>
    </row>
    <row r="190" spans="1:13" hidden="1">
      <c r="A190" s="76">
        <f t="shared" si="15"/>
        <v>187</v>
      </c>
      <c r="B190" s="63"/>
      <c r="C190" s="116"/>
      <c r="D190" s="118"/>
      <c r="E190" s="118">
        <f t="shared" si="21"/>
        <v>0</v>
      </c>
      <c r="F190" s="74"/>
      <c r="G190" s="118"/>
      <c r="H190" s="118">
        <f t="shared" si="22"/>
        <v>0</v>
      </c>
      <c r="I190" s="74"/>
      <c r="J190" s="106"/>
      <c r="K190" s="106"/>
      <c r="L190" s="106"/>
      <c r="M190" s="106"/>
    </row>
    <row r="191" spans="1:13" hidden="1">
      <c r="A191" s="76">
        <f t="shared" si="15"/>
        <v>188</v>
      </c>
      <c r="B191" s="63"/>
      <c r="C191" s="116"/>
      <c r="D191" s="118"/>
      <c r="E191" s="118">
        <f t="shared" si="21"/>
        <v>0</v>
      </c>
      <c r="F191" s="74"/>
      <c r="G191" s="118"/>
      <c r="H191" s="118">
        <f t="shared" si="22"/>
        <v>0</v>
      </c>
      <c r="I191" s="74"/>
      <c r="J191" s="106"/>
      <c r="K191" s="106"/>
      <c r="L191" s="106"/>
      <c r="M191" s="106"/>
    </row>
    <row r="192" spans="1:13" hidden="1">
      <c r="A192" s="76">
        <f t="shared" si="15"/>
        <v>189</v>
      </c>
      <c r="B192" s="63"/>
      <c r="C192" s="116"/>
      <c r="D192" s="118"/>
      <c r="E192" s="118">
        <f t="shared" si="21"/>
        <v>0</v>
      </c>
      <c r="F192" s="74"/>
      <c r="G192" s="118"/>
      <c r="H192" s="118">
        <f t="shared" si="22"/>
        <v>0</v>
      </c>
      <c r="I192" s="74"/>
      <c r="J192" s="106"/>
      <c r="K192" s="106"/>
      <c r="L192" s="106"/>
      <c r="M192" s="106"/>
    </row>
    <row r="193" spans="1:13" hidden="1">
      <c r="A193" s="76">
        <f t="shared" si="15"/>
        <v>190</v>
      </c>
      <c r="B193" s="63"/>
      <c r="C193" s="116"/>
      <c r="D193" s="118"/>
      <c r="E193" s="118">
        <f t="shared" si="21"/>
        <v>0</v>
      </c>
      <c r="F193" s="74"/>
      <c r="G193" s="118"/>
      <c r="H193" s="118">
        <f t="shared" si="22"/>
        <v>0</v>
      </c>
      <c r="I193" s="74"/>
      <c r="J193" s="106"/>
      <c r="K193" s="106"/>
      <c r="L193" s="106"/>
      <c r="M193" s="106"/>
    </row>
    <row r="194" spans="1:13" hidden="1">
      <c r="A194" s="76">
        <f t="shared" si="15"/>
        <v>191</v>
      </c>
      <c r="B194" s="63"/>
      <c r="C194" s="116"/>
      <c r="D194" s="116"/>
      <c r="E194" s="118">
        <f t="shared" si="21"/>
        <v>0</v>
      </c>
      <c r="F194" s="74"/>
      <c r="G194" s="118"/>
      <c r="H194" s="118">
        <f t="shared" si="22"/>
        <v>0</v>
      </c>
      <c r="I194" s="74"/>
      <c r="J194" s="106"/>
      <c r="K194" s="106"/>
      <c r="L194" s="106"/>
      <c r="M194" s="106"/>
    </row>
    <row r="195" spans="1:13" hidden="1">
      <c r="A195" s="76">
        <f t="shared" si="15"/>
        <v>192</v>
      </c>
      <c r="B195" s="63"/>
      <c r="C195" s="116"/>
      <c r="D195" s="116"/>
      <c r="E195" s="118">
        <f t="shared" si="21"/>
        <v>0</v>
      </c>
      <c r="F195" s="74"/>
      <c r="G195" s="118"/>
      <c r="H195" s="118">
        <f t="shared" si="22"/>
        <v>0</v>
      </c>
      <c r="I195" s="74"/>
      <c r="J195" s="106"/>
      <c r="K195" s="106"/>
      <c r="L195" s="106"/>
      <c r="M195" s="106"/>
    </row>
    <row r="196" spans="1:13" hidden="1">
      <c r="A196" s="76">
        <f t="shared" si="15"/>
        <v>193</v>
      </c>
      <c r="B196" s="63"/>
      <c r="C196" s="116"/>
      <c r="D196" s="116"/>
      <c r="E196" s="118">
        <f t="shared" si="21"/>
        <v>0</v>
      </c>
      <c r="F196" s="74"/>
      <c r="G196" s="118"/>
      <c r="H196" s="118">
        <f t="shared" si="22"/>
        <v>0</v>
      </c>
      <c r="I196" s="74"/>
      <c r="J196" s="106"/>
      <c r="K196" s="106"/>
      <c r="L196" s="106"/>
      <c r="M196" s="106"/>
    </row>
    <row r="197" spans="1:13" hidden="1">
      <c r="A197" s="76">
        <f t="shared" si="15"/>
        <v>194</v>
      </c>
      <c r="B197" s="63"/>
      <c r="C197" s="116"/>
      <c r="D197" s="116"/>
      <c r="E197" s="118">
        <f t="shared" si="21"/>
        <v>0</v>
      </c>
      <c r="F197" s="74"/>
      <c r="G197" s="118"/>
      <c r="H197" s="118">
        <f t="shared" si="22"/>
        <v>0</v>
      </c>
      <c r="I197" s="74"/>
      <c r="J197" s="106"/>
      <c r="K197" s="106"/>
      <c r="L197" s="106"/>
      <c r="M197" s="106"/>
    </row>
    <row r="198" spans="1:13" hidden="1">
      <c r="A198" s="76">
        <f t="shared" ref="A198:A214" si="23">1+A197</f>
        <v>195</v>
      </c>
      <c r="B198" s="63"/>
      <c r="C198" s="116"/>
      <c r="D198" s="116"/>
      <c r="E198" s="118">
        <f t="shared" si="21"/>
        <v>0</v>
      </c>
      <c r="F198" s="74"/>
      <c r="G198" s="118"/>
      <c r="H198" s="118">
        <f t="shared" si="22"/>
        <v>0</v>
      </c>
      <c r="I198" s="74"/>
      <c r="J198" s="106"/>
      <c r="K198" s="106"/>
      <c r="L198" s="106"/>
      <c r="M198" s="106"/>
    </row>
    <row r="199" spans="1:13" hidden="1">
      <c r="A199" s="76">
        <f t="shared" si="23"/>
        <v>196</v>
      </c>
      <c r="B199" s="63"/>
      <c r="C199" s="116"/>
      <c r="D199" s="118"/>
      <c r="E199" s="118">
        <f t="shared" si="21"/>
        <v>0</v>
      </c>
      <c r="F199" s="74"/>
      <c r="G199" s="118"/>
      <c r="H199" s="118">
        <f t="shared" si="22"/>
        <v>0</v>
      </c>
      <c r="I199" s="74"/>
      <c r="J199" s="106"/>
      <c r="K199" s="106"/>
      <c r="L199" s="106"/>
      <c r="M199" s="106"/>
    </row>
    <row r="200" spans="1:13" hidden="1">
      <c r="A200" s="76">
        <f t="shared" si="23"/>
        <v>197</v>
      </c>
      <c r="B200" s="63"/>
      <c r="C200" s="116"/>
      <c r="D200" s="118"/>
      <c r="E200" s="118">
        <f t="shared" si="21"/>
        <v>0</v>
      </c>
      <c r="F200" s="74"/>
      <c r="G200" s="118"/>
      <c r="H200" s="118">
        <f t="shared" si="22"/>
        <v>0</v>
      </c>
      <c r="I200" s="74"/>
      <c r="J200" s="106"/>
      <c r="K200" s="106"/>
      <c r="L200" s="106"/>
      <c r="M200" s="106"/>
    </row>
    <row r="201" spans="1:13" hidden="1">
      <c r="A201" s="76">
        <f t="shared" si="23"/>
        <v>198</v>
      </c>
      <c r="B201" s="63"/>
      <c r="C201" s="116"/>
      <c r="D201" s="116"/>
      <c r="E201" s="118">
        <f t="shared" si="21"/>
        <v>0</v>
      </c>
      <c r="F201" s="74"/>
      <c r="G201" s="118"/>
      <c r="H201" s="118">
        <f t="shared" si="22"/>
        <v>0</v>
      </c>
      <c r="I201" s="74"/>
      <c r="J201" s="106"/>
      <c r="K201" s="106"/>
      <c r="L201" s="106"/>
      <c r="M201" s="106"/>
    </row>
    <row r="202" spans="1:13" hidden="1">
      <c r="A202" s="76">
        <f t="shared" si="23"/>
        <v>199</v>
      </c>
      <c r="B202" s="63"/>
      <c r="C202" s="116"/>
      <c r="D202" s="116"/>
      <c r="E202" s="118">
        <f t="shared" si="21"/>
        <v>0</v>
      </c>
      <c r="F202" s="74"/>
      <c r="G202" s="118"/>
      <c r="H202" s="118">
        <f t="shared" si="22"/>
        <v>0</v>
      </c>
      <c r="I202" s="74"/>
      <c r="J202" s="106"/>
      <c r="K202" s="106"/>
      <c r="L202" s="106"/>
      <c r="M202" s="106"/>
    </row>
    <row r="203" spans="1:13" hidden="1">
      <c r="A203" s="76">
        <f t="shared" si="23"/>
        <v>200</v>
      </c>
      <c r="B203" s="63"/>
      <c r="C203" s="116"/>
      <c r="D203" s="118"/>
      <c r="E203" s="118">
        <f t="shared" si="21"/>
        <v>0</v>
      </c>
      <c r="F203" s="74"/>
      <c r="G203" s="118"/>
      <c r="H203" s="118">
        <f t="shared" si="22"/>
        <v>0</v>
      </c>
      <c r="I203" s="74"/>
      <c r="J203" s="106"/>
      <c r="K203" s="106"/>
      <c r="L203" s="106"/>
      <c r="M203" s="106"/>
    </row>
    <row r="204" spans="1:13" hidden="1">
      <c r="A204" s="76">
        <f t="shared" si="23"/>
        <v>201</v>
      </c>
      <c r="B204" s="63"/>
      <c r="C204" s="116"/>
      <c r="D204" s="118"/>
      <c r="E204" s="118">
        <f t="shared" si="21"/>
        <v>0</v>
      </c>
      <c r="F204" s="74"/>
      <c r="G204" s="118"/>
      <c r="H204" s="118">
        <f t="shared" si="22"/>
        <v>0</v>
      </c>
      <c r="I204" s="74"/>
      <c r="J204" s="106"/>
      <c r="K204" s="106"/>
      <c r="L204" s="106"/>
      <c r="M204" s="106"/>
    </row>
    <row r="205" spans="1:13" hidden="1">
      <c r="A205" s="76">
        <f t="shared" si="23"/>
        <v>202</v>
      </c>
      <c r="B205" s="63"/>
      <c r="C205" s="116"/>
      <c r="D205" s="118"/>
      <c r="E205" s="118">
        <f t="shared" si="21"/>
        <v>0</v>
      </c>
      <c r="F205" s="74"/>
      <c r="G205" s="118"/>
      <c r="H205" s="118">
        <f t="shared" si="22"/>
        <v>0</v>
      </c>
      <c r="I205" s="74"/>
      <c r="J205" s="106"/>
      <c r="K205" s="106"/>
      <c r="L205" s="106"/>
      <c r="M205" s="106"/>
    </row>
    <row r="206" spans="1:13" hidden="1">
      <c r="A206" s="76">
        <f t="shared" si="23"/>
        <v>203</v>
      </c>
      <c r="B206" s="63"/>
      <c r="C206" s="116"/>
      <c r="D206" s="118"/>
      <c r="E206" s="118">
        <f t="shared" si="21"/>
        <v>0</v>
      </c>
      <c r="F206" s="74"/>
      <c r="G206" s="118"/>
      <c r="H206" s="118">
        <f t="shared" si="22"/>
        <v>0</v>
      </c>
      <c r="I206" s="74"/>
      <c r="J206" s="106"/>
      <c r="K206" s="106"/>
      <c r="L206" s="106"/>
      <c r="M206" s="106"/>
    </row>
    <row r="207" spans="1:13" hidden="1">
      <c r="A207" s="76">
        <f t="shared" si="23"/>
        <v>204</v>
      </c>
      <c r="B207" s="63"/>
      <c r="C207" s="116"/>
      <c r="D207" s="118"/>
      <c r="E207" s="118">
        <f t="shared" si="21"/>
        <v>0</v>
      </c>
      <c r="F207" s="74"/>
      <c r="G207" s="118"/>
      <c r="H207" s="118">
        <f t="shared" si="22"/>
        <v>0</v>
      </c>
      <c r="I207" s="74"/>
      <c r="J207" s="106"/>
      <c r="K207" s="106"/>
      <c r="L207" s="106"/>
      <c r="M207" s="106"/>
    </row>
    <row r="208" spans="1:13" hidden="1">
      <c r="A208" s="76">
        <f t="shared" si="23"/>
        <v>205</v>
      </c>
      <c r="B208" s="63"/>
      <c r="C208" s="116"/>
      <c r="D208" s="118"/>
      <c r="E208" s="118">
        <f t="shared" si="21"/>
        <v>0</v>
      </c>
      <c r="F208" s="74"/>
      <c r="G208" s="118"/>
      <c r="H208" s="118">
        <f t="shared" si="22"/>
        <v>0</v>
      </c>
      <c r="I208" s="74"/>
      <c r="J208" s="106"/>
      <c r="K208" s="106"/>
      <c r="L208" s="106"/>
      <c r="M208" s="106"/>
    </row>
    <row r="209" spans="1:13" hidden="1">
      <c r="A209" s="76">
        <f t="shared" si="23"/>
        <v>206</v>
      </c>
      <c r="B209" s="63"/>
      <c r="C209" s="116"/>
      <c r="D209" s="118"/>
      <c r="E209" s="118">
        <f t="shared" si="21"/>
        <v>0</v>
      </c>
      <c r="F209" s="74"/>
      <c r="G209" s="118"/>
      <c r="H209" s="118">
        <f t="shared" si="22"/>
        <v>0</v>
      </c>
      <c r="I209" s="74"/>
      <c r="J209" s="106"/>
      <c r="K209" s="106"/>
      <c r="L209" s="106"/>
      <c r="M209" s="106"/>
    </row>
    <row r="210" spans="1:13" hidden="1">
      <c r="A210" s="76">
        <f t="shared" si="23"/>
        <v>207</v>
      </c>
      <c r="B210" s="63"/>
      <c r="C210" s="116"/>
      <c r="D210" s="118"/>
      <c r="E210" s="118">
        <f t="shared" si="21"/>
        <v>0</v>
      </c>
      <c r="F210" s="74"/>
      <c r="G210" s="118"/>
      <c r="H210" s="118">
        <f t="shared" si="22"/>
        <v>0</v>
      </c>
      <c r="I210" s="74"/>
      <c r="J210" s="106"/>
      <c r="K210" s="106"/>
      <c r="L210" s="106"/>
      <c r="M210" s="106"/>
    </row>
    <row r="211" spans="1:13" hidden="1">
      <c r="A211" s="76">
        <f t="shared" si="23"/>
        <v>208</v>
      </c>
      <c r="B211" s="63"/>
      <c r="C211" s="116"/>
      <c r="D211" s="118"/>
      <c r="E211" s="118">
        <f t="shared" si="21"/>
        <v>0</v>
      </c>
      <c r="F211" s="74"/>
      <c r="G211" s="118"/>
      <c r="H211" s="118">
        <f t="shared" si="22"/>
        <v>0</v>
      </c>
      <c r="I211" s="74"/>
      <c r="J211" s="106"/>
      <c r="K211" s="106"/>
      <c r="L211" s="106"/>
      <c r="M211" s="106"/>
    </row>
    <row r="212" spans="1:13" hidden="1">
      <c r="A212" s="76">
        <f t="shared" si="23"/>
        <v>209</v>
      </c>
      <c r="B212" s="63"/>
      <c r="C212" s="116"/>
      <c r="D212" s="118"/>
      <c r="E212" s="118">
        <f t="shared" si="21"/>
        <v>0</v>
      </c>
      <c r="F212" s="74"/>
      <c r="G212" s="118"/>
      <c r="H212" s="118">
        <f t="shared" si="22"/>
        <v>0</v>
      </c>
      <c r="I212" s="74"/>
      <c r="J212" s="106"/>
      <c r="K212" s="106"/>
      <c r="L212" s="106"/>
      <c r="M212" s="106"/>
    </row>
    <row r="213" spans="1:13" hidden="1">
      <c r="A213" s="76">
        <f t="shared" si="23"/>
        <v>210</v>
      </c>
      <c r="B213" s="63"/>
      <c r="C213" s="116"/>
      <c r="D213" s="116"/>
      <c r="E213" s="118">
        <f t="shared" si="21"/>
        <v>0</v>
      </c>
      <c r="F213" s="74"/>
      <c r="G213" s="118"/>
      <c r="H213" s="118">
        <f t="shared" si="22"/>
        <v>0</v>
      </c>
      <c r="I213" s="74"/>
      <c r="J213" s="106"/>
      <c r="K213" s="106"/>
      <c r="L213" s="106"/>
      <c r="M213" s="106"/>
    </row>
    <row r="214" spans="1:13">
      <c r="A214" s="76">
        <f t="shared" si="23"/>
        <v>211</v>
      </c>
      <c r="B214" s="121" t="s">
        <v>227</v>
      </c>
      <c r="C214" s="122">
        <f>SUM(C4:C213)</f>
        <v>7722631150</v>
      </c>
      <c r="D214" s="122">
        <f>SUM(D4:D213)</f>
        <v>6605223150</v>
      </c>
      <c r="E214" s="122">
        <f>SUM(E4:E213)</f>
        <v>1117408000</v>
      </c>
      <c r="F214" s="123"/>
      <c r="G214" s="122">
        <f>SUM(G4:G213)</f>
        <v>0</v>
      </c>
      <c r="H214" s="124">
        <f t="shared" si="22"/>
        <v>-6605223150</v>
      </c>
      <c r="I214" s="74"/>
      <c r="J214" s="106"/>
      <c r="K214" s="106"/>
      <c r="L214" s="106"/>
      <c r="M214" s="106"/>
    </row>
    <row r="215" spans="1:13" ht="15.75" thickBot="1">
      <c r="A215" s="125"/>
      <c r="I215" s="125"/>
      <c r="J215" s="106"/>
      <c r="K215" s="106"/>
      <c r="L215" s="106"/>
      <c r="M215" s="106"/>
    </row>
    <row r="216" spans="1:13">
      <c r="C216" s="126">
        <f>+C214</f>
        <v>7722631150</v>
      </c>
      <c r="D216" s="127">
        <f>E214</f>
        <v>1117408000</v>
      </c>
      <c r="E216" s="127">
        <f>C216-D216</f>
        <v>6605223150</v>
      </c>
      <c r="F216" s="128" t="s">
        <v>228</v>
      </c>
      <c r="G216" s="129" t="s">
        <v>229</v>
      </c>
    </row>
    <row r="217" spans="1:13" ht="15.75" thickBot="1">
      <c r="C217" s="130"/>
      <c r="D217" s="131"/>
      <c r="E217" s="132">
        <f>E216/C216</f>
        <v>0.85530734560590793</v>
      </c>
      <c r="F217" s="133"/>
    </row>
    <row r="218" spans="1:13" ht="15.75" thickBot="1">
      <c r="C218" s="134"/>
      <c r="D218" s="134"/>
      <c r="E218" s="134"/>
    </row>
    <row r="219" spans="1:13" ht="12" customHeight="1">
      <c r="C219" s="126">
        <v>20000000000</v>
      </c>
      <c r="D219" s="127">
        <f>+E214</f>
        <v>1117408000</v>
      </c>
      <c r="E219" s="127">
        <f>C219-D219</f>
        <v>18882592000</v>
      </c>
      <c r="F219" s="128" t="s">
        <v>230</v>
      </c>
    </row>
    <row r="220" spans="1:13" ht="15.75" thickBot="1">
      <c r="C220" s="135" t="s">
        <v>231</v>
      </c>
      <c r="D220" s="136" t="s">
        <v>232</v>
      </c>
      <c r="E220" s="132">
        <f>E219/C219</f>
        <v>0.94412960000000001</v>
      </c>
      <c r="F220" s="133"/>
    </row>
    <row r="222" spans="1:13" ht="15.75" thickBot="1">
      <c r="E222" s="132">
        <f>D214/C214</f>
        <v>0.85530734560590793</v>
      </c>
      <c r="F222" s="137" t="s">
        <v>233</v>
      </c>
    </row>
    <row r="224" spans="1:13">
      <c r="C224" s="138">
        <v>13000000000</v>
      </c>
      <c r="D224" s="139">
        <f>C224-E224-F224-G224</f>
        <v>11882592000</v>
      </c>
      <c r="E224" s="138">
        <f>E214-F224-G224</f>
        <v>1020974550</v>
      </c>
      <c r="F224" s="138">
        <v>52391050</v>
      </c>
      <c r="G224" s="138">
        <v>44042400</v>
      </c>
    </row>
    <row r="225" spans="3:7">
      <c r="C225" s="140" t="s">
        <v>234</v>
      </c>
      <c r="D225" s="141"/>
      <c r="E225" s="142">
        <f>(E224+F224)/C224</f>
        <v>8.2566584615384617E-2</v>
      </c>
      <c r="F225" s="142"/>
    </row>
    <row r="227" spans="3:7">
      <c r="C227" s="140" t="s">
        <v>235</v>
      </c>
      <c r="D227" s="140" t="s">
        <v>146</v>
      </c>
      <c r="E227" s="143">
        <v>30</v>
      </c>
      <c r="F227" s="143">
        <v>60</v>
      </c>
      <c r="G227" s="140">
        <v>90</v>
      </c>
    </row>
  </sheetData>
  <autoFilter ref="A3:M215"/>
  <mergeCells count="3">
    <mergeCell ref="A1:I1"/>
    <mergeCell ref="A2:I2"/>
    <mergeCell ref="E225:F225"/>
  </mergeCells>
  <conditionalFormatting sqref="B205:B214 B191:B194 B152:B155 B138:B141">
    <cfRule type="expression" dxfId="236" priority="232">
      <formula>AND($Z139&gt;0,$L139&gt;89)</formula>
    </cfRule>
    <cfRule type="expression" dxfId="235" priority="233">
      <formula>AND($Z139&gt;0,$L139&gt;59)</formula>
    </cfRule>
  </conditionalFormatting>
  <conditionalFormatting sqref="G35:G49 E179:E180 G179:G180 C209:E214 H210:H213 G196:G214 E4:E78 H4:H49">
    <cfRule type="expression" dxfId="234" priority="230">
      <formula>AND(#REF!&gt;0,$H4&gt;89)</formula>
    </cfRule>
    <cfRule type="expression" dxfId="233" priority="231">
      <formula>AND(#REF!&gt;0,$H4&gt;59)</formula>
    </cfRule>
  </conditionalFormatting>
  <conditionalFormatting sqref="H179:H180">
    <cfRule type="expression" dxfId="232" priority="228">
      <formula>AND(#REF!&gt;0,$H179&gt;89)</formula>
    </cfRule>
    <cfRule type="expression" dxfId="231" priority="229">
      <formula>AND(#REF!&gt;0,$H179&gt;59)</formula>
    </cfRule>
  </conditionalFormatting>
  <conditionalFormatting sqref="H209 H179:H180">
    <cfRule type="expression" dxfId="230" priority="226">
      <formula>AND(#REF!&gt;0,$H179&gt;89)</formula>
    </cfRule>
    <cfRule type="expression" dxfId="229" priority="227">
      <formula>AND(#REF!&gt;0,$H179&gt;59)</formula>
    </cfRule>
  </conditionalFormatting>
  <conditionalFormatting sqref="D216">
    <cfRule type="expression" dxfId="228" priority="224">
      <formula>AND(#REF!&gt;0,$H216&gt;89)</formula>
    </cfRule>
    <cfRule type="expression" dxfId="227" priority="225">
      <formula>AND(#REF!&gt;0,$H216&gt;59)</formula>
    </cfRule>
  </conditionalFormatting>
  <conditionalFormatting sqref="E216">
    <cfRule type="expression" dxfId="226" priority="222">
      <formula>AND(#REF!&gt;0,$H216&gt;89)</formula>
    </cfRule>
    <cfRule type="expression" dxfId="225" priority="223">
      <formula>AND(#REF!&gt;0,$H216&gt;59)</formula>
    </cfRule>
  </conditionalFormatting>
  <conditionalFormatting sqref="H214">
    <cfRule type="expression" dxfId="224" priority="220">
      <formula>AND(#REF!&gt;0,$H214&gt;89)</formula>
    </cfRule>
    <cfRule type="expression" dxfId="223" priority="221">
      <formula>AND(#REF!&gt;0,$H214&gt;59)</formula>
    </cfRule>
  </conditionalFormatting>
  <conditionalFormatting sqref="F4:G14">
    <cfRule type="expression" dxfId="222" priority="218">
      <formula>AND(#REF!&gt;0,$M4&gt;89)</formula>
    </cfRule>
    <cfRule type="expression" dxfId="221" priority="219">
      <formula>AND(#REF!&gt;0,$M4&gt;59)</formula>
    </cfRule>
  </conditionalFormatting>
  <conditionalFormatting sqref="C219">
    <cfRule type="expression" dxfId="220" priority="216">
      <formula>AND(#REF!&gt;0,$H219&gt;89)</formula>
    </cfRule>
    <cfRule type="expression" dxfId="219" priority="217">
      <formula>AND(#REF!&gt;0,$H219&gt;59)</formula>
    </cfRule>
  </conditionalFormatting>
  <conditionalFormatting sqref="D219">
    <cfRule type="expression" dxfId="218" priority="214">
      <formula>AND(#REF!&gt;0,$H219&gt;89)</formula>
    </cfRule>
    <cfRule type="expression" dxfId="217" priority="215">
      <formula>AND(#REF!&gt;0,$H219&gt;59)</formula>
    </cfRule>
  </conditionalFormatting>
  <conditionalFormatting sqref="E219">
    <cfRule type="expression" dxfId="216" priority="212">
      <formula>AND(#REF!&gt;0,$H219&gt;89)</formula>
    </cfRule>
    <cfRule type="expression" dxfId="215" priority="213">
      <formula>AND(#REF!&gt;0,$H219&gt;59)</formula>
    </cfRule>
  </conditionalFormatting>
  <conditionalFormatting sqref="I4:I50">
    <cfRule type="expression" dxfId="214" priority="210">
      <formula>AND($AD4&gt;0,$P4&gt;89)</formula>
    </cfRule>
    <cfRule type="expression" dxfId="213" priority="211">
      <formula>AND($AD4&gt;0,$P4&gt;59)</formula>
    </cfRule>
  </conditionalFormatting>
  <conditionalFormatting sqref="C179:C180">
    <cfRule type="expression" dxfId="212" priority="208">
      <formula>AND(#REF!&gt;0,$L180&gt;89)</formula>
    </cfRule>
    <cfRule type="expression" dxfId="211" priority="209">
      <formula>AND(#REF!&gt;0,$L180&gt;59)</formula>
    </cfRule>
  </conditionalFormatting>
  <conditionalFormatting sqref="I180:I181">
    <cfRule type="expression" dxfId="210" priority="206">
      <formula>AND($AD180&gt;0,$P180&gt;89)</formula>
    </cfRule>
    <cfRule type="expression" dxfId="209" priority="207">
      <formula>AND($AD180&gt;0,$P180&gt;59)</formula>
    </cfRule>
  </conditionalFormatting>
  <conditionalFormatting sqref="B195">
    <cfRule type="expression" dxfId="208" priority="204">
      <formula>AND($Z196&gt;0,$L196&gt;89)</formula>
    </cfRule>
    <cfRule type="expression" dxfId="207" priority="205">
      <formula>AND($Z196&gt;0,$L196&gt;59)</formula>
    </cfRule>
  </conditionalFormatting>
  <conditionalFormatting sqref="C195 C205:E208 G195 E195">
    <cfRule type="expression" dxfId="206" priority="202">
      <formula>AND(#REF!&gt;0,$H195&gt;89)</formula>
    </cfRule>
    <cfRule type="expression" dxfId="205" priority="203">
      <formula>AND(#REF!&gt;0,$H195&gt;59)</formula>
    </cfRule>
  </conditionalFormatting>
  <conditionalFormatting sqref="H205:H208 H195">
    <cfRule type="expression" dxfId="204" priority="200">
      <formula>AND(#REF!&gt;0,$H195&gt;89)</formula>
    </cfRule>
    <cfRule type="expression" dxfId="203" priority="201">
      <formula>AND(#REF!&gt;0,$H195&gt;59)</formula>
    </cfRule>
  </conditionalFormatting>
  <conditionalFormatting sqref="B196:B204">
    <cfRule type="expression" dxfId="202" priority="198">
      <formula>AND($Z197&gt;0,$L197&gt;89)</formula>
    </cfRule>
    <cfRule type="expression" dxfId="201" priority="199">
      <formula>AND($Z197&gt;0,$L197&gt;59)</formula>
    </cfRule>
  </conditionalFormatting>
  <conditionalFormatting sqref="C196 E196 C197:E204">
    <cfRule type="expression" dxfId="200" priority="196">
      <formula>AND(#REF!&gt;0,$H196&gt;89)</formula>
    </cfRule>
    <cfRule type="expression" dxfId="199" priority="197">
      <formula>AND(#REF!&gt;0,$H196&gt;59)</formula>
    </cfRule>
  </conditionalFormatting>
  <conditionalFormatting sqref="H196:H204">
    <cfRule type="expression" dxfId="198" priority="194">
      <formula>AND(#REF!&gt;0,$H196&gt;89)</formula>
    </cfRule>
    <cfRule type="expression" dxfId="197" priority="195">
      <formula>AND(#REF!&gt;0,$H196&gt;59)</formula>
    </cfRule>
  </conditionalFormatting>
  <conditionalFormatting sqref="B181">
    <cfRule type="expression" dxfId="196" priority="192">
      <formula>AND($Z182&gt;0,$L182&gt;89)</formula>
    </cfRule>
    <cfRule type="expression" dxfId="195" priority="193">
      <formula>AND($Z182&gt;0,$L182&gt;59)</formula>
    </cfRule>
  </conditionalFormatting>
  <conditionalFormatting sqref="C181:E181 G191:G194 C191:E193 G181 C194 E194">
    <cfRule type="expression" dxfId="194" priority="190">
      <formula>AND(#REF!&gt;0,$H181&gt;89)</formula>
    </cfRule>
    <cfRule type="expression" dxfId="193" priority="191">
      <formula>AND(#REF!&gt;0,$H181&gt;59)</formula>
    </cfRule>
  </conditionalFormatting>
  <conditionalFormatting sqref="H191:H194 H181">
    <cfRule type="expression" dxfId="192" priority="188">
      <formula>AND(#REF!&gt;0,$H181&gt;89)</formula>
    </cfRule>
    <cfRule type="expression" dxfId="191" priority="189">
      <formula>AND(#REF!&gt;0,$H181&gt;59)</formula>
    </cfRule>
  </conditionalFormatting>
  <conditionalFormatting sqref="B182:B190">
    <cfRule type="expression" dxfId="190" priority="186">
      <formula>AND($Z183&gt;0,$L183&gt;89)</formula>
    </cfRule>
    <cfRule type="expression" dxfId="189" priority="187">
      <formula>AND($Z183&gt;0,$L183&gt;59)</formula>
    </cfRule>
  </conditionalFormatting>
  <conditionalFormatting sqref="G182:G190 C182:E190">
    <cfRule type="expression" dxfId="188" priority="184">
      <formula>AND(#REF!&gt;0,$H182&gt;89)</formula>
    </cfRule>
    <cfRule type="expression" dxfId="187" priority="185">
      <formula>AND(#REF!&gt;0,$H182&gt;59)</formula>
    </cfRule>
  </conditionalFormatting>
  <conditionalFormatting sqref="H182:H190">
    <cfRule type="expression" dxfId="186" priority="182">
      <formula>AND(#REF!&gt;0,$H182&gt;89)</formula>
    </cfRule>
    <cfRule type="expression" dxfId="185" priority="183">
      <formula>AND(#REF!&gt;0,$H182&gt;59)</formula>
    </cfRule>
  </conditionalFormatting>
  <conditionalFormatting sqref="D179:D180 D20">
    <cfRule type="expression" dxfId="184" priority="180">
      <formula>AND(#REF!&gt;0,$L21&gt;89)</formula>
    </cfRule>
    <cfRule type="expression" dxfId="183" priority="181">
      <formula>AND(#REF!&gt;0,$L21&gt;59)</formula>
    </cfRule>
  </conditionalFormatting>
  <conditionalFormatting sqref="D195">
    <cfRule type="expression" dxfId="182" priority="178">
      <formula>AND(#REF!&gt;0,$H195&gt;89)</formula>
    </cfRule>
    <cfRule type="expression" dxfId="181" priority="179">
      <formula>AND(#REF!&gt;0,$H195&gt;59)</formula>
    </cfRule>
  </conditionalFormatting>
  <conditionalFormatting sqref="D196">
    <cfRule type="expression" dxfId="180" priority="176">
      <formula>AND(#REF!&gt;0,$H196&gt;89)</formula>
    </cfRule>
    <cfRule type="expression" dxfId="179" priority="177">
      <formula>AND(#REF!&gt;0,$H196&gt;59)</formula>
    </cfRule>
  </conditionalFormatting>
  <conditionalFormatting sqref="D194">
    <cfRule type="expression" dxfId="178" priority="174">
      <formula>AND(#REF!&gt;0,$H194&gt;89)</formula>
    </cfRule>
    <cfRule type="expression" dxfId="177" priority="175">
      <formula>AND(#REF!&gt;0,$H194&gt;59)</formula>
    </cfRule>
  </conditionalFormatting>
  <conditionalFormatting sqref="B171">
    <cfRule type="expression" dxfId="176" priority="172">
      <formula>AND($Z172&gt;0,$L172&gt;89)</formula>
    </cfRule>
    <cfRule type="expression" dxfId="175" priority="173">
      <formula>AND($Z172&gt;0,$L172&gt;59)</formula>
    </cfRule>
  </conditionalFormatting>
  <conditionalFormatting sqref="C171:E171 G50:G51">
    <cfRule type="expression" dxfId="174" priority="170">
      <formula>AND(#REF!&gt;0,$H50&gt;89)</formula>
    </cfRule>
    <cfRule type="expression" dxfId="173" priority="171">
      <formula>AND(#REF!&gt;0,$H50&gt;59)</formula>
    </cfRule>
  </conditionalFormatting>
  <conditionalFormatting sqref="H50:H51">
    <cfRule type="expression" dxfId="172" priority="168">
      <formula>AND(#REF!&gt;0,$H50&gt;89)</formula>
    </cfRule>
    <cfRule type="expression" dxfId="171" priority="169">
      <formula>AND(#REF!&gt;0,$H50&gt;59)</formula>
    </cfRule>
  </conditionalFormatting>
  <conditionalFormatting sqref="H171 H50:H51">
    <cfRule type="expression" dxfId="170" priority="166">
      <formula>AND(#REF!&gt;0,$H50&gt;89)</formula>
    </cfRule>
    <cfRule type="expression" dxfId="169" priority="167">
      <formula>AND(#REF!&gt;0,$H50&gt;59)</formula>
    </cfRule>
  </conditionalFormatting>
  <conditionalFormatting sqref="I51:I52">
    <cfRule type="expression" dxfId="168" priority="164">
      <formula>AND($AD51&gt;0,$P51&gt;89)</formula>
    </cfRule>
    <cfRule type="expression" dxfId="167" priority="165">
      <formula>AND($AD51&gt;0,$P51&gt;59)</formula>
    </cfRule>
  </conditionalFormatting>
  <conditionalFormatting sqref="B172:B178">
    <cfRule type="expression" dxfId="166" priority="162">
      <formula>AND($Z173&gt;0,$L173&gt;89)</formula>
    </cfRule>
    <cfRule type="expression" dxfId="165" priority="163">
      <formula>AND($Z173&gt;0,$L173&gt;59)</formula>
    </cfRule>
  </conditionalFormatting>
  <conditionalFormatting sqref="C172:E178">
    <cfRule type="expression" dxfId="164" priority="160">
      <formula>AND(#REF!&gt;0,$H172&gt;89)</formula>
    </cfRule>
    <cfRule type="expression" dxfId="163" priority="161">
      <formula>AND(#REF!&gt;0,$H172&gt;59)</formula>
    </cfRule>
  </conditionalFormatting>
  <conditionalFormatting sqref="H172:H178">
    <cfRule type="expression" dxfId="162" priority="158">
      <formula>AND(#REF!&gt;0,$H172&gt;89)</formula>
    </cfRule>
    <cfRule type="expression" dxfId="161" priority="159">
      <formula>AND(#REF!&gt;0,$H172&gt;59)</formula>
    </cfRule>
  </conditionalFormatting>
  <conditionalFormatting sqref="G66 E102:E103">
    <cfRule type="expression" dxfId="160" priority="156">
      <formula>AND(#REF!&gt;0,$H66&gt;89)</formula>
    </cfRule>
    <cfRule type="expression" dxfId="159" priority="157">
      <formula>AND(#REF!&gt;0,$H66&gt;59)</formula>
    </cfRule>
  </conditionalFormatting>
  <conditionalFormatting sqref="H76:H77 H66 H102:H103">
    <cfRule type="expression" dxfId="158" priority="154">
      <formula>AND(#REF!&gt;0,$H66&gt;89)</formula>
    </cfRule>
    <cfRule type="expression" dxfId="157" priority="155">
      <formula>AND(#REF!&gt;0,$H66&gt;59)</formula>
    </cfRule>
  </conditionalFormatting>
  <conditionalFormatting sqref="G67:G77 G102:G103 G171:G178">
    <cfRule type="expression" dxfId="156" priority="152">
      <formula>AND(#REF!&gt;0,$H67&gt;89)</formula>
    </cfRule>
    <cfRule type="expression" dxfId="155" priority="153">
      <formula>AND(#REF!&gt;0,$H67&gt;59)</formula>
    </cfRule>
  </conditionalFormatting>
  <conditionalFormatting sqref="H67:H75">
    <cfRule type="expression" dxfId="154" priority="150">
      <formula>AND(#REF!&gt;0,$H67&gt;89)</formula>
    </cfRule>
    <cfRule type="expression" dxfId="153" priority="151">
      <formula>AND(#REF!&gt;0,$H67&gt;59)</formula>
    </cfRule>
  </conditionalFormatting>
  <conditionalFormatting sqref="G62:G65 G52">
    <cfRule type="expression" dxfId="152" priority="148">
      <formula>AND(#REF!&gt;0,$H52&gt;89)</formula>
    </cfRule>
    <cfRule type="expression" dxfId="151" priority="149">
      <formula>AND(#REF!&gt;0,$H52&gt;59)</formula>
    </cfRule>
  </conditionalFormatting>
  <conditionalFormatting sqref="H62:H65 H52">
    <cfRule type="expression" dxfId="150" priority="146">
      <formula>AND(#REF!&gt;0,$H52&gt;89)</formula>
    </cfRule>
    <cfRule type="expression" dxfId="149" priority="147">
      <formula>AND(#REF!&gt;0,$H52&gt;59)</formula>
    </cfRule>
  </conditionalFormatting>
  <conditionalFormatting sqref="G53:G61">
    <cfRule type="expression" dxfId="148" priority="144">
      <formula>AND(#REF!&gt;0,$H53&gt;89)</formula>
    </cfRule>
    <cfRule type="expression" dxfId="147" priority="145">
      <formula>AND(#REF!&gt;0,$H53&gt;59)</formula>
    </cfRule>
  </conditionalFormatting>
  <conditionalFormatting sqref="H53:H61">
    <cfRule type="expression" dxfId="146" priority="142">
      <formula>AND(#REF!&gt;0,$H53&gt;89)</formula>
    </cfRule>
    <cfRule type="expression" dxfId="145" priority="143">
      <formula>AND(#REF!&gt;0,$H53&gt;59)</formula>
    </cfRule>
  </conditionalFormatting>
  <conditionalFormatting sqref="E88:E89 G88:G89">
    <cfRule type="expression" dxfId="144" priority="140">
      <formula>AND(#REF!&gt;0,$H88&gt;89)</formula>
    </cfRule>
    <cfRule type="expression" dxfId="143" priority="141">
      <formula>AND(#REF!&gt;0,$H88&gt;59)</formula>
    </cfRule>
  </conditionalFormatting>
  <conditionalFormatting sqref="H88:H89">
    <cfRule type="expression" dxfId="142" priority="138">
      <formula>AND(#REF!&gt;0,$H88&gt;89)</formula>
    </cfRule>
    <cfRule type="expression" dxfId="141" priority="139">
      <formula>AND(#REF!&gt;0,$H88&gt;59)</formula>
    </cfRule>
  </conditionalFormatting>
  <conditionalFormatting sqref="H88:H89">
    <cfRule type="expression" dxfId="140" priority="136">
      <formula>AND(#REF!&gt;0,$H88&gt;89)</formula>
    </cfRule>
    <cfRule type="expression" dxfId="139" priority="137">
      <formula>AND(#REF!&gt;0,$H88&gt;59)</formula>
    </cfRule>
  </conditionalFormatting>
  <conditionalFormatting sqref="I89:I90">
    <cfRule type="expression" dxfId="138" priority="134">
      <formula>AND($AD89&gt;0,$P89&gt;89)</formula>
    </cfRule>
    <cfRule type="expression" dxfId="137" priority="135">
      <formula>AND($AD89&gt;0,$P89&gt;59)</formula>
    </cfRule>
  </conditionalFormatting>
  <conditionalFormatting sqref="G100:G101 G90 E90 E100:E101">
    <cfRule type="expression" dxfId="136" priority="132">
      <formula>AND(#REF!&gt;0,$H90&gt;89)</formula>
    </cfRule>
    <cfRule type="expression" dxfId="135" priority="133">
      <formula>AND(#REF!&gt;0,$H90&gt;59)</formula>
    </cfRule>
  </conditionalFormatting>
  <conditionalFormatting sqref="H100:H101 H90">
    <cfRule type="expression" dxfId="134" priority="130">
      <formula>AND(#REF!&gt;0,$H90&gt;89)</formula>
    </cfRule>
    <cfRule type="expression" dxfId="133" priority="131">
      <formula>AND(#REF!&gt;0,$H90&gt;59)</formula>
    </cfRule>
  </conditionalFormatting>
  <conditionalFormatting sqref="G91:G99 E91:E99">
    <cfRule type="expression" dxfId="132" priority="128">
      <formula>AND(#REF!&gt;0,$H91&gt;89)</formula>
    </cfRule>
    <cfRule type="expression" dxfId="131" priority="129">
      <formula>AND(#REF!&gt;0,$H91&gt;59)</formula>
    </cfRule>
  </conditionalFormatting>
  <conditionalFormatting sqref="H91:H99">
    <cfRule type="expression" dxfId="130" priority="126">
      <formula>AND(#REF!&gt;0,$H91&gt;89)</formula>
    </cfRule>
    <cfRule type="expression" dxfId="129" priority="127">
      <formula>AND(#REF!&gt;0,$H91&gt;59)</formula>
    </cfRule>
  </conditionalFormatting>
  <conditionalFormatting sqref="E80">
    <cfRule type="expression" dxfId="128" priority="124">
      <formula>AND(#REF!&gt;0,$H80&gt;89)</formula>
    </cfRule>
    <cfRule type="expression" dxfId="127" priority="125">
      <formula>AND(#REF!&gt;0,$H80&gt;59)</formula>
    </cfRule>
  </conditionalFormatting>
  <conditionalFormatting sqref="H80">
    <cfRule type="expression" dxfId="126" priority="122">
      <formula>AND(#REF!&gt;0,$H80&gt;89)</formula>
    </cfRule>
    <cfRule type="expression" dxfId="125" priority="123">
      <formula>AND(#REF!&gt;0,$H80&gt;59)</formula>
    </cfRule>
  </conditionalFormatting>
  <conditionalFormatting sqref="E81:E87">
    <cfRule type="expression" dxfId="124" priority="120">
      <formula>AND(#REF!&gt;0,$H81&gt;89)</formula>
    </cfRule>
    <cfRule type="expression" dxfId="123" priority="121">
      <formula>AND(#REF!&gt;0,$H81&gt;59)</formula>
    </cfRule>
  </conditionalFormatting>
  <conditionalFormatting sqref="H81:H87">
    <cfRule type="expression" dxfId="122" priority="118">
      <formula>AND(#REF!&gt;0,$H81&gt;89)</formula>
    </cfRule>
    <cfRule type="expression" dxfId="121" priority="119">
      <formula>AND(#REF!&gt;0,$H81&gt;59)</formula>
    </cfRule>
  </conditionalFormatting>
  <conditionalFormatting sqref="E79">
    <cfRule type="expression" dxfId="120" priority="116">
      <formula>AND(#REF!&gt;0,$H79&gt;89)</formula>
    </cfRule>
    <cfRule type="expression" dxfId="119" priority="117">
      <formula>AND(#REF!&gt;0,$H79&gt;59)</formula>
    </cfRule>
  </conditionalFormatting>
  <conditionalFormatting sqref="H78:H79">
    <cfRule type="expression" dxfId="118" priority="114">
      <formula>AND(#REF!&gt;0,$H78&gt;89)</formula>
    </cfRule>
    <cfRule type="expression" dxfId="117" priority="115">
      <formula>AND(#REF!&gt;0,$H78&gt;59)</formula>
    </cfRule>
  </conditionalFormatting>
  <conditionalFormatting sqref="G78:G87">
    <cfRule type="expression" dxfId="116" priority="112">
      <formula>AND(#REF!&gt;0,$H78&gt;89)</formula>
    </cfRule>
    <cfRule type="expression" dxfId="115" priority="113">
      <formula>AND(#REF!&gt;0,$H78&gt;59)</formula>
    </cfRule>
  </conditionalFormatting>
  <conditionalFormatting sqref="B142">
    <cfRule type="expression" dxfId="114" priority="110">
      <formula>AND($Z143&gt;0,$L143&gt;89)</formula>
    </cfRule>
    <cfRule type="expression" dxfId="113" priority="111">
      <formula>AND($Z143&gt;0,$L143&gt;59)</formula>
    </cfRule>
  </conditionalFormatting>
  <conditionalFormatting sqref="C142 C152:E155 E112:E113 G112:G113 E142">
    <cfRule type="expression" dxfId="112" priority="108">
      <formula>AND(#REF!&gt;0,$H112&gt;89)</formula>
    </cfRule>
    <cfRule type="expression" dxfId="111" priority="109">
      <formula>AND(#REF!&gt;0,$H112&gt;59)</formula>
    </cfRule>
  </conditionalFormatting>
  <conditionalFormatting sqref="H112:H113">
    <cfRule type="expression" dxfId="110" priority="106">
      <formula>AND(#REF!&gt;0,$H112&gt;89)</formula>
    </cfRule>
    <cfRule type="expression" dxfId="109" priority="107">
      <formula>AND(#REF!&gt;0,$H112&gt;59)</formula>
    </cfRule>
  </conditionalFormatting>
  <conditionalFormatting sqref="H152:H155 H142 H112:H113">
    <cfRule type="expression" dxfId="108" priority="104">
      <formula>AND(#REF!&gt;0,$H112&gt;89)</formula>
    </cfRule>
    <cfRule type="expression" dxfId="107" priority="105">
      <formula>AND(#REF!&gt;0,$H112&gt;59)</formula>
    </cfRule>
  </conditionalFormatting>
  <conditionalFormatting sqref="I113:I114">
    <cfRule type="expression" dxfId="106" priority="102">
      <formula>AND($AD113&gt;0,$P113&gt;89)</formula>
    </cfRule>
    <cfRule type="expression" dxfId="105" priority="103">
      <formula>AND($AD113&gt;0,$P113&gt;59)</formula>
    </cfRule>
  </conditionalFormatting>
  <conditionalFormatting sqref="B143:B151">
    <cfRule type="expression" dxfId="104" priority="100">
      <formula>AND($Z144&gt;0,$L144&gt;89)</formula>
    </cfRule>
    <cfRule type="expression" dxfId="103" priority="101">
      <formula>AND($Z144&gt;0,$L144&gt;59)</formula>
    </cfRule>
  </conditionalFormatting>
  <conditionalFormatting sqref="C143:C151 E143:E151">
    <cfRule type="expression" dxfId="102" priority="98">
      <formula>AND(#REF!&gt;0,$H143&gt;89)</formula>
    </cfRule>
    <cfRule type="expression" dxfId="101" priority="99">
      <formula>AND(#REF!&gt;0,$H143&gt;59)</formula>
    </cfRule>
  </conditionalFormatting>
  <conditionalFormatting sqref="H143:H151">
    <cfRule type="expression" dxfId="100" priority="96">
      <formula>AND(#REF!&gt;0,$H143&gt;89)</formula>
    </cfRule>
    <cfRule type="expression" dxfId="99" priority="97">
      <formula>AND(#REF!&gt;0,$H143&gt;59)</formula>
    </cfRule>
  </conditionalFormatting>
  <conditionalFormatting sqref="B128">
    <cfRule type="expression" dxfId="98" priority="94">
      <formula>AND($Z129&gt;0,$L129&gt;89)</formula>
    </cfRule>
    <cfRule type="expression" dxfId="97" priority="95">
      <formula>AND($Z129&gt;0,$L129&gt;59)</formula>
    </cfRule>
  </conditionalFormatting>
  <conditionalFormatting sqref="C128 G128 E128 C138:C141 E138:E141">
    <cfRule type="expression" dxfId="96" priority="92">
      <formula>AND(#REF!&gt;0,$H128&gt;89)</formula>
    </cfRule>
    <cfRule type="expression" dxfId="95" priority="93">
      <formula>AND(#REF!&gt;0,$H128&gt;59)</formula>
    </cfRule>
  </conditionalFormatting>
  <conditionalFormatting sqref="H138:H141 H128">
    <cfRule type="expression" dxfId="94" priority="90">
      <formula>AND(#REF!&gt;0,$H128&gt;89)</formula>
    </cfRule>
    <cfRule type="expression" dxfId="93" priority="91">
      <formula>AND(#REF!&gt;0,$H128&gt;59)</formula>
    </cfRule>
  </conditionalFormatting>
  <conditionalFormatting sqref="B129:B137">
    <cfRule type="expression" dxfId="92" priority="88">
      <formula>AND($Z130&gt;0,$L130&gt;89)</formula>
    </cfRule>
    <cfRule type="expression" dxfId="91" priority="89">
      <formula>AND($Z130&gt;0,$L130&gt;59)</formula>
    </cfRule>
  </conditionalFormatting>
  <conditionalFormatting sqref="G129:G164 C129:C137 E129:E137">
    <cfRule type="expression" dxfId="90" priority="86">
      <formula>AND(#REF!&gt;0,$H129&gt;89)</formula>
    </cfRule>
    <cfRule type="expression" dxfId="89" priority="87">
      <formula>AND(#REF!&gt;0,$H129&gt;59)</formula>
    </cfRule>
  </conditionalFormatting>
  <conditionalFormatting sqref="H129:H137">
    <cfRule type="expression" dxfId="88" priority="84">
      <formula>AND(#REF!&gt;0,$H129&gt;89)</formula>
    </cfRule>
    <cfRule type="expression" dxfId="87" priority="85">
      <formula>AND(#REF!&gt;0,$H129&gt;59)</formula>
    </cfRule>
  </conditionalFormatting>
  <conditionalFormatting sqref="B124:B127">
    <cfRule type="expression" dxfId="86" priority="82">
      <formula>AND($Z125&gt;0,$L125&gt;89)</formula>
    </cfRule>
    <cfRule type="expression" dxfId="85" priority="83">
      <formula>AND($Z125&gt;0,$L125&gt;59)</formula>
    </cfRule>
  </conditionalFormatting>
  <conditionalFormatting sqref="G124:G127 G114 C124:C127 E124:E127 E114">
    <cfRule type="expression" dxfId="84" priority="80">
      <formula>AND(#REF!&gt;0,$H114&gt;89)</formula>
    </cfRule>
    <cfRule type="expression" dxfId="83" priority="81">
      <formula>AND(#REF!&gt;0,$H114&gt;59)</formula>
    </cfRule>
  </conditionalFormatting>
  <conditionalFormatting sqref="H124:H127 H114">
    <cfRule type="expression" dxfId="82" priority="78">
      <formula>AND(#REF!&gt;0,$H114&gt;89)</formula>
    </cfRule>
    <cfRule type="expression" dxfId="81" priority="79">
      <formula>AND(#REF!&gt;0,$H114&gt;59)</formula>
    </cfRule>
  </conditionalFormatting>
  <conditionalFormatting sqref="B122:B123">
    <cfRule type="expression" dxfId="80" priority="76">
      <formula>AND($Z123&gt;0,$L123&gt;89)</formula>
    </cfRule>
    <cfRule type="expression" dxfId="79" priority="77">
      <formula>AND($Z123&gt;0,$L123&gt;59)</formula>
    </cfRule>
  </conditionalFormatting>
  <conditionalFormatting sqref="G115:G123 C122:C123 E115:E123">
    <cfRule type="expression" dxfId="78" priority="74">
      <formula>AND(#REF!&gt;0,$H115&gt;89)</formula>
    </cfRule>
    <cfRule type="expression" dxfId="77" priority="75">
      <formula>AND(#REF!&gt;0,$H115&gt;59)</formula>
    </cfRule>
  </conditionalFormatting>
  <conditionalFormatting sqref="H115:H123">
    <cfRule type="expression" dxfId="76" priority="72">
      <formula>AND(#REF!&gt;0,$H115&gt;89)</formula>
    </cfRule>
    <cfRule type="expression" dxfId="75" priority="73">
      <formula>AND(#REF!&gt;0,$H115&gt;59)</formula>
    </cfRule>
  </conditionalFormatting>
  <conditionalFormatting sqref="B167:B170">
    <cfRule type="expression" dxfId="74" priority="70">
      <formula>AND($Z168&gt;0,$L168&gt;89)</formula>
    </cfRule>
    <cfRule type="expression" dxfId="73" priority="71">
      <formula>AND($Z168&gt;0,$L168&gt;59)</formula>
    </cfRule>
  </conditionalFormatting>
  <conditionalFormatting sqref="C167:E170 G167:G170">
    <cfRule type="expression" dxfId="72" priority="68">
      <formula>AND(#REF!&gt;0,$H167&gt;89)</formula>
    </cfRule>
    <cfRule type="expression" dxfId="71" priority="69">
      <formula>AND(#REF!&gt;0,$H167&gt;59)</formula>
    </cfRule>
  </conditionalFormatting>
  <conditionalFormatting sqref="H167:H170">
    <cfRule type="expression" dxfId="70" priority="66">
      <formula>AND(#REF!&gt;0,$H167&gt;89)</formula>
    </cfRule>
    <cfRule type="expression" dxfId="69" priority="67">
      <formula>AND(#REF!&gt;0,$H167&gt;59)</formula>
    </cfRule>
  </conditionalFormatting>
  <conditionalFormatting sqref="B162:B166">
    <cfRule type="expression" dxfId="68" priority="64">
      <formula>AND($Z163&gt;0,$L163&gt;89)</formula>
    </cfRule>
    <cfRule type="expression" dxfId="67" priority="65">
      <formula>AND($Z163&gt;0,$L163&gt;59)</formula>
    </cfRule>
  </conditionalFormatting>
  <conditionalFormatting sqref="C162:E166 G165:G166">
    <cfRule type="expression" dxfId="66" priority="62">
      <formula>AND(#REF!&gt;0,$H162&gt;89)</formula>
    </cfRule>
    <cfRule type="expression" dxfId="65" priority="63">
      <formula>AND(#REF!&gt;0,$H162&gt;59)</formula>
    </cfRule>
  </conditionalFormatting>
  <conditionalFormatting sqref="H162:H166">
    <cfRule type="expression" dxfId="64" priority="60">
      <formula>AND(#REF!&gt;0,$H162&gt;89)</formula>
    </cfRule>
    <cfRule type="expression" dxfId="63" priority="61">
      <formula>AND(#REF!&gt;0,$H162&gt;59)</formula>
    </cfRule>
  </conditionalFormatting>
  <conditionalFormatting sqref="B156:B161">
    <cfRule type="expression" dxfId="62" priority="58">
      <formula>AND($Z157&gt;0,$L157&gt;89)</formula>
    </cfRule>
    <cfRule type="expression" dxfId="61" priority="59">
      <formula>AND($Z157&gt;0,$L157&gt;59)</formula>
    </cfRule>
  </conditionalFormatting>
  <conditionalFormatting sqref="C156:E161">
    <cfRule type="expression" dxfId="60" priority="56">
      <formula>AND(#REF!&gt;0,$H156&gt;89)</formula>
    </cfRule>
    <cfRule type="expression" dxfId="59" priority="57">
      <formula>AND(#REF!&gt;0,$H156&gt;59)</formula>
    </cfRule>
  </conditionalFormatting>
  <conditionalFormatting sqref="H156:H161">
    <cfRule type="expression" dxfId="58" priority="54">
      <formula>AND(#REF!&gt;0,$H156&gt;89)</formula>
    </cfRule>
    <cfRule type="expression" dxfId="57" priority="55">
      <formula>AND(#REF!&gt;0,$H156&gt;59)</formula>
    </cfRule>
  </conditionalFormatting>
  <conditionalFormatting sqref="E104">
    <cfRule type="expression" dxfId="56" priority="52">
      <formula>AND(#REF!&gt;0,$H104&gt;89)</formula>
    </cfRule>
    <cfRule type="expression" dxfId="55" priority="53">
      <formula>AND(#REF!&gt;0,$H104&gt;59)</formula>
    </cfRule>
  </conditionalFormatting>
  <conditionalFormatting sqref="H104">
    <cfRule type="expression" dxfId="54" priority="50">
      <formula>AND(#REF!&gt;0,$H104&gt;89)</formula>
    </cfRule>
    <cfRule type="expression" dxfId="53" priority="51">
      <formula>AND(#REF!&gt;0,$H104&gt;59)</formula>
    </cfRule>
  </conditionalFormatting>
  <conditionalFormatting sqref="E105:E111">
    <cfRule type="expression" dxfId="52" priority="48">
      <formula>AND(#REF!&gt;0,$H105&gt;89)</formula>
    </cfRule>
    <cfRule type="expression" dxfId="51" priority="49">
      <formula>AND(#REF!&gt;0,$H105&gt;59)</formula>
    </cfRule>
  </conditionalFormatting>
  <conditionalFormatting sqref="H105:H111">
    <cfRule type="expression" dxfId="50" priority="46">
      <formula>AND(#REF!&gt;0,$H105&gt;89)</formula>
    </cfRule>
    <cfRule type="expression" dxfId="49" priority="47">
      <formula>AND(#REF!&gt;0,$H105&gt;59)</formula>
    </cfRule>
  </conditionalFormatting>
  <conditionalFormatting sqref="G104:G111">
    <cfRule type="expression" dxfId="48" priority="44">
      <formula>AND(#REF!&gt;0,$H104&gt;89)</formula>
    </cfRule>
    <cfRule type="expression" dxfId="47" priority="45">
      <formula>AND(#REF!&gt;0,$H104&gt;59)</formula>
    </cfRule>
  </conditionalFormatting>
  <conditionalFormatting sqref="C216">
    <cfRule type="expression" dxfId="46" priority="42">
      <formula>AND(#REF!&gt;0,$H216&gt;89)</formula>
    </cfRule>
    <cfRule type="expression" dxfId="45" priority="43">
      <formula>AND(#REF!&gt;0,$H216&gt;59)</formula>
    </cfRule>
  </conditionalFormatting>
  <conditionalFormatting sqref="D10 D12">
    <cfRule type="expression" dxfId="44" priority="40">
      <formula>AND(#REF!&gt;0,$L10&gt;89)</formula>
    </cfRule>
    <cfRule type="expression" dxfId="43" priority="41">
      <formula>AND(#REF!&gt;0,$L10&gt;59)</formula>
    </cfRule>
  </conditionalFormatting>
  <conditionalFormatting sqref="D142">
    <cfRule type="expression" dxfId="42" priority="38">
      <formula>AND(#REF!&gt;0,$H142&gt;89)</formula>
    </cfRule>
    <cfRule type="expression" dxfId="41" priority="39">
      <formula>AND(#REF!&gt;0,$H142&gt;59)</formula>
    </cfRule>
  </conditionalFormatting>
  <conditionalFormatting sqref="D143:D151">
    <cfRule type="expression" dxfId="40" priority="36">
      <formula>AND(#REF!&gt;0,$H143&gt;89)</formula>
    </cfRule>
    <cfRule type="expression" dxfId="39" priority="37">
      <formula>AND(#REF!&gt;0,$H143&gt;59)</formula>
    </cfRule>
  </conditionalFormatting>
  <conditionalFormatting sqref="D128 D138:D141">
    <cfRule type="expression" dxfId="38" priority="34">
      <formula>AND(#REF!&gt;0,$H128&gt;89)</formula>
    </cfRule>
    <cfRule type="expression" dxfId="37" priority="35">
      <formula>AND(#REF!&gt;0,$H128&gt;59)</formula>
    </cfRule>
  </conditionalFormatting>
  <conditionalFormatting sqref="D129:D137">
    <cfRule type="expression" dxfId="36" priority="32">
      <formula>AND(#REF!&gt;0,$H129&gt;89)</formula>
    </cfRule>
    <cfRule type="expression" dxfId="35" priority="33">
      <formula>AND(#REF!&gt;0,$H129&gt;59)</formula>
    </cfRule>
  </conditionalFormatting>
  <conditionalFormatting sqref="D124:D127">
    <cfRule type="expression" dxfId="34" priority="30">
      <formula>AND(#REF!&gt;0,$H124&gt;89)</formula>
    </cfRule>
    <cfRule type="expression" dxfId="33" priority="31">
      <formula>AND(#REF!&gt;0,$H124&gt;59)</formula>
    </cfRule>
  </conditionalFormatting>
  <conditionalFormatting sqref="D122:D123">
    <cfRule type="expression" dxfId="32" priority="28">
      <formula>AND(#REF!&gt;0,$H122&gt;89)</formula>
    </cfRule>
    <cfRule type="expression" dxfId="31" priority="29">
      <formula>AND(#REF!&gt;0,$H122&gt;59)</formula>
    </cfRule>
  </conditionalFormatting>
  <conditionalFormatting sqref="D118:D121">
    <cfRule type="expression" dxfId="30" priority="26">
      <formula>AND(#REF!&gt;0,$H118&gt;89)</formula>
    </cfRule>
    <cfRule type="expression" dxfId="29" priority="27">
      <formula>AND(#REF!&gt;0,$H118&gt;59)</formula>
    </cfRule>
  </conditionalFormatting>
  <conditionalFormatting sqref="D97">
    <cfRule type="expression" dxfId="28" priority="24">
      <formula>AND(#REF!&gt;0,$H97&gt;89)</formula>
    </cfRule>
    <cfRule type="expression" dxfId="27" priority="25">
      <formula>AND(#REF!&gt;0,$H97&gt;59)</formula>
    </cfRule>
  </conditionalFormatting>
  <conditionalFormatting sqref="D8">
    <cfRule type="expression" dxfId="26" priority="22">
      <formula>AND(#REF!&gt;0,$L8&gt;89)</formula>
    </cfRule>
    <cfRule type="expression" dxfId="25" priority="23">
      <formula>AND(#REF!&gt;0,$L8&gt;59)</formula>
    </cfRule>
  </conditionalFormatting>
  <conditionalFormatting sqref="D16">
    <cfRule type="expression" dxfId="24" priority="20">
      <formula>AND(#REF!&gt;0,$L17&gt;89)</formula>
    </cfRule>
    <cfRule type="expression" dxfId="23" priority="21">
      <formula>AND(#REF!&gt;0,$L17&gt;59)</formula>
    </cfRule>
  </conditionalFormatting>
  <conditionalFormatting sqref="D28">
    <cfRule type="expression" dxfId="22" priority="16">
      <formula>AND(#REF!&gt;0,$L29&gt;89)</formula>
    </cfRule>
    <cfRule type="expression" dxfId="21" priority="17">
      <formula>AND(#REF!&gt;0,$L29&gt;59)</formula>
    </cfRule>
  </conditionalFormatting>
  <conditionalFormatting sqref="D34">
    <cfRule type="expression" dxfId="20" priority="18">
      <formula>AND(#REF!&gt;0,$L35&gt;89)</formula>
    </cfRule>
    <cfRule type="expression" dxfId="19" priority="19">
      <formula>AND(#REF!&gt;0,$L35&gt;59)</formula>
    </cfRule>
  </conditionalFormatting>
  <conditionalFormatting sqref="D44">
    <cfRule type="expression" dxfId="18" priority="14">
      <formula>AND(#REF!&gt;0,$L45&gt;89)</formula>
    </cfRule>
    <cfRule type="expression" dxfId="17" priority="15">
      <formula>AND(#REF!&gt;0,$L45&gt;59)</formula>
    </cfRule>
  </conditionalFormatting>
  <conditionalFormatting sqref="D68">
    <cfRule type="expression" dxfId="16" priority="12">
      <formula>AND(#REF!&gt;0,$H68&gt;89)</formula>
    </cfRule>
    <cfRule type="expression" dxfId="15" priority="13">
      <formula>AND(#REF!&gt;0,$H68&gt;59)</formula>
    </cfRule>
  </conditionalFormatting>
  <conditionalFormatting sqref="D64">
    <cfRule type="expression" dxfId="14" priority="10">
      <formula>AND(#REF!&gt;0,$H64&gt;89)</formula>
    </cfRule>
    <cfRule type="expression" dxfId="13" priority="11">
      <formula>AND(#REF!&gt;0,$H64&gt;59)</formula>
    </cfRule>
  </conditionalFormatting>
  <conditionalFormatting sqref="F15:G34">
    <cfRule type="expression" dxfId="12" priority="234">
      <formula>AND(#REF!&gt;0,$M16&gt;89)</formula>
    </cfRule>
    <cfRule type="expression" dxfId="11" priority="235">
      <formula>AND(#REF!&gt;0,$M16&gt;59)</formula>
    </cfRule>
  </conditionalFormatting>
  <conditionalFormatting sqref="B179:B180">
    <cfRule type="expression" dxfId="10" priority="236">
      <formula>AND($AD180&gt;0,$P180&gt;89)</formula>
    </cfRule>
    <cfRule type="expression" dxfId="9" priority="237">
      <formula>AND($AD180&gt;0,$P180&gt;59)</formula>
    </cfRule>
  </conditionalFormatting>
  <conditionalFormatting sqref="B4:B18">
    <cfRule type="expression" dxfId="8" priority="7">
      <formula>AND($AK4&gt;0,$W4&gt;89)</formula>
    </cfRule>
    <cfRule type="expression" dxfId="7" priority="8">
      <formula>AND($AK4&gt;0,$W4&gt;59)</formula>
    </cfRule>
    <cfRule type="expression" dxfId="6" priority="9">
      <formula>AND($AK4&gt;0,$W4&gt;44)</formula>
    </cfRule>
  </conditionalFormatting>
  <conditionalFormatting sqref="B19:B70">
    <cfRule type="expression" dxfId="5" priority="4">
      <formula>AND($AK19&gt;0,$W19&gt;89)</formula>
    </cfRule>
    <cfRule type="expression" dxfId="4" priority="5">
      <formula>AND($AK19&gt;0,$W19&gt;59)</formula>
    </cfRule>
    <cfRule type="expression" dxfId="3" priority="6">
      <formula>AND($AK19&gt;0,$W19&gt;44)</formula>
    </cfRule>
  </conditionalFormatting>
  <conditionalFormatting sqref="B71:B91">
    <cfRule type="expression" dxfId="2" priority="1">
      <formula>AND($AK71&gt;0,$W71&gt;89)</formula>
    </cfRule>
    <cfRule type="expression" dxfId="1" priority="2">
      <formula>AND($AK71&gt;0,$W71&gt;59)</formula>
    </cfRule>
    <cfRule type="expression" dxfId="0" priority="3">
      <formula>AND($AK71&gt;0,$W71&gt;44)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Lampiran 1</vt:lpstr>
      <vt:lpstr>Kalender</vt:lpstr>
      <vt:lpstr>Simulasi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adm1</cp:lastModifiedBy>
  <dcterms:created xsi:type="dcterms:W3CDTF">2026-03-06T07:39:25Z</dcterms:created>
  <dcterms:modified xsi:type="dcterms:W3CDTF">2026-03-06T07:44:50Z</dcterms:modified>
</cp:coreProperties>
</file>