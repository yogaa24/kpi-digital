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19875" windowHeight="6960" activeTab="2"/>
  </bookViews>
  <sheets>
    <sheet name="Lampiran 1" sheetId="4" r:id="rId1"/>
    <sheet name="Kalender" sheetId="6" r:id="rId2"/>
    <sheet name="Simulasi" sheetId="8" r:id="rId3"/>
  </sheets>
  <externalReferences>
    <externalReference r:id="rId4"/>
    <externalReference r:id="rId5"/>
  </externalReferences>
  <definedNames>
    <definedName name="_xlnm._FilterDatabase" localSheetId="1" hidden="1">Kalender!$A$1:$AG$122</definedName>
    <definedName name="_xlnm._FilterDatabase" localSheetId="2" hidden="1">Simulasi!$A$3:$M$215</definedName>
    <definedName name="tb_tagpdbg" localSheetId="2">[2]TAGPD!$AQ$8:$AQ$30000</definedName>
    <definedName name="tb_tagpdbg">[1]TAGPD!$AQ$8:$AQ$30000</definedName>
    <definedName name="tb_tagpdfaktur" localSheetId="2">[2]TAGPD!$E$8:$E$30000</definedName>
    <definedName name="tb_tagpdfaktur">[1]TAGPD!$E$8:$E$30000</definedName>
    <definedName name="tb_tagpdkucash" localSheetId="2">[2]TAGPD!$AV$8:$AV$30000</definedName>
    <definedName name="tb_tagpdkucash">[1]TAGPD!$AV$8:$AV$30000</definedName>
    <definedName name="tb_tagpdrpb" localSheetId="2">[2]TAGPD!$AP$8:$AP$30000</definedName>
    <definedName name="tb_tagpdrpb">[1]TAGPD!$AP$8:$AP$30000</definedName>
    <definedName name="tb_tbbnt">#REF!</definedName>
    <definedName name="tballnk" localSheetId="2">[2]All!$E$12:$E$996</definedName>
    <definedName name="tballnk">[1]All!$E$12:$E$996</definedName>
    <definedName name="tballp" localSheetId="2">[2]All!$L$12:$L$996</definedName>
    <definedName name="tballp">[1]All!$L$12:$L$996</definedName>
    <definedName name="tballsa" localSheetId="2">[2]All!$I$12:$I$996</definedName>
    <definedName name="tballsa">[1]All!$I$12:$I$996</definedName>
    <definedName name="tballsod" localSheetId="2">[2]All!$M$12:$M$996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D214" i="8" l="1"/>
  <c r="H213" i="8"/>
  <c r="E213" i="8"/>
  <c r="H212" i="8"/>
  <c r="E212" i="8"/>
  <c r="H211" i="8"/>
  <c r="E211" i="8"/>
  <c r="H210" i="8"/>
  <c r="E210" i="8"/>
  <c r="H209" i="8"/>
  <c r="E209" i="8"/>
  <c r="H208" i="8"/>
  <c r="E208" i="8"/>
  <c r="H207" i="8"/>
  <c r="E207" i="8"/>
  <c r="H206" i="8"/>
  <c r="E206" i="8"/>
  <c r="H205" i="8"/>
  <c r="E205" i="8"/>
  <c r="H204" i="8"/>
  <c r="E204" i="8"/>
  <c r="H203" i="8"/>
  <c r="E203" i="8"/>
  <c r="H202" i="8"/>
  <c r="E202" i="8"/>
  <c r="H201" i="8"/>
  <c r="E201" i="8"/>
  <c r="H200" i="8"/>
  <c r="E200" i="8"/>
  <c r="H199" i="8"/>
  <c r="E199" i="8"/>
  <c r="H198" i="8"/>
  <c r="E198" i="8"/>
  <c r="H197" i="8"/>
  <c r="E197" i="8"/>
  <c r="H196" i="8"/>
  <c r="E196" i="8"/>
  <c r="H195" i="8"/>
  <c r="E195" i="8"/>
  <c r="H194" i="8"/>
  <c r="E194" i="8"/>
  <c r="H193" i="8"/>
  <c r="E193" i="8"/>
  <c r="H192" i="8"/>
  <c r="E192" i="8"/>
  <c r="H191" i="8"/>
  <c r="E191" i="8"/>
  <c r="H190" i="8"/>
  <c r="E190" i="8"/>
  <c r="H189" i="8"/>
  <c r="E189" i="8"/>
  <c r="H188" i="8"/>
  <c r="E188" i="8"/>
  <c r="H187" i="8"/>
  <c r="E187" i="8"/>
  <c r="H186" i="8"/>
  <c r="E186" i="8"/>
  <c r="H185" i="8"/>
  <c r="E185" i="8"/>
  <c r="H184" i="8"/>
  <c r="E184" i="8"/>
  <c r="H183" i="8"/>
  <c r="E183" i="8"/>
  <c r="H182" i="8"/>
  <c r="E182" i="8"/>
  <c r="H181" i="8"/>
  <c r="E181" i="8"/>
  <c r="H180" i="8"/>
  <c r="E180" i="8"/>
  <c r="E179" i="8"/>
  <c r="H179" i="8" s="1"/>
  <c r="H178" i="8"/>
  <c r="E178" i="8"/>
  <c r="H177" i="8"/>
  <c r="E177" i="8"/>
  <c r="H176" i="8"/>
  <c r="E176" i="8"/>
  <c r="H175" i="8"/>
  <c r="E175" i="8"/>
  <c r="H174" i="8"/>
  <c r="E174" i="8"/>
  <c r="H173" i="8"/>
  <c r="E173" i="8"/>
  <c r="H172" i="8"/>
  <c r="E172" i="8"/>
  <c r="H171" i="8"/>
  <c r="E171" i="8"/>
  <c r="H170" i="8"/>
  <c r="E170" i="8"/>
  <c r="H169" i="8"/>
  <c r="E169" i="8"/>
  <c r="H168" i="8"/>
  <c r="E168" i="8"/>
  <c r="H167" i="8"/>
  <c r="E167" i="8"/>
  <c r="H166" i="8"/>
  <c r="E166" i="8"/>
  <c r="H165" i="8"/>
  <c r="E165" i="8"/>
  <c r="H164" i="8"/>
  <c r="G164" i="8"/>
  <c r="E164" i="8"/>
  <c r="H163" i="8"/>
  <c r="G163" i="8"/>
  <c r="E163" i="8"/>
  <c r="H162" i="8"/>
  <c r="G162" i="8"/>
  <c r="E162" i="8"/>
  <c r="H161" i="8"/>
  <c r="G161" i="8"/>
  <c r="E161" i="8"/>
  <c r="H160" i="8"/>
  <c r="G160" i="8"/>
  <c r="E160" i="8"/>
  <c r="H159" i="8"/>
  <c r="G159" i="8"/>
  <c r="E159" i="8"/>
  <c r="H158" i="8"/>
  <c r="G158" i="8"/>
  <c r="E158" i="8"/>
  <c r="H157" i="8"/>
  <c r="G157" i="8"/>
  <c r="E157" i="8"/>
  <c r="H156" i="8"/>
  <c r="G156" i="8"/>
  <c r="E156" i="8"/>
  <c r="H155" i="8"/>
  <c r="G155" i="8"/>
  <c r="E155" i="8"/>
  <c r="H154" i="8"/>
  <c r="G154" i="8"/>
  <c r="E154" i="8"/>
  <c r="H153" i="8"/>
  <c r="G153" i="8"/>
  <c r="E153" i="8"/>
  <c r="H152" i="8"/>
  <c r="G152" i="8"/>
  <c r="E152" i="8"/>
  <c r="H151" i="8"/>
  <c r="G151" i="8"/>
  <c r="E151" i="8"/>
  <c r="G150" i="8"/>
  <c r="G214" i="8" s="1"/>
  <c r="H214" i="8" s="1"/>
  <c r="E150" i="8"/>
  <c r="H149" i="8"/>
  <c r="E149" i="8"/>
  <c r="H148" i="8"/>
  <c r="E148" i="8"/>
  <c r="H147" i="8"/>
  <c r="E147" i="8"/>
  <c r="H146" i="8"/>
  <c r="E146" i="8"/>
  <c r="H145" i="8"/>
  <c r="E145" i="8"/>
  <c r="H144" i="8"/>
  <c r="E144" i="8"/>
  <c r="H143" i="8"/>
  <c r="E143" i="8"/>
  <c r="H142" i="8"/>
  <c r="E142" i="8"/>
  <c r="H141" i="8"/>
  <c r="E141" i="8"/>
  <c r="H140" i="8"/>
  <c r="E140" i="8"/>
  <c r="H139" i="8"/>
  <c r="E139" i="8"/>
  <c r="H138" i="8"/>
  <c r="E138" i="8"/>
  <c r="H137" i="8"/>
  <c r="E137" i="8"/>
  <c r="H136" i="8"/>
  <c r="E136" i="8"/>
  <c r="H135" i="8"/>
  <c r="E135" i="8"/>
  <c r="H134" i="8"/>
  <c r="E134" i="8"/>
  <c r="H133" i="8"/>
  <c r="E133" i="8"/>
  <c r="H132" i="8"/>
  <c r="E132" i="8"/>
  <c r="H131" i="8"/>
  <c r="E131" i="8"/>
  <c r="H130" i="8"/>
  <c r="E130" i="8"/>
  <c r="H129" i="8"/>
  <c r="E129" i="8"/>
  <c r="H128" i="8"/>
  <c r="E128" i="8"/>
  <c r="H127" i="8"/>
  <c r="E127" i="8"/>
  <c r="H126" i="8"/>
  <c r="E126" i="8"/>
  <c r="H125" i="8"/>
  <c r="E125" i="8"/>
  <c r="H124" i="8"/>
  <c r="E124" i="8"/>
  <c r="H123" i="8"/>
  <c r="E123" i="8"/>
  <c r="H122" i="8"/>
  <c r="E122" i="8"/>
  <c r="H121" i="8"/>
  <c r="C121" i="8"/>
  <c r="E121" i="8" s="1"/>
  <c r="H120" i="8"/>
  <c r="C120" i="8"/>
  <c r="E120" i="8" s="1"/>
  <c r="H119" i="8"/>
  <c r="C119" i="8"/>
  <c r="E119" i="8" s="1"/>
  <c r="H118" i="8"/>
  <c r="C118" i="8"/>
  <c r="E118" i="8" s="1"/>
  <c r="H117" i="8"/>
  <c r="C117" i="8"/>
  <c r="E117" i="8" s="1"/>
  <c r="H116" i="8"/>
  <c r="C116" i="8"/>
  <c r="E116" i="8" s="1"/>
  <c r="H115" i="8"/>
  <c r="C115" i="8"/>
  <c r="E115" i="8" s="1"/>
  <c r="H114" i="8"/>
  <c r="C114" i="8"/>
  <c r="E114" i="8" s="1"/>
  <c r="C113" i="8"/>
  <c r="E113" i="8" s="1"/>
  <c r="H113" i="8" s="1"/>
  <c r="C112" i="8"/>
  <c r="E112" i="8" s="1"/>
  <c r="H112" i="8" s="1"/>
  <c r="H111" i="8"/>
  <c r="C111" i="8"/>
  <c r="E111" i="8" s="1"/>
  <c r="H110" i="8"/>
  <c r="E110" i="8"/>
  <c r="C110" i="8"/>
  <c r="H109" i="8"/>
  <c r="E109" i="8"/>
  <c r="C109" i="8"/>
  <c r="H108" i="8"/>
  <c r="E108" i="8"/>
  <c r="C108" i="8"/>
  <c r="H107" i="8"/>
  <c r="E107" i="8"/>
  <c r="C107" i="8"/>
  <c r="H106" i="8"/>
  <c r="E106" i="8"/>
  <c r="H105" i="8"/>
  <c r="E105" i="8"/>
  <c r="H104" i="8"/>
  <c r="E104" i="8"/>
  <c r="H103" i="8"/>
  <c r="E103" i="8"/>
  <c r="H102" i="8"/>
  <c r="E102" i="8"/>
  <c r="H101" i="8"/>
  <c r="E101" i="8"/>
  <c r="H100" i="8"/>
  <c r="E100" i="8"/>
  <c r="H99" i="8"/>
  <c r="E99" i="8"/>
  <c r="H98" i="8"/>
  <c r="E98" i="8"/>
  <c r="H97" i="8"/>
  <c r="E97" i="8"/>
  <c r="H96" i="8"/>
  <c r="E96" i="8"/>
  <c r="H95" i="8"/>
  <c r="E95" i="8"/>
  <c r="H94" i="8"/>
  <c r="E94" i="8"/>
  <c r="H93" i="8"/>
  <c r="E93" i="8"/>
  <c r="H92" i="8"/>
  <c r="E92" i="8"/>
  <c r="H91" i="8"/>
  <c r="E91" i="8"/>
  <c r="H90" i="8"/>
  <c r="E90" i="8"/>
  <c r="H89" i="8"/>
  <c r="E89" i="8"/>
  <c r="E88" i="8"/>
  <c r="H88" i="8" s="1"/>
  <c r="H87" i="8"/>
  <c r="E87" i="8"/>
  <c r="H86" i="8"/>
  <c r="E86" i="8"/>
  <c r="H85" i="8"/>
  <c r="E85" i="8"/>
  <c r="H84" i="8"/>
  <c r="E84" i="8"/>
  <c r="H83" i="8"/>
  <c r="E83" i="8"/>
  <c r="H82" i="8"/>
  <c r="E82" i="8"/>
  <c r="H81" i="8"/>
  <c r="E81" i="8"/>
  <c r="H80" i="8"/>
  <c r="E80" i="8"/>
  <c r="H79" i="8"/>
  <c r="E79" i="8"/>
  <c r="H78" i="8"/>
  <c r="E78" i="8"/>
  <c r="H77" i="8"/>
  <c r="E77" i="8"/>
  <c r="H76" i="8"/>
  <c r="E76" i="8"/>
  <c r="H75" i="8"/>
  <c r="E75" i="8"/>
  <c r="H74" i="8"/>
  <c r="E74" i="8"/>
  <c r="H73" i="8"/>
  <c r="E73" i="8"/>
  <c r="H72" i="8"/>
  <c r="E72" i="8"/>
  <c r="H71" i="8"/>
  <c r="E71" i="8"/>
  <c r="H70" i="8"/>
  <c r="E70" i="8"/>
  <c r="H69" i="8"/>
  <c r="E69" i="8"/>
  <c r="H68" i="8"/>
  <c r="E68" i="8"/>
  <c r="H67" i="8"/>
  <c r="E67" i="8"/>
  <c r="H66" i="8"/>
  <c r="E66" i="8"/>
  <c r="H65" i="8"/>
  <c r="E65" i="8"/>
  <c r="H64" i="8"/>
  <c r="E64" i="8"/>
  <c r="H63" i="8"/>
  <c r="E63" i="8"/>
  <c r="H62" i="8"/>
  <c r="E62" i="8"/>
  <c r="H61" i="8"/>
  <c r="E61" i="8"/>
  <c r="H60" i="8"/>
  <c r="E60" i="8"/>
  <c r="H59" i="8"/>
  <c r="E59" i="8"/>
  <c r="H58" i="8"/>
  <c r="E58" i="8"/>
  <c r="H57" i="8"/>
  <c r="E57" i="8"/>
  <c r="H56" i="8"/>
  <c r="E56" i="8"/>
  <c r="H55" i="8"/>
  <c r="E55" i="8"/>
  <c r="H54" i="8"/>
  <c r="E54" i="8"/>
  <c r="H53" i="8"/>
  <c r="E53" i="8"/>
  <c r="H52" i="8"/>
  <c r="E52" i="8"/>
  <c r="H51" i="8"/>
  <c r="E51" i="8"/>
  <c r="E50" i="8"/>
  <c r="H50" i="8" s="1"/>
  <c r="H49" i="8"/>
  <c r="E49" i="8"/>
  <c r="E48" i="8"/>
  <c r="H48" i="8" s="1"/>
  <c r="H47" i="8"/>
  <c r="E47" i="8"/>
  <c r="E46" i="8"/>
  <c r="H46" i="8" s="1"/>
  <c r="H45" i="8"/>
  <c r="E45" i="8"/>
  <c r="E44" i="8"/>
  <c r="H44" i="8" s="1"/>
  <c r="H43" i="8"/>
  <c r="E43" i="8"/>
  <c r="E42" i="8"/>
  <c r="H42" i="8" s="1"/>
  <c r="H41" i="8"/>
  <c r="E41" i="8"/>
  <c r="E40" i="8"/>
  <c r="H40" i="8" s="1"/>
  <c r="H39" i="8"/>
  <c r="E39" i="8"/>
  <c r="E38" i="8"/>
  <c r="H38" i="8" s="1"/>
  <c r="H37" i="8"/>
  <c r="E37" i="8"/>
  <c r="E36" i="8"/>
  <c r="H36" i="8" s="1"/>
  <c r="H35" i="8"/>
  <c r="E35" i="8"/>
  <c r="E34" i="8"/>
  <c r="H34" i="8" s="1"/>
  <c r="H33" i="8"/>
  <c r="E33" i="8"/>
  <c r="E32" i="8"/>
  <c r="H32" i="8" s="1"/>
  <c r="H31" i="8"/>
  <c r="E31" i="8"/>
  <c r="E30" i="8"/>
  <c r="H30" i="8" s="1"/>
  <c r="H29" i="8"/>
  <c r="E29" i="8"/>
  <c r="E28" i="8"/>
  <c r="H28" i="8" s="1"/>
  <c r="H27" i="8"/>
  <c r="E27" i="8"/>
  <c r="E26" i="8"/>
  <c r="H26" i="8" s="1"/>
  <c r="H25" i="8"/>
  <c r="E25" i="8"/>
  <c r="E24" i="8"/>
  <c r="H24" i="8" s="1"/>
  <c r="H23" i="8"/>
  <c r="E23" i="8"/>
  <c r="E22" i="8"/>
  <c r="H22" i="8" s="1"/>
  <c r="H21" i="8"/>
  <c r="E21" i="8"/>
  <c r="E20" i="8"/>
  <c r="H20" i="8" s="1"/>
  <c r="H19" i="8"/>
  <c r="E19" i="8"/>
  <c r="E18" i="8"/>
  <c r="H18" i="8" s="1"/>
  <c r="H17" i="8"/>
  <c r="E17" i="8"/>
  <c r="E16" i="8"/>
  <c r="H16" i="8" s="1"/>
  <c r="H15" i="8"/>
  <c r="E15" i="8"/>
  <c r="E14" i="8"/>
  <c r="H14" i="8" s="1"/>
  <c r="H13" i="8"/>
  <c r="E13" i="8"/>
  <c r="E12" i="8"/>
  <c r="H12" i="8" s="1"/>
  <c r="H11" i="8"/>
  <c r="E11" i="8"/>
  <c r="E10" i="8"/>
  <c r="H10" i="8" s="1"/>
  <c r="H9" i="8"/>
  <c r="E9" i="8"/>
  <c r="E8" i="8"/>
  <c r="H8" i="8" s="1"/>
  <c r="H7" i="8"/>
  <c r="E7" i="8"/>
  <c r="E6" i="8"/>
  <c r="H6" i="8" s="1"/>
  <c r="H5" i="8"/>
  <c r="E5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E4" i="8"/>
  <c r="E214" i="8" l="1"/>
  <c r="H4" i="8"/>
  <c r="C214" i="8"/>
  <c r="C216" i="8" s="1"/>
  <c r="H150" i="8"/>
  <c r="E222" i="8" l="1"/>
  <c r="D219" i="8"/>
  <c r="E219" i="8" s="1"/>
  <c r="E220" i="8" s="1"/>
  <c r="E224" i="8"/>
  <c r="D216" i="8"/>
  <c r="E216" i="8" s="1"/>
  <c r="E217" i="8" s="1"/>
  <c r="E225" i="8" l="1"/>
  <c r="D224" i="8"/>
  <c r="AG224" i="6" l="1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AJ22" i="6"/>
  <c r="AI22" i="6"/>
  <c r="AH22" i="6"/>
  <c r="AJ8" i="6"/>
  <c r="AI8" i="6"/>
  <c r="AI11" i="6" s="1"/>
  <c r="AH13" i="6" s="1"/>
  <c r="AH8" i="6"/>
  <c r="AH11" i="6" s="1"/>
  <c r="H40" i="4" l="1"/>
  <c r="G40" i="4"/>
  <c r="F40" i="4"/>
  <c r="E40" i="4"/>
  <c r="D40" i="4"/>
  <c r="C40" i="4"/>
  <c r="H39" i="4"/>
  <c r="G39" i="4"/>
  <c r="F39" i="4"/>
  <c r="E39" i="4"/>
  <c r="D39" i="4"/>
  <c r="C39" i="4"/>
  <c r="G36" i="4"/>
  <c r="F36" i="4"/>
  <c r="E36" i="4"/>
  <c r="D36" i="4"/>
  <c r="C36" i="4"/>
  <c r="G35" i="4"/>
  <c r="F35" i="4"/>
  <c r="E35" i="4"/>
  <c r="D35" i="4"/>
  <c r="C35" i="4"/>
  <c r="H34" i="4"/>
  <c r="H36" i="4" s="1"/>
  <c r="F34" i="4"/>
  <c r="H32" i="4"/>
  <c r="G32" i="4"/>
  <c r="F32" i="4"/>
  <c r="E32" i="4"/>
  <c r="D32" i="4"/>
  <c r="C32" i="4"/>
  <c r="H31" i="4"/>
  <c r="F31" i="4"/>
  <c r="E31" i="4"/>
  <c r="D31" i="4"/>
  <c r="C31" i="4"/>
  <c r="H28" i="4"/>
  <c r="G28" i="4"/>
  <c r="F28" i="4"/>
  <c r="E28" i="4"/>
  <c r="D28" i="4"/>
  <c r="C28" i="4"/>
  <c r="G27" i="4"/>
  <c r="F27" i="4"/>
  <c r="E27" i="4"/>
  <c r="D27" i="4"/>
  <c r="H22" i="4"/>
  <c r="I21" i="4"/>
  <c r="I20" i="4"/>
  <c r="I22" i="4" s="1"/>
  <c r="I19" i="4"/>
  <c r="I18" i="4"/>
  <c r="I17" i="4"/>
  <c r="F15" i="4"/>
  <c r="F14" i="4"/>
  <c r="F13" i="4"/>
  <c r="F12" i="4"/>
  <c r="E12" i="4"/>
  <c r="E13" i="4" s="1"/>
  <c r="E14" i="4" s="1"/>
  <c r="E15" i="4" s="1"/>
  <c r="D12" i="4"/>
  <c r="D13" i="4" s="1"/>
  <c r="S6" i="4"/>
  <c r="B6" i="4"/>
  <c r="I6" i="4" s="1"/>
  <c r="I5" i="4"/>
  <c r="B5" i="4"/>
  <c r="K5" i="4" s="1"/>
  <c r="B4" i="4"/>
  <c r="I4" i="4" s="1"/>
  <c r="B3" i="4"/>
  <c r="K3" i="4" s="1"/>
  <c r="H35" i="4" l="1"/>
  <c r="I3" i="4"/>
  <c r="J22" i="4"/>
  <c r="D14" i="4"/>
  <c r="C13" i="4"/>
  <c r="C12" i="4"/>
  <c r="K6" i="4"/>
  <c r="F4" i="4"/>
  <c r="K4" i="4"/>
  <c r="F6" i="4"/>
  <c r="F3" i="4"/>
  <c r="F5" i="4"/>
  <c r="D15" i="4" l="1"/>
  <c r="C15" i="4" s="1"/>
  <c r="C14" i="4"/>
  <c r="D4" i="4"/>
  <c r="D3" i="4"/>
  <c r="D6" i="4"/>
  <c r="D5" i="4"/>
</calcChain>
</file>

<file path=xl/sharedStrings.xml><?xml version="1.0" encoding="utf-8"?>
<sst xmlns="http://schemas.openxmlformats.org/spreadsheetml/2006/main" count="935" uniqueCount="235">
  <si>
    <t>SIMULASI % OD</t>
  </si>
  <si>
    <t xml:space="preserve"> YANG HARUS DITAGIH</t>
  </si>
  <si>
    <t>No</t>
  </si>
  <si>
    <t>Nama Kios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</si>
  <si>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</si>
  <si>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</si>
  <si>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</si>
  <si>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</si>
  <si>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</si>
  <si>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</si>
  <si>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</si>
  <si>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Ach. Wagiyo Setiantoro</t>
  </si>
  <si>
    <t>Bimo Rukun Tani II</t>
  </si>
  <si>
    <t>Karisma Tani/Roeslan</t>
  </si>
  <si>
    <t>Maha Karya Sentosa, Toko</t>
  </si>
  <si>
    <t>Mulyo Tani/Danang</t>
  </si>
  <si>
    <t>Rimba Kelapa/Ribut Aminah</t>
  </si>
  <si>
    <t>Sumber Rejeki/Tono</t>
  </si>
  <si>
    <t>Alvin Tani/Toha</t>
  </si>
  <si>
    <t>Baru Rejo/Haris</t>
  </si>
  <si>
    <t>Bimo Rukun Tani, UD</t>
  </si>
  <si>
    <t>Bintang Tani/Kabul</t>
  </si>
  <si>
    <t>Diva Jaya</t>
  </si>
  <si>
    <t>Dwi Putra, UD</t>
  </si>
  <si>
    <t>Green Tani</t>
  </si>
  <si>
    <t>Jaya Sejahtera/Dian Retno</t>
  </si>
  <si>
    <t>Kumpul Tani/Hendro</t>
  </si>
  <si>
    <t>Lestari Alam/Firqin</t>
  </si>
  <si>
    <t>Maju Mapan/Gidion</t>
  </si>
  <si>
    <t>Mapan Agro Sentosa, UD</t>
  </si>
  <si>
    <t>Mitra Tani/Hariyanto</t>
  </si>
  <si>
    <t>Mujahidin Delapan, UD</t>
  </si>
  <si>
    <t>Prima Tani/Candra Sanjaya</t>
  </si>
  <si>
    <t>Pusaka Tani Jaya/Supri</t>
  </si>
  <si>
    <t>Setia Jaya, UD/Saiful</t>
  </si>
  <si>
    <t>Sriwijaya/Yahya</t>
  </si>
  <si>
    <t>Sumber Rejeki/Maksum</t>
  </si>
  <si>
    <t>Tani Holik, Toko</t>
  </si>
  <si>
    <t>Tani Maju/Ayus Tinah</t>
  </si>
  <si>
    <t>Agro Tiara Jaya</t>
  </si>
  <si>
    <t>Akbar Tani, UD</t>
  </si>
  <si>
    <t>Angka Jaya</t>
  </si>
  <si>
    <t>Barokah Tani/Syamsul</t>
  </si>
  <si>
    <t>Bintang Harapan</t>
  </si>
  <si>
    <t>Cahaya Mulya</t>
  </si>
  <si>
    <t>Cahaya/Shohib</t>
  </si>
  <si>
    <t>Daeng Tani/Rahmat Hidayah</t>
  </si>
  <si>
    <t>Damai, UD</t>
  </si>
  <si>
    <t>Dino Vita, Toko</t>
  </si>
  <si>
    <t>DNA Pantura/Eko</t>
  </si>
  <si>
    <t>Eka Jaya/David</t>
  </si>
  <si>
    <t>Fajar Makmur/Noto</t>
  </si>
  <si>
    <t>Gunung Semeru</t>
  </si>
  <si>
    <t>Handayani, UD</t>
  </si>
  <si>
    <t>Insan Tani, UD/Yohan</t>
  </si>
  <si>
    <t>Joko Supriyo</t>
  </si>
  <si>
    <t>Kabul Jaya</t>
  </si>
  <si>
    <t>Kharisma Alam Abadi</t>
  </si>
  <si>
    <t>Klinik Tani/Defit</t>
  </si>
  <si>
    <t>KSU CU Sang Timur/CU Agro</t>
  </si>
  <si>
    <t>Langgeng Makmur</t>
  </si>
  <si>
    <t>Layan Tani II</t>
  </si>
  <si>
    <t>Layan Tani, UD</t>
  </si>
  <si>
    <t>Lestari Jaya</t>
  </si>
  <si>
    <t>Mandiri/Suparni</t>
  </si>
  <si>
    <t>Margo Joyo/Iksan</t>
  </si>
  <si>
    <t>Mekar Tani/Tunti</t>
  </si>
  <si>
    <t>Mitra Tani/Eko Susanto</t>
  </si>
  <si>
    <t>Mitra Tani/Ngatiyem</t>
  </si>
  <si>
    <t>Mona Tani</t>
  </si>
  <si>
    <t>Mulya Lestari, UD/Umi</t>
  </si>
  <si>
    <t>Nur Fatah</t>
  </si>
  <si>
    <t>Panen Jaya/Nesrawati</t>
  </si>
  <si>
    <t>Pasta Graha/Agus</t>
  </si>
  <si>
    <t>Pertanian 99/Efendi</t>
  </si>
  <si>
    <t>Putra Makmur Abadi, UD</t>
  </si>
  <si>
    <t>Rengganis Agro/Nabilatus</t>
  </si>
  <si>
    <t>Restu Rahayu/Yunita</t>
  </si>
  <si>
    <t>Restu Tani/Rio</t>
  </si>
  <si>
    <t>Rizki Agro/Sakti</t>
  </si>
  <si>
    <t>Rizki Santoso, UD</t>
  </si>
  <si>
    <t>Sari Bumi/Alvin</t>
  </si>
  <si>
    <t>Sari Rejeki/Singgih</t>
  </si>
  <si>
    <t>Sari Tani/Adenan</t>
  </si>
  <si>
    <t>Setia Hati, Toko</t>
  </si>
  <si>
    <t>Sinar Fajar, UD</t>
  </si>
  <si>
    <t>Sinare Tani, UD</t>
  </si>
  <si>
    <t>Subur/Liang Han</t>
  </si>
  <si>
    <t>Sugeyo, UD</t>
  </si>
  <si>
    <t>Sumber Abadi/Wiwin</t>
  </si>
  <si>
    <t>Sumber Berkat/Agus</t>
  </si>
  <si>
    <t>Sumber Makmur/Satino</t>
  </si>
  <si>
    <t>Sumber Rahayu, UD</t>
  </si>
  <si>
    <t>Sumber Rejeki, UD/Sigit</t>
  </si>
  <si>
    <t>Sumber Tani/Sandra</t>
  </si>
  <si>
    <t>Sumber Utama, UD</t>
  </si>
  <si>
    <t>Surya Abadi</t>
  </si>
  <si>
    <t>Tani Agung Abadi/Totok</t>
  </si>
  <si>
    <t>Tani Jaya/Afuk</t>
  </si>
  <si>
    <t>Tani Jaya/Budi Wiyono</t>
  </si>
  <si>
    <t>Tani Maju, UD/Afif Zarkasyi</t>
  </si>
  <si>
    <t>Tani Makmur/Akhmad</t>
  </si>
  <si>
    <t>Tani Makmur/Sunaryo</t>
  </si>
  <si>
    <t>Tani Makmur/Wahid</t>
  </si>
  <si>
    <t>Tani Mulyo/Rubidar</t>
  </si>
  <si>
    <t>Tani Murni, UD</t>
  </si>
  <si>
    <t>Tani Sejati/Ahmad Syarifudin</t>
  </si>
  <si>
    <t>Tani Smart/Nur Syi`ah</t>
  </si>
  <si>
    <t>Tani Unggul/Johan</t>
  </si>
  <si>
    <t>Tunas Abadi/Sujarwo</t>
  </si>
  <si>
    <t>Tunas Jaya, UD/Bacuk</t>
  </si>
  <si>
    <t>Utama/Husni</t>
  </si>
  <si>
    <t>Wes Joyo/Hermas</t>
  </si>
  <si>
    <t>Yahya Makmur</t>
  </si>
  <si>
    <t>Grand Total</t>
  </si>
  <si>
    <t>prediksi</t>
  </si>
  <si>
    <t>Simulasi penyelesaian OD &gt; 30</t>
  </si>
  <si>
    <t>Tot. piutang Juli</t>
  </si>
  <si>
    <t>OD30,60,90</t>
  </si>
  <si>
    <t>penyelesaian OD &gt; 30</t>
  </si>
  <si>
    <t>Simulasi OD 30+60</t>
  </si>
  <si>
    <t>Tot.piutang</t>
  </si>
  <si>
    <t>&lt; 30</t>
  </si>
  <si>
    <t>TC : SAFIRA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</si>
  <si>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</si>
  <si>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</si>
  <si>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</si>
  <si>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</si>
  <si>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</si>
  <si>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</si>
  <si>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</si>
  <si>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</si>
  <si>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</si>
  <si>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</si>
  <si>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</si>
  <si>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</si>
  <si>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</si>
  <si>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</si>
  <si>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</si>
  <si>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</si>
  <si>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</si>
  <si>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</si>
  <si>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</si>
  <si>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</si>
  <si>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</si>
  <si>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</si>
  <si>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</si>
  <si>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</si>
  <si>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TC : Safira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</si>
  <si>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</si>
  <si>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</si>
  <si>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</si>
  <si>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</si>
  <si>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</si>
  <si>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</si>
  <si>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</si>
  <si>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</si>
  <si>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</si>
  <si>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</si>
  <si>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</si>
  <si>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</si>
  <si>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500 Jt</t>
  </si>
  <si>
    <t>Faris</t>
  </si>
  <si>
    <t>Safira</t>
  </si>
  <si>
    <t>KUMP01</t>
  </si>
  <si>
    <t>Bondowoso</t>
  </si>
  <si>
    <t>RIZK07</t>
  </si>
  <si>
    <t>Banyuwangi</t>
  </si>
  <si>
    <t>TOTAL</t>
  </si>
  <si>
    <t>Bulan</t>
  </si>
  <si>
    <t>Klasifikasi</t>
  </si>
  <si>
    <t>Farida</t>
  </si>
  <si>
    <t>Hendra</t>
  </si>
  <si>
    <t>Natasya</t>
  </si>
  <si>
    <t>Novista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</si>
  <si>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</si>
  <si>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</si>
  <si>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</si>
  <si>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</si>
  <si>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</si>
  <si>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</si>
  <si>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</si>
  <si>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Safirah</t>
  </si>
  <si>
    <t>Wilayah</t>
  </si>
  <si>
    <t xml:space="preserve">Banyuwangi, Bondowoso, dan Situbondo </t>
  </si>
  <si>
    <t>Posisi Over Due</t>
  </si>
  <si>
    <t>30 &gt;</t>
  </si>
  <si>
    <t>T</t>
  </si>
  <si>
    <t>TB</t>
  </si>
  <si>
    <t>B</t>
  </si>
  <si>
    <t>Mutiara Tani, UD/Abdur Rahman</t>
  </si>
  <si>
    <t>Agro Tani, UD</t>
  </si>
  <si>
    <t>Durian Merah/Dian</t>
  </si>
  <si>
    <t>Mitra Tani 1</t>
  </si>
  <si>
    <t>Nusantara Agro/Viola</t>
  </si>
  <si>
    <t>Restu Tani, UD/Ahmad</t>
  </si>
  <si>
    <t>Sumber Rejeki/Benny</t>
  </si>
  <si>
    <t>Sumber Rejeki/Yuliatin</t>
  </si>
  <si>
    <t>Tani Makmur/Ashuri</t>
  </si>
  <si>
    <t>Timbol Jaya/Gischa</t>
  </si>
  <si>
    <t>Tagih Langsung Bayar</t>
  </si>
  <si>
    <t>Tagih</t>
  </si>
  <si>
    <t>Bayar</t>
  </si>
  <si>
    <t>Mustakim Tani/Mustakim</t>
  </si>
  <si>
    <t>Harapan, UD/Julik</t>
  </si>
  <si>
    <t>Agro Lestari, UD/Puguh</t>
  </si>
  <si>
    <t>Harapan Jaya/Hadi Maruf</t>
  </si>
  <si>
    <t>Berkah Tani/Zainul</t>
  </si>
  <si>
    <t>Pos Tani/Busiyanto</t>
  </si>
  <si>
    <t>Tawaf, Toko</t>
  </si>
  <si>
    <t>Perdana Jaya/Zainud</t>
  </si>
  <si>
    <t>Wina Tani/Sumilah</t>
  </si>
  <si>
    <t>Berkah Tani/Ali Mutohar</t>
  </si>
  <si>
    <t>Parnadi, UD</t>
  </si>
  <si>
    <t>Barokah Tani/Syaikur</t>
  </si>
  <si>
    <t>Tani Makmur, Toko/Ady</t>
  </si>
  <si>
    <t>Ar Royan, UD</t>
  </si>
  <si>
    <t>Sederhana Agro Makmur, UD</t>
  </si>
  <si>
    <t>APR</t>
  </si>
  <si>
    <t>SINA10</t>
  </si>
  <si>
    <t>JAYA44</t>
  </si>
  <si>
    <t>SUMB36</t>
  </si>
  <si>
    <t>Farma Tani/Riza</t>
  </si>
  <si>
    <t>Obama, Toko</t>
  </si>
  <si>
    <t xml:space="preserve">Songo Songo Dokaran/Ardan </t>
  </si>
  <si>
    <t>Dua Putra, UD/Alvan</t>
  </si>
  <si>
    <t>Indo Tani/Suhadi</t>
  </si>
  <si>
    <t>Abadi Tani, Toko</t>
  </si>
  <si>
    <t>Agro Tropica Raya</t>
  </si>
  <si>
    <t>Harto Tani/Suhartini</t>
  </si>
  <si>
    <t>Tani Makmur/Nurhamid</t>
  </si>
  <si>
    <t>akhir Mei</t>
  </si>
  <si>
    <t>BULAN APRIL 2025</t>
  </si>
  <si>
    <t>Manggala</t>
  </si>
  <si>
    <t>Barokah Jaya/Yusniar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</si>
</sst>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[$-409]d\-mmm\-yy;@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name val="Arial"/>
      <family val="2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sz val="10"/>
      <color theme="0"/>
      <name val="Arial Unicode MS"/>
      <family val="2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color theme="0"/>
      <name val="Arial"/>
      <family val="2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7" borderId="0"/>
    <xf numFmtId="0" fontId="17" fillId="0" borderId="0"/>
    <xf numFmtId="0" fontId="17" fillId="0" borderId="0"/>
    <xf numFmtId="0" fontId="1" fillId="0" borderId="0"/>
    <xf numFmtId="0" fontId="22" fillId="7" borderId="0"/>
    <xf numFmtId="0" fontId="17" fillId="0" borderId="0"/>
    <xf numFmtId="166" fontId="1" fillId="0" borderId="0"/>
    <xf numFmtId="166" fontId="1" fillId="0" borderId="0"/>
    <xf numFmtId="166" fontId="1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27" fillId="0" borderId="0">
      <alignment horizontal="left" vertical="top"/>
    </xf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28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right" vertical="center"/>
    </xf>
    <xf numFmtId="0" fontId="23" fillId="0" borderId="0">
      <alignment horizontal="righ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32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8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left" vertical="top"/>
    </xf>
    <xf numFmtId="0" fontId="34" fillId="0" borderId="0">
      <alignment horizontal="right" vertical="top"/>
    </xf>
    <xf numFmtId="0" fontId="23" fillId="0" borderId="0">
      <alignment horizontal="left" vertical="top"/>
    </xf>
    <xf numFmtId="0" fontId="31" fillId="0" borderId="0">
      <alignment horizontal="lef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166" fontId="23" fillId="0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33" fillId="0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35" fillId="0" borderId="0">
      <alignment horizontal="right" vertical="top"/>
    </xf>
    <xf numFmtId="0" fontId="32" fillId="0" borderId="0">
      <alignment horizontal="left" vertical="top"/>
    </xf>
    <xf numFmtId="0" fontId="38" fillId="0" borderId="0">
      <alignment horizontal="right" vertical="top"/>
    </xf>
    <xf numFmtId="0" fontId="31" fillId="0" borderId="0">
      <alignment horizontal="right" vertical="top"/>
    </xf>
    <xf numFmtId="0" fontId="33" fillId="0" borderId="0">
      <alignment horizontal="left" vertical="top"/>
    </xf>
    <xf numFmtId="166" fontId="2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top"/>
    </xf>
    <xf numFmtId="0" fontId="18" fillId="0" borderId="0">
      <alignment horizontal="right" vertical="top"/>
    </xf>
    <xf numFmtId="0" fontId="3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0" fontId="31" fillId="0" borderId="0">
      <alignment horizontal="left" vertical="top"/>
    </xf>
    <xf numFmtId="0" fontId="38" fillId="0" borderId="0">
      <alignment horizontal="right" vertical="top"/>
    </xf>
    <xf numFmtId="0" fontId="39" fillId="0" borderId="0">
      <alignment horizontal="left" vertical="center"/>
    </xf>
    <xf numFmtId="0" fontId="36" fillId="0" borderId="0">
      <alignment horizontal="left" vertical="center"/>
    </xf>
    <xf numFmtId="0" fontId="23" fillId="0" borderId="0">
      <alignment horizontal="left" vertical="top"/>
    </xf>
    <xf numFmtId="166" fontId="23" fillId="0" borderId="0">
      <alignment horizontal="left" vertical="top"/>
    </xf>
    <xf numFmtId="0" fontId="18" fillId="0" borderId="0">
      <alignment horizontal="left" vertical="top"/>
    </xf>
    <xf numFmtId="0" fontId="35" fillId="0" borderId="0">
      <alignment horizontal="left" vertical="top"/>
    </xf>
    <xf numFmtId="0" fontId="18" fillId="0" borderId="0">
      <alignment horizontal="left" vertical="top"/>
    </xf>
    <xf numFmtId="0" fontId="34" fillId="0" borderId="0">
      <alignment horizontal="right" vertical="top"/>
    </xf>
    <xf numFmtId="0" fontId="40" fillId="0" borderId="0">
      <alignment horizontal="left" vertical="top"/>
    </xf>
    <xf numFmtId="0" fontId="23" fillId="0" borderId="0">
      <alignment horizontal="right" vertical="top"/>
    </xf>
    <xf numFmtId="0" fontId="39" fillId="0" borderId="0">
      <alignment horizontal="left" vertical="center"/>
    </xf>
    <xf numFmtId="0" fontId="33" fillId="0" borderId="0">
      <alignment horizontal="left" vertical="top"/>
    </xf>
    <xf numFmtId="0" fontId="31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41" fillId="0" borderId="0">
      <alignment horizontal="left" vertical="top"/>
    </xf>
    <xf numFmtId="0" fontId="18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36" fillId="0" borderId="0">
      <alignment horizontal="center" vertical="center"/>
    </xf>
    <xf numFmtId="0" fontId="33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left" vertical="center"/>
    </xf>
    <xf numFmtId="0" fontId="37" fillId="0" borderId="0">
      <alignment horizontal="left" vertical="top"/>
    </xf>
    <xf numFmtId="0" fontId="42" fillId="0" borderId="0">
      <alignment horizontal="right" vertical="top"/>
    </xf>
    <xf numFmtId="0" fontId="23" fillId="0" borderId="0">
      <alignment horizontal="righ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center" vertical="center"/>
    </xf>
    <xf numFmtId="166" fontId="23" fillId="0" borderId="0">
      <alignment horizontal="left" vertical="top"/>
    </xf>
    <xf numFmtId="0" fontId="38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166" fontId="33" fillId="0" borderId="0">
      <alignment horizontal="left" vertical="top"/>
    </xf>
    <xf numFmtId="0" fontId="37" fillId="0" borderId="0">
      <alignment horizontal="left" vertical="top"/>
    </xf>
    <xf numFmtId="0" fontId="35" fillId="0" borderId="0">
      <alignment horizontal="left" vertical="top"/>
    </xf>
    <xf numFmtId="0" fontId="32" fillId="0" borderId="0">
      <alignment horizontal="left" vertical="top"/>
    </xf>
    <xf numFmtId="0" fontId="35" fillId="0" borderId="0">
      <alignment horizontal="right" vertical="top"/>
    </xf>
    <xf numFmtId="166" fontId="35" fillId="0" borderId="0">
      <alignment horizontal="right" vertical="top"/>
    </xf>
    <xf numFmtId="0" fontId="43" fillId="0" borderId="0">
      <alignment horizontal="right" vertical="top"/>
    </xf>
    <xf numFmtId="0" fontId="41" fillId="0" borderId="0">
      <alignment horizontal="left" vertical="top"/>
    </xf>
    <xf numFmtId="0" fontId="35" fillId="0" borderId="0">
      <alignment horizontal="left" vertical="top"/>
    </xf>
    <xf numFmtId="0" fontId="23" fillId="0" borderId="0">
      <alignment horizontal="left" vertical="top"/>
    </xf>
    <xf numFmtId="166" fontId="35" fillId="0" borderId="0">
      <alignment horizontal="left" vertical="top"/>
    </xf>
    <xf numFmtId="0" fontId="43" fillId="0" borderId="0">
      <alignment horizontal="left" vertical="top"/>
    </xf>
    <xf numFmtId="0" fontId="23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46" fillId="0" borderId="0">
      <alignment horizontal="left" vertical="top"/>
    </xf>
    <xf numFmtId="0" fontId="47" fillId="0" borderId="0">
      <alignment horizontal="center" vertical="top"/>
    </xf>
    <xf numFmtId="0" fontId="48" fillId="0" borderId="0">
      <alignment horizontal="left" vertical="top"/>
    </xf>
    <xf numFmtId="166" fontId="49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49" fillId="0" borderId="0">
      <alignment horizontal="left" vertical="top"/>
    </xf>
    <xf numFmtId="0" fontId="18" fillId="8" borderId="0">
      <alignment horizontal="left" vertical="top"/>
    </xf>
    <xf numFmtId="0" fontId="48" fillId="0" borderId="0">
      <alignment horizontal="center" vertical="top"/>
    </xf>
    <xf numFmtId="0" fontId="50" fillId="0" borderId="0">
      <alignment horizontal="left" vertical="top"/>
    </xf>
    <xf numFmtId="0" fontId="51" fillId="0" borderId="0">
      <alignment horizontal="center" vertical="top"/>
    </xf>
    <xf numFmtId="0" fontId="18" fillId="8" borderId="0">
      <alignment horizontal="left" vertical="top"/>
    </xf>
    <xf numFmtId="0" fontId="41" fillId="0" borderId="0">
      <alignment horizontal="left" vertical="top"/>
    </xf>
    <xf numFmtId="0" fontId="18" fillId="8" borderId="0">
      <alignment horizontal="left" vertical="top"/>
    </xf>
    <xf numFmtId="0" fontId="29" fillId="0" borderId="0">
      <alignment horizontal="center" vertical="top"/>
    </xf>
    <xf numFmtId="0" fontId="51" fillId="0" borderId="0">
      <alignment horizontal="center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29" fillId="0" borderId="0">
      <alignment horizontal="left" vertical="top"/>
    </xf>
    <xf numFmtId="166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right" vertical="top"/>
    </xf>
    <xf numFmtId="0" fontId="33" fillId="8" borderId="0">
      <alignment horizontal="left" vertical="top"/>
    </xf>
    <xf numFmtId="0" fontId="18" fillId="8" borderId="0">
      <alignment horizontal="left" vertical="top"/>
    </xf>
    <xf numFmtId="0" fontId="45" fillId="0" borderId="0">
      <alignment horizontal="center" vertical="top"/>
    </xf>
    <xf numFmtId="0" fontId="33" fillId="8" borderId="0">
      <alignment horizontal="left" vertical="top"/>
    </xf>
    <xf numFmtId="0" fontId="23" fillId="0" borderId="0">
      <alignment horizontal="right" vertical="top"/>
    </xf>
    <xf numFmtId="166" fontId="33" fillId="0" borderId="0">
      <alignment horizontal="left" vertical="top"/>
    </xf>
    <xf numFmtId="0" fontId="33" fillId="0" borderId="0">
      <alignment horizontal="left" vertical="top"/>
    </xf>
    <xf numFmtId="0" fontId="52" fillId="0" borderId="0">
      <alignment horizontal="center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1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28" fillId="0" borderId="0">
      <alignment horizontal="right" vertical="top"/>
    </xf>
    <xf numFmtId="0" fontId="1" fillId="0" borderId="0">
      <alignment horizontal="right" vertical="top"/>
    </xf>
    <xf numFmtId="0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5" fillId="0" borderId="0">
      <alignment horizontal="left" vertical="top"/>
    </xf>
    <xf numFmtId="0" fontId="35" fillId="0" borderId="0">
      <alignment horizontal="center" vertical="center"/>
    </xf>
    <xf numFmtId="0" fontId="42" fillId="0" borderId="0">
      <alignment horizontal="left" vertical="center"/>
    </xf>
    <xf numFmtId="0" fontId="53" fillId="0" borderId="0">
      <alignment horizontal="center" vertical="top"/>
    </xf>
    <xf numFmtId="166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center"/>
    </xf>
    <xf numFmtId="0" fontId="42" fillId="0" borderId="0">
      <alignment horizontal="left" vertical="center"/>
    </xf>
    <xf numFmtId="0" fontId="54" fillId="0" borderId="0">
      <alignment horizontal="left" vertical="top"/>
    </xf>
    <xf numFmtId="166" fontId="33" fillId="0" borderId="0">
      <alignment horizontal="right" vertical="top"/>
    </xf>
    <xf numFmtId="0" fontId="55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7" fillId="0" borderId="0">
      <alignment horizontal="right" vertical="top"/>
    </xf>
    <xf numFmtId="0" fontId="42" fillId="0" borderId="0">
      <alignment horizontal="right" vertical="center"/>
    </xf>
    <xf numFmtId="0" fontId="36" fillId="0" borderId="0">
      <alignment horizontal="left" vertical="center"/>
    </xf>
    <xf numFmtId="0" fontId="42" fillId="0" borderId="0">
      <alignment horizontal="right" vertical="center"/>
    </xf>
    <xf numFmtId="0" fontId="42" fillId="0" borderId="0">
      <alignment horizontal="left" vertical="top"/>
    </xf>
    <xf numFmtId="0" fontId="36" fillId="0" borderId="0">
      <alignment horizontal="right" vertical="center"/>
    </xf>
    <xf numFmtId="166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5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4" fillId="0" borderId="0">
      <alignment horizontal="left" vertical="top"/>
    </xf>
    <xf numFmtId="0" fontId="23" fillId="0" borderId="0">
      <alignment horizontal="left" vertical="top"/>
    </xf>
    <xf numFmtId="0" fontId="36" fillId="0" borderId="0">
      <alignment horizontal="center" vertical="center"/>
    </xf>
    <xf numFmtId="0" fontId="31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right" vertical="top"/>
    </xf>
    <xf numFmtId="166" fontId="23" fillId="0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8" fillId="0" borderId="0">
      <alignment horizontal="left"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Fill="1" applyBorder="1" applyAlignment="1">
      <alignment vertical="center"/>
    </xf>
    <xf numFmtId="164" fontId="8" fillId="4" borderId="3" xfId="1" applyNumberFormat="1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9" fillId="0" borderId="3" xfId="1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0" fillId="0" borderId="3" xfId="0" applyBorder="1"/>
    <xf numFmtId="164" fontId="11" fillId="4" borderId="3" xfId="1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164" fontId="12" fillId="2" borderId="3" xfId="1" applyNumberFormat="1" applyFont="1" applyFill="1" applyBorder="1" applyAlignment="1">
      <alignment horizontal="center" vertical="center"/>
    </xf>
    <xf numFmtId="0" fontId="13" fillId="2" borderId="3" xfId="0" applyFont="1" applyFill="1" applyBorder="1"/>
    <xf numFmtId="164" fontId="12" fillId="2" borderId="2" xfId="1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164" fontId="14" fillId="0" borderId="4" xfId="1" applyNumberFormat="1" applyFont="1" applyFill="1" applyBorder="1" applyAlignment="1">
      <alignment horizontal="center" vertical="center"/>
    </xf>
    <xf numFmtId="164" fontId="14" fillId="0" borderId="5" xfId="1" applyNumberFormat="1" applyFont="1" applyFill="1" applyBorder="1" applyAlignment="1">
      <alignment horizontal="center" vertical="center"/>
    </xf>
    <xf numFmtId="0" fontId="3" fillId="5" borderId="6" xfId="0" applyFont="1" applyFill="1" applyBorder="1"/>
    <xf numFmtId="9" fontId="0" fillId="0" borderId="0" xfId="2" applyFont="1"/>
    <xf numFmtId="0" fontId="15" fillId="0" borderId="7" xfId="0" applyFont="1" applyBorder="1"/>
    <xf numFmtId="0" fontId="15" fillId="0" borderId="8" xfId="0" applyFont="1" applyBorder="1"/>
    <xf numFmtId="10" fontId="3" fillId="6" borderId="8" xfId="2" applyNumberFormat="1" applyFont="1" applyFill="1" applyBorder="1"/>
    <xf numFmtId="0" fontId="0" fillId="0" borderId="9" xfId="0" applyBorder="1"/>
    <xf numFmtId="0" fontId="15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164" fontId="0" fillId="0" borderId="3" xfId="1" applyNumberFormat="1" applyFont="1" applyBorder="1"/>
    <xf numFmtId="164" fontId="0" fillId="0" borderId="3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5" borderId="0" xfId="0" applyFill="1" applyAlignment="1">
      <alignment horizontal="center"/>
    </xf>
    <xf numFmtId="0" fontId="57" fillId="10" borderId="10" xfId="0" applyFont="1" applyFill="1" applyBorder="1" applyAlignment="1">
      <alignment horizontal="center" vertical="center" wrapText="1"/>
    </xf>
    <xf numFmtId="0" fontId="57" fillId="11" borderId="10" xfId="0" applyFont="1" applyFill="1" applyBorder="1" applyAlignment="1">
      <alignment horizontal="center" vertical="center" wrapText="1"/>
    </xf>
    <xf numFmtId="0" fontId="57" fillId="12" borderId="10" xfId="0" applyNumberFormat="1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/>
    </xf>
    <xf numFmtId="0" fontId="59" fillId="14" borderId="10" xfId="0" applyFont="1" applyFill="1" applyBorder="1" applyAlignment="1">
      <alignment horizontal="center" vertical="center"/>
    </xf>
    <xf numFmtId="0" fontId="59" fillId="13" borderId="10" xfId="0" applyFont="1" applyFill="1" applyBorder="1" applyAlignment="1">
      <alignment horizontal="center" vertical="center" wrapText="1"/>
    </xf>
    <xf numFmtId="0" fontId="59" fillId="15" borderId="10" xfId="0" applyFont="1" applyFill="1" applyBorder="1" applyAlignment="1">
      <alignment horizontal="center" vertical="center" wrapText="1"/>
    </xf>
    <xf numFmtId="0" fontId="60" fillId="16" borderId="10" xfId="0" applyFont="1" applyFill="1" applyBorder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0" fontId="60" fillId="17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57" fillId="21" borderId="10" xfId="0" applyNumberFormat="1" applyFont="1" applyFill="1" applyBorder="1" applyAlignment="1">
      <alignment horizontal="center" vertical="center" wrapText="1"/>
    </xf>
    <xf numFmtId="0" fontId="59" fillId="22" borderId="10" xfId="0" applyFont="1" applyFill="1" applyBorder="1" applyAlignment="1">
      <alignment horizontal="center" vertical="center"/>
    </xf>
    <xf numFmtId="0" fontId="62" fillId="0" borderId="10" xfId="0" applyFont="1" applyFill="1" applyBorder="1" applyAlignment="1">
      <alignment horizontal="left" vertical="center" indent="1"/>
    </xf>
    <xf numFmtId="43" fontId="62" fillId="0" borderId="10" xfId="1113" applyFont="1" applyFill="1" applyBorder="1" applyAlignment="1">
      <alignment vertical="center"/>
    </xf>
    <xf numFmtId="10" fontId="62" fillId="0" borderId="10" xfId="1113" applyNumberFormat="1" applyFont="1" applyFill="1" applyBorder="1" applyAlignment="1">
      <alignment horizontal="center" vertical="center"/>
    </xf>
    <xf numFmtId="10" fontId="63" fillId="23" borderId="10" xfId="1113" applyNumberFormat="1" applyFont="1" applyFill="1" applyBorder="1" applyAlignment="1">
      <alignment horizontal="center" vertical="center"/>
    </xf>
    <xf numFmtId="10" fontId="62" fillId="0" borderId="10" xfId="2" applyNumberFormat="1" applyFont="1" applyFill="1" applyBorder="1" applyAlignment="1">
      <alignment horizontal="center" vertical="center"/>
    </xf>
    <xf numFmtId="10" fontId="64" fillId="23" borderId="10" xfId="2" applyNumberFormat="1" applyFont="1" applyFill="1" applyBorder="1" applyAlignment="1">
      <alignment horizontal="center" vertical="center"/>
    </xf>
    <xf numFmtId="0" fontId="62" fillId="17" borderId="10" xfId="2" applyNumberFormat="1" applyFont="1" applyFill="1" applyBorder="1" applyAlignment="1">
      <alignment horizontal="center" vertical="center"/>
    </xf>
    <xf numFmtId="43" fontId="62" fillId="0" borderId="10" xfId="1" applyFont="1" applyFill="1" applyBorder="1" applyAlignment="1">
      <alignment vertical="center"/>
    </xf>
    <xf numFmtId="0" fontId="62" fillId="0" borderId="10" xfId="2" applyNumberFormat="1" applyFont="1" applyFill="1" applyBorder="1" applyAlignment="1">
      <alignment horizontal="center" vertical="center"/>
    </xf>
    <xf numFmtId="0" fontId="0" fillId="25" borderId="0" xfId="0" applyFont="1" applyFill="1"/>
    <xf numFmtId="41" fontId="15" fillId="24" borderId="10" xfId="0" applyNumberFormat="1" applyFont="1" applyFill="1" applyBorder="1" applyAlignment="1">
      <alignment horizontal="center" vertical="center"/>
    </xf>
    <xf numFmtId="41" fontId="65" fillId="29" borderId="10" xfId="0" applyNumberFormat="1" applyFont="1" applyFill="1" applyBorder="1" applyAlignment="1">
      <alignment horizontal="center" vertical="center"/>
    </xf>
    <xf numFmtId="0" fontId="65" fillId="30" borderId="10" xfId="0" applyFont="1" applyFill="1" applyBorder="1" applyAlignment="1">
      <alignment horizontal="center" vertical="center"/>
    </xf>
    <xf numFmtId="41" fontId="65" fillId="5" borderId="10" xfId="0" applyNumberFormat="1" applyFont="1" applyFill="1" applyBorder="1" applyAlignment="1">
      <alignment horizontal="center" vertical="center"/>
    </xf>
    <xf numFmtId="41" fontId="65" fillId="16" borderId="10" xfId="0" applyNumberFormat="1" applyFont="1" applyFill="1" applyBorder="1" applyAlignment="1">
      <alignment horizontal="center" vertical="center"/>
    </xf>
    <xf numFmtId="41" fontId="65" fillId="31" borderId="10" xfId="0" applyNumberFormat="1" applyFont="1" applyFill="1" applyBorder="1" applyAlignment="1">
      <alignment horizontal="center" vertical="center" wrapText="1"/>
    </xf>
    <xf numFmtId="41" fontId="65" fillId="31" borderId="10" xfId="0" applyNumberFormat="1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left" vertical="center" indent="1"/>
    </xf>
    <xf numFmtId="10" fontId="65" fillId="0" borderId="10" xfId="2" applyNumberFormat="1" applyFont="1" applyFill="1" applyBorder="1" applyAlignment="1">
      <alignment horizontal="center" vertical="center"/>
    </xf>
    <xf numFmtId="43" fontId="65" fillId="0" borderId="10" xfId="1113" applyFont="1" applyFill="1" applyBorder="1" applyAlignment="1">
      <alignment vertical="center"/>
    </xf>
    <xf numFmtId="10" fontId="65" fillId="0" borderId="16" xfId="1114" applyNumberFormat="1" applyFont="1" applyFill="1" applyBorder="1" applyAlignment="1">
      <alignment horizontal="center" vertical="center"/>
    </xf>
    <xf numFmtId="43" fontId="65" fillId="0" borderId="16" xfId="1113" applyFont="1" applyFill="1" applyBorder="1" applyAlignment="1">
      <alignment vertical="center"/>
    </xf>
    <xf numFmtId="43" fontId="65" fillId="0" borderId="10" xfId="1113" applyFont="1" applyFill="1" applyBorder="1" applyAlignment="1">
      <alignment horizontal="center" vertical="center"/>
    </xf>
    <xf numFmtId="0" fontId="65" fillId="0" borderId="16" xfId="1113" applyNumberFormat="1" applyFont="1" applyFill="1" applyBorder="1" applyAlignment="1">
      <alignment horizontal="center" vertical="center"/>
    </xf>
    <xf numFmtId="9" fontId="65" fillId="0" borderId="16" xfId="2" applyFont="1" applyFill="1" applyBorder="1" applyAlignment="1">
      <alignment horizontal="center" vertical="center"/>
    </xf>
    <xf numFmtId="9" fontId="0" fillId="0" borderId="3" xfId="1114" applyFont="1" applyBorder="1"/>
    <xf numFmtId="0" fontId="67" fillId="32" borderId="3" xfId="0" applyFont="1" applyFill="1" applyBorder="1" applyAlignment="1">
      <alignment horizontal="left" vertical="center"/>
    </xf>
    <xf numFmtId="0" fontId="67" fillId="32" borderId="3" xfId="0" applyFont="1" applyFill="1" applyBorder="1" applyAlignment="1">
      <alignment vertical="center"/>
    </xf>
    <xf numFmtId="9" fontId="68" fillId="23" borderId="17" xfId="1114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4" borderId="3" xfId="0" applyFont="1" applyFill="1" applyBorder="1" applyAlignment="1">
      <alignment horizontal="center"/>
    </xf>
    <xf numFmtId="10" fontId="3" fillId="15" borderId="3" xfId="1114" applyNumberFormat="1" applyFont="1" applyFill="1" applyBorder="1" applyAlignment="1">
      <alignment horizontal="center"/>
    </xf>
    <xf numFmtId="0" fontId="6" fillId="34" borderId="3" xfId="0" applyFont="1" applyFill="1" applyBorder="1" applyAlignment="1">
      <alignment horizontal="center"/>
    </xf>
    <xf numFmtId="10" fontId="6" fillId="6" borderId="3" xfId="1114" applyNumberFormat="1" applyFont="1" applyFill="1" applyBorder="1" applyAlignment="1">
      <alignment horizontal="center"/>
    </xf>
    <xf numFmtId="0" fontId="0" fillId="4" borderId="0" xfId="0" applyFill="1"/>
    <xf numFmtId="0" fontId="72" fillId="4" borderId="0" xfId="0" applyFont="1" applyFill="1"/>
    <xf numFmtId="0" fontId="73" fillId="4" borderId="0" xfId="0" applyFont="1" applyFill="1" applyAlignment="1">
      <alignment vertical="center"/>
    </xf>
    <xf numFmtId="0" fontId="73" fillId="4" borderId="0" xfId="0" applyFont="1" applyFill="1"/>
    <xf numFmtId="0" fontId="74" fillId="0" borderId="3" xfId="0" applyFont="1" applyFill="1" applyBorder="1" applyAlignment="1">
      <alignment horizontal="center" vertical="center" wrapText="1"/>
    </xf>
    <xf numFmtId="0" fontId="74" fillId="23" borderId="3" xfId="0" applyFont="1" applyFill="1" applyBorder="1" applyAlignment="1">
      <alignment horizontal="center" vertical="center" wrapText="1"/>
    </xf>
    <xf numFmtId="0" fontId="72" fillId="0" borderId="0" xfId="0" applyFont="1"/>
    <xf numFmtId="0" fontId="75" fillId="0" borderId="3" xfId="0" applyFont="1" applyFill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28" borderId="0" xfId="0" applyFont="1" applyFill="1" applyAlignment="1">
      <alignment horizontal="center" vertical="center"/>
    </xf>
    <xf numFmtId="0" fontId="72" fillId="16" borderId="0" xfId="0" applyFont="1" applyFill="1" applyAlignment="1">
      <alignment horizontal="center" vertical="center"/>
    </xf>
    <xf numFmtId="0" fontId="72" fillId="15" borderId="0" xfId="0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9" fontId="72" fillId="4" borderId="0" xfId="2" applyFont="1" applyFill="1" applyAlignment="1">
      <alignment horizontal="center" vertical="center"/>
    </xf>
    <xf numFmtId="0" fontId="75" fillId="0" borderId="3" xfId="0" applyFont="1" applyFill="1" applyBorder="1" applyAlignment="1">
      <alignment vertical="center"/>
    </xf>
    <xf numFmtId="0" fontId="74" fillId="35" borderId="3" xfId="0" applyFont="1" applyFill="1" applyBorder="1" applyAlignment="1">
      <alignment horizontal="center" vertical="center"/>
    </xf>
    <xf numFmtId="0" fontId="74" fillId="35" borderId="3" xfId="0" applyFont="1" applyFill="1" applyBorder="1" applyAlignment="1">
      <alignment vertical="center"/>
    </xf>
    <xf numFmtId="0" fontId="72" fillId="4" borderId="3" xfId="0" applyFont="1" applyFill="1" applyBorder="1" applyAlignment="1">
      <alignment horizontal="center" vertical="center"/>
    </xf>
    <xf numFmtId="0" fontId="75" fillId="4" borderId="0" xfId="0" applyFont="1" applyFill="1" applyBorder="1" applyAlignment="1">
      <alignment vertical="center"/>
    </xf>
    <xf numFmtId="0" fontId="74" fillId="4" borderId="3" xfId="0" applyFont="1" applyFill="1" applyBorder="1" applyAlignment="1">
      <alignment horizontal="center" vertical="center" wrapText="1"/>
    </xf>
    <xf numFmtId="0" fontId="74" fillId="0" borderId="3" xfId="0" applyFont="1" applyFill="1" applyBorder="1" applyAlignment="1">
      <alignment vertical="center"/>
    </xf>
    <xf numFmtId="0" fontId="0" fillId="0" borderId="0" xfId="0" applyFill="1"/>
    <xf numFmtId="10" fontId="63" fillId="23" borderId="10" xfId="2" applyNumberFormat="1" applyFont="1" applyFill="1" applyBorder="1" applyAlignment="1">
      <alignment horizontal="center" vertical="center"/>
    </xf>
    <xf numFmtId="10" fontId="62" fillId="24" borderId="10" xfId="2" applyNumberFormat="1" applyFont="1" applyFill="1" applyBorder="1" applyAlignment="1">
      <alignment horizontal="center" vertical="center"/>
    </xf>
    <xf numFmtId="10" fontId="65" fillId="24" borderId="10" xfId="2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164" fontId="66" fillId="0" borderId="3" xfId="1113" applyNumberFormat="1" applyFont="1" applyFill="1" applyBorder="1" applyAlignment="1">
      <alignment vertical="center"/>
    </xf>
    <xf numFmtId="0" fontId="67" fillId="32" borderId="3" xfId="0" applyNumberFormat="1" applyFont="1" applyFill="1" applyBorder="1" applyAlignment="1">
      <alignment horizontal="center" vertical="center"/>
    </xf>
    <xf numFmtId="0" fontId="67" fillId="32" borderId="17" xfId="0" applyNumberFormat="1" applyFont="1" applyFill="1" applyBorder="1" applyAlignment="1">
      <alignment horizontal="center" vertical="center"/>
    </xf>
    <xf numFmtId="164" fontId="68" fillId="32" borderId="3" xfId="1113" applyNumberFormat="1" applyFont="1" applyFill="1" applyBorder="1" applyAlignment="1">
      <alignment vertical="center"/>
    </xf>
    <xf numFmtId="0" fontId="69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0" fontId="0" fillId="5" borderId="0" xfId="2" applyNumberFormat="1" applyFont="1" applyFill="1" applyAlignment="1">
      <alignment horizontal="center"/>
    </xf>
    <xf numFmtId="0" fontId="70" fillId="4" borderId="0" xfId="0" applyFont="1" applyFill="1" applyAlignment="1">
      <alignment horizontal="center" vertical="center"/>
    </xf>
    <xf numFmtId="0" fontId="71" fillId="4" borderId="0" xfId="0" applyFont="1" applyFill="1" applyAlignment="1">
      <alignment horizontal="center" vertical="center"/>
    </xf>
    <xf numFmtId="41" fontId="65" fillId="28" borderId="13" xfId="0" applyNumberFormat="1" applyFont="1" applyFill="1" applyBorder="1" applyAlignment="1">
      <alignment horizontal="center" vertical="center"/>
    </xf>
    <xf numFmtId="41" fontId="65" fillId="28" borderId="1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6" fillId="9" borderId="10" xfId="0" applyFont="1" applyFill="1" applyBorder="1" applyAlignment="1">
      <alignment horizontal="center" vertical="center"/>
    </xf>
    <xf numFmtId="0" fontId="58" fillId="13" borderId="10" xfId="0" applyFont="1" applyFill="1" applyBorder="1" applyAlignment="1">
      <alignment horizontal="center" vertical="center"/>
    </xf>
    <xf numFmtId="0" fontId="59" fillId="6" borderId="10" xfId="0" applyFont="1" applyFill="1" applyBorder="1" applyAlignment="1">
      <alignment horizontal="center" vertical="center"/>
    </xf>
    <xf numFmtId="0" fontId="59" fillId="18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41" fontId="65" fillId="24" borderId="13" xfId="0" applyNumberFormat="1" applyFont="1" applyFill="1" applyBorder="1" applyAlignment="1">
      <alignment horizontal="center" vertical="center"/>
    </xf>
    <xf numFmtId="41" fontId="65" fillId="24" borderId="14" xfId="0" applyNumberFormat="1" applyFont="1" applyFill="1" applyBorder="1" applyAlignment="1">
      <alignment horizontal="center" vertical="center"/>
    </xf>
    <xf numFmtId="41" fontId="65" fillId="24" borderId="15" xfId="0" applyNumberFormat="1" applyFont="1" applyFill="1" applyBorder="1" applyAlignment="1">
      <alignment horizontal="center" vertical="center"/>
    </xf>
    <xf numFmtId="0" fontId="15" fillId="24" borderId="13" xfId="0" applyFont="1" applyFill="1" applyBorder="1" applyAlignment="1">
      <alignment horizontal="center" vertical="center"/>
    </xf>
    <xf numFmtId="0" fontId="15" fillId="24" borderId="15" xfId="0" applyFont="1" applyFill="1" applyBorder="1" applyAlignment="1">
      <alignment horizontal="center" vertical="center"/>
    </xf>
    <xf numFmtId="41" fontId="65" fillId="27" borderId="13" xfId="0" applyNumberFormat="1" applyFont="1" applyFill="1" applyBorder="1" applyAlignment="1">
      <alignment horizontal="center" vertical="center"/>
    </xf>
    <xf numFmtId="41" fontId="65" fillId="27" borderId="14" xfId="0" applyNumberFormat="1" applyFont="1" applyFill="1" applyBorder="1" applyAlignment="1">
      <alignment horizontal="center" vertical="center"/>
    </xf>
    <xf numFmtId="41" fontId="65" fillId="27" borderId="15" xfId="0" applyNumberFormat="1" applyFont="1" applyFill="1" applyBorder="1" applyAlignment="1">
      <alignment horizontal="center" vertical="center"/>
    </xf>
    <xf numFmtId="41" fontId="65" fillId="11" borderId="13" xfId="0" applyNumberFormat="1" applyFont="1" applyFill="1" applyBorder="1" applyAlignment="1">
      <alignment horizontal="center" vertical="center"/>
    </xf>
    <xf numFmtId="41" fontId="65" fillId="11" borderId="14" xfId="0" applyNumberFormat="1" applyFont="1" applyFill="1" applyBorder="1" applyAlignment="1">
      <alignment horizontal="center" vertical="center"/>
    </xf>
    <xf numFmtId="41" fontId="65" fillId="11" borderId="15" xfId="0" applyNumberFormat="1" applyFont="1" applyFill="1" applyBorder="1" applyAlignment="1">
      <alignment horizontal="center" vertical="center"/>
    </xf>
  </cellXfs>
  <cellStyles count="1115">
    <cellStyle name="Comma" xfId="1" builtinId="3"/>
    <cellStyle name="Comma [0] 2" xfId="3"/>
    <cellStyle name="Comma [0] 2 2 2" xfId="4"/>
    <cellStyle name="Comma [0] 3" xfId="5"/>
    <cellStyle name="Comma 10" xfId="6"/>
    <cellStyle name="Comma 10 2" xfId="1113"/>
    <cellStyle name="Comma 104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10" xfId="18"/>
    <cellStyle name="Comma 2 2" xfId="19"/>
    <cellStyle name="Comma 2 3" xfId="20"/>
    <cellStyle name="Comma 24 2" xfId="21"/>
    <cellStyle name="Comma 24 4" xfId="22"/>
    <cellStyle name="Comma 24 6" xfId="23"/>
    <cellStyle name="Comma 29" xfId="24"/>
    <cellStyle name="Comma 294" xfId="25"/>
    <cellStyle name="Comma 3" xfId="26"/>
    <cellStyle name="Comma 3 2" xfId="27"/>
    <cellStyle name="Comma 4" xfId="28"/>
    <cellStyle name="Comma 5" xfId="29"/>
    <cellStyle name="Comma 6" xfId="30"/>
    <cellStyle name="Comma 7" xfId="31"/>
    <cellStyle name="Comma 78 6" xfId="32"/>
    <cellStyle name="Comma 8" xfId="33"/>
    <cellStyle name="Comma 9" xfId="34"/>
    <cellStyle name="Hyperlink 2" xfId="35"/>
    <cellStyle name="Hyperlink 3" xfId="36"/>
    <cellStyle name="Hyperlink 4" xfId="37"/>
    <cellStyle name="Normal" xfId="0" builtinId="0"/>
    <cellStyle name="Normal 10" xfId="38"/>
    <cellStyle name="Normal 11" xfId="39"/>
    <cellStyle name="Normal 12" xfId="40"/>
    <cellStyle name="Normal 13" xfId="41"/>
    <cellStyle name="Normal 14" xfId="42"/>
    <cellStyle name="Normal 15" xfId="43"/>
    <cellStyle name="Normal 16" xfId="44"/>
    <cellStyle name="Normal 18" xfId="45"/>
    <cellStyle name="Normal 19" xfId="46"/>
    <cellStyle name="Normal 2" xfId="47"/>
    <cellStyle name="Normal 2 2" xfId="48"/>
    <cellStyle name="Normal 2 2 2" xfId="49"/>
    <cellStyle name="Normal 20" xfId="50"/>
    <cellStyle name="Normal 21" xfId="51"/>
    <cellStyle name="Normal 22" xfId="52"/>
    <cellStyle name="Normal 23" xfId="53"/>
    <cellStyle name="Normal 3" xfId="54"/>
    <cellStyle name="Normal 4" xfId="55"/>
    <cellStyle name="Normal 4 2" xfId="56"/>
    <cellStyle name="Normal 4 3" xfId="57"/>
    <cellStyle name="Normal 5" xfId="58"/>
    <cellStyle name="Normal 6" xfId="59"/>
    <cellStyle name="Normal 7" xfId="60"/>
    <cellStyle name="Normal 8" xfId="61"/>
    <cellStyle name="Normal 9" xfId="62"/>
    <cellStyle name="Percent" xfId="2" builtinId="5"/>
    <cellStyle name="Percent 2" xfId="63"/>
    <cellStyle name="Percent 3" xfId="64"/>
    <cellStyle name="Percent 4" xfId="1114"/>
    <cellStyle name="S0" xfId="65"/>
    <cellStyle name="S0 10" xfId="66"/>
    <cellStyle name="S0 100" xfId="67"/>
    <cellStyle name="S0 101" xfId="68"/>
    <cellStyle name="S0 102" xfId="69"/>
    <cellStyle name="S0 103" xfId="70"/>
    <cellStyle name="S0 104" xfId="71"/>
    <cellStyle name="S0 105" xfId="72"/>
    <cellStyle name="S0 106" xfId="73"/>
    <cellStyle name="S0 107" xfId="74"/>
    <cellStyle name="S0 108" xfId="75"/>
    <cellStyle name="S0 109" xfId="76"/>
    <cellStyle name="S0 11" xfId="77"/>
    <cellStyle name="S0 110" xfId="78"/>
    <cellStyle name="S0 111" xfId="79"/>
    <cellStyle name="S0 112" xfId="80"/>
    <cellStyle name="S0 113" xfId="81"/>
    <cellStyle name="S0 114" xfId="82"/>
    <cellStyle name="S0 115" xfId="83"/>
    <cellStyle name="S0 116" xfId="84"/>
    <cellStyle name="S0 117" xfId="85"/>
    <cellStyle name="S0 118" xfId="86"/>
    <cellStyle name="S0 119" xfId="87"/>
    <cellStyle name="S0 12" xfId="88"/>
    <cellStyle name="S0 120" xfId="89"/>
    <cellStyle name="S0 121" xfId="90"/>
    <cellStyle name="S0 122" xfId="91"/>
    <cellStyle name="S0 123" xfId="92"/>
    <cellStyle name="S0 124" xfId="93"/>
    <cellStyle name="S0 125" xfId="94"/>
    <cellStyle name="S0 126" xfId="95"/>
    <cellStyle name="S0 127" xfId="96"/>
    <cellStyle name="S0 128" xfId="97"/>
    <cellStyle name="S0 129" xfId="98"/>
    <cellStyle name="S0 13" xfId="99"/>
    <cellStyle name="S0 130" xfId="100"/>
    <cellStyle name="S0 131" xfId="101"/>
    <cellStyle name="S0 132" xfId="102"/>
    <cellStyle name="S0 133" xfId="103"/>
    <cellStyle name="S0 134" xfId="104"/>
    <cellStyle name="S0 135" xfId="105"/>
    <cellStyle name="S0 136" xfId="106"/>
    <cellStyle name="S0 137" xfId="107"/>
    <cellStyle name="S0 138" xfId="108"/>
    <cellStyle name="S0 139" xfId="109"/>
    <cellStyle name="S0 14" xfId="110"/>
    <cellStyle name="S0 140" xfId="111"/>
    <cellStyle name="S0 141" xfId="112"/>
    <cellStyle name="S0 142" xfId="113"/>
    <cellStyle name="S0 143" xfId="114"/>
    <cellStyle name="S0 144" xfId="115"/>
    <cellStyle name="S0 145" xfId="116"/>
    <cellStyle name="S0 146" xfId="117"/>
    <cellStyle name="S0 147" xfId="118"/>
    <cellStyle name="S0 148" xfId="119"/>
    <cellStyle name="S0 149" xfId="120"/>
    <cellStyle name="S0 15" xfId="121"/>
    <cellStyle name="S0 150" xfId="122"/>
    <cellStyle name="S0 151" xfId="123"/>
    <cellStyle name="S0 152" xfId="124"/>
    <cellStyle name="S0 153" xfId="125"/>
    <cellStyle name="S0 154" xfId="126"/>
    <cellStyle name="S0 155" xfId="127"/>
    <cellStyle name="S0 156" xfId="128"/>
    <cellStyle name="S0 157" xfId="129"/>
    <cellStyle name="S0 158" xfId="130"/>
    <cellStyle name="S0 159" xfId="131"/>
    <cellStyle name="S0 16" xfId="132"/>
    <cellStyle name="S0 160" xfId="133"/>
    <cellStyle name="S0 161" xfId="134"/>
    <cellStyle name="S0 162" xfId="135"/>
    <cellStyle name="S0 163" xfId="136"/>
    <cellStyle name="S0 164" xfId="137"/>
    <cellStyle name="S0 165" xfId="138"/>
    <cellStyle name="S0 166" xfId="139"/>
    <cellStyle name="S0 167" xfId="140"/>
    <cellStyle name="S0 168" xfId="141"/>
    <cellStyle name="S0 169" xfId="142"/>
    <cellStyle name="S0 17" xfId="143"/>
    <cellStyle name="S0 170" xfId="144"/>
    <cellStyle name="S0 171" xfId="145"/>
    <cellStyle name="S0 172" xfId="146"/>
    <cellStyle name="S0 173" xfId="147"/>
    <cellStyle name="S0 174" xfId="148"/>
    <cellStyle name="S0 175" xfId="149"/>
    <cellStyle name="S0 176" xfId="150"/>
    <cellStyle name="S0 177" xfId="151"/>
    <cellStyle name="S0 178" xfId="152"/>
    <cellStyle name="S0 179" xfId="153"/>
    <cellStyle name="S0 18" xfId="154"/>
    <cellStyle name="S0 180" xfId="155"/>
    <cellStyle name="S0 181" xfId="156"/>
    <cellStyle name="S0 182" xfId="157"/>
    <cellStyle name="S0 183" xfId="158"/>
    <cellStyle name="S0 184" xfId="159"/>
    <cellStyle name="S0 185" xfId="160"/>
    <cellStyle name="S0 186" xfId="161"/>
    <cellStyle name="S0 187" xfId="162"/>
    <cellStyle name="S0 188" xfId="163"/>
    <cellStyle name="S0 189" xfId="164"/>
    <cellStyle name="S0 19" xfId="165"/>
    <cellStyle name="S0 190" xfId="166"/>
    <cellStyle name="S0 191" xfId="167"/>
    <cellStyle name="S0 192" xfId="168"/>
    <cellStyle name="S0 193" xfId="169"/>
    <cellStyle name="S0 194" xfId="170"/>
    <cellStyle name="S0 195" xfId="171"/>
    <cellStyle name="S0 196" xfId="172"/>
    <cellStyle name="S0 197" xfId="173"/>
    <cellStyle name="S0 198" xfId="174"/>
    <cellStyle name="S0 199" xfId="175"/>
    <cellStyle name="S0 2" xfId="176"/>
    <cellStyle name="S0 20" xfId="177"/>
    <cellStyle name="S0 200" xfId="178"/>
    <cellStyle name="S0 201" xfId="179"/>
    <cellStyle name="S0 202" xfId="180"/>
    <cellStyle name="S0 203" xfId="181"/>
    <cellStyle name="S0 204" xfId="182"/>
    <cellStyle name="S0 205" xfId="183"/>
    <cellStyle name="S0 206" xfId="184"/>
    <cellStyle name="S0 207" xfId="185"/>
    <cellStyle name="S0 208" xfId="186"/>
    <cellStyle name="S0 209" xfId="187"/>
    <cellStyle name="S0 21" xfId="188"/>
    <cellStyle name="S0 210" xfId="189"/>
    <cellStyle name="S0 211" xfId="190"/>
    <cellStyle name="S0 212" xfId="191"/>
    <cellStyle name="S0 213" xfId="192"/>
    <cellStyle name="S0 214" xfId="193"/>
    <cellStyle name="S0 215" xfId="194"/>
    <cellStyle name="S0 216" xfId="195"/>
    <cellStyle name="S0 217" xfId="196"/>
    <cellStyle name="S0 218" xfId="197"/>
    <cellStyle name="S0 219" xfId="198"/>
    <cellStyle name="S0 22" xfId="199"/>
    <cellStyle name="S0 220" xfId="200"/>
    <cellStyle name="S0 221" xfId="201"/>
    <cellStyle name="S0 222" xfId="202"/>
    <cellStyle name="S0 223" xfId="203"/>
    <cellStyle name="S0 224" xfId="204"/>
    <cellStyle name="S0 225" xfId="205"/>
    <cellStyle name="S0 226" xfId="206"/>
    <cellStyle name="S0 227" xfId="207"/>
    <cellStyle name="S0 228" xfId="208"/>
    <cellStyle name="S0 229" xfId="209"/>
    <cellStyle name="S0 23" xfId="210"/>
    <cellStyle name="S0 230" xfId="211"/>
    <cellStyle name="S0 231" xfId="212"/>
    <cellStyle name="S0 232" xfId="213"/>
    <cellStyle name="S0 233" xfId="214"/>
    <cellStyle name="S0 234" xfId="215"/>
    <cellStyle name="S0 235" xfId="216"/>
    <cellStyle name="S0 236" xfId="217"/>
    <cellStyle name="S0 237" xfId="218"/>
    <cellStyle name="S0 238" xfId="219"/>
    <cellStyle name="S0 239" xfId="220"/>
    <cellStyle name="S0 24" xfId="221"/>
    <cellStyle name="S0 240" xfId="222"/>
    <cellStyle name="S0 241" xfId="223"/>
    <cellStyle name="S0 242" xfId="224"/>
    <cellStyle name="S0 243" xfId="225"/>
    <cellStyle name="S0 244" xfId="226"/>
    <cellStyle name="S0 245" xfId="227"/>
    <cellStyle name="S0 246" xfId="228"/>
    <cellStyle name="S0 247" xfId="229"/>
    <cellStyle name="S0 248" xfId="230"/>
    <cellStyle name="S0 249" xfId="231"/>
    <cellStyle name="S0 25" xfId="232"/>
    <cellStyle name="S0 250" xfId="233"/>
    <cellStyle name="S0 251" xfId="234"/>
    <cellStyle name="S0 252" xfId="235"/>
    <cellStyle name="S0 253" xfId="236"/>
    <cellStyle name="S0 254" xfId="237"/>
    <cellStyle name="S0 255" xfId="238"/>
    <cellStyle name="S0 256" xfId="239"/>
    <cellStyle name="S0 257" xfId="240"/>
    <cellStyle name="S0 258" xfId="241"/>
    <cellStyle name="S0 259" xfId="242"/>
    <cellStyle name="S0 26" xfId="243"/>
    <cellStyle name="S0 260" xfId="244"/>
    <cellStyle name="S0 261" xfId="245"/>
    <cellStyle name="S0 262" xfId="246"/>
    <cellStyle name="S0 263" xfId="247"/>
    <cellStyle name="S0 264" xfId="248"/>
    <cellStyle name="S0 265" xfId="249"/>
    <cellStyle name="S0 266" xfId="250"/>
    <cellStyle name="S0 266 2" xfId="251"/>
    <cellStyle name="S0 267" xfId="252"/>
    <cellStyle name="S0 268" xfId="253"/>
    <cellStyle name="S0 27" xfId="254"/>
    <cellStyle name="S0 28" xfId="255"/>
    <cellStyle name="S0 29" xfId="256"/>
    <cellStyle name="S0 3" xfId="257"/>
    <cellStyle name="S0 30" xfId="258"/>
    <cellStyle name="S0 31" xfId="259"/>
    <cellStyle name="S0 32" xfId="260"/>
    <cellStyle name="S0 33" xfId="261"/>
    <cellStyle name="S0 34" xfId="262"/>
    <cellStyle name="S0 35" xfId="263"/>
    <cellStyle name="S0 36" xfId="264"/>
    <cellStyle name="S0 37" xfId="265"/>
    <cellStyle name="S0 38" xfId="266"/>
    <cellStyle name="S0 39" xfId="267"/>
    <cellStyle name="S0 4" xfId="268"/>
    <cellStyle name="S0 40" xfId="269"/>
    <cellStyle name="S0 41" xfId="270"/>
    <cellStyle name="S0 42" xfId="271"/>
    <cellStyle name="S0 43" xfId="272"/>
    <cellStyle name="S0 44" xfId="273"/>
    <cellStyle name="S0 45" xfId="274"/>
    <cellStyle name="S0 46" xfId="275"/>
    <cellStyle name="S0 47" xfId="276"/>
    <cellStyle name="S0 48" xfId="277"/>
    <cellStyle name="S0 49" xfId="278"/>
    <cellStyle name="S0 5" xfId="279"/>
    <cellStyle name="S0 50" xfId="280"/>
    <cellStyle name="S0 51" xfId="281"/>
    <cellStyle name="S0 52" xfId="282"/>
    <cellStyle name="S0 53" xfId="283"/>
    <cellStyle name="S0 54" xfId="284"/>
    <cellStyle name="S0 55" xfId="285"/>
    <cellStyle name="S0 56" xfId="286"/>
    <cellStyle name="S0 57" xfId="287"/>
    <cellStyle name="S0 58" xfId="288"/>
    <cellStyle name="S0 59" xfId="289"/>
    <cellStyle name="S0 6" xfId="290"/>
    <cellStyle name="S0 60" xfId="291"/>
    <cellStyle name="S0 61" xfId="292"/>
    <cellStyle name="S0 62" xfId="293"/>
    <cellStyle name="S0 63" xfId="294"/>
    <cellStyle name="S0 64" xfId="295"/>
    <cellStyle name="S0 65" xfId="296"/>
    <cellStyle name="S0 66" xfId="297"/>
    <cellStyle name="S0 67" xfId="298"/>
    <cellStyle name="S0 68" xfId="299"/>
    <cellStyle name="S0 69" xfId="300"/>
    <cellStyle name="S0 7" xfId="301"/>
    <cellStyle name="S0 70" xfId="302"/>
    <cellStyle name="S0 71" xfId="303"/>
    <cellStyle name="S0 72" xfId="304"/>
    <cellStyle name="S0 73" xfId="305"/>
    <cellStyle name="S0 74" xfId="306"/>
    <cellStyle name="S0 75" xfId="307"/>
    <cellStyle name="S0 76" xfId="308"/>
    <cellStyle name="S0 77" xfId="309"/>
    <cellStyle name="S0 78" xfId="310"/>
    <cellStyle name="S0 79" xfId="311"/>
    <cellStyle name="S0 8" xfId="312"/>
    <cellStyle name="S0 80" xfId="313"/>
    <cellStyle name="S0 81" xfId="314"/>
    <cellStyle name="S0 82" xfId="315"/>
    <cellStyle name="S0 83" xfId="316"/>
    <cellStyle name="S0 84" xfId="317"/>
    <cellStyle name="S0 85" xfId="318"/>
    <cellStyle name="S0 86" xfId="319"/>
    <cellStyle name="S0 87" xfId="320"/>
    <cellStyle name="S0 88" xfId="321"/>
    <cellStyle name="S0 89" xfId="322"/>
    <cellStyle name="S0 9" xfId="323"/>
    <cellStyle name="S0 90" xfId="324"/>
    <cellStyle name="S0 91" xfId="325"/>
    <cellStyle name="S0 92" xfId="326"/>
    <cellStyle name="S0 93" xfId="327"/>
    <cellStyle name="S0 94" xfId="328"/>
    <cellStyle name="S0 95" xfId="329"/>
    <cellStyle name="S0 96" xfId="330"/>
    <cellStyle name="S0 97" xfId="331"/>
    <cellStyle name="S0 98" xfId="332"/>
    <cellStyle name="S0 99" xfId="333"/>
    <cellStyle name="S0_Pembelian" xfId="334"/>
    <cellStyle name="S1" xfId="335"/>
    <cellStyle name="S1 10" xfId="336"/>
    <cellStyle name="S1 100" xfId="337"/>
    <cellStyle name="S1 101" xfId="338"/>
    <cellStyle name="S1 102" xfId="339"/>
    <cellStyle name="S1 103" xfId="340"/>
    <cellStyle name="S1 104" xfId="341"/>
    <cellStyle name="S1 105" xfId="342"/>
    <cellStyle name="S1 106" xfId="343"/>
    <cellStyle name="S1 107" xfId="344"/>
    <cellStyle name="S1 108" xfId="345"/>
    <cellStyle name="S1 109" xfId="346"/>
    <cellStyle name="S1 11" xfId="347"/>
    <cellStyle name="S1 110" xfId="348"/>
    <cellStyle name="S1 111" xfId="349"/>
    <cellStyle name="S1 112" xfId="350"/>
    <cellStyle name="S1 113" xfId="351"/>
    <cellStyle name="S1 114" xfId="352"/>
    <cellStyle name="S1 115" xfId="353"/>
    <cellStyle name="S1 116" xfId="354"/>
    <cellStyle name="S1 117" xfId="355"/>
    <cellStyle name="S1 118" xfId="356"/>
    <cellStyle name="S1 119" xfId="357"/>
    <cellStyle name="S1 12" xfId="358"/>
    <cellStyle name="S1 120" xfId="359"/>
    <cellStyle name="S1 121" xfId="360"/>
    <cellStyle name="S1 122" xfId="361"/>
    <cellStyle name="S1 123" xfId="362"/>
    <cellStyle name="S1 124" xfId="363"/>
    <cellStyle name="S1 125" xfId="364"/>
    <cellStyle name="S1 126" xfId="365"/>
    <cellStyle name="S1 127" xfId="366"/>
    <cellStyle name="S1 128" xfId="367"/>
    <cellStyle name="S1 129" xfId="368"/>
    <cellStyle name="S1 13" xfId="369"/>
    <cellStyle name="S1 130" xfId="370"/>
    <cellStyle name="S1 131" xfId="371"/>
    <cellStyle name="S1 132" xfId="372"/>
    <cellStyle name="S1 133" xfId="373"/>
    <cellStyle name="S1 134" xfId="374"/>
    <cellStyle name="S1 135" xfId="375"/>
    <cellStyle name="S1 136" xfId="376"/>
    <cellStyle name="S1 137" xfId="377"/>
    <cellStyle name="S1 138" xfId="378"/>
    <cellStyle name="S1 139" xfId="379"/>
    <cellStyle name="S1 14" xfId="380"/>
    <cellStyle name="S1 140" xfId="381"/>
    <cellStyle name="S1 141" xfId="382"/>
    <cellStyle name="S1 142" xfId="383"/>
    <cellStyle name="S1 143" xfId="384"/>
    <cellStyle name="S1 144" xfId="385"/>
    <cellStyle name="S1 145" xfId="386"/>
    <cellStyle name="S1 146" xfId="387"/>
    <cellStyle name="S1 147" xfId="388"/>
    <cellStyle name="S1 148" xfId="389"/>
    <cellStyle name="S1 149" xfId="390"/>
    <cellStyle name="S1 15" xfId="391"/>
    <cellStyle name="S1 150" xfId="392"/>
    <cellStyle name="S1 151" xfId="393"/>
    <cellStyle name="S1 152" xfId="394"/>
    <cellStyle name="S1 153" xfId="395"/>
    <cellStyle name="S1 154" xfId="396"/>
    <cellStyle name="S1 155" xfId="397"/>
    <cellStyle name="S1 156" xfId="398"/>
    <cellStyle name="S1 157" xfId="399"/>
    <cellStyle name="S1 158" xfId="400"/>
    <cellStyle name="S1 159" xfId="401"/>
    <cellStyle name="S1 16" xfId="402"/>
    <cellStyle name="S1 160" xfId="403"/>
    <cellStyle name="S1 161" xfId="404"/>
    <cellStyle name="S1 162" xfId="405"/>
    <cellStyle name="S1 163" xfId="406"/>
    <cellStyle name="S1 164" xfId="407"/>
    <cellStyle name="S1 165" xfId="408"/>
    <cellStyle name="S1 166" xfId="409"/>
    <cellStyle name="S1 167" xfId="410"/>
    <cellStyle name="S1 168" xfId="411"/>
    <cellStyle name="S1 169" xfId="412"/>
    <cellStyle name="S1 17" xfId="413"/>
    <cellStyle name="S1 170" xfId="414"/>
    <cellStyle name="S1 171" xfId="415"/>
    <cellStyle name="S1 172" xfId="416"/>
    <cellStyle name="S1 173" xfId="417"/>
    <cellStyle name="S1 174" xfId="418"/>
    <cellStyle name="S1 175" xfId="419"/>
    <cellStyle name="S1 176" xfId="420"/>
    <cellStyle name="S1 177" xfId="421"/>
    <cellStyle name="S1 178" xfId="422"/>
    <cellStyle name="S1 179" xfId="423"/>
    <cellStyle name="S1 18" xfId="424"/>
    <cellStyle name="S1 180" xfId="425"/>
    <cellStyle name="S1 181" xfId="426"/>
    <cellStyle name="S1 182" xfId="427"/>
    <cellStyle name="S1 183" xfId="428"/>
    <cellStyle name="S1 184" xfId="429"/>
    <cellStyle name="S1 185" xfId="430"/>
    <cellStyle name="S1 186" xfId="431"/>
    <cellStyle name="S1 187" xfId="432"/>
    <cellStyle name="S1 188" xfId="433"/>
    <cellStyle name="S1 189" xfId="434"/>
    <cellStyle name="S1 19" xfId="435"/>
    <cellStyle name="S1 190" xfId="436"/>
    <cellStyle name="S1 191" xfId="437"/>
    <cellStyle name="S1 192" xfId="438"/>
    <cellStyle name="S1 193" xfId="439"/>
    <cellStyle name="S1 194" xfId="440"/>
    <cellStyle name="S1 195" xfId="441"/>
    <cellStyle name="S1 196" xfId="442"/>
    <cellStyle name="S1 197" xfId="443"/>
    <cellStyle name="S1 198" xfId="444"/>
    <cellStyle name="S1 199" xfId="445"/>
    <cellStyle name="S1 2" xfId="446"/>
    <cellStyle name="S1 20" xfId="447"/>
    <cellStyle name="S1 200" xfId="448"/>
    <cellStyle name="S1 201" xfId="449"/>
    <cellStyle name="S1 202" xfId="450"/>
    <cellStyle name="S1 203" xfId="451"/>
    <cellStyle name="S1 204" xfId="452"/>
    <cellStyle name="S1 205" xfId="453"/>
    <cellStyle name="S1 206" xfId="454"/>
    <cellStyle name="S1 207" xfId="455"/>
    <cellStyle name="S1 208" xfId="456"/>
    <cellStyle name="S1 209" xfId="457"/>
    <cellStyle name="S1 21" xfId="458"/>
    <cellStyle name="S1 210" xfId="459"/>
    <cellStyle name="S1 211" xfId="460"/>
    <cellStyle name="S1 212" xfId="461"/>
    <cellStyle name="S1 213" xfId="462"/>
    <cellStyle name="S1 214" xfId="463"/>
    <cellStyle name="S1 215" xfId="464"/>
    <cellStyle name="S1 216" xfId="465"/>
    <cellStyle name="S1 217" xfId="466"/>
    <cellStyle name="S1 218" xfId="467"/>
    <cellStyle name="S1 219" xfId="468"/>
    <cellStyle name="S1 22" xfId="469"/>
    <cellStyle name="S1 220" xfId="470"/>
    <cellStyle name="S1 221" xfId="471"/>
    <cellStyle name="S1 222" xfId="472"/>
    <cellStyle name="S1 223" xfId="473"/>
    <cellStyle name="S1 224" xfId="474"/>
    <cellStyle name="S1 225" xfId="475"/>
    <cellStyle name="S1 226" xfId="476"/>
    <cellStyle name="S1 227" xfId="477"/>
    <cellStyle name="S1 228" xfId="478"/>
    <cellStyle name="S1 229" xfId="479"/>
    <cellStyle name="S1 23" xfId="480"/>
    <cellStyle name="S1 230" xfId="481"/>
    <cellStyle name="S1 231" xfId="482"/>
    <cellStyle name="S1 232" xfId="483"/>
    <cellStyle name="S1 233" xfId="484"/>
    <cellStyle name="S1 234" xfId="485"/>
    <cellStyle name="S1 235" xfId="486"/>
    <cellStyle name="S1 236" xfId="487"/>
    <cellStyle name="S1 237" xfId="488"/>
    <cellStyle name="S1 238" xfId="489"/>
    <cellStyle name="S1 239" xfId="490"/>
    <cellStyle name="S1 24" xfId="491"/>
    <cellStyle name="S1 240" xfId="492"/>
    <cellStyle name="S1 241" xfId="493"/>
    <cellStyle name="S1 242" xfId="494"/>
    <cellStyle name="S1 243" xfId="495"/>
    <cellStyle name="S1 244" xfId="496"/>
    <cellStyle name="S1 245" xfId="497"/>
    <cellStyle name="S1 246" xfId="498"/>
    <cellStyle name="S1 247" xfId="499"/>
    <cellStyle name="S1 248" xfId="500"/>
    <cellStyle name="S1 249" xfId="501"/>
    <cellStyle name="S1 25" xfId="502"/>
    <cellStyle name="S1 250" xfId="503"/>
    <cellStyle name="S1 251" xfId="504"/>
    <cellStyle name="S1 252" xfId="505"/>
    <cellStyle name="S1 253" xfId="506"/>
    <cellStyle name="S1 254" xfId="507"/>
    <cellStyle name="S1 255" xfId="508"/>
    <cellStyle name="S1 256" xfId="509"/>
    <cellStyle name="S1 257" xfId="510"/>
    <cellStyle name="S1 258" xfId="511"/>
    <cellStyle name="S1 259" xfId="512"/>
    <cellStyle name="S1 26" xfId="513"/>
    <cellStyle name="S1 260" xfId="514"/>
    <cellStyle name="S1 261" xfId="515"/>
    <cellStyle name="S1 262" xfId="516"/>
    <cellStyle name="S1 263" xfId="517"/>
    <cellStyle name="S1 264" xfId="518"/>
    <cellStyle name="S1 265" xfId="519"/>
    <cellStyle name="S1 265 2" xfId="520"/>
    <cellStyle name="S1 266" xfId="521"/>
    <cellStyle name="S1 267" xfId="522"/>
    <cellStyle name="S1 27" xfId="523"/>
    <cellStyle name="S1 28" xfId="524"/>
    <cellStyle name="S1 29" xfId="525"/>
    <cellStyle name="S1 3" xfId="526"/>
    <cellStyle name="S1 30" xfId="527"/>
    <cellStyle name="S1 31" xfId="528"/>
    <cellStyle name="S1 32" xfId="529"/>
    <cellStyle name="S1 33" xfId="530"/>
    <cellStyle name="S1 34" xfId="531"/>
    <cellStyle name="S1 35" xfId="532"/>
    <cellStyle name="S1 36" xfId="533"/>
    <cellStyle name="S1 37" xfId="534"/>
    <cellStyle name="S1 38" xfId="535"/>
    <cellStyle name="S1 39" xfId="536"/>
    <cellStyle name="S1 4" xfId="537"/>
    <cellStyle name="S1 40" xfId="538"/>
    <cellStyle name="S1 41" xfId="539"/>
    <cellStyle name="S1 42" xfId="540"/>
    <cellStyle name="S1 43" xfId="541"/>
    <cellStyle name="S1 44" xfId="542"/>
    <cellStyle name="S1 45" xfId="543"/>
    <cellStyle name="S1 46" xfId="544"/>
    <cellStyle name="S1 47" xfId="545"/>
    <cellStyle name="S1 48" xfId="546"/>
    <cellStyle name="S1 49" xfId="547"/>
    <cellStyle name="S1 5" xfId="548"/>
    <cellStyle name="S1 50" xfId="549"/>
    <cellStyle name="S1 51" xfId="550"/>
    <cellStyle name="S1 52" xfId="551"/>
    <cellStyle name="S1 53" xfId="552"/>
    <cellStyle name="S1 54" xfId="553"/>
    <cellStyle name="S1 55" xfId="554"/>
    <cellStyle name="S1 56" xfId="555"/>
    <cellStyle name="S1 57" xfId="556"/>
    <cellStyle name="S1 58" xfId="557"/>
    <cellStyle name="S1 59" xfId="558"/>
    <cellStyle name="S1 6" xfId="559"/>
    <cellStyle name="S1 60" xfId="560"/>
    <cellStyle name="S1 61" xfId="561"/>
    <cellStyle name="S1 62" xfId="562"/>
    <cellStyle name="S1 63" xfId="563"/>
    <cellStyle name="S1 64" xfId="564"/>
    <cellStyle name="S1 65" xfId="565"/>
    <cellStyle name="S1 66" xfId="566"/>
    <cellStyle name="S1 67" xfId="567"/>
    <cellStyle name="S1 68" xfId="568"/>
    <cellStyle name="S1 69" xfId="569"/>
    <cellStyle name="S1 7" xfId="570"/>
    <cellStyle name="S1 70" xfId="571"/>
    <cellStyle name="S1 71" xfId="572"/>
    <cellStyle name="S1 72" xfId="573"/>
    <cellStyle name="S1 73" xfId="574"/>
    <cellStyle name="S1 74" xfId="575"/>
    <cellStyle name="S1 75" xfId="576"/>
    <cellStyle name="S1 76" xfId="577"/>
    <cellStyle name="S1 77" xfId="578"/>
    <cellStyle name="S1 78" xfId="579"/>
    <cellStyle name="S1 79" xfId="580"/>
    <cellStyle name="S1 8" xfId="581"/>
    <cellStyle name="S1 80" xfId="582"/>
    <cellStyle name="S1 81" xfId="583"/>
    <cellStyle name="S1 82" xfId="584"/>
    <cellStyle name="S1 83" xfId="585"/>
    <cellStyle name="S1 84" xfId="586"/>
    <cellStyle name="S1 85" xfId="587"/>
    <cellStyle name="S1 86" xfId="588"/>
    <cellStyle name="S1 87" xfId="589"/>
    <cellStyle name="S1 88" xfId="590"/>
    <cellStyle name="S1 89" xfId="591"/>
    <cellStyle name="S1 9" xfId="592"/>
    <cellStyle name="S1 90" xfId="593"/>
    <cellStyle name="S1 91" xfId="594"/>
    <cellStyle name="S1 92" xfId="595"/>
    <cellStyle name="S1 93" xfId="596"/>
    <cellStyle name="S1 94" xfId="597"/>
    <cellStyle name="S1 95" xfId="598"/>
    <cellStyle name="S1 96" xfId="599"/>
    <cellStyle name="S1 97" xfId="600"/>
    <cellStyle name="S1 98" xfId="601"/>
    <cellStyle name="S1 99" xfId="602"/>
    <cellStyle name="S1_Pembelian" xfId="603"/>
    <cellStyle name="S10" xfId="604"/>
    <cellStyle name="S10 10" xfId="605"/>
    <cellStyle name="S10 11" xfId="606"/>
    <cellStyle name="S10 12" xfId="607"/>
    <cellStyle name="S10 13" xfId="608"/>
    <cellStyle name="S10 13 2" xfId="609"/>
    <cellStyle name="S10 14" xfId="610"/>
    <cellStyle name="S10 15" xfId="611"/>
    <cellStyle name="S10 16" xfId="612"/>
    <cellStyle name="S10 17" xfId="613"/>
    <cellStyle name="S10 18" xfId="614"/>
    <cellStyle name="S10 19" xfId="615"/>
    <cellStyle name="S10 2" xfId="616"/>
    <cellStyle name="S10 3" xfId="617"/>
    <cellStyle name="S10 3 2" xfId="618"/>
    <cellStyle name="S10 4" xfId="619"/>
    <cellStyle name="S10 5" xfId="620"/>
    <cellStyle name="S10 6" xfId="621"/>
    <cellStyle name="S10 7" xfId="622"/>
    <cellStyle name="S10 8" xfId="623"/>
    <cellStyle name="S10 9" xfId="624"/>
    <cellStyle name="S10_Pembelian" xfId="625"/>
    <cellStyle name="S11" xfId="626"/>
    <cellStyle name="S11 10" xfId="627"/>
    <cellStyle name="S11 10 2" xfId="628"/>
    <cellStyle name="S11 11" xfId="629"/>
    <cellStyle name="S11 12" xfId="630"/>
    <cellStyle name="S11 13" xfId="631"/>
    <cellStyle name="S11 14" xfId="632"/>
    <cellStyle name="S11 14 2" xfId="633"/>
    <cellStyle name="S11 15" xfId="634"/>
    <cellStyle name="S11 16" xfId="635"/>
    <cellStyle name="S11 2" xfId="636"/>
    <cellStyle name="S11 3" xfId="637"/>
    <cellStyle name="S11 3 2" xfId="638"/>
    <cellStyle name="S11 4" xfId="639"/>
    <cellStyle name="S11 5" xfId="640"/>
    <cellStyle name="S11 6" xfId="641"/>
    <cellStyle name="S11 7" xfId="642"/>
    <cellStyle name="S11 8" xfId="643"/>
    <cellStyle name="S11 9" xfId="644"/>
    <cellStyle name="S11_Pembelian" xfId="645"/>
    <cellStyle name="S12" xfId="646"/>
    <cellStyle name="S12 10" xfId="647"/>
    <cellStyle name="S12 11" xfId="648"/>
    <cellStyle name="S12 2" xfId="649"/>
    <cellStyle name="S12 3" xfId="650"/>
    <cellStyle name="S12 4" xfId="651"/>
    <cellStyle name="S12 5" xfId="652"/>
    <cellStyle name="S12 6" xfId="653"/>
    <cellStyle name="S12 6 2" xfId="654"/>
    <cellStyle name="S12 7" xfId="655"/>
    <cellStyle name="S12 8" xfId="656"/>
    <cellStyle name="S12 9" xfId="657"/>
    <cellStyle name="S12_Pembelian" xfId="658"/>
    <cellStyle name="S13" xfId="659"/>
    <cellStyle name="S13 10" xfId="660"/>
    <cellStyle name="S13 11" xfId="661"/>
    <cellStyle name="S13 12" xfId="662"/>
    <cellStyle name="S13 2" xfId="663"/>
    <cellStyle name="S13 3" xfId="664"/>
    <cellStyle name="S13 4" xfId="665"/>
    <cellStyle name="S13 4 2" xfId="666"/>
    <cellStyle name="S13 5" xfId="667"/>
    <cellStyle name="S13 6" xfId="668"/>
    <cellStyle name="S13 7" xfId="669"/>
    <cellStyle name="S13 7 2" xfId="670"/>
    <cellStyle name="S13 8" xfId="671"/>
    <cellStyle name="S13 9" xfId="672"/>
    <cellStyle name="S13_Pembelian" xfId="673"/>
    <cellStyle name="S14" xfId="674"/>
    <cellStyle name="S14 10" xfId="675"/>
    <cellStyle name="S14 2" xfId="676"/>
    <cellStyle name="S14 3" xfId="677"/>
    <cellStyle name="S14 3 2" xfId="678"/>
    <cellStyle name="S14 4" xfId="679"/>
    <cellStyle name="S14 5" xfId="680"/>
    <cellStyle name="S14 6" xfId="681"/>
    <cellStyle name="S14 7" xfId="682"/>
    <cellStyle name="S14 8" xfId="683"/>
    <cellStyle name="S14 9" xfId="684"/>
    <cellStyle name="S14_Pembelian" xfId="685"/>
    <cellStyle name="S15" xfId="686"/>
    <cellStyle name="S15 2" xfId="687"/>
    <cellStyle name="S15 3" xfId="688"/>
    <cellStyle name="S15 3 2" xfId="689"/>
    <cellStyle name="S15 4" xfId="690"/>
    <cellStyle name="S15 4 2" xfId="691"/>
    <cellStyle name="S15 5" xfId="692"/>
    <cellStyle name="S15 6" xfId="693"/>
    <cellStyle name="S15 7" xfId="694"/>
    <cellStyle name="S15_Pembelian" xfId="695"/>
    <cellStyle name="S16" xfId="696"/>
    <cellStyle name="S16 2" xfId="697"/>
    <cellStyle name="S16 3" xfId="698"/>
    <cellStyle name="S16 4" xfId="699"/>
    <cellStyle name="S16 5" xfId="700"/>
    <cellStyle name="S16 6" xfId="701"/>
    <cellStyle name="S16_Pembelian" xfId="702"/>
    <cellStyle name="S17" xfId="703"/>
    <cellStyle name="S17 2" xfId="704"/>
    <cellStyle name="S17 3" xfId="705"/>
    <cellStyle name="S17 4" xfId="706"/>
    <cellStyle name="S17_Pembelian" xfId="707"/>
    <cellStyle name="S18" xfId="708"/>
    <cellStyle name="S18 2" xfId="709"/>
    <cellStyle name="S18 3" xfId="710"/>
    <cellStyle name="S18 4" xfId="711"/>
    <cellStyle name="S18_Pembelian" xfId="712"/>
    <cellStyle name="S2" xfId="713"/>
    <cellStyle name="S2 10" xfId="714"/>
    <cellStyle name="S2 100" xfId="715"/>
    <cellStyle name="S2 101" xfId="716"/>
    <cellStyle name="S2 102" xfId="717"/>
    <cellStyle name="S2 103" xfId="718"/>
    <cellStyle name="S2 104" xfId="719"/>
    <cellStyle name="S2 105" xfId="720"/>
    <cellStyle name="S2 106" xfId="721"/>
    <cellStyle name="S2 107" xfId="722"/>
    <cellStyle name="S2 108" xfId="723"/>
    <cellStyle name="S2 109" xfId="724"/>
    <cellStyle name="S2 11" xfId="725"/>
    <cellStyle name="S2 110" xfId="726"/>
    <cellStyle name="S2 111" xfId="727"/>
    <cellStyle name="S2 112" xfId="728"/>
    <cellStyle name="S2 113" xfId="729"/>
    <cellStyle name="S2 114" xfId="730"/>
    <cellStyle name="S2 115" xfId="731"/>
    <cellStyle name="S2 116" xfId="732"/>
    <cellStyle name="S2 117" xfId="733"/>
    <cellStyle name="S2 118" xfId="734"/>
    <cellStyle name="S2 119" xfId="735"/>
    <cellStyle name="S2 12" xfId="736"/>
    <cellStyle name="S2 120" xfId="737"/>
    <cellStyle name="S2 121" xfId="738"/>
    <cellStyle name="S2 122" xfId="739"/>
    <cellStyle name="S2 123" xfId="740"/>
    <cellStyle name="S2 124" xfId="741"/>
    <cellStyle name="S2 125" xfId="742"/>
    <cellStyle name="S2 126" xfId="743"/>
    <cellStyle name="S2 127" xfId="744"/>
    <cellStyle name="S2 128" xfId="745"/>
    <cellStyle name="S2 129" xfId="746"/>
    <cellStyle name="S2 13" xfId="747"/>
    <cellStyle name="S2 130" xfId="748"/>
    <cellStyle name="S2 131" xfId="749"/>
    <cellStyle name="S2 132" xfId="750"/>
    <cellStyle name="S2 133" xfId="751"/>
    <cellStyle name="S2 134" xfId="752"/>
    <cellStyle name="S2 135" xfId="753"/>
    <cellStyle name="S2 136" xfId="754"/>
    <cellStyle name="S2 137" xfId="755"/>
    <cellStyle name="S2 138" xfId="756"/>
    <cellStyle name="S2 139" xfId="757"/>
    <cellStyle name="S2 14" xfId="758"/>
    <cellStyle name="S2 140" xfId="759"/>
    <cellStyle name="S2 141" xfId="760"/>
    <cellStyle name="S2 142" xfId="761"/>
    <cellStyle name="S2 143" xfId="762"/>
    <cellStyle name="S2 144" xfId="763"/>
    <cellStyle name="S2 145" xfId="764"/>
    <cellStyle name="S2 146" xfId="765"/>
    <cellStyle name="S2 147" xfId="766"/>
    <cellStyle name="S2 148" xfId="767"/>
    <cellStyle name="S2 149" xfId="768"/>
    <cellStyle name="S2 15" xfId="769"/>
    <cellStyle name="S2 150" xfId="770"/>
    <cellStyle name="S2 151" xfId="771"/>
    <cellStyle name="S2 152" xfId="772"/>
    <cellStyle name="S2 153" xfId="773"/>
    <cellStyle name="S2 154" xfId="774"/>
    <cellStyle name="S2 155" xfId="775"/>
    <cellStyle name="S2 156" xfId="776"/>
    <cellStyle name="S2 157" xfId="777"/>
    <cellStyle name="S2 158" xfId="778"/>
    <cellStyle name="S2 159" xfId="779"/>
    <cellStyle name="S2 16" xfId="780"/>
    <cellStyle name="S2 160" xfId="781"/>
    <cellStyle name="S2 161" xfId="782"/>
    <cellStyle name="S2 162" xfId="783"/>
    <cellStyle name="S2 163" xfId="784"/>
    <cellStyle name="S2 164" xfId="785"/>
    <cellStyle name="S2 165" xfId="786"/>
    <cellStyle name="S2 166" xfId="787"/>
    <cellStyle name="S2 167" xfId="788"/>
    <cellStyle name="S2 168" xfId="789"/>
    <cellStyle name="S2 169" xfId="790"/>
    <cellStyle name="S2 17" xfId="791"/>
    <cellStyle name="S2 170" xfId="792"/>
    <cellStyle name="S2 171" xfId="793"/>
    <cellStyle name="S2 172" xfId="794"/>
    <cellStyle name="S2 173" xfId="795"/>
    <cellStyle name="S2 174" xfId="796"/>
    <cellStyle name="S2 175" xfId="797"/>
    <cellStyle name="S2 176" xfId="798"/>
    <cellStyle name="S2 177" xfId="799"/>
    <cellStyle name="S2 178" xfId="800"/>
    <cellStyle name="S2 179" xfId="801"/>
    <cellStyle name="S2 18" xfId="802"/>
    <cellStyle name="S2 180" xfId="803"/>
    <cellStyle name="S2 181" xfId="804"/>
    <cellStyle name="S2 182" xfId="805"/>
    <cellStyle name="S2 183" xfId="806"/>
    <cellStyle name="S2 184" xfId="807"/>
    <cellStyle name="S2 185" xfId="808"/>
    <cellStyle name="S2 186" xfId="809"/>
    <cellStyle name="S2 187" xfId="810"/>
    <cellStyle name="S2 188" xfId="811"/>
    <cellStyle name="S2 189" xfId="812"/>
    <cellStyle name="S2 19" xfId="813"/>
    <cellStyle name="S2 190" xfId="814"/>
    <cellStyle name="S2 191" xfId="815"/>
    <cellStyle name="S2 192" xfId="816"/>
    <cellStyle name="S2 193" xfId="817"/>
    <cellStyle name="S2 194" xfId="818"/>
    <cellStyle name="S2 195" xfId="819"/>
    <cellStyle name="S2 196" xfId="820"/>
    <cellStyle name="S2 197" xfId="821"/>
    <cellStyle name="S2 198" xfId="822"/>
    <cellStyle name="S2 199" xfId="823"/>
    <cellStyle name="S2 2" xfId="824"/>
    <cellStyle name="S2 20" xfId="825"/>
    <cellStyle name="S2 200" xfId="826"/>
    <cellStyle name="S2 201" xfId="827"/>
    <cellStyle name="S2 202" xfId="828"/>
    <cellStyle name="S2 203" xfId="829"/>
    <cellStyle name="S2 204" xfId="830"/>
    <cellStyle name="S2 205" xfId="831"/>
    <cellStyle name="S2 206" xfId="832"/>
    <cellStyle name="S2 207" xfId="833"/>
    <cellStyle name="S2 208" xfId="834"/>
    <cellStyle name="S2 209" xfId="835"/>
    <cellStyle name="S2 21" xfId="836"/>
    <cellStyle name="S2 210" xfId="837"/>
    <cellStyle name="S2 211" xfId="838"/>
    <cellStyle name="S2 212" xfId="839"/>
    <cellStyle name="S2 213" xfId="840"/>
    <cellStyle name="S2 214" xfId="841"/>
    <cellStyle name="S2 215" xfId="842"/>
    <cellStyle name="S2 216" xfId="843"/>
    <cellStyle name="S2 217" xfId="844"/>
    <cellStyle name="S2 218" xfId="845"/>
    <cellStyle name="S2 219" xfId="846"/>
    <cellStyle name="S2 22" xfId="847"/>
    <cellStyle name="S2 220" xfId="848"/>
    <cellStyle name="S2 221" xfId="849"/>
    <cellStyle name="S2 222" xfId="850"/>
    <cellStyle name="S2 223" xfId="851"/>
    <cellStyle name="S2 224" xfId="852"/>
    <cellStyle name="S2 225" xfId="853"/>
    <cellStyle name="S2 226" xfId="854"/>
    <cellStyle name="S2 227" xfId="855"/>
    <cellStyle name="S2 228" xfId="856"/>
    <cellStyle name="S2 229" xfId="857"/>
    <cellStyle name="S2 23" xfId="858"/>
    <cellStyle name="S2 230" xfId="859"/>
    <cellStyle name="S2 231" xfId="860"/>
    <cellStyle name="S2 232" xfId="861"/>
    <cellStyle name="S2 233" xfId="862"/>
    <cellStyle name="S2 234" xfId="863"/>
    <cellStyle name="S2 235" xfId="864"/>
    <cellStyle name="S2 236" xfId="865"/>
    <cellStyle name="S2 237" xfId="866"/>
    <cellStyle name="S2 238" xfId="867"/>
    <cellStyle name="S2 239" xfId="868"/>
    <cellStyle name="S2 24" xfId="869"/>
    <cellStyle name="S2 240" xfId="870"/>
    <cellStyle name="S2 241" xfId="871"/>
    <cellStyle name="S2 242" xfId="872"/>
    <cellStyle name="S2 243" xfId="873"/>
    <cellStyle name="S2 244" xfId="874"/>
    <cellStyle name="S2 245" xfId="875"/>
    <cellStyle name="S2 246" xfId="876"/>
    <cellStyle name="S2 247" xfId="877"/>
    <cellStyle name="S2 248" xfId="878"/>
    <cellStyle name="S2 249" xfId="879"/>
    <cellStyle name="S2 25" xfId="880"/>
    <cellStyle name="S2 250" xfId="881"/>
    <cellStyle name="S2 251" xfId="882"/>
    <cellStyle name="S2 252" xfId="883"/>
    <cellStyle name="S2 253" xfId="884"/>
    <cellStyle name="S2 254" xfId="885"/>
    <cellStyle name="S2 255" xfId="886"/>
    <cellStyle name="S2 256" xfId="887"/>
    <cellStyle name="S2 257" xfId="888"/>
    <cellStyle name="S2 258" xfId="889"/>
    <cellStyle name="S2 259" xfId="890"/>
    <cellStyle name="S2 26" xfId="891"/>
    <cellStyle name="S2 260" xfId="892"/>
    <cellStyle name="S2 261" xfId="893"/>
    <cellStyle name="S2 262" xfId="894"/>
    <cellStyle name="S2 263" xfId="895"/>
    <cellStyle name="S2 264" xfId="896"/>
    <cellStyle name="S2 265" xfId="897"/>
    <cellStyle name="S2 265 2" xfId="898"/>
    <cellStyle name="S2 266" xfId="899"/>
    <cellStyle name="S2 267" xfId="900"/>
    <cellStyle name="S2 27" xfId="901"/>
    <cellStyle name="S2 28" xfId="902"/>
    <cellStyle name="S2 29" xfId="903"/>
    <cellStyle name="S2 3" xfId="904"/>
    <cellStyle name="S2 30" xfId="905"/>
    <cellStyle name="S2 31" xfId="906"/>
    <cellStyle name="S2 32" xfId="907"/>
    <cellStyle name="S2 33" xfId="908"/>
    <cellStyle name="S2 34" xfId="909"/>
    <cellStyle name="S2 35" xfId="910"/>
    <cellStyle name="S2 36" xfId="911"/>
    <cellStyle name="S2 37" xfId="912"/>
    <cellStyle name="S2 38" xfId="913"/>
    <cellStyle name="S2 39" xfId="914"/>
    <cellStyle name="S2 4" xfId="915"/>
    <cellStyle name="S2 40" xfId="916"/>
    <cellStyle name="S2 41" xfId="917"/>
    <cellStyle name="S2 42" xfId="918"/>
    <cellStyle name="S2 43" xfId="919"/>
    <cellStyle name="S2 44" xfId="920"/>
    <cellStyle name="S2 45" xfId="921"/>
    <cellStyle name="S2 46" xfId="922"/>
    <cellStyle name="S2 47" xfId="923"/>
    <cellStyle name="S2 48" xfId="924"/>
    <cellStyle name="S2 49" xfId="925"/>
    <cellStyle name="S2 5" xfId="926"/>
    <cellStyle name="S2 50" xfId="927"/>
    <cellStyle name="S2 51" xfId="928"/>
    <cellStyle name="S2 52" xfId="929"/>
    <cellStyle name="S2 53" xfId="930"/>
    <cellStyle name="S2 54" xfId="931"/>
    <cellStyle name="S2 55" xfId="932"/>
    <cellStyle name="S2 56" xfId="933"/>
    <cellStyle name="S2 57" xfId="934"/>
    <cellStyle name="S2 58" xfId="935"/>
    <cellStyle name="S2 59" xfId="936"/>
    <cellStyle name="S2 6" xfId="937"/>
    <cellStyle name="S2 60" xfId="938"/>
    <cellStyle name="S2 61" xfId="939"/>
    <cellStyle name="S2 62" xfId="940"/>
    <cellStyle name="S2 63" xfId="941"/>
    <cellStyle name="S2 64" xfId="942"/>
    <cellStyle name="S2 65" xfId="943"/>
    <cellStyle name="S2 66" xfId="944"/>
    <cellStyle name="S2 67" xfId="945"/>
    <cellStyle name="S2 68" xfId="946"/>
    <cellStyle name="S2 69" xfId="947"/>
    <cellStyle name="S2 7" xfId="948"/>
    <cellStyle name="S2 70" xfId="949"/>
    <cellStyle name="S2 71" xfId="950"/>
    <cellStyle name="S2 72" xfId="951"/>
    <cellStyle name="S2 73" xfId="952"/>
    <cellStyle name="S2 74" xfId="953"/>
    <cellStyle name="S2 75" xfId="954"/>
    <cellStyle name="S2 76" xfId="955"/>
    <cellStyle name="S2 77" xfId="956"/>
    <cellStyle name="S2 78" xfId="957"/>
    <cellStyle name="S2 79" xfId="958"/>
    <cellStyle name="S2 8" xfId="959"/>
    <cellStyle name="S2 80" xfId="960"/>
    <cellStyle name="S2 81" xfId="961"/>
    <cellStyle name="S2 82" xfId="962"/>
    <cellStyle name="S2 83" xfId="963"/>
    <cellStyle name="S2 84" xfId="964"/>
    <cellStyle name="S2 85" xfId="965"/>
    <cellStyle name="S2 86" xfId="966"/>
    <cellStyle name="S2 87" xfId="967"/>
    <cellStyle name="S2 88" xfId="968"/>
    <cellStyle name="S2 89" xfId="969"/>
    <cellStyle name="S2 9" xfId="970"/>
    <cellStyle name="S2 90" xfId="971"/>
    <cellStyle name="S2 91" xfId="972"/>
    <cellStyle name="S2 92" xfId="973"/>
    <cellStyle name="S2 93" xfId="974"/>
    <cellStyle name="S2 94" xfId="975"/>
    <cellStyle name="S2 95" xfId="976"/>
    <cellStyle name="S2 96" xfId="977"/>
    <cellStyle name="S2 97" xfId="978"/>
    <cellStyle name="S2 98" xfId="979"/>
    <cellStyle name="S2 99" xfId="980"/>
    <cellStyle name="S2_Pembelian" xfId="981"/>
    <cellStyle name="S3" xfId="982"/>
    <cellStyle name="S3 10" xfId="983"/>
    <cellStyle name="S3 11" xfId="984"/>
    <cellStyle name="S3 2" xfId="985"/>
    <cellStyle name="S3 3" xfId="986"/>
    <cellStyle name="S3 4" xfId="987"/>
    <cellStyle name="S3 5" xfId="988"/>
    <cellStyle name="S3 6" xfId="989"/>
    <cellStyle name="S3 7" xfId="990"/>
    <cellStyle name="S3 8" xfId="991"/>
    <cellStyle name="S3 9" xfId="992"/>
    <cellStyle name="S3 9 2" xfId="993"/>
    <cellStyle name="S3_Pembelian" xfId="994"/>
    <cellStyle name="S4" xfId="995"/>
    <cellStyle name="S4 10" xfId="996"/>
    <cellStyle name="S4 11" xfId="997"/>
    <cellStyle name="S4 12" xfId="998"/>
    <cellStyle name="S4 12 2" xfId="999"/>
    <cellStyle name="S4 13" xfId="1000"/>
    <cellStyle name="S4 14" xfId="1001"/>
    <cellStyle name="S4 14 2" xfId="1002"/>
    <cellStyle name="S4 15" xfId="1003"/>
    <cellStyle name="S4 16" xfId="1004"/>
    <cellStyle name="S4 19" xfId="1005"/>
    <cellStyle name="S4 2" xfId="1006"/>
    <cellStyle name="S4 3" xfId="1007"/>
    <cellStyle name="S4 4" xfId="1008"/>
    <cellStyle name="S4 5" xfId="1009"/>
    <cellStyle name="S4 6" xfId="1010"/>
    <cellStyle name="S4 7" xfId="1011"/>
    <cellStyle name="S4 8" xfId="1012"/>
    <cellStyle name="S4 9" xfId="1013"/>
    <cellStyle name="S4 9 2" xfId="1014"/>
    <cellStyle name="S4_Pembelian" xfId="1015"/>
    <cellStyle name="S5" xfId="1016"/>
    <cellStyle name="S5 10" xfId="1017"/>
    <cellStyle name="S5 10 2" xfId="1018"/>
    <cellStyle name="S5 11" xfId="1019"/>
    <cellStyle name="S5 12" xfId="1020"/>
    <cellStyle name="S5 13" xfId="1021"/>
    <cellStyle name="S5 19" xfId="1022"/>
    <cellStyle name="S5 2" xfId="1023"/>
    <cellStyle name="S5 2 2" xfId="1024"/>
    <cellStyle name="S5 3" xfId="1025"/>
    <cellStyle name="S5 3 2" xfId="1026"/>
    <cellStyle name="S5 4" xfId="1027"/>
    <cellStyle name="S5 5" xfId="1028"/>
    <cellStyle name="S5 6" xfId="1029"/>
    <cellStyle name="S5 7" xfId="1030"/>
    <cellStyle name="S5 8" xfId="1031"/>
    <cellStyle name="S5 9" xfId="1032"/>
    <cellStyle name="S5 9 2" xfId="1033"/>
    <cellStyle name="S5_Pembelian" xfId="1034"/>
    <cellStyle name="S6" xfId="1035"/>
    <cellStyle name="S6 10" xfId="1036"/>
    <cellStyle name="S6 11" xfId="1037"/>
    <cellStyle name="S6 11 2" xfId="1038"/>
    <cellStyle name="S6 12" xfId="1039"/>
    <cellStyle name="S6 13" xfId="1040"/>
    <cellStyle name="S6 13 2" xfId="1041"/>
    <cellStyle name="S6 14" xfId="1042"/>
    <cellStyle name="S6 15" xfId="1043"/>
    <cellStyle name="S6 16" xfId="1044"/>
    <cellStyle name="S6 17" xfId="1045"/>
    <cellStyle name="S6 18" xfId="1046"/>
    <cellStyle name="S6 2" xfId="1047"/>
    <cellStyle name="S6 3" xfId="1048"/>
    <cellStyle name="S6 4" xfId="1049"/>
    <cellStyle name="S6 5" xfId="1050"/>
    <cellStyle name="S6 6" xfId="1051"/>
    <cellStyle name="S6 7" xfId="1052"/>
    <cellStyle name="S6 8" xfId="1053"/>
    <cellStyle name="S6 9" xfId="1054"/>
    <cellStyle name="S6_Pembelian" xfId="1055"/>
    <cellStyle name="S7" xfId="1056"/>
    <cellStyle name="S7 10" xfId="1057"/>
    <cellStyle name="S7 10 2" xfId="1058"/>
    <cellStyle name="S7 11" xfId="1059"/>
    <cellStyle name="S7 12" xfId="1060"/>
    <cellStyle name="S7 12 2" xfId="1061"/>
    <cellStyle name="S7 13" xfId="1062"/>
    <cellStyle name="S7 14" xfId="1063"/>
    <cellStyle name="S7 15" xfId="1064"/>
    <cellStyle name="S7 16" xfId="1065"/>
    <cellStyle name="S7 19" xfId="1066"/>
    <cellStyle name="S7 19 2" xfId="1067"/>
    <cellStyle name="S7 2" xfId="1068"/>
    <cellStyle name="S7 3" xfId="1069"/>
    <cellStyle name="S7 4" xfId="1070"/>
    <cellStyle name="S7 5" xfId="1071"/>
    <cellStyle name="S7 6" xfId="1072"/>
    <cellStyle name="S7 7" xfId="1073"/>
    <cellStyle name="S7 8" xfId="1074"/>
    <cellStyle name="S7 9" xfId="1075"/>
    <cellStyle name="S7_Pembelian" xfId="1076"/>
    <cellStyle name="S8" xfId="1077"/>
    <cellStyle name="S8 10" xfId="1078"/>
    <cellStyle name="S8 11" xfId="1079"/>
    <cellStyle name="S8 12" xfId="1080"/>
    <cellStyle name="S8 13" xfId="1081"/>
    <cellStyle name="S8 14" xfId="1082"/>
    <cellStyle name="S8 2" xfId="1083"/>
    <cellStyle name="S8 3" xfId="1084"/>
    <cellStyle name="S8 4" xfId="1085"/>
    <cellStyle name="S8 5" xfId="1086"/>
    <cellStyle name="S8 5 2" xfId="1087"/>
    <cellStyle name="S8 6" xfId="1088"/>
    <cellStyle name="S8 7" xfId="1089"/>
    <cellStyle name="S8 8" xfId="1090"/>
    <cellStyle name="S8 9" xfId="1091"/>
    <cellStyle name="S8 9 2" xfId="1092"/>
    <cellStyle name="S8_Pembelian" xfId="1093"/>
    <cellStyle name="S9" xfId="1094"/>
    <cellStyle name="S9 10" xfId="1095"/>
    <cellStyle name="S9 11" xfId="1096"/>
    <cellStyle name="S9 11 2" xfId="1097"/>
    <cellStyle name="S9 12" xfId="1098"/>
    <cellStyle name="S9 13" xfId="1099"/>
    <cellStyle name="S9 14" xfId="1100"/>
    <cellStyle name="S9 15" xfId="1101"/>
    <cellStyle name="S9 16" xfId="1102"/>
    <cellStyle name="S9 17" xfId="1103"/>
    <cellStyle name="S9 2" xfId="1104"/>
    <cellStyle name="S9 3" xfId="1105"/>
    <cellStyle name="S9 4" xfId="1106"/>
    <cellStyle name="S9 5" xfId="1107"/>
    <cellStyle name="S9 6" xfId="1108"/>
    <cellStyle name="S9 7" xfId="1109"/>
    <cellStyle name="S9 8" xfId="1110"/>
    <cellStyle name="S9 9" xfId="1111"/>
    <cellStyle name="S9_Pembelian" xfId="1112"/>
  </cellStyles>
  <dxfs count="712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SpPr/>
      </xdr:nvSpPr>
      <xdr:spPr>
        <a:xfrm>
          <a:off x="80437" y="808143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7</xdr:row>
      <xdr:rowOff>28575</xdr:rowOff>
    </xdr:from>
    <xdr:to>
      <xdr:col>0</xdr:col>
      <xdr:colOff>337609</xdr:colOff>
      <xdr:row>8</xdr:row>
      <xdr:rowOff>123825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/>
      </xdr:nvSpPr>
      <xdr:spPr>
        <a:xfrm>
          <a:off x="180975" y="65627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firah/Simulasi%20OD/3.%20Simulasi%20OD%20Akhir%20Bulan%20by%20I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firah/Simulasi%20OD/5.%20Simulasi%20OD%20Akhir%20Bulan%20by%20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Bimo Rukun Tani, UD</v>
          </cell>
          <cell r="I13">
            <v>3080000</v>
          </cell>
          <cell r="L13">
            <v>0</v>
          </cell>
          <cell r="M13">
            <v>2488200</v>
          </cell>
        </row>
        <row r="14">
          <cell r="E14" t="str">
            <v>Setia Jaya, UD/Saiful</v>
          </cell>
          <cell r="I14">
            <v>13200000</v>
          </cell>
          <cell r="L14">
            <v>0</v>
          </cell>
          <cell r="M14">
            <v>26160000</v>
          </cell>
        </row>
        <row r="15">
          <cell r="E15" t="str">
            <v>Setia Jaya, UD/Saiful</v>
          </cell>
          <cell r="I15">
            <v>7400000</v>
          </cell>
          <cell r="L15">
            <v>0</v>
          </cell>
          <cell r="M15">
            <v>1540000</v>
          </cell>
        </row>
        <row r="16">
          <cell r="E16" t="str">
            <v>Bimo Rukun Tani II</v>
          </cell>
          <cell r="I16">
            <v>18000000</v>
          </cell>
          <cell r="L16">
            <v>0</v>
          </cell>
          <cell r="M16">
            <v>1175000</v>
          </cell>
        </row>
        <row r="17">
          <cell r="E17" t="str">
            <v>Bimo Rukun Tani II</v>
          </cell>
          <cell r="I17">
            <v>3925000</v>
          </cell>
          <cell r="L17">
            <v>0</v>
          </cell>
          <cell r="M17">
            <v>14016800</v>
          </cell>
        </row>
        <row r="18">
          <cell r="E18" t="str">
            <v>Bimo Rukun Tani II</v>
          </cell>
          <cell r="I18">
            <v>4050000</v>
          </cell>
          <cell r="L18">
            <v>0</v>
          </cell>
          <cell r="M18">
            <v>244050000</v>
          </cell>
        </row>
        <row r="19">
          <cell r="E19" t="str">
            <v>Bimo Rukun Tani II</v>
          </cell>
          <cell r="I19">
            <v>2735000</v>
          </cell>
          <cell r="L19">
            <v>0</v>
          </cell>
          <cell r="M19">
            <v>3408000</v>
          </cell>
        </row>
        <row r="20">
          <cell r="E20" t="str">
            <v>Bimo Rukun Tani II</v>
          </cell>
          <cell r="I20">
            <v>5300000</v>
          </cell>
          <cell r="L20">
            <v>0</v>
          </cell>
          <cell r="M20">
            <v>5100000</v>
          </cell>
        </row>
        <row r="21">
          <cell r="E21" t="str">
            <v>Bimo Rukun Tani II</v>
          </cell>
          <cell r="I21">
            <v>19425000</v>
          </cell>
          <cell r="L21">
            <v>0</v>
          </cell>
          <cell r="M21">
            <v>25232500</v>
          </cell>
        </row>
        <row r="22">
          <cell r="E22" t="str">
            <v>Bimo Rukun Tani II</v>
          </cell>
          <cell r="I22">
            <v>5775000</v>
          </cell>
          <cell r="L22">
            <v>0</v>
          </cell>
          <cell r="M22">
            <v>7800000</v>
          </cell>
        </row>
        <row r="23">
          <cell r="E23" t="str">
            <v>Bimo Rukun Tani II</v>
          </cell>
          <cell r="I23">
            <v>12361000</v>
          </cell>
          <cell r="L23">
            <v>0</v>
          </cell>
          <cell r="M23">
            <v>19800000</v>
          </cell>
        </row>
        <row r="24">
          <cell r="E24" t="str">
            <v>Bimo Rukun Tani II</v>
          </cell>
          <cell r="I24">
            <v>12240000</v>
          </cell>
          <cell r="L24">
            <v>0</v>
          </cell>
          <cell r="M24">
            <v>3460000</v>
          </cell>
        </row>
        <row r="25">
          <cell r="E25" t="str">
            <v>Bimo Rukun Tani II</v>
          </cell>
          <cell r="I25">
            <v>2488200</v>
          </cell>
          <cell r="L25">
            <v>0</v>
          </cell>
          <cell r="M25">
            <v>17820000</v>
          </cell>
        </row>
        <row r="26">
          <cell r="E26" t="str">
            <v>Bimo Rukun Tani II</v>
          </cell>
          <cell r="I26">
            <v>26160000</v>
          </cell>
          <cell r="L26">
            <v>0</v>
          </cell>
          <cell r="M26">
            <v>19524000</v>
          </cell>
        </row>
        <row r="27">
          <cell r="E27" t="str">
            <v>Bimo Rukun Tani, UD</v>
          </cell>
          <cell r="I27">
            <v>40000000</v>
          </cell>
          <cell r="L27">
            <v>0</v>
          </cell>
          <cell r="M27">
            <v>1890000</v>
          </cell>
        </row>
        <row r="28">
          <cell r="E28" t="str">
            <v>Bimo Rukun Tani, UD</v>
          </cell>
          <cell r="I28">
            <v>39560000</v>
          </cell>
          <cell r="L28">
            <v>0</v>
          </cell>
          <cell r="M28">
            <v>18480000</v>
          </cell>
        </row>
        <row r="29">
          <cell r="E29" t="str">
            <v>Bimo Rukun Tani, UD</v>
          </cell>
          <cell r="I29">
            <v>2400000</v>
          </cell>
          <cell r="L29">
            <v>0</v>
          </cell>
        </row>
        <row r="30">
          <cell r="E30" t="str">
            <v>Bimo Rukun Tani, UD</v>
          </cell>
          <cell r="I30">
            <v>1260000</v>
          </cell>
          <cell r="L30">
            <v>0</v>
          </cell>
          <cell r="M30">
            <v>22210000</v>
          </cell>
        </row>
        <row r="31">
          <cell r="E31" t="str">
            <v>Bimo Rukun Tani, UD</v>
          </cell>
          <cell r="I31">
            <v>7350000</v>
          </cell>
          <cell r="L31">
            <v>0</v>
          </cell>
          <cell r="M31">
            <v>8250000</v>
          </cell>
        </row>
        <row r="32">
          <cell r="E32" t="str">
            <v>Dwi Putra, UD</v>
          </cell>
          <cell r="I32">
            <v>3500000</v>
          </cell>
          <cell r="L32">
            <v>0</v>
          </cell>
          <cell r="M32">
            <v>9500000</v>
          </cell>
        </row>
        <row r="33">
          <cell r="E33" t="str">
            <v>Dwi Putra, UD</v>
          </cell>
          <cell r="I33">
            <v>3360000</v>
          </cell>
          <cell r="L33">
            <v>0</v>
          </cell>
          <cell r="M33">
            <v>4500000</v>
          </cell>
        </row>
        <row r="34">
          <cell r="E34" t="str">
            <v>Dwi Putra, UD</v>
          </cell>
          <cell r="I34">
            <v>2808000</v>
          </cell>
          <cell r="L34">
            <v>0</v>
          </cell>
          <cell r="M34">
            <v>21500000</v>
          </cell>
        </row>
        <row r="35">
          <cell r="E35" t="str">
            <v>Dwi Putra, UD</v>
          </cell>
          <cell r="I35">
            <v>18000000</v>
          </cell>
          <cell r="L35">
            <v>0</v>
          </cell>
          <cell r="M35">
            <v>1950000</v>
          </cell>
        </row>
        <row r="36">
          <cell r="E36" t="str">
            <v>Karisma Tani/Roeslan</v>
          </cell>
          <cell r="I36">
            <v>5810000</v>
          </cell>
          <cell r="L36">
            <v>0</v>
          </cell>
          <cell r="M36">
            <v>1920000</v>
          </cell>
        </row>
        <row r="37">
          <cell r="E37" t="str">
            <v>Karisma Tani/Roeslan</v>
          </cell>
          <cell r="I37">
            <v>1540000</v>
          </cell>
          <cell r="L37">
            <v>0</v>
          </cell>
          <cell r="M37">
            <v>14040000</v>
          </cell>
        </row>
        <row r="38">
          <cell r="E38" t="str">
            <v>Karisma Tani/Roeslan</v>
          </cell>
          <cell r="I38">
            <v>1175000</v>
          </cell>
          <cell r="L38">
            <v>0</v>
          </cell>
          <cell r="M38">
            <v>38580000</v>
          </cell>
        </row>
        <row r="39">
          <cell r="E39" t="str">
            <v>Kumpul Tani/Hendro</v>
          </cell>
          <cell r="I39">
            <v>5400000</v>
          </cell>
          <cell r="L39">
            <v>0</v>
          </cell>
          <cell r="M39">
            <v>1540000</v>
          </cell>
        </row>
        <row r="40">
          <cell r="E40" t="str">
            <v>Kumpul Tani/Hendro</v>
          </cell>
          <cell r="I40">
            <v>13120000</v>
          </cell>
          <cell r="L40">
            <v>0</v>
          </cell>
          <cell r="M40">
            <v>23280000</v>
          </cell>
        </row>
        <row r="41">
          <cell r="E41" t="str">
            <v>Maha Karya Sentosa, Toko</v>
          </cell>
          <cell r="I41">
            <v>19236800</v>
          </cell>
          <cell r="L41">
            <v>0</v>
          </cell>
          <cell r="M41">
            <v>14690000</v>
          </cell>
        </row>
        <row r="42">
          <cell r="E42" t="str">
            <v>Maha Karya Sentosa, Toko</v>
          </cell>
          <cell r="I42">
            <v>15750000</v>
          </cell>
          <cell r="L42">
            <v>0</v>
          </cell>
          <cell r="M42">
            <v>46312500</v>
          </cell>
        </row>
        <row r="43">
          <cell r="E43" t="str">
            <v>Maha Karya Sentosa, Toko</v>
          </cell>
          <cell r="I43">
            <v>10320000</v>
          </cell>
          <cell r="L43">
            <v>0</v>
          </cell>
          <cell r="M43">
            <v>14605000</v>
          </cell>
        </row>
        <row r="44">
          <cell r="E44" t="str">
            <v>Maha Karya Sentosa, Toko</v>
          </cell>
          <cell r="I44">
            <v>3150000</v>
          </cell>
          <cell r="L44">
            <v>0</v>
          </cell>
          <cell r="M44">
            <v>16600000</v>
          </cell>
        </row>
        <row r="45">
          <cell r="E45" t="str">
            <v>Maha Karya Sentosa, Toko</v>
          </cell>
          <cell r="I45">
            <v>28560000</v>
          </cell>
          <cell r="L45">
            <v>0</v>
          </cell>
          <cell r="M45">
            <v>2460000</v>
          </cell>
        </row>
        <row r="46">
          <cell r="E46" t="str">
            <v>Mapan Agro Sentosa, UD</v>
          </cell>
          <cell r="I46">
            <v>15966000</v>
          </cell>
          <cell r="L46">
            <v>0</v>
          </cell>
          <cell r="M46">
            <v>6035000</v>
          </cell>
        </row>
        <row r="47">
          <cell r="E47" t="str">
            <v>Mekar Tani/Tunti</v>
          </cell>
          <cell r="I47">
            <v>2799000</v>
          </cell>
          <cell r="L47">
            <v>0</v>
          </cell>
          <cell r="M47">
            <v>1950000</v>
          </cell>
        </row>
        <row r="48">
          <cell r="E48" t="str">
            <v>Mekar Tani/Tunti</v>
          </cell>
          <cell r="I48">
            <v>4400000</v>
          </cell>
          <cell r="L48">
            <v>0</v>
          </cell>
          <cell r="M48">
            <v>1660000</v>
          </cell>
        </row>
        <row r="49">
          <cell r="E49" t="str">
            <v>Mitra Tani/Hariyanto</v>
          </cell>
          <cell r="I49">
            <v>47250000</v>
          </cell>
          <cell r="L49">
            <v>0</v>
          </cell>
          <cell r="M49">
            <v>1280000</v>
          </cell>
        </row>
        <row r="50">
          <cell r="E50" t="str">
            <v>Mujahidin Delapan, UD</v>
          </cell>
          <cell r="I50">
            <v>18400000</v>
          </cell>
          <cell r="L50">
            <v>0</v>
          </cell>
        </row>
        <row r="51">
          <cell r="E51" t="str">
            <v>Mujahidin Delapan, UD</v>
          </cell>
          <cell r="I51">
            <v>5312500</v>
          </cell>
          <cell r="L51">
            <v>0</v>
          </cell>
        </row>
        <row r="52">
          <cell r="E52" t="str">
            <v>Mujahidin Delapan, UD</v>
          </cell>
          <cell r="I52">
            <v>10125000</v>
          </cell>
          <cell r="L52">
            <v>0</v>
          </cell>
          <cell r="M52">
            <v>2300000</v>
          </cell>
        </row>
        <row r="53">
          <cell r="E53" t="str">
            <v>Mujahidin Delapan, UD</v>
          </cell>
          <cell r="I53">
            <v>1575000</v>
          </cell>
          <cell r="L53">
            <v>0</v>
          </cell>
          <cell r="M53">
            <v>3340000</v>
          </cell>
        </row>
        <row r="54">
          <cell r="E54" t="str">
            <v>Mujahidin Delapan, UD</v>
          </cell>
          <cell r="I54">
            <v>3024000</v>
          </cell>
          <cell r="L54">
            <v>0</v>
          </cell>
          <cell r="M54">
            <v>13000000</v>
          </cell>
        </row>
        <row r="55">
          <cell r="E55" t="str">
            <v>Mulyo Tani/Danang</v>
          </cell>
          <cell r="I55">
            <v>244050000</v>
          </cell>
          <cell r="L55">
            <v>0</v>
          </cell>
          <cell r="M55">
            <v>6210000</v>
          </cell>
        </row>
        <row r="56">
          <cell r="E56" t="str">
            <v>Mulyo Tani/Danang</v>
          </cell>
          <cell r="I56">
            <v>228000000</v>
          </cell>
          <cell r="L56">
            <v>0</v>
          </cell>
          <cell r="M56">
            <v>5160000</v>
          </cell>
        </row>
        <row r="57">
          <cell r="E57" t="str">
            <v>Mutiara Tani, UD/Abdur Rahman</v>
          </cell>
          <cell r="I57">
            <v>4850000</v>
          </cell>
          <cell r="L57">
            <v>0</v>
          </cell>
          <cell r="M57">
            <v>34975000</v>
          </cell>
        </row>
        <row r="58">
          <cell r="E58" t="str">
            <v>Mutiara Tani, UD/Abdur Rahman</v>
          </cell>
          <cell r="I58">
            <v>16016000</v>
          </cell>
          <cell r="L58">
            <v>0</v>
          </cell>
          <cell r="M58">
            <v>1200000</v>
          </cell>
        </row>
        <row r="59">
          <cell r="E59" t="str">
            <v>Mutiara Tani, UD/Abdur Rahman</v>
          </cell>
          <cell r="I59">
            <v>6300000</v>
          </cell>
          <cell r="L59">
            <v>0</v>
          </cell>
          <cell r="M59">
            <v>2250000</v>
          </cell>
        </row>
        <row r="60">
          <cell r="E60" t="str">
            <v>Mutiara Tani, UD/Abdur Rahman</v>
          </cell>
          <cell r="I60">
            <v>1800000</v>
          </cell>
          <cell r="L60">
            <v>0</v>
          </cell>
          <cell r="M60">
            <v>16070000</v>
          </cell>
        </row>
        <row r="61">
          <cell r="E61" t="str">
            <v>Mutiara Tani, UD/Abdur Rahman</v>
          </cell>
          <cell r="I61">
            <v>3140000</v>
          </cell>
          <cell r="L61">
            <v>0</v>
          </cell>
          <cell r="M61">
            <v>1000000</v>
          </cell>
        </row>
        <row r="62">
          <cell r="E62" t="str">
            <v>Prima Tani/Candra Sanjaya</v>
          </cell>
          <cell r="I62">
            <v>100000000</v>
          </cell>
          <cell r="L62">
            <v>0</v>
          </cell>
          <cell r="M62">
            <v>11950000</v>
          </cell>
        </row>
        <row r="63">
          <cell r="E63" t="str">
            <v>Pusaka Tani Jaya/Supri</v>
          </cell>
          <cell r="I63">
            <v>7322000</v>
          </cell>
          <cell r="L63">
            <v>0</v>
          </cell>
          <cell r="M63">
            <v>15950000</v>
          </cell>
        </row>
        <row r="64">
          <cell r="E64" t="str">
            <v>Rimba Kelapa/Ribut Aminah</v>
          </cell>
          <cell r="I64">
            <v>22762000</v>
          </cell>
          <cell r="L64">
            <v>0</v>
          </cell>
          <cell r="M64">
            <v>2700000</v>
          </cell>
        </row>
        <row r="65">
          <cell r="E65" t="str">
            <v>Rimba Kelapa/Ribut Aminah</v>
          </cell>
          <cell r="I65">
            <v>16450000</v>
          </cell>
          <cell r="L65">
            <v>0</v>
          </cell>
          <cell r="M65">
            <v>4500000</v>
          </cell>
        </row>
        <row r="66">
          <cell r="E66" t="str">
            <v>Rimba Kelapa/Ribut Aminah</v>
          </cell>
          <cell r="I66">
            <v>14196000</v>
          </cell>
          <cell r="L66">
            <v>0</v>
          </cell>
          <cell r="M66">
            <v>7567500</v>
          </cell>
        </row>
        <row r="67">
          <cell r="E67" t="str">
            <v>Rimba Kelapa/Ribut Aminah</v>
          </cell>
          <cell r="I67">
            <v>5100000</v>
          </cell>
          <cell r="L67">
            <v>0</v>
          </cell>
          <cell r="M67">
            <v>7500000</v>
          </cell>
        </row>
        <row r="68">
          <cell r="E68" t="str">
            <v>Rimba Kelapa/Ribut Aminah</v>
          </cell>
          <cell r="I68">
            <v>25232500</v>
          </cell>
          <cell r="L68">
            <v>0</v>
          </cell>
          <cell r="M68">
            <v>4800000</v>
          </cell>
        </row>
        <row r="69">
          <cell r="E69" t="str">
            <v>Rimba Kelapa/Ribut Aminah</v>
          </cell>
          <cell r="I69">
            <v>7800000</v>
          </cell>
          <cell r="L69">
            <v>0</v>
          </cell>
          <cell r="M69">
            <v>18525000</v>
          </cell>
        </row>
        <row r="70">
          <cell r="E70" t="str">
            <v>Rizki Santoso, UD</v>
          </cell>
          <cell r="I70">
            <v>4402500</v>
          </cell>
          <cell r="L70">
            <v>0</v>
          </cell>
          <cell r="M70">
            <v>5000000</v>
          </cell>
        </row>
        <row r="71">
          <cell r="E71" t="str">
            <v>Rizki Santoso, UD</v>
          </cell>
          <cell r="I71">
            <v>5276500</v>
          </cell>
          <cell r="L71">
            <v>0</v>
          </cell>
          <cell r="M71">
            <v>11500000</v>
          </cell>
        </row>
        <row r="72">
          <cell r="E72" t="str">
            <v>Rizki Santoso, UD</v>
          </cell>
          <cell r="I72">
            <v>3900000</v>
          </cell>
          <cell r="L72">
            <v>0</v>
          </cell>
          <cell r="M72">
            <v>7440000</v>
          </cell>
        </row>
        <row r="73">
          <cell r="E73" t="str">
            <v>Setia Jaya, UD/Saiful</v>
          </cell>
          <cell r="I73">
            <v>76380000</v>
          </cell>
          <cell r="L73">
            <v>0</v>
          </cell>
          <cell r="M73">
            <v>57750000</v>
          </cell>
        </row>
        <row r="74">
          <cell r="E74" t="str">
            <v>Setia Jaya, UD/Saiful</v>
          </cell>
          <cell r="I74">
            <v>252400000</v>
          </cell>
          <cell r="L74">
            <v>0</v>
          </cell>
          <cell r="M74">
            <v>3045000</v>
          </cell>
        </row>
        <row r="75">
          <cell r="E75" t="str">
            <v>Setia Jaya, UD/Saiful</v>
          </cell>
          <cell r="I75">
            <v>17210000</v>
          </cell>
          <cell r="L75">
            <v>0</v>
          </cell>
          <cell r="M75">
            <v>16800000</v>
          </cell>
        </row>
        <row r="76">
          <cell r="E76" t="str">
            <v>Setia Jaya, UD/Saiful</v>
          </cell>
          <cell r="I76">
            <v>29385000</v>
          </cell>
          <cell r="L76">
            <v>0</v>
          </cell>
          <cell r="M76">
            <v>20080000</v>
          </cell>
        </row>
        <row r="77">
          <cell r="E77" t="str">
            <v>Setia Jaya, UD/Saiful</v>
          </cell>
          <cell r="I77">
            <v>5200000</v>
          </cell>
          <cell r="L77">
            <v>0</v>
          </cell>
          <cell r="M77">
            <v>1900000</v>
          </cell>
        </row>
        <row r="78">
          <cell r="E78" t="str">
            <v>Setia Jaya, UD/Saiful</v>
          </cell>
          <cell r="I78">
            <v>8650000</v>
          </cell>
          <cell r="L78">
            <v>0</v>
          </cell>
          <cell r="M78">
            <v>20500000</v>
          </cell>
        </row>
        <row r="79">
          <cell r="E79" t="str">
            <v>Setia Jaya, UD/Saiful</v>
          </cell>
          <cell r="I79">
            <v>13700000</v>
          </cell>
          <cell r="L79">
            <v>0</v>
          </cell>
          <cell r="M79">
            <v>1320000</v>
          </cell>
        </row>
        <row r="80">
          <cell r="E80" t="str">
            <v>Sinare Tani, UD</v>
          </cell>
          <cell r="I80">
            <v>1462500</v>
          </cell>
          <cell r="L80">
            <v>0</v>
          </cell>
          <cell r="M80">
            <v>9750000</v>
          </cell>
        </row>
        <row r="81">
          <cell r="E81" t="str">
            <v>Sumber Rejeki, Toko/Srikanah</v>
          </cell>
          <cell r="I81">
            <v>12000000</v>
          </cell>
          <cell r="L81">
            <v>0</v>
          </cell>
          <cell r="M81">
            <v>11500000</v>
          </cell>
        </row>
        <row r="82">
          <cell r="E82" t="str">
            <v>Sumber Rejeki/Tono</v>
          </cell>
          <cell r="I82">
            <v>17090000</v>
          </cell>
          <cell r="L82">
            <v>0</v>
          </cell>
          <cell r="M82">
            <v>3720000</v>
          </cell>
        </row>
        <row r="83">
          <cell r="E83" t="str">
            <v>Sumber Rejeki/Tono</v>
          </cell>
          <cell r="I83">
            <v>31050000</v>
          </cell>
          <cell r="L83">
            <v>0</v>
          </cell>
          <cell r="M83">
            <v>5040000</v>
          </cell>
        </row>
        <row r="84">
          <cell r="E84" t="str">
            <v>Sumber Rejeki/Tono</v>
          </cell>
          <cell r="I84">
            <v>19800000</v>
          </cell>
          <cell r="L84">
            <v>0</v>
          </cell>
        </row>
        <row r="85">
          <cell r="E85" t="str">
            <v>Sumber Rejeki/Tono</v>
          </cell>
          <cell r="I85">
            <v>3460000</v>
          </cell>
          <cell r="L85">
            <v>0</v>
          </cell>
          <cell r="M85">
            <v>117500000</v>
          </cell>
        </row>
        <row r="86">
          <cell r="E86" t="str">
            <v>Sumber Rejeki/Tono</v>
          </cell>
          <cell r="I86">
            <v>17820000</v>
          </cell>
          <cell r="L86">
            <v>0</v>
          </cell>
          <cell r="M86">
            <v>102300000</v>
          </cell>
        </row>
        <row r="87">
          <cell r="E87" t="str">
            <v>Sumber Rejeki/Tono</v>
          </cell>
          <cell r="I87">
            <v>1800000</v>
          </cell>
          <cell r="L87">
            <v>0</v>
          </cell>
          <cell r="M87">
            <v>33750000</v>
          </cell>
        </row>
        <row r="88">
          <cell r="E88" t="str">
            <v>Sumber Rejeki/Tono</v>
          </cell>
          <cell r="I88">
            <v>19524000</v>
          </cell>
          <cell r="L88">
            <v>0</v>
          </cell>
          <cell r="M88">
            <v>11000000</v>
          </cell>
        </row>
        <row r="89">
          <cell r="E89" t="str">
            <v>Sumber Rejeki/Tono</v>
          </cell>
          <cell r="I89">
            <v>1890000</v>
          </cell>
          <cell r="L89">
            <v>0</v>
          </cell>
          <cell r="M89">
            <v>8640000</v>
          </cell>
        </row>
        <row r="90">
          <cell r="E90" t="str">
            <v>Sumber Rejeki/Tono</v>
          </cell>
          <cell r="I90">
            <v>18480000</v>
          </cell>
          <cell r="L90">
            <v>0</v>
          </cell>
          <cell r="M90">
            <v>1700000</v>
          </cell>
        </row>
        <row r="91">
          <cell r="E91" t="str">
            <v>Agro Tani, UD</v>
          </cell>
          <cell r="I91">
            <v>5300000</v>
          </cell>
          <cell r="L91">
            <v>0</v>
          </cell>
          <cell r="M91">
            <v>22115000</v>
          </cell>
        </row>
        <row r="92">
          <cell r="E92" t="str">
            <v>Agro Tani, UD</v>
          </cell>
          <cell r="I92">
            <v>3840000</v>
          </cell>
          <cell r="L92">
            <v>0</v>
          </cell>
          <cell r="M92">
            <v>15310000</v>
          </cell>
        </row>
        <row r="93">
          <cell r="E93" t="str">
            <v>Agro Tani, UD</v>
          </cell>
          <cell r="I93">
            <v>2800000</v>
          </cell>
          <cell r="L93">
            <v>0</v>
          </cell>
          <cell r="M93">
            <v>8460000</v>
          </cell>
        </row>
        <row r="94">
          <cell r="E94" t="str">
            <v>Agro Tani, UD</v>
          </cell>
          <cell r="I94">
            <v>1660000</v>
          </cell>
          <cell r="L94">
            <v>0</v>
          </cell>
          <cell r="M94">
            <v>10920000</v>
          </cell>
        </row>
        <row r="95">
          <cell r="E95" t="str">
            <v>Agro Tiara Jaya</v>
          </cell>
          <cell r="I95">
            <v>111700000</v>
          </cell>
          <cell r="L95">
            <v>0</v>
          </cell>
          <cell r="M95">
            <v>7800000</v>
          </cell>
        </row>
        <row r="96">
          <cell r="E96" t="str">
            <v>Alvin Tani/Toha</v>
          </cell>
          <cell r="I96">
            <v>18337500</v>
          </cell>
          <cell r="L96">
            <v>0</v>
          </cell>
          <cell r="M96">
            <v>13420000</v>
          </cell>
        </row>
        <row r="97">
          <cell r="E97" t="str">
            <v>Alvin Tani/Toha</v>
          </cell>
          <cell r="I97">
            <v>22210000</v>
          </cell>
          <cell r="L97">
            <v>0</v>
          </cell>
          <cell r="M97">
            <v>24620000</v>
          </cell>
        </row>
        <row r="98">
          <cell r="E98" t="str">
            <v>Alvin Tani/Toha</v>
          </cell>
          <cell r="I98">
            <v>8250000</v>
          </cell>
          <cell r="L98">
            <v>0</v>
          </cell>
          <cell r="M98">
            <v>26655000</v>
          </cell>
        </row>
        <row r="99">
          <cell r="E99" t="str">
            <v>Angka Jaya</v>
          </cell>
          <cell r="I99">
            <v>303310000</v>
          </cell>
          <cell r="L99">
            <v>0</v>
          </cell>
          <cell r="M99">
            <v>17825000</v>
          </cell>
        </row>
        <row r="100">
          <cell r="E100" t="str">
            <v>Angka Jaya</v>
          </cell>
          <cell r="I100">
            <v>123600000</v>
          </cell>
          <cell r="L100">
            <v>0</v>
          </cell>
          <cell r="M100">
            <v>54000000</v>
          </cell>
        </row>
        <row r="101">
          <cell r="E101" t="str">
            <v>Baru Rejo/Haris</v>
          </cell>
          <cell r="I101">
            <v>9500000</v>
          </cell>
          <cell r="L101">
            <v>0</v>
          </cell>
          <cell r="M101">
            <v>16700000</v>
          </cell>
        </row>
        <row r="102">
          <cell r="E102" t="str">
            <v>Berkat Jaya II/Dony</v>
          </cell>
          <cell r="I102">
            <v>2000000</v>
          </cell>
          <cell r="L102">
            <v>0</v>
          </cell>
          <cell r="M102">
            <v>7800000</v>
          </cell>
        </row>
        <row r="103">
          <cell r="E103" t="str">
            <v>Bimo Rukun Tani II</v>
          </cell>
          <cell r="I103">
            <v>4500000</v>
          </cell>
          <cell r="L103">
            <v>0</v>
          </cell>
          <cell r="M103">
            <v>750000</v>
          </cell>
        </row>
        <row r="104">
          <cell r="E104" t="str">
            <v>Bimo Rukun Tani II</v>
          </cell>
          <cell r="I104">
            <v>21500000</v>
          </cell>
          <cell r="L104">
            <v>0</v>
          </cell>
          <cell r="M104">
            <v>9900000</v>
          </cell>
        </row>
        <row r="105">
          <cell r="E105" t="str">
            <v>Bimo Rukun Tani II</v>
          </cell>
          <cell r="I105">
            <v>1950000</v>
          </cell>
          <cell r="L105">
            <v>0</v>
          </cell>
          <cell r="M105">
            <v>1740000</v>
          </cell>
        </row>
        <row r="106">
          <cell r="E106" t="str">
            <v>Bimo Rukun Tani II</v>
          </cell>
          <cell r="I106">
            <v>1920000</v>
          </cell>
          <cell r="L106">
            <v>0</v>
          </cell>
          <cell r="M106">
            <v>15450000</v>
          </cell>
        </row>
        <row r="107">
          <cell r="E107" t="str">
            <v>Bimo Rukun Tani II</v>
          </cell>
          <cell r="I107">
            <v>14040000</v>
          </cell>
          <cell r="L107">
            <v>0</v>
          </cell>
          <cell r="M107">
            <v>4170000</v>
          </cell>
        </row>
        <row r="108">
          <cell r="E108" t="str">
            <v>Bimo Rukun Tani II</v>
          </cell>
          <cell r="I108">
            <v>38580000</v>
          </cell>
          <cell r="L108">
            <v>0</v>
          </cell>
          <cell r="M108">
            <v>3885000</v>
          </cell>
        </row>
        <row r="109">
          <cell r="E109" t="str">
            <v>Bimo Rukun Tani II</v>
          </cell>
          <cell r="I109">
            <v>1540000</v>
          </cell>
          <cell r="L109">
            <v>0</v>
          </cell>
          <cell r="M109">
            <v>2590000</v>
          </cell>
        </row>
        <row r="110">
          <cell r="E110" t="str">
            <v>Bimo Rukun Tani II</v>
          </cell>
          <cell r="I110">
            <v>23280000</v>
          </cell>
          <cell r="L110">
            <v>0</v>
          </cell>
          <cell r="M110">
            <v>10200000</v>
          </cell>
        </row>
        <row r="111">
          <cell r="E111" t="str">
            <v>Bimo Rukun Tani II</v>
          </cell>
          <cell r="I111">
            <v>14690000</v>
          </cell>
          <cell r="L111">
            <v>0</v>
          </cell>
          <cell r="M111">
            <v>10400000</v>
          </cell>
        </row>
        <row r="112">
          <cell r="E112" t="str">
            <v>Bimo Rukun Tani, UD</v>
          </cell>
          <cell r="I112">
            <v>46312500</v>
          </cell>
          <cell r="L112">
            <v>0</v>
          </cell>
          <cell r="M112">
            <v>9900000</v>
          </cell>
        </row>
        <row r="113">
          <cell r="E113" t="str">
            <v>Bimo Rukun Tani, UD</v>
          </cell>
          <cell r="I113">
            <v>14605000</v>
          </cell>
          <cell r="L113">
            <v>0</v>
          </cell>
          <cell r="M113">
            <v>2718000</v>
          </cell>
        </row>
        <row r="114">
          <cell r="E114" t="str">
            <v>Bimo Rukun Tani, UD</v>
          </cell>
          <cell r="I114">
            <v>16600000</v>
          </cell>
          <cell r="L114">
            <v>0</v>
          </cell>
          <cell r="M114">
            <v>10800000</v>
          </cell>
        </row>
        <row r="115">
          <cell r="E115" t="str">
            <v>Bimo Rukun Tani, UD</v>
          </cell>
          <cell r="I115">
            <v>2460000</v>
          </cell>
          <cell r="L115">
            <v>0</v>
          </cell>
          <cell r="M115">
            <v>20250000</v>
          </cell>
        </row>
        <row r="116">
          <cell r="E116" t="str">
            <v>Bimo Rukun Tani, UD</v>
          </cell>
          <cell r="I116">
            <v>6035000</v>
          </cell>
          <cell r="L116">
            <v>0</v>
          </cell>
          <cell r="M116">
            <v>6150000</v>
          </cell>
        </row>
        <row r="117">
          <cell r="E117" t="str">
            <v>Bintang Harapan</v>
          </cell>
          <cell r="I117">
            <v>900000</v>
          </cell>
          <cell r="L117">
            <v>0</v>
          </cell>
          <cell r="M117">
            <v>1840000</v>
          </cell>
        </row>
        <row r="118">
          <cell r="E118" t="str">
            <v>Bintang Tani/Kabul</v>
          </cell>
          <cell r="I118">
            <v>11340000</v>
          </cell>
          <cell r="L118">
            <v>0</v>
          </cell>
          <cell r="M118">
            <v>1520000</v>
          </cell>
        </row>
        <row r="119">
          <cell r="E119" t="str">
            <v>Bintang Tani/Kabul</v>
          </cell>
          <cell r="I119">
            <v>5670000</v>
          </cell>
          <cell r="L119">
            <v>0</v>
          </cell>
          <cell r="M119">
            <v>732500</v>
          </cell>
        </row>
        <row r="120">
          <cell r="E120" t="str">
            <v>Bintang Tani/Kabul</v>
          </cell>
          <cell r="I120">
            <v>8007500</v>
          </cell>
          <cell r="L120">
            <v>0</v>
          </cell>
          <cell r="M120">
            <v>6255000</v>
          </cell>
        </row>
        <row r="121">
          <cell r="E121" t="str">
            <v>Bintang Tani/Kabul</v>
          </cell>
          <cell r="I121">
            <v>5212500</v>
          </cell>
          <cell r="L121">
            <v>0</v>
          </cell>
          <cell r="M121">
            <v>76125000</v>
          </cell>
        </row>
        <row r="122">
          <cell r="E122" t="str">
            <v>Bintang Tani/Kabul</v>
          </cell>
          <cell r="I122">
            <v>1950000</v>
          </cell>
          <cell r="L122">
            <v>0</v>
          </cell>
          <cell r="M122">
            <v>90750000</v>
          </cell>
        </row>
        <row r="123">
          <cell r="E123" t="str">
            <v>Bintang Tani/Kabul</v>
          </cell>
          <cell r="I123">
            <v>1660000</v>
          </cell>
          <cell r="L123">
            <v>0</v>
          </cell>
          <cell r="M123">
            <v>57000000</v>
          </cell>
        </row>
        <row r="124">
          <cell r="E124" t="str">
            <v>Bintang Tani/Kabul</v>
          </cell>
          <cell r="I124">
            <v>1280000</v>
          </cell>
          <cell r="L124">
            <v>0</v>
          </cell>
          <cell r="M124">
            <v>20400000</v>
          </cell>
        </row>
        <row r="125">
          <cell r="E125" t="str">
            <v>Bio Tani/Budi</v>
          </cell>
          <cell r="I125">
            <v>339500</v>
          </cell>
          <cell r="L125">
            <v>0</v>
          </cell>
          <cell r="M125">
            <v>103500000</v>
          </cell>
        </row>
        <row r="126">
          <cell r="E126" t="str">
            <v>Bio Tani/Budi</v>
          </cell>
          <cell r="I126">
            <v>3500000</v>
          </cell>
          <cell r="L126">
            <v>0</v>
          </cell>
          <cell r="M126">
            <v>24000000</v>
          </cell>
        </row>
        <row r="127">
          <cell r="E127" t="str">
            <v>Cahaya Mulya</v>
          </cell>
          <cell r="I127">
            <v>3150000</v>
          </cell>
          <cell r="L127">
            <v>0</v>
          </cell>
          <cell r="M127">
            <v>98400000</v>
          </cell>
        </row>
        <row r="128">
          <cell r="E128" t="str">
            <v>Cahaya Mulya</v>
          </cell>
          <cell r="I128">
            <v>8050000</v>
          </cell>
          <cell r="L128">
            <v>0</v>
          </cell>
          <cell r="M128">
            <v>12110000</v>
          </cell>
        </row>
        <row r="129">
          <cell r="E129" t="str">
            <v>Cahaya Mulya</v>
          </cell>
          <cell r="I129">
            <v>1532400</v>
          </cell>
          <cell r="L129">
            <v>0</v>
          </cell>
          <cell r="M129">
            <v>18600000</v>
          </cell>
        </row>
        <row r="130">
          <cell r="E130" t="str">
            <v>Cahaya Mulya</v>
          </cell>
          <cell r="I130">
            <v>6634500</v>
          </cell>
          <cell r="L130">
            <v>0</v>
          </cell>
          <cell r="M130">
            <v>19200000</v>
          </cell>
        </row>
        <row r="131">
          <cell r="E131" t="str">
            <v>Cahaya Mulya</v>
          </cell>
          <cell r="I131">
            <v>4800000</v>
          </cell>
          <cell r="L131">
            <v>0</v>
          </cell>
          <cell r="M131">
            <v>18400000</v>
          </cell>
        </row>
        <row r="132">
          <cell r="E132" t="str">
            <v>Cahaya/Shohib</v>
          </cell>
          <cell r="I132">
            <v>3570000</v>
          </cell>
          <cell r="L132">
            <v>0</v>
          </cell>
          <cell r="M132">
            <v>23850000</v>
          </cell>
        </row>
        <row r="133">
          <cell r="E133" t="str">
            <v>Daeng Tani/Rahmat Hidayah</v>
          </cell>
          <cell r="I133">
            <v>20240000</v>
          </cell>
          <cell r="L133">
            <v>0</v>
          </cell>
          <cell r="M133">
            <v>16000000</v>
          </cell>
        </row>
        <row r="134">
          <cell r="E134" t="str">
            <v>Dino Vita, Toko</v>
          </cell>
          <cell r="I134">
            <v>11805000</v>
          </cell>
          <cell r="L134">
            <v>0</v>
          </cell>
          <cell r="M134">
            <v>76800000</v>
          </cell>
        </row>
        <row r="135">
          <cell r="E135" t="str">
            <v>Dino Vita, Toko</v>
          </cell>
          <cell r="I135">
            <v>1350000</v>
          </cell>
          <cell r="L135">
            <v>0</v>
          </cell>
          <cell r="M135">
            <v>1283750000</v>
          </cell>
        </row>
        <row r="136">
          <cell r="E136" t="str">
            <v>Dino Vita, Toko</v>
          </cell>
          <cell r="I136">
            <v>12050000</v>
          </cell>
          <cell r="L136">
            <v>0</v>
          </cell>
          <cell r="M136">
            <v>177000000</v>
          </cell>
        </row>
        <row r="137">
          <cell r="E137" t="str">
            <v>Dino Vita, Toko</v>
          </cell>
          <cell r="I137">
            <v>5700000</v>
          </cell>
          <cell r="L137">
            <v>0</v>
          </cell>
          <cell r="M137">
            <v>685650000</v>
          </cell>
        </row>
        <row r="138">
          <cell r="E138" t="str">
            <v>Dino Vita, Toko</v>
          </cell>
          <cell r="I138">
            <v>3360000</v>
          </cell>
          <cell r="L138">
            <v>0</v>
          </cell>
          <cell r="M138">
            <v>2800000</v>
          </cell>
        </row>
        <row r="139">
          <cell r="E139" t="str">
            <v>Dino Vita, Toko</v>
          </cell>
          <cell r="I139">
            <v>2250000</v>
          </cell>
          <cell r="L139">
            <v>0</v>
          </cell>
          <cell r="M139">
            <v>3660000</v>
          </cell>
        </row>
        <row r="140">
          <cell r="E140" t="str">
            <v>Dino Vita, Toko</v>
          </cell>
          <cell r="I140">
            <v>1760000</v>
          </cell>
          <cell r="L140">
            <v>0</v>
          </cell>
          <cell r="M140">
            <v>3000000</v>
          </cell>
        </row>
        <row r="141">
          <cell r="E141" t="str">
            <v>Dino Vita, Toko</v>
          </cell>
          <cell r="I141">
            <v>4075000</v>
          </cell>
          <cell r="L141">
            <v>0</v>
          </cell>
          <cell r="M141">
            <v>3980000</v>
          </cell>
        </row>
        <row r="142">
          <cell r="E142" t="str">
            <v>Diva Jaya</v>
          </cell>
          <cell r="I142">
            <v>3400000</v>
          </cell>
          <cell r="L142">
            <v>0</v>
          </cell>
          <cell r="M142">
            <v>4075000</v>
          </cell>
        </row>
        <row r="143">
          <cell r="E143" t="str">
            <v>DNA Pantura/Eko</v>
          </cell>
          <cell r="I143">
            <v>8050000</v>
          </cell>
          <cell r="L143">
            <v>0</v>
          </cell>
          <cell r="M143">
            <v>34162500</v>
          </cell>
        </row>
        <row r="144">
          <cell r="E144" t="str">
            <v>DNA Pantura/Eko</v>
          </cell>
          <cell r="I144">
            <v>4300000</v>
          </cell>
          <cell r="L144">
            <v>0</v>
          </cell>
          <cell r="M144">
            <v>3400000</v>
          </cell>
        </row>
        <row r="145">
          <cell r="E145" t="str">
            <v>Durian Merah/Dian</v>
          </cell>
          <cell r="I145">
            <v>4075000</v>
          </cell>
          <cell r="L145">
            <v>0</v>
          </cell>
          <cell r="M145">
            <v>9700000</v>
          </cell>
        </row>
        <row r="146">
          <cell r="E146" t="str">
            <v>Dwi Putra, UD</v>
          </cell>
          <cell r="I146">
            <v>3300000</v>
          </cell>
          <cell r="L146">
            <v>0</v>
          </cell>
          <cell r="M146">
            <v>4524000</v>
          </cell>
        </row>
        <row r="147">
          <cell r="E147" t="str">
            <v>Eka Jaya/David</v>
          </cell>
          <cell r="I147">
            <v>31500000</v>
          </cell>
          <cell r="L147">
            <v>0</v>
          </cell>
          <cell r="M147">
            <v>12538800</v>
          </cell>
        </row>
        <row r="148">
          <cell r="E148" t="str">
            <v>Eka Jaya/David</v>
          </cell>
          <cell r="I148">
            <v>46200000</v>
          </cell>
          <cell r="L148">
            <v>0</v>
          </cell>
          <cell r="M148">
            <v>29424000</v>
          </cell>
        </row>
        <row r="149">
          <cell r="E149" t="str">
            <v>Eka Jaya/David</v>
          </cell>
          <cell r="I149">
            <v>17000000</v>
          </cell>
          <cell r="L149">
            <v>0</v>
          </cell>
          <cell r="M149">
            <v>13220000</v>
          </cell>
        </row>
        <row r="150">
          <cell r="E150" t="str">
            <v>Eka Jaya/David</v>
          </cell>
          <cell r="I150">
            <v>50000000</v>
          </cell>
          <cell r="L150">
            <v>0</v>
          </cell>
          <cell r="M150">
            <v>9130000</v>
          </cell>
        </row>
        <row r="151">
          <cell r="E151" t="str">
            <v>Eka Jaya/David</v>
          </cell>
          <cell r="I151">
            <v>25400000</v>
          </cell>
          <cell r="L151">
            <v>0</v>
          </cell>
          <cell r="M151">
            <v>3600000</v>
          </cell>
        </row>
        <row r="152">
          <cell r="E152" t="str">
            <v>Eka Jaya/David</v>
          </cell>
          <cell r="I152">
            <v>68700000</v>
          </cell>
          <cell r="L152">
            <v>0</v>
          </cell>
          <cell r="M152">
            <v>4680000</v>
          </cell>
        </row>
        <row r="153">
          <cell r="E153" t="str">
            <v>Eka Jaya/David</v>
          </cell>
          <cell r="I153">
            <v>8640000</v>
          </cell>
          <cell r="L153">
            <v>0</v>
          </cell>
          <cell r="M153">
            <v>5920000</v>
          </cell>
        </row>
        <row r="154">
          <cell r="E154" t="str">
            <v>Eka Jaya/David</v>
          </cell>
          <cell r="I154">
            <v>5400000</v>
          </cell>
          <cell r="L154">
            <v>0</v>
          </cell>
          <cell r="M154">
            <v>21500000</v>
          </cell>
        </row>
        <row r="155">
          <cell r="E155" t="str">
            <v>Eka Jaya/David</v>
          </cell>
          <cell r="I155">
            <v>4335000</v>
          </cell>
          <cell r="L155">
            <v>0</v>
          </cell>
          <cell r="M155">
            <v>7800000</v>
          </cell>
        </row>
        <row r="156">
          <cell r="E156" t="str">
            <v>Eka Jaya/David</v>
          </cell>
          <cell r="I156">
            <v>8160000</v>
          </cell>
          <cell r="L156">
            <v>0</v>
          </cell>
          <cell r="M156">
            <v>33000000</v>
          </cell>
        </row>
        <row r="157">
          <cell r="E157" t="str">
            <v>Eka Jaya/David</v>
          </cell>
          <cell r="I157">
            <v>13040000</v>
          </cell>
          <cell r="L157">
            <v>0</v>
          </cell>
          <cell r="M157">
            <v>5560000</v>
          </cell>
        </row>
        <row r="158">
          <cell r="E158" t="str">
            <v>Eka Jaya/David</v>
          </cell>
          <cell r="I158">
            <v>136080000</v>
          </cell>
          <cell r="L158">
            <v>0</v>
          </cell>
          <cell r="M158">
            <v>15540000</v>
          </cell>
        </row>
        <row r="159">
          <cell r="E159" t="str">
            <v>Eka Jaya/David</v>
          </cell>
          <cell r="I159">
            <v>90720000</v>
          </cell>
          <cell r="L159">
            <v>0</v>
          </cell>
          <cell r="M159">
            <v>3400000</v>
          </cell>
        </row>
        <row r="160">
          <cell r="E160" t="str">
            <v>Eka Jaya/David</v>
          </cell>
          <cell r="I160">
            <v>35150000</v>
          </cell>
          <cell r="L160">
            <v>0</v>
          </cell>
          <cell r="M160">
            <v>12036000</v>
          </cell>
        </row>
        <row r="161">
          <cell r="E161" t="str">
            <v>Eka Jaya/David</v>
          </cell>
          <cell r="I161">
            <v>20400000</v>
          </cell>
          <cell r="L161">
            <v>0</v>
          </cell>
          <cell r="M161">
            <v>16500000</v>
          </cell>
        </row>
        <row r="162">
          <cell r="E162" t="str">
            <v>Eka Jaya/David</v>
          </cell>
          <cell r="I162">
            <v>14400000</v>
          </cell>
          <cell r="L162">
            <v>0</v>
          </cell>
          <cell r="M162">
            <v>2460000</v>
          </cell>
        </row>
        <row r="163">
          <cell r="E163" t="str">
            <v>Eka Jaya/David</v>
          </cell>
          <cell r="I163">
            <v>42825000</v>
          </cell>
          <cell r="L163">
            <v>0</v>
          </cell>
          <cell r="M163">
            <v>1800000</v>
          </cell>
        </row>
        <row r="164">
          <cell r="E164" t="str">
            <v>Eka Jaya/David</v>
          </cell>
          <cell r="I164">
            <v>102000000</v>
          </cell>
          <cell r="L164">
            <v>0</v>
          </cell>
          <cell r="M164">
            <v>5040000</v>
          </cell>
        </row>
        <row r="165">
          <cell r="E165" t="str">
            <v>Eka Jaya/David</v>
          </cell>
          <cell r="I165">
            <v>1800000</v>
          </cell>
          <cell r="L165">
            <v>0</v>
          </cell>
          <cell r="M165">
            <v>1809600</v>
          </cell>
        </row>
        <row r="166">
          <cell r="E166" t="str">
            <v>Eka Jaya/David</v>
          </cell>
          <cell r="I166">
            <v>14400000</v>
          </cell>
          <cell r="L166">
            <v>0</v>
          </cell>
          <cell r="M166">
            <v>2325000</v>
          </cell>
        </row>
        <row r="167">
          <cell r="E167" t="str">
            <v>Eka Jaya/David</v>
          </cell>
          <cell r="I167">
            <v>54000000</v>
          </cell>
          <cell r="L167">
            <v>0</v>
          </cell>
          <cell r="M167">
            <v>1280000</v>
          </cell>
        </row>
        <row r="168">
          <cell r="E168" t="str">
            <v>Eka Jaya/David</v>
          </cell>
          <cell r="I168">
            <v>5400000</v>
          </cell>
          <cell r="L168">
            <v>0</v>
          </cell>
          <cell r="M168">
            <v>1660000</v>
          </cell>
        </row>
        <row r="169">
          <cell r="E169" t="str">
            <v>Eka Jaya/David</v>
          </cell>
          <cell r="I169">
            <v>8520000</v>
          </cell>
          <cell r="L169">
            <v>0</v>
          </cell>
          <cell r="M169">
            <v>13800000</v>
          </cell>
        </row>
        <row r="170">
          <cell r="E170" t="str">
            <v>Eka Jaya/David</v>
          </cell>
          <cell r="I170">
            <v>7000000</v>
          </cell>
          <cell r="L170">
            <v>0</v>
          </cell>
          <cell r="M170">
            <v>20792500</v>
          </cell>
        </row>
        <row r="171">
          <cell r="E171" t="str">
            <v>Eka Jaya/David</v>
          </cell>
          <cell r="I171">
            <v>425000</v>
          </cell>
          <cell r="L171">
            <v>0</v>
          </cell>
          <cell r="M171">
            <v>9570000</v>
          </cell>
        </row>
        <row r="172">
          <cell r="E172" t="str">
            <v>Eka Jaya/David</v>
          </cell>
          <cell r="I172">
            <v>5050000</v>
          </cell>
          <cell r="L172">
            <v>0</v>
          </cell>
          <cell r="M172">
            <v>3060000</v>
          </cell>
        </row>
        <row r="173">
          <cell r="E173" t="str">
            <v>Eka Jaya/David</v>
          </cell>
          <cell r="I173">
            <v>8400000</v>
          </cell>
          <cell r="L173">
            <v>0</v>
          </cell>
          <cell r="M173">
            <v>19580000</v>
          </cell>
        </row>
        <row r="174">
          <cell r="E174" t="str">
            <v>Eka Jaya/David</v>
          </cell>
          <cell r="I174">
            <v>1890000</v>
          </cell>
          <cell r="L174">
            <v>0</v>
          </cell>
          <cell r="M174">
            <v>11400000</v>
          </cell>
        </row>
        <row r="175">
          <cell r="E175" t="str">
            <v>Green Tani</v>
          </cell>
          <cell r="I175">
            <v>2300000</v>
          </cell>
          <cell r="L175">
            <v>0</v>
          </cell>
          <cell r="M175">
            <v>2250000</v>
          </cell>
        </row>
        <row r="176">
          <cell r="E176" t="str">
            <v>Gunung Semeru</v>
          </cell>
          <cell r="I176">
            <v>119520000</v>
          </cell>
          <cell r="L176">
            <v>0</v>
          </cell>
          <cell r="M176">
            <v>2375000</v>
          </cell>
        </row>
        <row r="177">
          <cell r="E177" t="str">
            <v>Gunung Semeru</v>
          </cell>
          <cell r="I177">
            <v>17010000</v>
          </cell>
          <cell r="L177">
            <v>0</v>
          </cell>
          <cell r="M177">
            <v>5880000</v>
          </cell>
        </row>
        <row r="178">
          <cell r="E178" t="str">
            <v>Gunung Semeru</v>
          </cell>
          <cell r="I178">
            <v>3240000</v>
          </cell>
          <cell r="L178">
            <v>0</v>
          </cell>
          <cell r="M178">
            <v>5500000</v>
          </cell>
        </row>
        <row r="179">
          <cell r="E179" t="str">
            <v>Gunung Semeru</v>
          </cell>
          <cell r="I179">
            <v>7700000</v>
          </cell>
          <cell r="L179">
            <v>0</v>
          </cell>
          <cell r="M179">
            <v>1320000</v>
          </cell>
        </row>
        <row r="180">
          <cell r="E180" t="str">
            <v>Gunung Semeru</v>
          </cell>
          <cell r="I180">
            <v>42075000</v>
          </cell>
          <cell r="L180">
            <v>0</v>
          </cell>
          <cell r="M180">
            <v>1730000</v>
          </cell>
        </row>
        <row r="181">
          <cell r="E181" t="str">
            <v>Gunung Semeru</v>
          </cell>
          <cell r="I181">
            <v>108000000</v>
          </cell>
          <cell r="L181">
            <v>0</v>
          </cell>
          <cell r="M181">
            <v>17640000</v>
          </cell>
        </row>
        <row r="182">
          <cell r="E182" t="str">
            <v>Gunung Semeru</v>
          </cell>
          <cell r="I182">
            <v>92400000</v>
          </cell>
          <cell r="L182">
            <v>0</v>
          </cell>
          <cell r="M182">
            <v>4970000</v>
          </cell>
        </row>
        <row r="183">
          <cell r="E183" t="str">
            <v>Insan Tani, UD/Yohan</v>
          </cell>
          <cell r="I183">
            <v>7545000</v>
          </cell>
          <cell r="L183">
            <v>0</v>
          </cell>
          <cell r="M183">
            <v>6035000</v>
          </cell>
        </row>
        <row r="184">
          <cell r="E184" t="str">
            <v>Insan Tani, UD/Yohan</v>
          </cell>
          <cell r="I184">
            <v>4617500</v>
          </cell>
          <cell r="L184">
            <v>0</v>
          </cell>
          <cell r="M184">
            <v>10770000</v>
          </cell>
        </row>
        <row r="185">
          <cell r="E185" t="str">
            <v>Jaya Sejahtera/Dian Retno</v>
          </cell>
          <cell r="I185">
            <v>3340000</v>
          </cell>
          <cell r="L185">
            <v>0</v>
          </cell>
          <cell r="M185">
            <v>4200000</v>
          </cell>
        </row>
        <row r="186">
          <cell r="E186" t="str">
            <v>Joko Supriyo</v>
          </cell>
          <cell r="I186">
            <v>12000000</v>
          </cell>
          <cell r="L186">
            <v>0</v>
          </cell>
          <cell r="M186">
            <v>5810000</v>
          </cell>
        </row>
        <row r="187">
          <cell r="E187" t="str">
            <v>Kartika Jaya, UD</v>
          </cell>
          <cell r="I187">
            <v>1785000</v>
          </cell>
          <cell r="L187">
            <v>0</v>
          </cell>
          <cell r="M187">
            <v>2400000</v>
          </cell>
        </row>
        <row r="188">
          <cell r="E188" t="str">
            <v>Karunia Jaya/Sujud Abdillah</v>
          </cell>
          <cell r="I188">
            <v>3860000</v>
          </cell>
          <cell r="L188">
            <v>0</v>
          </cell>
          <cell r="M188">
            <v>10975000</v>
          </cell>
        </row>
        <row r="189">
          <cell r="E189" t="str">
            <v>Karunia Makmur, UD</v>
          </cell>
          <cell r="I189">
            <v>2000000</v>
          </cell>
          <cell r="L189">
            <v>0</v>
          </cell>
          <cell r="M189">
            <v>4000000</v>
          </cell>
        </row>
        <row r="190">
          <cell r="E190" t="str">
            <v>Klinik Tani/Defit</v>
          </cell>
          <cell r="I190">
            <v>1300000</v>
          </cell>
          <cell r="L190">
            <v>0</v>
          </cell>
          <cell r="M190">
            <v>848925000</v>
          </cell>
        </row>
        <row r="191">
          <cell r="E191" t="str">
            <v>KSU CU Sang Timur/CU Agro</v>
          </cell>
          <cell r="I191">
            <v>2400000</v>
          </cell>
          <cell r="L191">
            <v>0</v>
          </cell>
          <cell r="M191">
            <v>46090000</v>
          </cell>
        </row>
        <row r="192">
          <cell r="E192" t="str">
            <v>KSU CU Sang Timur/CU Agro</v>
          </cell>
          <cell r="I192">
            <v>4980000</v>
          </cell>
          <cell r="L192">
            <v>0</v>
          </cell>
          <cell r="M192">
            <v>15750000</v>
          </cell>
        </row>
        <row r="193">
          <cell r="E193" t="str">
            <v>KSU CU Sang Timur/CU Agro</v>
          </cell>
          <cell r="I193">
            <v>19035000</v>
          </cell>
          <cell r="L193">
            <v>0</v>
          </cell>
          <cell r="M193">
            <v>17950000</v>
          </cell>
        </row>
        <row r="194">
          <cell r="E194" t="str">
            <v>KSU CU Sang Timur/CU Agro</v>
          </cell>
          <cell r="I194">
            <v>9750000</v>
          </cell>
          <cell r="L194">
            <v>0</v>
          </cell>
          <cell r="M194">
            <v>12485000</v>
          </cell>
        </row>
        <row r="195">
          <cell r="E195" t="str">
            <v>Kumpul Tani/Hendro</v>
          </cell>
          <cell r="I195">
            <v>47355000</v>
          </cell>
          <cell r="L195">
            <v>0</v>
          </cell>
          <cell r="M195">
            <v>11500000</v>
          </cell>
        </row>
        <row r="196">
          <cell r="E196" t="str">
            <v>Kumpul Tani/Hendro</v>
          </cell>
          <cell r="I196">
            <v>13000000</v>
          </cell>
          <cell r="L196">
            <v>0</v>
          </cell>
          <cell r="M196">
            <v>5700000</v>
          </cell>
        </row>
        <row r="197">
          <cell r="E197" t="str">
            <v>Kumpul Tani/Hendro</v>
          </cell>
          <cell r="I197">
            <v>19490000</v>
          </cell>
          <cell r="L197">
            <v>0</v>
          </cell>
          <cell r="M197">
            <v>43850000</v>
          </cell>
        </row>
        <row r="198">
          <cell r="E198" t="str">
            <v>Kumpul Tani/Hendro</v>
          </cell>
          <cell r="I198">
            <v>6010000</v>
          </cell>
          <cell r="L198">
            <v>0</v>
          </cell>
          <cell r="M198">
            <v>22240000</v>
          </cell>
        </row>
        <row r="199">
          <cell r="E199" t="str">
            <v>Kumpul Tani/Hendro</v>
          </cell>
          <cell r="I199">
            <v>31680000</v>
          </cell>
          <cell r="L199">
            <v>0</v>
          </cell>
          <cell r="M199">
            <v>20800000</v>
          </cell>
        </row>
        <row r="200">
          <cell r="E200" t="str">
            <v>Kumpul Tani/Hendro</v>
          </cell>
          <cell r="I200">
            <v>27000000</v>
          </cell>
          <cell r="L200">
            <v>0</v>
          </cell>
          <cell r="M200">
            <v>7970000</v>
          </cell>
        </row>
        <row r="201">
          <cell r="E201" t="str">
            <v>Kumpul Tani/Hendro</v>
          </cell>
          <cell r="I201">
            <v>2250000</v>
          </cell>
          <cell r="L201">
            <v>0</v>
          </cell>
          <cell r="M201">
            <v>44450000</v>
          </cell>
        </row>
        <row r="202">
          <cell r="E202" t="str">
            <v>Kumpul Tani/Hendro</v>
          </cell>
          <cell r="I202">
            <v>5160000</v>
          </cell>
          <cell r="L202">
            <v>0</v>
          </cell>
          <cell r="M202">
            <v>48375000</v>
          </cell>
        </row>
        <row r="203">
          <cell r="E203" t="str">
            <v>Kumpul Tani/Hendro</v>
          </cell>
          <cell r="I203">
            <v>34975000</v>
          </cell>
          <cell r="L203">
            <v>0</v>
          </cell>
          <cell r="M203">
            <v>250000</v>
          </cell>
        </row>
        <row r="204">
          <cell r="E204" t="str">
            <v>Kumpul Tani/Hendro</v>
          </cell>
          <cell r="I204">
            <v>1200000</v>
          </cell>
          <cell r="L204">
            <v>0</v>
          </cell>
          <cell r="M204">
            <v>43200000</v>
          </cell>
        </row>
        <row r="205">
          <cell r="E205" t="str">
            <v>Kumpul Tani/Hendro</v>
          </cell>
          <cell r="I205">
            <v>2250000</v>
          </cell>
          <cell r="L205">
            <v>0</v>
          </cell>
          <cell r="M205">
            <v>3500000</v>
          </cell>
        </row>
        <row r="206">
          <cell r="E206" t="str">
            <v>Kumpul Tani/Hendro</v>
          </cell>
          <cell r="I206">
            <v>16070000</v>
          </cell>
          <cell r="L206">
            <v>0</v>
          </cell>
          <cell r="M206">
            <v>8400000</v>
          </cell>
        </row>
        <row r="207">
          <cell r="E207" t="str">
            <v>Kumpul Tani/Hendro</v>
          </cell>
          <cell r="I207">
            <v>1000000</v>
          </cell>
          <cell r="L207">
            <v>0</v>
          </cell>
          <cell r="M207">
            <v>22000000</v>
          </cell>
        </row>
        <row r="208">
          <cell r="E208" t="str">
            <v>Kumpul Tani/Hendro</v>
          </cell>
          <cell r="I208">
            <v>11950000</v>
          </cell>
          <cell r="L208">
            <v>0</v>
          </cell>
          <cell r="M208">
            <v>48615000</v>
          </cell>
        </row>
        <row r="209">
          <cell r="E209" t="str">
            <v>Kumpul Tani/Hendro</v>
          </cell>
          <cell r="I209">
            <v>15950000</v>
          </cell>
          <cell r="L209">
            <v>0</v>
          </cell>
          <cell r="M209">
            <v>48375000</v>
          </cell>
        </row>
        <row r="210">
          <cell r="E210" t="str">
            <v>Kumpul Tani/Hendro</v>
          </cell>
          <cell r="I210">
            <v>2700000</v>
          </cell>
          <cell r="L210">
            <v>0</v>
          </cell>
          <cell r="M210">
            <v>4680000</v>
          </cell>
        </row>
        <row r="211">
          <cell r="E211" t="str">
            <v>Kumpul Tani/Hendro</v>
          </cell>
          <cell r="I211">
            <v>4500000</v>
          </cell>
          <cell r="L211">
            <v>0</v>
          </cell>
          <cell r="M211">
            <v>14400000</v>
          </cell>
        </row>
        <row r="212">
          <cell r="E212" t="str">
            <v>Langgeng Makmur</v>
          </cell>
          <cell r="I212">
            <v>7500000</v>
          </cell>
          <cell r="L212">
            <v>0</v>
          </cell>
          <cell r="M212">
            <v>8400000</v>
          </cell>
        </row>
        <row r="213">
          <cell r="E213" t="str">
            <v>Layan Tani II</v>
          </cell>
          <cell r="I213">
            <v>72445000</v>
          </cell>
          <cell r="L213">
            <v>0</v>
          </cell>
          <cell r="M213">
            <v>16800000</v>
          </cell>
        </row>
        <row r="214">
          <cell r="E214" t="str">
            <v>Layan Tani II</v>
          </cell>
          <cell r="I214">
            <v>4980000</v>
          </cell>
          <cell r="L214">
            <v>0</v>
          </cell>
          <cell r="M214">
            <v>16800000</v>
          </cell>
        </row>
        <row r="215">
          <cell r="E215" t="str">
            <v>Layan Tani II</v>
          </cell>
          <cell r="I215">
            <v>10125000</v>
          </cell>
          <cell r="L215">
            <v>0</v>
          </cell>
          <cell r="M215">
            <v>7500000</v>
          </cell>
        </row>
        <row r="216">
          <cell r="E216" t="str">
            <v>Layan Tani II</v>
          </cell>
          <cell r="I216">
            <v>1880000</v>
          </cell>
          <cell r="L216">
            <v>0</v>
          </cell>
          <cell r="M216">
            <v>78665000</v>
          </cell>
        </row>
        <row r="217">
          <cell r="E217" t="str">
            <v>Layan Tani II</v>
          </cell>
          <cell r="I217">
            <v>20200000</v>
          </cell>
          <cell r="L217">
            <v>0</v>
          </cell>
          <cell r="M217">
            <v>9600000</v>
          </cell>
        </row>
        <row r="218">
          <cell r="E218" t="str">
            <v>Layan Tani II</v>
          </cell>
          <cell r="I218">
            <v>6000000</v>
          </cell>
          <cell r="L218">
            <v>0</v>
          </cell>
          <cell r="M218">
            <v>1890000</v>
          </cell>
        </row>
        <row r="219">
          <cell r="E219" t="str">
            <v>Lestari Alam/Firqin</v>
          </cell>
          <cell r="I219">
            <v>1830000</v>
          </cell>
          <cell r="L219">
            <v>0</v>
          </cell>
          <cell r="M219">
            <v>1845000</v>
          </cell>
        </row>
        <row r="220">
          <cell r="E220" t="str">
            <v>Lestari Alam/Firqin</v>
          </cell>
          <cell r="I220">
            <v>480000</v>
          </cell>
          <cell r="L220">
            <v>0</v>
          </cell>
          <cell r="M220">
            <v>14850000</v>
          </cell>
        </row>
        <row r="221">
          <cell r="E221" t="str">
            <v>Lestari Alam/Firqin</v>
          </cell>
          <cell r="I221">
            <v>12395000</v>
          </cell>
          <cell r="L221">
            <v>0</v>
          </cell>
          <cell r="M221">
            <v>15800000</v>
          </cell>
        </row>
        <row r="222">
          <cell r="E222" t="str">
            <v>Lestari Alam/Firqin</v>
          </cell>
          <cell r="I222">
            <v>8325000</v>
          </cell>
          <cell r="L222">
            <v>0</v>
          </cell>
          <cell r="M222">
            <v>39250000</v>
          </cell>
        </row>
        <row r="223">
          <cell r="E223" t="str">
            <v>Lestari Alam/Firqin</v>
          </cell>
          <cell r="I223">
            <v>437500</v>
          </cell>
          <cell r="L223">
            <v>0</v>
          </cell>
          <cell r="M223">
            <v>67725000</v>
          </cell>
        </row>
        <row r="224">
          <cell r="E224" t="str">
            <v>Lestari Alam/Firqin</v>
          </cell>
          <cell r="I224">
            <v>9100000</v>
          </cell>
          <cell r="L224">
            <v>0</v>
          </cell>
          <cell r="M224">
            <v>46750000</v>
          </cell>
        </row>
        <row r="225">
          <cell r="E225" t="str">
            <v>Lestari Jaya</v>
          </cell>
          <cell r="I225">
            <v>4400000</v>
          </cell>
          <cell r="L225">
            <v>0</v>
          </cell>
          <cell r="M225">
            <v>28400000</v>
          </cell>
        </row>
        <row r="226">
          <cell r="E226" t="str">
            <v>Lestari Jaya</v>
          </cell>
          <cell r="I226">
            <v>1500000</v>
          </cell>
          <cell r="L226">
            <v>0</v>
          </cell>
          <cell r="M226">
            <v>7000000</v>
          </cell>
        </row>
        <row r="227">
          <cell r="E227" t="str">
            <v>Lestari Jaya</v>
          </cell>
          <cell r="I227">
            <v>3375000</v>
          </cell>
          <cell r="L227">
            <v>0</v>
          </cell>
          <cell r="M227">
            <v>105000000</v>
          </cell>
        </row>
        <row r="228">
          <cell r="E228" t="str">
            <v>Maha Karya Sentosa, Toko</v>
          </cell>
          <cell r="I228">
            <v>7500000</v>
          </cell>
          <cell r="L228">
            <v>0</v>
          </cell>
          <cell r="M228">
            <v>118275000</v>
          </cell>
        </row>
        <row r="229">
          <cell r="E229" t="str">
            <v>Maha Karya Sentosa, Toko</v>
          </cell>
          <cell r="I229">
            <v>4800000</v>
          </cell>
          <cell r="L229">
            <v>0</v>
          </cell>
          <cell r="M229">
            <v>15400000</v>
          </cell>
        </row>
        <row r="230">
          <cell r="E230" t="str">
            <v>Maha Karya Sentosa, Toko</v>
          </cell>
          <cell r="I230">
            <v>18525000</v>
          </cell>
          <cell r="L230">
            <v>0</v>
          </cell>
          <cell r="M230">
            <v>40750000</v>
          </cell>
        </row>
        <row r="231">
          <cell r="E231" t="str">
            <v>Maju Mapan/Gidion</v>
          </cell>
          <cell r="I231">
            <v>10000000</v>
          </cell>
          <cell r="L231">
            <v>0</v>
          </cell>
          <cell r="M231">
            <v>49250000</v>
          </cell>
        </row>
        <row r="232">
          <cell r="E232" t="str">
            <v>Mandiri/Suparni</v>
          </cell>
          <cell r="I232">
            <v>8060000</v>
          </cell>
          <cell r="L232">
            <v>0</v>
          </cell>
          <cell r="M232">
            <v>35000000</v>
          </cell>
        </row>
        <row r="233">
          <cell r="E233" t="str">
            <v>Mandiri/Suparni</v>
          </cell>
          <cell r="I233">
            <v>3165000</v>
          </cell>
          <cell r="L233">
            <v>0</v>
          </cell>
          <cell r="M233">
            <v>19750000</v>
          </cell>
        </row>
        <row r="234">
          <cell r="E234" t="str">
            <v>Mandiri/Suparni</v>
          </cell>
          <cell r="I234">
            <v>1250000</v>
          </cell>
          <cell r="L234">
            <v>0</v>
          </cell>
          <cell r="M234">
            <v>18300000</v>
          </cell>
        </row>
        <row r="235">
          <cell r="E235" t="str">
            <v>Mapan Agro Sentosa, UD</v>
          </cell>
          <cell r="I235">
            <v>11500000</v>
          </cell>
          <cell r="L235">
            <v>0</v>
          </cell>
          <cell r="M235">
            <v>1832500</v>
          </cell>
        </row>
        <row r="236">
          <cell r="E236" t="str">
            <v>Mapan Agro Sentosa, UD</v>
          </cell>
          <cell r="I236">
            <v>7440000</v>
          </cell>
          <cell r="L236">
            <v>0</v>
          </cell>
          <cell r="M236">
            <v>3510000</v>
          </cell>
        </row>
        <row r="237">
          <cell r="E237" t="str">
            <v>Margo Joyo/Iksan</v>
          </cell>
          <cell r="I237">
            <v>5285000</v>
          </cell>
          <cell r="L237">
            <v>0</v>
          </cell>
          <cell r="M237">
            <v>1635000</v>
          </cell>
        </row>
        <row r="238">
          <cell r="E238" t="str">
            <v>Margo Joyo/Iksan</v>
          </cell>
          <cell r="I238">
            <v>3340800</v>
          </cell>
          <cell r="L238">
            <v>0</v>
          </cell>
          <cell r="M238">
            <v>6195000</v>
          </cell>
        </row>
        <row r="239">
          <cell r="E239" t="str">
            <v>Mekar Tani/Tunti</v>
          </cell>
          <cell r="I239">
            <v>6365000</v>
          </cell>
          <cell r="L239">
            <v>0</v>
          </cell>
          <cell r="M239">
            <v>18000000</v>
          </cell>
        </row>
        <row r="240">
          <cell r="E240" t="str">
            <v>Mekar Tani/Tunti</v>
          </cell>
          <cell r="I240">
            <v>675000</v>
          </cell>
          <cell r="L240">
            <v>0</v>
          </cell>
          <cell r="M240">
            <v>2860000</v>
          </cell>
        </row>
        <row r="241">
          <cell r="E241" t="str">
            <v>Mekar Tani/Tunti</v>
          </cell>
          <cell r="I241">
            <v>4800000</v>
          </cell>
          <cell r="L241">
            <v>0</v>
          </cell>
          <cell r="M241">
            <v>795000</v>
          </cell>
        </row>
        <row r="242">
          <cell r="E242" t="str">
            <v>Mekar Tani/Tunti</v>
          </cell>
          <cell r="I242">
            <v>1088000</v>
          </cell>
          <cell r="L242">
            <v>0</v>
          </cell>
          <cell r="M242">
            <v>6000000</v>
          </cell>
        </row>
        <row r="243">
          <cell r="E243" t="str">
            <v>Mekar Tani/Tunti</v>
          </cell>
          <cell r="I243">
            <v>7600000</v>
          </cell>
          <cell r="L243">
            <v>0</v>
          </cell>
          <cell r="M243">
            <v>11000000</v>
          </cell>
        </row>
        <row r="244">
          <cell r="E244" t="str">
            <v>Mitra Tani 1</v>
          </cell>
          <cell r="I244">
            <v>1900000</v>
          </cell>
          <cell r="L244">
            <v>0</v>
          </cell>
          <cell r="M244">
            <v>2200000</v>
          </cell>
        </row>
        <row r="245">
          <cell r="E245" t="str">
            <v>Mitra Tani/Eko Susanto</v>
          </cell>
          <cell r="I245">
            <v>18215000</v>
          </cell>
          <cell r="L245">
            <v>0</v>
          </cell>
          <cell r="M245">
            <v>15400000</v>
          </cell>
        </row>
        <row r="246">
          <cell r="E246" t="str">
            <v>Mitra Tani/Eko Susanto</v>
          </cell>
          <cell r="I246">
            <v>9840000</v>
          </cell>
          <cell r="L246">
            <v>0</v>
          </cell>
          <cell r="M246">
            <v>690000</v>
          </cell>
        </row>
        <row r="247">
          <cell r="E247" t="str">
            <v>Mitra Tani/Eko Susanto</v>
          </cell>
          <cell r="I247">
            <v>4100000</v>
          </cell>
          <cell r="L247">
            <v>0</v>
          </cell>
          <cell r="M247">
            <v>3600000</v>
          </cell>
        </row>
        <row r="248">
          <cell r="E248" t="str">
            <v>Mitra Tani/Hariyanto</v>
          </cell>
          <cell r="I248">
            <v>57750000</v>
          </cell>
          <cell r="L248">
            <v>0</v>
          </cell>
          <cell r="M248">
            <v>7320000</v>
          </cell>
        </row>
        <row r="249">
          <cell r="E249" t="str">
            <v>Mitra Tani/Hariyanto</v>
          </cell>
          <cell r="I249">
            <v>3045000</v>
          </cell>
          <cell r="L249">
            <v>0</v>
          </cell>
          <cell r="M249">
            <v>3000000</v>
          </cell>
        </row>
        <row r="250">
          <cell r="E250" t="str">
            <v>Mitra Tani/Hariyanto</v>
          </cell>
          <cell r="I250">
            <v>16800000</v>
          </cell>
          <cell r="L250">
            <v>0</v>
          </cell>
          <cell r="M250">
            <v>4420000</v>
          </cell>
        </row>
        <row r="251">
          <cell r="E251" t="str">
            <v>Mujahidin Delapan, UD</v>
          </cell>
          <cell r="I251">
            <v>17040000</v>
          </cell>
          <cell r="L251">
            <v>0</v>
          </cell>
          <cell r="M251">
            <v>6480000</v>
          </cell>
        </row>
        <row r="252">
          <cell r="E252" t="str">
            <v>Mujahidin Delapan, UD</v>
          </cell>
          <cell r="I252">
            <v>20080000</v>
          </cell>
          <cell r="L252">
            <v>0</v>
          </cell>
          <cell r="M252">
            <v>5700000</v>
          </cell>
        </row>
        <row r="253">
          <cell r="E253" t="str">
            <v>Mujahidin Delapan, UD</v>
          </cell>
          <cell r="I253">
            <v>1900000</v>
          </cell>
          <cell r="L253">
            <v>0</v>
          </cell>
          <cell r="M253">
            <v>2970000</v>
          </cell>
        </row>
        <row r="254">
          <cell r="E254" t="str">
            <v>Mujahidin Delapan, UD</v>
          </cell>
          <cell r="I254">
            <v>20500000</v>
          </cell>
          <cell r="L254">
            <v>0</v>
          </cell>
          <cell r="M254">
            <v>7850000</v>
          </cell>
        </row>
        <row r="255">
          <cell r="E255" t="str">
            <v>Mujahidin Delapan, UD</v>
          </cell>
          <cell r="I255">
            <v>20100000</v>
          </cell>
          <cell r="L255">
            <v>0</v>
          </cell>
          <cell r="M255">
            <v>72400000</v>
          </cell>
        </row>
        <row r="256">
          <cell r="E256" t="str">
            <v>Mujahidin Delapan, UD</v>
          </cell>
          <cell r="I256">
            <v>24920000</v>
          </cell>
          <cell r="L256">
            <v>0</v>
          </cell>
          <cell r="M256">
            <v>2800000</v>
          </cell>
        </row>
        <row r="257">
          <cell r="E257" t="str">
            <v>Mujahidin Delapan, UD</v>
          </cell>
          <cell r="I257">
            <v>1320000</v>
          </cell>
          <cell r="L257">
            <v>0</v>
          </cell>
          <cell r="M257">
            <v>2250000</v>
          </cell>
        </row>
        <row r="258">
          <cell r="E258" t="str">
            <v>Mujahidin Delapan, UD</v>
          </cell>
          <cell r="I258">
            <v>9750000</v>
          </cell>
          <cell r="L258">
            <v>0</v>
          </cell>
          <cell r="M258">
            <v>9900000</v>
          </cell>
        </row>
        <row r="259">
          <cell r="E259" t="str">
            <v>Mujahidin Delapan, UD</v>
          </cell>
          <cell r="I259">
            <v>11500000</v>
          </cell>
          <cell r="L259">
            <v>0</v>
          </cell>
          <cell r="M259">
            <v>17100000</v>
          </cell>
        </row>
        <row r="260">
          <cell r="E260" t="str">
            <v>Mujahidin Delapan, UD</v>
          </cell>
          <cell r="I260">
            <v>3720000</v>
          </cell>
          <cell r="L260">
            <v>0</v>
          </cell>
          <cell r="M260">
            <v>4600000</v>
          </cell>
        </row>
        <row r="261">
          <cell r="E261" t="str">
            <v>Mujahidin Delapan, UD</v>
          </cell>
          <cell r="I261">
            <v>5040000</v>
          </cell>
          <cell r="L261">
            <v>0</v>
          </cell>
          <cell r="M261">
            <v>11400000</v>
          </cell>
        </row>
        <row r="262">
          <cell r="E262" t="str">
            <v>Mujahidin Delapan, UD</v>
          </cell>
          <cell r="I262">
            <v>17070000</v>
          </cell>
          <cell r="L262">
            <v>0</v>
          </cell>
          <cell r="M262">
            <v>8563680</v>
          </cell>
        </row>
        <row r="263">
          <cell r="E263" t="str">
            <v>Mujahidin Delapan, UD</v>
          </cell>
          <cell r="I263">
            <v>4160000</v>
          </cell>
          <cell r="L263">
            <v>0</v>
          </cell>
          <cell r="M263">
            <v>2700000</v>
          </cell>
        </row>
        <row r="264">
          <cell r="E264" t="str">
            <v>Mulya Lestari, UD/Umi</v>
          </cell>
          <cell r="I264">
            <v>3080000</v>
          </cell>
          <cell r="L264">
            <v>0</v>
          </cell>
          <cell r="M264">
            <v>136800000</v>
          </cell>
        </row>
        <row r="265">
          <cell r="E265" t="str">
            <v>Mulyo Tani/Danang</v>
          </cell>
          <cell r="I265">
            <v>140400000</v>
          </cell>
          <cell r="L265">
            <v>0</v>
          </cell>
          <cell r="M265">
            <v>17620000</v>
          </cell>
        </row>
        <row r="266">
          <cell r="E266" t="str">
            <v>Mulyo Tani/Danang</v>
          </cell>
          <cell r="I266">
            <v>216000000</v>
          </cell>
          <cell r="L266">
            <v>0</v>
          </cell>
          <cell r="M266">
            <v>9000000</v>
          </cell>
        </row>
        <row r="267">
          <cell r="E267" t="str">
            <v>Mulyo Tani/Danang</v>
          </cell>
          <cell r="I267">
            <v>117500000</v>
          </cell>
          <cell r="L267">
            <v>0</v>
          </cell>
          <cell r="M267">
            <v>1729000.08</v>
          </cell>
        </row>
        <row r="268">
          <cell r="E268" t="str">
            <v>Mulyo Tani/Danang</v>
          </cell>
          <cell r="I268">
            <v>102300000</v>
          </cell>
          <cell r="L268">
            <v>0</v>
          </cell>
          <cell r="M268">
            <v>1620000</v>
          </cell>
        </row>
        <row r="269">
          <cell r="E269" t="str">
            <v>Mulyo Tani/Danang</v>
          </cell>
          <cell r="I269">
            <v>33750000</v>
          </cell>
          <cell r="L269">
            <v>0</v>
          </cell>
          <cell r="M269">
            <v>1600000</v>
          </cell>
        </row>
        <row r="270">
          <cell r="E270" t="str">
            <v>Mutiara Tani, UD/Abdur Rahman</v>
          </cell>
          <cell r="I270">
            <v>11160000</v>
          </cell>
          <cell r="L270">
            <v>0</v>
          </cell>
          <cell r="M270">
            <v>3050000</v>
          </cell>
        </row>
        <row r="271">
          <cell r="E271" t="str">
            <v>Mutiara Tani, UD/Abdur Rahman</v>
          </cell>
          <cell r="I271">
            <v>2400000</v>
          </cell>
          <cell r="L271">
            <v>0</v>
          </cell>
          <cell r="M271">
            <v>1687500</v>
          </cell>
        </row>
        <row r="272">
          <cell r="E272" t="str">
            <v>Mutiara Tani, UD/Abdur Rahman</v>
          </cell>
          <cell r="I272">
            <v>2450000</v>
          </cell>
          <cell r="L272">
            <v>0</v>
          </cell>
          <cell r="M272">
            <v>3120000</v>
          </cell>
        </row>
        <row r="273">
          <cell r="E273" t="str">
            <v>Mutiara Tani, UD/Abdur Rahman</v>
          </cell>
          <cell r="I273">
            <v>12235000</v>
          </cell>
          <cell r="L273">
            <v>0</v>
          </cell>
          <cell r="M273">
            <v>675000</v>
          </cell>
        </row>
        <row r="274">
          <cell r="E274" t="str">
            <v>Mutiara Tani, UD/Abdur Rahman</v>
          </cell>
          <cell r="I274">
            <v>3650000</v>
          </cell>
          <cell r="L274">
            <v>0</v>
          </cell>
          <cell r="M274">
            <v>2927500</v>
          </cell>
        </row>
        <row r="275">
          <cell r="E275" t="str">
            <v>Mutiara Tani, UD/Abdur Rahman</v>
          </cell>
          <cell r="I275">
            <v>540000000</v>
          </cell>
          <cell r="L275">
            <v>0</v>
          </cell>
          <cell r="M275">
            <v>2225000</v>
          </cell>
        </row>
        <row r="276">
          <cell r="E276" t="str">
            <v>Mutiara Tani, UD/Abdur Rahman</v>
          </cell>
          <cell r="I276">
            <v>450000000</v>
          </cell>
          <cell r="L276">
            <v>0</v>
          </cell>
          <cell r="M276">
            <v>9750000</v>
          </cell>
        </row>
        <row r="277">
          <cell r="E277" t="str">
            <v>Mutiara Tani, UD/Abdur Rahman</v>
          </cell>
          <cell r="I277">
            <v>20900000</v>
          </cell>
          <cell r="L277">
            <v>0</v>
          </cell>
          <cell r="M277">
            <v>8800000</v>
          </cell>
        </row>
        <row r="278">
          <cell r="E278" t="str">
            <v>Mutiara Tani, UD/Abdur Rahman</v>
          </cell>
          <cell r="I278">
            <v>312000000</v>
          </cell>
          <cell r="L278">
            <v>0</v>
          </cell>
          <cell r="M278">
            <v>1900000</v>
          </cell>
        </row>
        <row r="279">
          <cell r="E279" t="str">
            <v>Mutiara Tani, UD/Abdur Rahman</v>
          </cell>
          <cell r="I279">
            <v>266000000</v>
          </cell>
          <cell r="L279">
            <v>0</v>
          </cell>
          <cell r="M279">
            <v>9162500</v>
          </cell>
        </row>
        <row r="280">
          <cell r="E280" t="str">
            <v>Mutiara Tani, UD/Abdur Rahman</v>
          </cell>
          <cell r="I280">
            <v>31350000</v>
          </cell>
          <cell r="L280">
            <v>0</v>
          </cell>
          <cell r="M280">
            <v>5100000</v>
          </cell>
        </row>
        <row r="281">
          <cell r="E281" t="str">
            <v>Nusantara Agro/Viola</v>
          </cell>
          <cell r="I281">
            <v>7040000</v>
          </cell>
          <cell r="L281">
            <v>0</v>
          </cell>
          <cell r="M281">
            <v>2125000</v>
          </cell>
        </row>
        <row r="282">
          <cell r="E282" t="str">
            <v>Nusantara Agro/Viola</v>
          </cell>
          <cell r="I282">
            <v>1140000</v>
          </cell>
          <cell r="L282">
            <v>0</v>
          </cell>
          <cell r="M282">
            <v>6240000</v>
          </cell>
        </row>
        <row r="283">
          <cell r="E283" t="str">
            <v>Prima Tani/Candra Sanjaya</v>
          </cell>
          <cell r="I283">
            <v>11000000</v>
          </cell>
          <cell r="L283">
            <v>0</v>
          </cell>
          <cell r="M283">
            <v>7600000</v>
          </cell>
        </row>
        <row r="284">
          <cell r="E284" t="str">
            <v>Pusaka Tani Jaya/Supri</v>
          </cell>
          <cell r="I284">
            <v>8640000</v>
          </cell>
          <cell r="L284">
            <v>0</v>
          </cell>
          <cell r="M284">
            <v>6840000</v>
          </cell>
        </row>
        <row r="285">
          <cell r="E285" t="str">
            <v>Putra Makmur Abadi, UD</v>
          </cell>
          <cell r="I285">
            <v>1950000</v>
          </cell>
          <cell r="L285">
            <v>0</v>
          </cell>
          <cell r="M285">
            <v>6240000</v>
          </cell>
        </row>
        <row r="286">
          <cell r="E286" t="str">
            <v>Restu Tani, UD/Ahmad</v>
          </cell>
          <cell r="I286">
            <v>5184000</v>
          </cell>
          <cell r="L286">
            <v>0</v>
          </cell>
          <cell r="M286">
            <v>2760000</v>
          </cell>
        </row>
        <row r="287">
          <cell r="E287" t="str">
            <v>Restu Tani, UD/Ahmad</v>
          </cell>
          <cell r="I287">
            <v>3120000</v>
          </cell>
          <cell r="L287">
            <v>0</v>
          </cell>
          <cell r="M287">
            <v>18990000</v>
          </cell>
        </row>
        <row r="288">
          <cell r="E288" t="str">
            <v>Restu Tani/Rio</v>
          </cell>
          <cell r="I288">
            <v>3160000</v>
          </cell>
          <cell r="L288">
            <v>0</v>
          </cell>
          <cell r="M288">
            <v>8906400</v>
          </cell>
        </row>
        <row r="289">
          <cell r="E289" t="str">
            <v>Rimba Kelapa/Ribut Aminah</v>
          </cell>
          <cell r="I289">
            <v>1700000</v>
          </cell>
          <cell r="L289">
            <v>0</v>
          </cell>
          <cell r="M289">
            <v>1790000</v>
          </cell>
        </row>
        <row r="290">
          <cell r="E290" t="str">
            <v>Rimba Kelapa/Ribut Aminah</v>
          </cell>
          <cell r="I290">
            <v>22115000</v>
          </cell>
          <cell r="L290">
            <v>0</v>
          </cell>
          <cell r="M290">
            <v>7180000</v>
          </cell>
        </row>
        <row r="291">
          <cell r="E291" t="str">
            <v>Rimba Kelapa/Ribut Aminah</v>
          </cell>
          <cell r="I291">
            <v>15310000</v>
          </cell>
          <cell r="L291">
            <v>0</v>
          </cell>
          <cell r="M291">
            <v>86100000</v>
          </cell>
        </row>
        <row r="292">
          <cell r="E292" t="str">
            <v>Rimba Kelapa/Ribut Aminah</v>
          </cell>
          <cell r="I292">
            <v>8460000</v>
          </cell>
          <cell r="L292">
            <v>0</v>
          </cell>
          <cell r="M292">
            <v>18900000</v>
          </cell>
        </row>
        <row r="293">
          <cell r="E293" t="str">
            <v>Rimba Kelapa/Ribut Aminah</v>
          </cell>
          <cell r="I293">
            <v>10920000</v>
          </cell>
          <cell r="L293">
            <v>0</v>
          </cell>
          <cell r="M293">
            <v>5100000</v>
          </cell>
        </row>
        <row r="294">
          <cell r="E294" t="str">
            <v>Rimba Kelapa/Ribut Aminah</v>
          </cell>
          <cell r="I294">
            <v>7800000</v>
          </cell>
          <cell r="L294">
            <v>0</v>
          </cell>
          <cell r="M294">
            <v>2560000</v>
          </cell>
        </row>
        <row r="295">
          <cell r="E295" t="str">
            <v>Rimba Kelapa/Ribut Aminah</v>
          </cell>
          <cell r="I295">
            <v>13420000</v>
          </cell>
          <cell r="L295">
            <v>0</v>
          </cell>
          <cell r="M295">
            <v>1250000</v>
          </cell>
        </row>
        <row r="296">
          <cell r="E296" t="str">
            <v>Rizki Agro/Sakti</v>
          </cell>
          <cell r="I296">
            <v>7327500</v>
          </cell>
          <cell r="L296">
            <v>0</v>
          </cell>
          <cell r="M296">
            <v>8000000</v>
          </cell>
        </row>
        <row r="297">
          <cell r="E297" t="str">
            <v>Rizki Santoso, UD</v>
          </cell>
          <cell r="I297">
            <v>8090000</v>
          </cell>
          <cell r="L297">
            <v>0</v>
          </cell>
          <cell r="M297">
            <v>3187500</v>
          </cell>
        </row>
        <row r="298">
          <cell r="E298" t="str">
            <v>Rizki Santoso, UD</v>
          </cell>
          <cell r="I298">
            <v>5302500</v>
          </cell>
          <cell r="L298">
            <v>0</v>
          </cell>
          <cell r="M298">
            <v>3400000</v>
          </cell>
        </row>
        <row r="299">
          <cell r="E299" t="str">
            <v>Rizki Santoso, UD</v>
          </cell>
          <cell r="I299">
            <v>17102500</v>
          </cell>
          <cell r="L299">
            <v>0</v>
          </cell>
          <cell r="M299">
            <v>1700000</v>
          </cell>
        </row>
        <row r="300">
          <cell r="E300" t="str">
            <v>Rizki Santoso, UD</v>
          </cell>
          <cell r="I300">
            <v>2720000</v>
          </cell>
          <cell r="L300">
            <v>0</v>
          </cell>
          <cell r="M300">
            <v>6150000</v>
          </cell>
        </row>
        <row r="301">
          <cell r="E301" t="str">
            <v>Rizki Santoso, UD</v>
          </cell>
          <cell r="I301">
            <v>6000000</v>
          </cell>
          <cell r="L301">
            <v>0</v>
          </cell>
          <cell r="M301">
            <v>3640000</v>
          </cell>
        </row>
        <row r="302">
          <cell r="E302" t="str">
            <v>Rizki Santoso, UD</v>
          </cell>
          <cell r="I302">
            <v>4970000</v>
          </cell>
          <cell r="L302">
            <v>0</v>
          </cell>
          <cell r="M302">
            <v>1490000</v>
          </cell>
        </row>
        <row r="303">
          <cell r="E303" t="str">
            <v>Rizki Santoso, UD</v>
          </cell>
          <cell r="I303">
            <v>1900000</v>
          </cell>
          <cell r="L303">
            <v>0</v>
          </cell>
          <cell r="M303">
            <v>970000</v>
          </cell>
        </row>
        <row r="304">
          <cell r="E304" t="str">
            <v>Rizki Santoso, UD</v>
          </cell>
          <cell r="I304">
            <v>2463500</v>
          </cell>
          <cell r="L304">
            <v>0</v>
          </cell>
          <cell r="M304">
            <v>4240000</v>
          </cell>
        </row>
        <row r="305">
          <cell r="E305" t="str">
            <v>Rizki Santoso, UD</v>
          </cell>
          <cell r="I305">
            <v>10012500</v>
          </cell>
          <cell r="L305">
            <v>0</v>
          </cell>
          <cell r="M305">
            <v>24000000</v>
          </cell>
        </row>
        <row r="306">
          <cell r="E306" t="str">
            <v>Sari Bumi/Alvin</v>
          </cell>
          <cell r="I306">
            <v>3400000</v>
          </cell>
          <cell r="L306">
            <v>0</v>
          </cell>
          <cell r="M306">
            <v>8910000</v>
          </cell>
        </row>
        <row r="307">
          <cell r="E307" t="str">
            <v>Setia Hati, Toko</v>
          </cell>
          <cell r="I307">
            <v>20800000</v>
          </cell>
          <cell r="L307">
            <v>0</v>
          </cell>
          <cell r="M307">
            <v>855000</v>
          </cell>
        </row>
        <row r="308">
          <cell r="E308" t="str">
            <v>Setia Jaya, UD/Saiful</v>
          </cell>
          <cell r="I308">
            <v>24620000</v>
          </cell>
          <cell r="L308">
            <v>0</v>
          </cell>
          <cell r="M308">
            <v>10990000</v>
          </cell>
        </row>
        <row r="309">
          <cell r="E309" t="str">
            <v>Setia Jaya, UD/Saiful</v>
          </cell>
          <cell r="I309">
            <v>26655000</v>
          </cell>
          <cell r="L309">
            <v>0</v>
          </cell>
          <cell r="M309">
            <v>7800000</v>
          </cell>
        </row>
        <row r="310">
          <cell r="E310" t="str">
            <v>Setia Jaya, UD/Saiful</v>
          </cell>
          <cell r="I310">
            <v>17825000</v>
          </cell>
          <cell r="L310">
            <v>0</v>
          </cell>
          <cell r="M310">
            <v>9750000</v>
          </cell>
        </row>
        <row r="311">
          <cell r="E311" t="str">
            <v>Setia Jaya, UD/Saiful</v>
          </cell>
          <cell r="I311">
            <v>54000000</v>
          </cell>
          <cell r="L311">
            <v>0</v>
          </cell>
          <cell r="M311">
            <v>18545000</v>
          </cell>
        </row>
        <row r="312">
          <cell r="E312" t="str">
            <v>Setia Jaya, UD/Saiful</v>
          </cell>
          <cell r="I312">
            <v>16700000</v>
          </cell>
          <cell r="L312">
            <v>0</v>
          </cell>
          <cell r="M312">
            <v>17600000</v>
          </cell>
        </row>
        <row r="313">
          <cell r="E313" t="str">
            <v>Sriwijaya/Yahya</v>
          </cell>
          <cell r="I313">
            <v>14121200</v>
          </cell>
          <cell r="L313">
            <v>0</v>
          </cell>
          <cell r="M313">
            <v>1065000</v>
          </cell>
        </row>
        <row r="314">
          <cell r="E314" t="str">
            <v>Sriwijaya/Yahya</v>
          </cell>
          <cell r="I314">
            <v>1008000</v>
          </cell>
          <cell r="L314">
            <v>0</v>
          </cell>
          <cell r="M314">
            <v>1450000</v>
          </cell>
        </row>
        <row r="315">
          <cell r="E315" t="str">
            <v>Sriwijaya/Yahya</v>
          </cell>
          <cell r="I315">
            <v>22880000</v>
          </cell>
          <cell r="L315">
            <v>0</v>
          </cell>
          <cell r="M315">
            <v>2390000</v>
          </cell>
        </row>
        <row r="316">
          <cell r="E316" t="str">
            <v>Sriwijaya/Yahya</v>
          </cell>
          <cell r="I316">
            <v>7800000</v>
          </cell>
          <cell r="L316">
            <v>0</v>
          </cell>
          <cell r="M316">
            <v>199800000</v>
          </cell>
        </row>
        <row r="317">
          <cell r="E317" t="str">
            <v>Sriwijaya/Yahya</v>
          </cell>
          <cell r="I317">
            <v>750000</v>
          </cell>
          <cell r="L317">
            <v>0</v>
          </cell>
          <cell r="M317">
            <v>333000000</v>
          </cell>
        </row>
        <row r="318">
          <cell r="E318" t="str">
            <v>Sriwijaya/Yahya</v>
          </cell>
          <cell r="I318">
            <v>9900000</v>
          </cell>
          <cell r="L318">
            <v>0</v>
          </cell>
          <cell r="M318">
            <v>50625000</v>
          </cell>
        </row>
        <row r="319">
          <cell r="E319" t="str">
            <v>Sriwijaya/Yahya</v>
          </cell>
          <cell r="I319">
            <v>1740000</v>
          </cell>
          <cell r="L319">
            <v>0</v>
          </cell>
          <cell r="M319">
            <v>35200000</v>
          </cell>
        </row>
        <row r="320">
          <cell r="E320" t="str">
            <v>Sriwijaya/Yahya</v>
          </cell>
          <cell r="I320">
            <v>15450000</v>
          </cell>
          <cell r="L320">
            <v>0</v>
          </cell>
          <cell r="M320">
            <v>15600000</v>
          </cell>
        </row>
        <row r="321">
          <cell r="E321" t="str">
            <v>Subur/Liang Han</v>
          </cell>
          <cell r="I321">
            <v>6050000</v>
          </cell>
          <cell r="L321">
            <v>0</v>
          </cell>
          <cell r="M321">
            <v>36275000</v>
          </cell>
        </row>
        <row r="322">
          <cell r="E322" t="str">
            <v>Subur/Liang Han</v>
          </cell>
          <cell r="I322">
            <v>1650000</v>
          </cell>
          <cell r="L322">
            <v>0</v>
          </cell>
          <cell r="M322">
            <v>103125000</v>
          </cell>
        </row>
        <row r="323">
          <cell r="E323" t="str">
            <v>Subur/Liang Han</v>
          </cell>
          <cell r="I323">
            <v>3086000</v>
          </cell>
          <cell r="L323">
            <v>0</v>
          </cell>
          <cell r="M323">
            <v>19920000</v>
          </cell>
        </row>
        <row r="324">
          <cell r="E324" t="str">
            <v>Sumber Rejeki Tani/Ira</v>
          </cell>
          <cell r="I324">
            <v>2800000</v>
          </cell>
          <cell r="L324">
            <v>0</v>
          </cell>
          <cell r="M324">
            <v>79680000</v>
          </cell>
        </row>
        <row r="325">
          <cell r="E325" t="str">
            <v>Sumber Rejeki, Toko/Srikanah</v>
          </cell>
          <cell r="I325">
            <v>5720000</v>
          </cell>
          <cell r="L325">
            <v>0</v>
          </cell>
          <cell r="M325">
            <v>11600000</v>
          </cell>
        </row>
        <row r="326">
          <cell r="E326" t="str">
            <v>Sumber Rejeki, UD/Alwi</v>
          </cell>
          <cell r="I326">
            <v>1560000</v>
          </cell>
          <cell r="L326">
            <v>0</v>
          </cell>
          <cell r="M326">
            <v>7180000</v>
          </cell>
        </row>
        <row r="327">
          <cell r="E327" t="str">
            <v>Sumber Rejeki, UD/Sigit</v>
          </cell>
          <cell r="I327">
            <v>1760000</v>
          </cell>
          <cell r="L327">
            <v>0</v>
          </cell>
          <cell r="M327">
            <v>17675000</v>
          </cell>
        </row>
        <row r="328">
          <cell r="E328" t="str">
            <v>Sumber Rejeki, UD/Sigit</v>
          </cell>
          <cell r="I328">
            <v>3600000</v>
          </cell>
          <cell r="L328">
            <v>0</v>
          </cell>
          <cell r="M328">
            <v>7000000</v>
          </cell>
        </row>
        <row r="329">
          <cell r="E329" t="str">
            <v>Sumber Rejeki/Benny</v>
          </cell>
          <cell r="I329">
            <v>5895000</v>
          </cell>
          <cell r="L329">
            <v>0</v>
          </cell>
          <cell r="M329">
            <v>5000000</v>
          </cell>
        </row>
        <row r="330">
          <cell r="E330" t="str">
            <v>Sumber Rejeki/Maksum</v>
          </cell>
          <cell r="I330">
            <v>4170000</v>
          </cell>
          <cell r="L330">
            <v>0</v>
          </cell>
          <cell r="M330">
            <v>2390000</v>
          </cell>
        </row>
        <row r="331">
          <cell r="E331" t="str">
            <v>Sumber Rejeki/Maksum</v>
          </cell>
          <cell r="I331">
            <v>3885000</v>
          </cell>
          <cell r="L331">
            <v>0</v>
          </cell>
          <cell r="M331">
            <v>97600000</v>
          </cell>
        </row>
        <row r="332">
          <cell r="E332" t="str">
            <v>Sumber Rejeki/Tono</v>
          </cell>
          <cell r="I332">
            <v>2590000</v>
          </cell>
          <cell r="L332">
            <v>0</v>
          </cell>
          <cell r="M332">
            <v>20000000</v>
          </cell>
        </row>
        <row r="333">
          <cell r="E333" t="str">
            <v>Sumber Rejeki/Tono</v>
          </cell>
          <cell r="I333">
            <v>10200000</v>
          </cell>
          <cell r="L333">
            <v>0</v>
          </cell>
          <cell r="M333">
            <v>3940000</v>
          </cell>
        </row>
        <row r="334">
          <cell r="E334" t="str">
            <v>Sumber Rejeki/Tono</v>
          </cell>
          <cell r="I334">
            <v>10400000</v>
          </cell>
          <cell r="L334">
            <v>0</v>
          </cell>
          <cell r="M334">
            <v>18400000</v>
          </cell>
        </row>
        <row r="335">
          <cell r="E335" t="str">
            <v>Sumber Rejeki/Tono</v>
          </cell>
          <cell r="I335">
            <v>9900000</v>
          </cell>
          <cell r="L335">
            <v>0</v>
          </cell>
          <cell r="M335">
            <v>27384500</v>
          </cell>
        </row>
        <row r="336">
          <cell r="E336" t="str">
            <v>Sumber Rejeki/Tono</v>
          </cell>
          <cell r="I336">
            <v>2718000</v>
          </cell>
          <cell r="L336">
            <v>0</v>
          </cell>
          <cell r="M336">
            <v>13679250</v>
          </cell>
        </row>
        <row r="337">
          <cell r="E337" t="str">
            <v>Sumber Rejeki/Tono</v>
          </cell>
          <cell r="I337">
            <v>10800000</v>
          </cell>
          <cell r="L337">
            <v>0</v>
          </cell>
          <cell r="M337">
            <v>2390000</v>
          </cell>
        </row>
        <row r="338">
          <cell r="E338" t="str">
            <v>Sumber Rejeki/Tono</v>
          </cell>
          <cell r="I338">
            <v>20250000</v>
          </cell>
          <cell r="L338">
            <v>0</v>
          </cell>
          <cell r="M338">
            <v>10916750</v>
          </cell>
        </row>
        <row r="339">
          <cell r="E339" t="str">
            <v>Sumber Rejeki/Tono</v>
          </cell>
          <cell r="I339">
            <v>6150000</v>
          </cell>
          <cell r="L339">
            <v>0</v>
          </cell>
          <cell r="M339">
            <v>3520000</v>
          </cell>
        </row>
        <row r="340">
          <cell r="E340" t="str">
            <v>Sumber Rejeki/Yuliatin</v>
          </cell>
          <cell r="I340">
            <v>1175000</v>
          </cell>
          <cell r="L340">
            <v>0</v>
          </cell>
          <cell r="M340">
            <v>1455000</v>
          </cell>
        </row>
        <row r="341">
          <cell r="E341" t="str">
            <v>Sumber Rejeki/Yuliatin</v>
          </cell>
          <cell r="I341">
            <v>2450000</v>
          </cell>
          <cell r="L341">
            <v>0</v>
          </cell>
          <cell r="M341">
            <v>4410000</v>
          </cell>
        </row>
        <row r="342">
          <cell r="E342" t="str">
            <v>Sumber Rejeki/Yuliatin</v>
          </cell>
          <cell r="I342">
            <v>875000</v>
          </cell>
          <cell r="L342">
            <v>0</v>
          </cell>
          <cell r="M342">
            <v>9150000</v>
          </cell>
        </row>
        <row r="343">
          <cell r="E343" t="str">
            <v>Sumber Utama, UD</v>
          </cell>
          <cell r="I343">
            <v>1220000</v>
          </cell>
          <cell r="L343">
            <v>0</v>
          </cell>
          <cell r="M343">
            <v>10400000</v>
          </cell>
        </row>
        <row r="344">
          <cell r="E344" t="str">
            <v>Sumber Utama, UD</v>
          </cell>
          <cell r="I344">
            <v>800000</v>
          </cell>
          <cell r="L344">
            <v>0</v>
          </cell>
          <cell r="M344">
            <v>2125000</v>
          </cell>
        </row>
        <row r="345">
          <cell r="E345" t="str">
            <v>Tani Holik, Toko</v>
          </cell>
          <cell r="I345">
            <v>3000000</v>
          </cell>
          <cell r="L345">
            <v>0</v>
          </cell>
          <cell r="M345">
            <v>29312500</v>
          </cell>
        </row>
        <row r="346">
          <cell r="E346" t="str">
            <v>Tani Holik, Toko</v>
          </cell>
          <cell r="I346">
            <v>322500</v>
          </cell>
          <cell r="L346">
            <v>0</v>
          </cell>
          <cell r="M346">
            <v>10735000</v>
          </cell>
        </row>
        <row r="347">
          <cell r="E347" t="str">
            <v>Tani Holik, Toko</v>
          </cell>
          <cell r="I347">
            <v>615000</v>
          </cell>
          <cell r="L347">
            <v>0</v>
          </cell>
          <cell r="M347">
            <v>1620000</v>
          </cell>
        </row>
        <row r="348">
          <cell r="E348" t="str">
            <v>Tani Holik, Toko</v>
          </cell>
          <cell r="I348">
            <v>1840000</v>
          </cell>
          <cell r="L348">
            <v>0</v>
          </cell>
          <cell r="M348">
            <v>1050000</v>
          </cell>
        </row>
        <row r="349">
          <cell r="E349" t="str">
            <v>Tani Holik, Toko</v>
          </cell>
          <cell r="I349">
            <v>1520000</v>
          </cell>
          <cell r="L349">
            <v>0</v>
          </cell>
          <cell r="M349">
            <v>5312500</v>
          </cell>
        </row>
        <row r="350">
          <cell r="E350" t="str">
            <v>Tani Holik, Toko</v>
          </cell>
          <cell r="I350">
            <v>732500</v>
          </cell>
          <cell r="L350">
            <v>0</v>
          </cell>
          <cell r="M350">
            <v>6000000</v>
          </cell>
        </row>
        <row r="351">
          <cell r="E351" t="str">
            <v>Tani Jaya/Afuk</v>
          </cell>
          <cell r="I351">
            <v>3500000</v>
          </cell>
          <cell r="L351">
            <v>0</v>
          </cell>
          <cell r="M351">
            <v>23120000</v>
          </cell>
        </row>
        <row r="352">
          <cell r="E352" t="str">
            <v>Tani Jaya/Afuk</v>
          </cell>
          <cell r="I352">
            <v>19350000</v>
          </cell>
          <cell r="L352">
            <v>0</v>
          </cell>
          <cell r="M352">
            <v>11720000</v>
          </cell>
        </row>
        <row r="353">
          <cell r="E353" t="str">
            <v>Tani Jaya/Afuk</v>
          </cell>
          <cell r="I353">
            <v>5287250</v>
          </cell>
          <cell r="L353">
            <v>0</v>
          </cell>
          <cell r="M353">
            <v>7360000</v>
          </cell>
        </row>
        <row r="354">
          <cell r="E354" t="str">
            <v>Tani Jaya/Afuk</v>
          </cell>
          <cell r="I354">
            <v>2250000</v>
          </cell>
          <cell r="L354">
            <v>0</v>
          </cell>
          <cell r="M354">
            <v>91200000</v>
          </cell>
        </row>
        <row r="355">
          <cell r="E355" t="str">
            <v>Tani Jaya/Afuk</v>
          </cell>
          <cell r="I355">
            <v>3500000</v>
          </cell>
          <cell r="L355">
            <v>0</v>
          </cell>
          <cell r="M355">
            <v>10000000</v>
          </cell>
        </row>
        <row r="356">
          <cell r="E356" t="str">
            <v>Tani Jaya/Afuk</v>
          </cell>
          <cell r="I356">
            <v>1900000</v>
          </cell>
          <cell r="L356">
            <v>0</v>
          </cell>
          <cell r="M356">
            <v>10000000</v>
          </cell>
        </row>
        <row r="357">
          <cell r="E357" t="str">
            <v>Tani Maju/Ayus Tinah</v>
          </cell>
          <cell r="I357">
            <v>6255000</v>
          </cell>
          <cell r="L357">
            <v>0</v>
          </cell>
          <cell r="M357">
            <v>10255000</v>
          </cell>
        </row>
        <row r="358">
          <cell r="E358" t="str">
            <v>Tani Makmur/Akhmad</v>
          </cell>
          <cell r="I358">
            <v>3200000</v>
          </cell>
          <cell r="L358">
            <v>0</v>
          </cell>
          <cell r="M358">
            <v>48558000</v>
          </cell>
        </row>
        <row r="359">
          <cell r="E359" t="str">
            <v>Tani Makmur/Akhmad</v>
          </cell>
          <cell r="I359">
            <v>11200000</v>
          </cell>
          <cell r="L359">
            <v>0</v>
          </cell>
          <cell r="M359">
            <v>2320000</v>
          </cell>
        </row>
        <row r="360">
          <cell r="E360" t="str">
            <v>Tani Makmur/Ashuri</v>
          </cell>
          <cell r="I360">
            <v>2132000</v>
          </cell>
          <cell r="L360">
            <v>0</v>
          </cell>
          <cell r="M360">
            <v>1950000</v>
          </cell>
        </row>
        <row r="361">
          <cell r="E361" t="str">
            <v>Tani Makmur/Sunaryo</v>
          </cell>
          <cell r="I361">
            <v>3320000</v>
          </cell>
          <cell r="L361">
            <v>0</v>
          </cell>
          <cell r="M361">
            <v>11352500</v>
          </cell>
        </row>
        <row r="362">
          <cell r="E362" t="str">
            <v>Timbol Jaya/Gischa</v>
          </cell>
          <cell r="I362">
            <v>13800000</v>
          </cell>
          <cell r="L362">
            <v>0</v>
          </cell>
          <cell r="M362">
            <v>3400000</v>
          </cell>
        </row>
        <row r="363">
          <cell r="E363" t="str">
            <v>Timbol Jaya/Gischa</v>
          </cell>
          <cell r="I363">
            <v>3300000</v>
          </cell>
          <cell r="L363">
            <v>0</v>
          </cell>
          <cell r="M363">
            <v>15840000</v>
          </cell>
        </row>
        <row r="364">
          <cell r="E364" t="str">
            <v>Tunas Jaya, UD/Bacuk</v>
          </cell>
          <cell r="I364">
            <v>6000000</v>
          </cell>
          <cell r="L364">
            <v>0</v>
          </cell>
          <cell r="M364">
            <v>9100000</v>
          </cell>
        </row>
        <row r="365">
          <cell r="E365" t="str">
            <v>Tunas Makmur Agriculture/Deni</v>
          </cell>
          <cell r="I365">
            <v>2000000</v>
          </cell>
          <cell r="L365">
            <v>0</v>
          </cell>
          <cell r="M365">
            <v>4584000</v>
          </cell>
        </row>
        <row r="366">
          <cell r="E366" t="str">
            <v>Wes Joyo/Hermas</v>
          </cell>
          <cell r="I366">
            <v>3960000</v>
          </cell>
          <cell r="L366">
            <v>0</v>
          </cell>
          <cell r="M366">
            <v>3120000</v>
          </cell>
        </row>
        <row r="367">
          <cell r="E367" t="str">
            <v>Wes Joyo/Hermas</v>
          </cell>
          <cell r="I367">
            <v>4200000</v>
          </cell>
          <cell r="L367">
            <v>0</v>
          </cell>
          <cell r="M367">
            <v>15800000</v>
          </cell>
        </row>
        <row r="368">
          <cell r="E368" t="str">
            <v>Wes Joyo/Hermas</v>
          </cell>
          <cell r="I368">
            <v>8700000</v>
          </cell>
          <cell r="L368">
            <v>0</v>
          </cell>
          <cell r="M368">
            <v>44760000</v>
          </cell>
        </row>
        <row r="369">
          <cell r="E369" t="str">
            <v>Wes Joyo/Hermas</v>
          </cell>
          <cell r="I369">
            <v>1900000</v>
          </cell>
          <cell r="L369">
            <v>0</v>
          </cell>
          <cell r="M369">
            <v>24925000</v>
          </cell>
        </row>
        <row r="370">
          <cell r="E370" t="str">
            <v>Wes Joyo/Hermas</v>
          </cell>
          <cell r="I370">
            <v>8925000</v>
          </cell>
          <cell r="L370">
            <v>0</v>
          </cell>
          <cell r="M370">
            <v>15937500</v>
          </cell>
        </row>
        <row r="371">
          <cell r="E371" t="str">
            <v>Wes Joyo/Hermas</v>
          </cell>
          <cell r="I371">
            <v>1820000</v>
          </cell>
          <cell r="L371">
            <v>0</v>
          </cell>
          <cell r="M371">
            <v>5760000</v>
          </cell>
        </row>
        <row r="372">
          <cell r="E372" t="str">
            <v>Wes Joyo/Hermas</v>
          </cell>
          <cell r="I372">
            <v>4160000</v>
          </cell>
          <cell r="L372">
            <v>0</v>
          </cell>
          <cell r="M372">
            <v>1740000</v>
          </cell>
        </row>
        <row r="373">
          <cell r="E373"/>
          <cell r="I373"/>
          <cell r="L373">
            <v>0</v>
          </cell>
          <cell r="M373">
            <v>2200000</v>
          </cell>
        </row>
        <row r="374">
          <cell r="E374"/>
          <cell r="I374"/>
          <cell r="L374">
            <v>0</v>
          </cell>
          <cell r="M374">
            <v>3880000</v>
          </cell>
        </row>
        <row r="375">
          <cell r="E375"/>
          <cell r="I375"/>
          <cell r="L375">
            <v>0</v>
          </cell>
          <cell r="M375">
            <v>2551500</v>
          </cell>
        </row>
        <row r="376">
          <cell r="E376"/>
          <cell r="I376"/>
          <cell r="L376">
            <v>0</v>
          </cell>
          <cell r="M376">
            <v>4240000</v>
          </cell>
        </row>
        <row r="377">
          <cell r="E377"/>
          <cell r="I377"/>
          <cell r="L377">
            <v>0</v>
          </cell>
          <cell r="M377">
            <v>3240000</v>
          </cell>
        </row>
        <row r="378">
          <cell r="E378"/>
          <cell r="I378"/>
          <cell r="L378">
            <v>0</v>
          </cell>
          <cell r="M378">
            <v>84000000</v>
          </cell>
        </row>
        <row r="379">
          <cell r="E379"/>
          <cell r="I379"/>
          <cell r="L379">
            <v>0</v>
          </cell>
          <cell r="M379">
            <v>11400000</v>
          </cell>
        </row>
        <row r="380">
          <cell r="E380"/>
          <cell r="I380"/>
          <cell r="L380">
            <v>0</v>
          </cell>
          <cell r="M380">
            <v>9470000</v>
          </cell>
        </row>
        <row r="381">
          <cell r="E381"/>
          <cell r="I381"/>
          <cell r="L381">
            <v>0</v>
          </cell>
          <cell r="M381">
            <v>9500000</v>
          </cell>
        </row>
        <row r="382">
          <cell r="E382"/>
          <cell r="I382"/>
          <cell r="L382">
            <v>0</v>
          </cell>
          <cell r="M382">
            <v>15800000</v>
          </cell>
        </row>
        <row r="383">
          <cell r="E383"/>
          <cell r="I383"/>
          <cell r="L383">
            <v>0</v>
          </cell>
          <cell r="M383">
            <v>2915000</v>
          </cell>
        </row>
        <row r="384">
          <cell r="E384"/>
          <cell r="I384"/>
          <cell r="L384">
            <v>0</v>
          </cell>
          <cell r="M384">
            <v>2122500</v>
          </cell>
        </row>
        <row r="385">
          <cell r="E385"/>
          <cell r="I385"/>
          <cell r="L385">
            <v>0</v>
          </cell>
          <cell r="M385">
            <v>41835000</v>
          </cell>
        </row>
        <row r="386">
          <cell r="E386"/>
          <cell r="I386"/>
          <cell r="L386">
            <v>0</v>
          </cell>
          <cell r="M386">
            <v>15900000</v>
          </cell>
        </row>
        <row r="387">
          <cell r="E387"/>
          <cell r="I387"/>
          <cell r="L387">
            <v>0</v>
          </cell>
          <cell r="M387">
            <v>3240000</v>
          </cell>
        </row>
        <row r="388">
          <cell r="E388"/>
          <cell r="I388"/>
          <cell r="L388">
            <v>0</v>
          </cell>
          <cell r="M388">
            <v>2745000</v>
          </cell>
        </row>
        <row r="389">
          <cell r="E389"/>
          <cell r="I389"/>
          <cell r="L389">
            <v>0</v>
          </cell>
          <cell r="M389">
            <v>3800000</v>
          </cell>
        </row>
        <row r="390">
          <cell r="E390"/>
          <cell r="I390"/>
          <cell r="L390">
            <v>0</v>
          </cell>
          <cell r="M390">
            <v>3500000</v>
          </cell>
        </row>
        <row r="391">
          <cell r="E391"/>
          <cell r="I391"/>
          <cell r="L391">
            <v>0</v>
          </cell>
          <cell r="M391">
            <v>21210000</v>
          </cell>
        </row>
        <row r="392">
          <cell r="E392"/>
          <cell r="I392"/>
          <cell r="L392">
            <v>0</v>
          </cell>
          <cell r="M392">
            <v>15820000</v>
          </cell>
        </row>
        <row r="393">
          <cell r="E393"/>
          <cell r="I393"/>
          <cell r="L393">
            <v>0</v>
          </cell>
          <cell r="M393">
            <v>3680000</v>
          </cell>
        </row>
        <row r="394">
          <cell r="E394"/>
          <cell r="I394"/>
          <cell r="L394">
            <v>0</v>
          </cell>
          <cell r="M394">
            <v>10000000</v>
          </cell>
        </row>
        <row r="395">
          <cell r="E395"/>
          <cell r="I395"/>
          <cell r="L395">
            <v>0</v>
          </cell>
          <cell r="M395">
            <v>22950000</v>
          </cell>
        </row>
        <row r="396">
          <cell r="E396"/>
          <cell r="I396"/>
          <cell r="L396">
            <v>0</v>
          </cell>
          <cell r="M396">
            <v>15547500</v>
          </cell>
        </row>
        <row r="397">
          <cell r="E397"/>
          <cell r="I397"/>
          <cell r="L397">
            <v>0</v>
          </cell>
          <cell r="M397">
            <v>1660000</v>
          </cell>
        </row>
        <row r="398">
          <cell r="E398"/>
          <cell r="I398"/>
          <cell r="L398">
            <v>0</v>
          </cell>
          <cell r="M398">
            <v>1200000</v>
          </cell>
        </row>
        <row r="399">
          <cell r="E399"/>
          <cell r="I399"/>
          <cell r="L399">
            <v>0</v>
          </cell>
          <cell r="M399">
            <v>700000</v>
          </cell>
        </row>
        <row r="400">
          <cell r="E400"/>
          <cell r="I400"/>
          <cell r="L400">
            <v>0</v>
          </cell>
          <cell r="M400">
            <v>437500</v>
          </cell>
        </row>
        <row r="401">
          <cell r="E401"/>
          <cell r="I401"/>
          <cell r="L401">
            <v>0</v>
          </cell>
          <cell r="M401">
            <v>9875000</v>
          </cell>
        </row>
        <row r="402">
          <cell r="E402"/>
          <cell r="I402"/>
          <cell r="L402">
            <v>0</v>
          </cell>
          <cell r="M402">
            <v>18480000</v>
          </cell>
        </row>
        <row r="403">
          <cell r="E403"/>
          <cell r="I403"/>
          <cell r="L403">
            <v>0</v>
          </cell>
          <cell r="M403">
            <v>2550000</v>
          </cell>
        </row>
        <row r="404">
          <cell r="E404"/>
          <cell r="I404"/>
          <cell r="L404">
            <v>0</v>
          </cell>
          <cell r="M404">
            <v>2550000</v>
          </cell>
        </row>
        <row r="405">
          <cell r="E405"/>
          <cell r="I405"/>
          <cell r="L405">
            <v>0</v>
          </cell>
          <cell r="M405">
            <v>4770000</v>
          </cell>
        </row>
        <row r="406">
          <cell r="E406"/>
          <cell r="I406"/>
          <cell r="L406">
            <v>0</v>
          </cell>
          <cell r="M406">
            <v>5100000</v>
          </cell>
        </row>
        <row r="407">
          <cell r="E407"/>
          <cell r="I407"/>
          <cell r="L407">
            <v>0</v>
          </cell>
          <cell r="M407">
            <v>8330000</v>
          </cell>
        </row>
        <row r="408">
          <cell r="E408"/>
          <cell r="I408"/>
          <cell r="L408">
            <v>0</v>
          </cell>
          <cell r="M408">
            <v>885000</v>
          </cell>
        </row>
        <row r="409">
          <cell r="E409"/>
          <cell r="I409"/>
          <cell r="L409">
            <v>0</v>
          </cell>
          <cell r="M409">
            <v>858000</v>
          </cell>
        </row>
        <row r="410">
          <cell r="E410"/>
          <cell r="I410"/>
          <cell r="L410">
            <v>0</v>
          </cell>
          <cell r="M410">
            <v>720000</v>
          </cell>
        </row>
        <row r="411">
          <cell r="E411"/>
          <cell r="I411"/>
          <cell r="L411">
            <v>0</v>
          </cell>
          <cell r="M411">
            <v>845000</v>
          </cell>
        </row>
        <row r="412">
          <cell r="E412"/>
          <cell r="I412"/>
          <cell r="L412">
            <v>0</v>
          </cell>
          <cell r="M412">
            <v>322500</v>
          </cell>
        </row>
        <row r="413">
          <cell r="E413"/>
          <cell r="I413"/>
          <cell r="L413">
            <v>0</v>
          </cell>
          <cell r="M413">
            <v>48920000</v>
          </cell>
        </row>
        <row r="414">
          <cell r="E414"/>
          <cell r="I414"/>
          <cell r="L414">
            <v>0</v>
          </cell>
          <cell r="M414">
            <v>9600000</v>
          </cell>
        </row>
        <row r="415">
          <cell r="E415"/>
          <cell r="I415"/>
          <cell r="L415">
            <v>0</v>
          </cell>
          <cell r="M415">
            <v>1350000</v>
          </cell>
        </row>
        <row r="416">
          <cell r="E416"/>
          <cell r="I416"/>
          <cell r="L416">
            <v>0</v>
          </cell>
          <cell r="M416">
            <v>2250000</v>
          </cell>
        </row>
        <row r="417">
          <cell r="E417"/>
          <cell r="I417"/>
          <cell r="L417">
            <v>0</v>
          </cell>
          <cell r="M417">
            <v>4530000</v>
          </cell>
        </row>
        <row r="418">
          <cell r="E418"/>
          <cell r="I418"/>
          <cell r="L418">
            <v>0</v>
          </cell>
          <cell r="M418">
            <v>13350000</v>
          </cell>
        </row>
        <row r="419">
          <cell r="E419"/>
          <cell r="I419"/>
          <cell r="L419">
            <v>0</v>
          </cell>
          <cell r="M419">
            <v>18880000</v>
          </cell>
        </row>
        <row r="420">
          <cell r="E420"/>
          <cell r="I420"/>
          <cell r="L420">
            <v>0</v>
          </cell>
          <cell r="M420">
            <v>34520000</v>
          </cell>
        </row>
        <row r="421">
          <cell r="E421"/>
          <cell r="I421"/>
          <cell r="L421">
            <v>0</v>
          </cell>
          <cell r="M421">
            <v>11620000</v>
          </cell>
        </row>
        <row r="422">
          <cell r="E422"/>
          <cell r="I422"/>
          <cell r="L422">
            <v>0</v>
          </cell>
          <cell r="M422">
            <v>14608000</v>
          </cell>
        </row>
        <row r="423">
          <cell r="E423"/>
          <cell r="I423"/>
          <cell r="L423">
            <v>0</v>
          </cell>
          <cell r="M423">
            <v>7580000</v>
          </cell>
        </row>
        <row r="424">
          <cell r="E424"/>
          <cell r="I424"/>
          <cell r="L424">
            <v>0</v>
          </cell>
          <cell r="M424">
            <v>645000</v>
          </cell>
        </row>
        <row r="425">
          <cell r="E425"/>
          <cell r="I425"/>
          <cell r="L425">
            <v>0</v>
          </cell>
          <cell r="M425">
            <v>3120000</v>
          </cell>
        </row>
        <row r="426">
          <cell r="E426"/>
          <cell r="I426"/>
          <cell r="L426">
            <v>0</v>
          </cell>
          <cell r="M426">
            <v>920000</v>
          </cell>
        </row>
        <row r="427">
          <cell r="E427"/>
          <cell r="I427"/>
          <cell r="L427">
            <v>0</v>
          </cell>
          <cell r="M427">
            <v>7000000</v>
          </cell>
        </row>
        <row r="428">
          <cell r="E428"/>
          <cell r="I428"/>
          <cell r="L428">
            <v>0</v>
          </cell>
          <cell r="M428">
            <v>5748000</v>
          </cell>
        </row>
        <row r="429">
          <cell r="E429"/>
          <cell r="I429"/>
          <cell r="L429">
            <v>0</v>
          </cell>
          <cell r="M429">
            <v>4320000</v>
          </cell>
        </row>
        <row r="430">
          <cell r="E430"/>
          <cell r="I430"/>
          <cell r="L430">
            <v>0</v>
          </cell>
          <cell r="M430">
            <v>3590000</v>
          </cell>
        </row>
        <row r="431">
          <cell r="E431"/>
          <cell r="I431"/>
          <cell r="L431">
            <v>0</v>
          </cell>
          <cell r="M431">
            <v>5740000</v>
          </cell>
        </row>
        <row r="432">
          <cell r="E432"/>
          <cell r="I432"/>
          <cell r="L432">
            <v>0</v>
          </cell>
          <cell r="M432">
            <v>1062500</v>
          </cell>
        </row>
        <row r="433">
          <cell r="E433"/>
          <cell r="I433"/>
          <cell r="L433">
            <v>0</v>
          </cell>
          <cell r="M433">
            <v>1215000</v>
          </cell>
        </row>
        <row r="434">
          <cell r="E434"/>
          <cell r="I434"/>
          <cell r="L434">
            <v>0</v>
          </cell>
          <cell r="M434">
            <v>2930000</v>
          </cell>
        </row>
        <row r="435">
          <cell r="E435"/>
          <cell r="I435"/>
          <cell r="L435">
            <v>0</v>
          </cell>
          <cell r="M435">
            <v>1155000</v>
          </cell>
        </row>
        <row r="436">
          <cell r="E436"/>
          <cell r="I436"/>
          <cell r="L436">
            <v>0</v>
          </cell>
          <cell r="M436">
            <v>4380000</v>
          </cell>
        </row>
        <row r="437">
          <cell r="E437"/>
          <cell r="I437"/>
          <cell r="L437">
            <v>0</v>
          </cell>
          <cell r="M437">
            <v>1950000</v>
          </cell>
        </row>
        <row r="438">
          <cell r="E438"/>
          <cell r="I438"/>
          <cell r="L438">
            <v>0</v>
          </cell>
          <cell r="M438">
            <v>12578000</v>
          </cell>
        </row>
        <row r="439">
          <cell r="E439"/>
          <cell r="I439"/>
          <cell r="L439">
            <v>0</v>
          </cell>
          <cell r="M439">
            <v>2125000</v>
          </cell>
        </row>
        <row r="440">
          <cell r="E440"/>
          <cell r="I440"/>
          <cell r="L440">
            <v>0</v>
          </cell>
          <cell r="M440">
            <v>1912800</v>
          </cell>
        </row>
        <row r="441">
          <cell r="E441"/>
          <cell r="I441"/>
          <cell r="L441">
            <v>0</v>
          </cell>
          <cell r="M441">
            <v>662500</v>
          </cell>
        </row>
        <row r="442">
          <cell r="E442"/>
          <cell r="I442"/>
          <cell r="L442">
            <v>0</v>
          </cell>
          <cell r="M442">
            <v>7680000</v>
          </cell>
        </row>
        <row r="443">
          <cell r="E443"/>
          <cell r="I443"/>
          <cell r="L443">
            <v>0</v>
          </cell>
          <cell r="M443">
            <v>3120000</v>
          </cell>
        </row>
        <row r="444">
          <cell r="E444"/>
          <cell r="I444"/>
          <cell r="L444">
            <v>0</v>
          </cell>
          <cell r="M444">
            <v>2220000</v>
          </cell>
        </row>
        <row r="445">
          <cell r="E445"/>
          <cell r="I445"/>
          <cell r="L445">
            <v>0</v>
          </cell>
          <cell r="M445">
            <v>417500</v>
          </cell>
        </row>
        <row r="446">
          <cell r="E446"/>
          <cell r="I446"/>
          <cell r="L446">
            <v>0</v>
          </cell>
          <cell r="M446">
            <v>5390000</v>
          </cell>
        </row>
        <row r="447">
          <cell r="E447"/>
          <cell r="I447"/>
          <cell r="L447">
            <v>0</v>
          </cell>
          <cell r="M447">
            <v>3450000</v>
          </cell>
        </row>
        <row r="448">
          <cell r="E448"/>
          <cell r="I448"/>
          <cell r="L448">
            <v>0</v>
          </cell>
          <cell r="M448">
            <v>3350000</v>
          </cell>
        </row>
        <row r="449">
          <cell r="E449"/>
          <cell r="I449"/>
          <cell r="L449">
            <v>0</v>
          </cell>
          <cell r="M449">
            <v>12190000</v>
          </cell>
        </row>
        <row r="450">
          <cell r="E450"/>
          <cell r="I450"/>
          <cell r="L450">
            <v>0</v>
          </cell>
          <cell r="M450">
            <v>915000</v>
          </cell>
        </row>
        <row r="451">
          <cell r="E451"/>
          <cell r="I451"/>
          <cell r="L451">
            <v>0</v>
          </cell>
          <cell r="M451">
            <v>2662500</v>
          </cell>
        </row>
        <row r="452">
          <cell r="E452"/>
          <cell r="I452"/>
          <cell r="L452">
            <v>0</v>
          </cell>
          <cell r="M452">
            <v>1700000</v>
          </cell>
        </row>
        <row r="453">
          <cell r="E453"/>
          <cell r="I453"/>
          <cell r="L453">
            <v>0</v>
          </cell>
          <cell r="M453">
            <v>5517000</v>
          </cell>
        </row>
        <row r="454">
          <cell r="E454"/>
          <cell r="I454"/>
          <cell r="L454">
            <v>0</v>
          </cell>
          <cell r="M454">
            <v>2460000</v>
          </cell>
        </row>
        <row r="455">
          <cell r="E455"/>
          <cell r="I455"/>
          <cell r="L455">
            <v>0</v>
          </cell>
          <cell r="M455">
            <v>7090000</v>
          </cell>
        </row>
        <row r="456">
          <cell r="E456"/>
          <cell r="I456"/>
          <cell r="L456">
            <v>0</v>
          </cell>
          <cell r="M456">
            <v>8030000</v>
          </cell>
        </row>
        <row r="457">
          <cell r="E457"/>
          <cell r="I457"/>
          <cell r="L457">
            <v>0</v>
          </cell>
          <cell r="M457">
            <v>1700000</v>
          </cell>
        </row>
        <row r="458">
          <cell r="E458"/>
          <cell r="I458"/>
          <cell r="L458">
            <v>0</v>
          </cell>
          <cell r="M458">
            <v>1555000</v>
          </cell>
        </row>
        <row r="459">
          <cell r="E459"/>
          <cell r="I459"/>
          <cell r="L459">
            <v>0</v>
          </cell>
          <cell r="M459">
            <v>3400000</v>
          </cell>
        </row>
        <row r="460">
          <cell r="E460"/>
          <cell r="I460"/>
          <cell r="L460">
            <v>0</v>
          </cell>
          <cell r="M460">
            <v>5953500</v>
          </cell>
        </row>
        <row r="461">
          <cell r="E461"/>
          <cell r="I461"/>
          <cell r="L461">
            <v>0</v>
          </cell>
          <cell r="M461">
            <v>2250000</v>
          </cell>
        </row>
        <row r="462">
          <cell r="E462"/>
          <cell r="I462"/>
          <cell r="L462">
            <v>0</v>
          </cell>
          <cell r="M462">
            <v>3880000</v>
          </cell>
        </row>
        <row r="463">
          <cell r="E463"/>
          <cell r="I463"/>
          <cell r="L463">
            <v>0</v>
          </cell>
          <cell r="M463">
            <v>5990000</v>
          </cell>
        </row>
        <row r="464">
          <cell r="E464"/>
          <cell r="I464"/>
          <cell r="L464">
            <v>0</v>
          </cell>
          <cell r="M464">
            <v>900000</v>
          </cell>
        </row>
        <row r="465">
          <cell r="E465"/>
          <cell r="I465"/>
          <cell r="L465">
            <v>0</v>
          </cell>
          <cell r="M465">
            <v>0</v>
          </cell>
        </row>
        <row r="466">
          <cell r="E466"/>
          <cell r="I466"/>
          <cell r="L466">
            <v>0</v>
          </cell>
          <cell r="M466">
            <v>0</v>
          </cell>
        </row>
        <row r="467">
          <cell r="E467"/>
          <cell r="I467"/>
          <cell r="L467">
            <v>0</v>
          </cell>
          <cell r="M467">
            <v>0</v>
          </cell>
        </row>
        <row r="468">
          <cell r="E468"/>
          <cell r="I468"/>
          <cell r="L468">
            <v>0</v>
          </cell>
          <cell r="M468">
            <v>0</v>
          </cell>
        </row>
        <row r="469">
          <cell r="E469"/>
          <cell r="I469"/>
          <cell r="L469">
            <v>0</v>
          </cell>
          <cell r="M469">
            <v>0</v>
          </cell>
        </row>
        <row r="470">
          <cell r="E470"/>
          <cell r="I470"/>
          <cell r="L470">
            <v>0</v>
          </cell>
          <cell r="M470">
            <v>0</v>
          </cell>
        </row>
        <row r="471">
          <cell r="E471"/>
          <cell r="I471"/>
          <cell r="L471">
            <v>0</v>
          </cell>
          <cell r="M471">
            <v>0</v>
          </cell>
        </row>
        <row r="472">
          <cell r="E472"/>
          <cell r="I472"/>
          <cell r="L472">
            <v>0</v>
          </cell>
          <cell r="M472">
            <v>0</v>
          </cell>
        </row>
        <row r="473">
          <cell r="E473"/>
          <cell r="I473"/>
          <cell r="L473">
            <v>0</v>
          </cell>
          <cell r="M473">
            <v>0</v>
          </cell>
        </row>
        <row r="474">
          <cell r="E474"/>
          <cell r="I474"/>
          <cell r="L474">
            <v>0</v>
          </cell>
          <cell r="M474">
            <v>0</v>
          </cell>
        </row>
        <row r="475">
          <cell r="E475"/>
          <cell r="I475"/>
          <cell r="L475">
            <v>0</v>
          </cell>
          <cell r="M475">
            <v>0</v>
          </cell>
        </row>
        <row r="476">
          <cell r="E476"/>
          <cell r="I476"/>
          <cell r="L476">
            <v>0</v>
          </cell>
          <cell r="M476">
            <v>0</v>
          </cell>
        </row>
        <row r="477">
          <cell r="E477"/>
          <cell r="I477"/>
          <cell r="L477">
            <v>0</v>
          </cell>
          <cell r="M477">
            <v>0</v>
          </cell>
        </row>
        <row r="478">
          <cell r="E478"/>
          <cell r="I478"/>
          <cell r="L478">
            <v>0</v>
          </cell>
          <cell r="M478">
            <v>0</v>
          </cell>
        </row>
        <row r="479">
          <cell r="E479"/>
          <cell r="I479"/>
          <cell r="L479">
            <v>0</v>
          </cell>
          <cell r="M479">
            <v>0</v>
          </cell>
        </row>
        <row r="480">
          <cell r="E480"/>
          <cell r="I480"/>
          <cell r="L480">
            <v>0</v>
          </cell>
          <cell r="M480">
            <v>0</v>
          </cell>
        </row>
        <row r="481">
          <cell r="E481"/>
          <cell r="I481"/>
          <cell r="L481">
            <v>0</v>
          </cell>
          <cell r="M481">
            <v>0</v>
          </cell>
        </row>
        <row r="482">
          <cell r="E482"/>
          <cell r="I482"/>
          <cell r="L482">
            <v>0</v>
          </cell>
          <cell r="M482">
            <v>0</v>
          </cell>
        </row>
        <row r="483">
          <cell r="E483"/>
          <cell r="I483"/>
          <cell r="L483">
            <v>0</v>
          </cell>
          <cell r="M483">
            <v>0</v>
          </cell>
        </row>
        <row r="484">
          <cell r="E484"/>
          <cell r="I484"/>
          <cell r="L484">
            <v>0</v>
          </cell>
          <cell r="M484">
            <v>0</v>
          </cell>
        </row>
        <row r="485">
          <cell r="E485"/>
          <cell r="I485"/>
          <cell r="L485">
            <v>0</v>
          </cell>
          <cell r="M485">
            <v>0</v>
          </cell>
        </row>
        <row r="486">
          <cell r="E486"/>
          <cell r="I486"/>
          <cell r="L486">
            <v>0</v>
          </cell>
          <cell r="M486">
            <v>0</v>
          </cell>
        </row>
        <row r="487">
          <cell r="E487"/>
          <cell r="I487"/>
          <cell r="L487">
            <v>0</v>
          </cell>
          <cell r="M487">
            <v>0</v>
          </cell>
        </row>
        <row r="488">
          <cell r="E488"/>
          <cell r="I488"/>
          <cell r="L488">
            <v>0</v>
          </cell>
          <cell r="M488">
            <v>0</v>
          </cell>
        </row>
        <row r="489">
          <cell r="E489"/>
          <cell r="I489"/>
          <cell r="L489">
            <v>0</v>
          </cell>
          <cell r="M489">
            <v>0</v>
          </cell>
        </row>
        <row r="490">
          <cell r="E490"/>
          <cell r="I490"/>
          <cell r="L490">
            <v>0</v>
          </cell>
          <cell r="M490">
            <v>0</v>
          </cell>
        </row>
        <row r="491">
          <cell r="E491"/>
          <cell r="I491"/>
          <cell r="L491">
            <v>0</v>
          </cell>
          <cell r="M491">
            <v>0</v>
          </cell>
        </row>
        <row r="492">
          <cell r="E492"/>
          <cell r="I492"/>
          <cell r="L492">
            <v>0</v>
          </cell>
          <cell r="M492">
            <v>0</v>
          </cell>
        </row>
        <row r="493">
          <cell r="E493"/>
          <cell r="I493"/>
          <cell r="L493">
            <v>0</v>
          </cell>
          <cell r="M493">
            <v>0</v>
          </cell>
        </row>
        <row r="494">
          <cell r="E494"/>
          <cell r="I494"/>
          <cell r="L494">
            <v>0</v>
          </cell>
          <cell r="M494">
            <v>0</v>
          </cell>
        </row>
        <row r="495">
          <cell r="E495"/>
          <cell r="I495"/>
          <cell r="L495">
            <v>0</v>
          </cell>
          <cell r="M495">
            <v>0</v>
          </cell>
        </row>
        <row r="496">
          <cell r="E496"/>
          <cell r="I496"/>
          <cell r="L496">
            <v>0</v>
          </cell>
          <cell r="M496">
            <v>0</v>
          </cell>
        </row>
        <row r="497">
          <cell r="E497"/>
          <cell r="I497"/>
          <cell r="L497">
            <v>0</v>
          </cell>
          <cell r="M497">
            <v>0</v>
          </cell>
        </row>
        <row r="498">
          <cell r="E498"/>
          <cell r="I498"/>
          <cell r="L498">
            <v>0</v>
          </cell>
          <cell r="M498">
            <v>0</v>
          </cell>
        </row>
        <row r="499">
          <cell r="E499"/>
          <cell r="I499"/>
          <cell r="L499">
            <v>0</v>
          </cell>
          <cell r="M499">
            <v>0</v>
          </cell>
        </row>
        <row r="500">
          <cell r="E500"/>
          <cell r="I500"/>
          <cell r="L500">
            <v>0</v>
          </cell>
          <cell r="M500">
            <v>0</v>
          </cell>
        </row>
        <row r="501">
          <cell r="E501"/>
          <cell r="I501"/>
          <cell r="L501">
            <v>0</v>
          </cell>
          <cell r="M501">
            <v>0</v>
          </cell>
        </row>
        <row r="502">
          <cell r="E502"/>
          <cell r="I502"/>
          <cell r="L502">
            <v>0</v>
          </cell>
          <cell r="M502">
            <v>0</v>
          </cell>
        </row>
        <row r="503">
          <cell r="E503"/>
          <cell r="I503"/>
          <cell r="L503">
            <v>0</v>
          </cell>
          <cell r="M503">
            <v>0</v>
          </cell>
        </row>
        <row r="504">
          <cell r="E504"/>
          <cell r="I504"/>
          <cell r="L504">
            <v>0</v>
          </cell>
          <cell r="M504">
            <v>0</v>
          </cell>
        </row>
        <row r="505">
          <cell r="E505"/>
          <cell r="I505"/>
          <cell r="L505">
            <v>0</v>
          </cell>
          <cell r="M505">
            <v>0</v>
          </cell>
        </row>
        <row r="506">
          <cell r="E506"/>
          <cell r="I506"/>
          <cell r="L506">
            <v>0</v>
          </cell>
          <cell r="M506">
            <v>0</v>
          </cell>
        </row>
        <row r="507">
          <cell r="E507"/>
          <cell r="I507"/>
          <cell r="L507">
            <v>0</v>
          </cell>
          <cell r="M507">
            <v>0</v>
          </cell>
        </row>
        <row r="508">
          <cell r="E508"/>
          <cell r="I508"/>
          <cell r="L508">
            <v>0</v>
          </cell>
          <cell r="M508">
            <v>0</v>
          </cell>
        </row>
        <row r="509">
          <cell r="E509"/>
          <cell r="I509"/>
          <cell r="L509">
            <v>0</v>
          </cell>
          <cell r="M509">
            <v>0</v>
          </cell>
        </row>
        <row r="510">
          <cell r="E510"/>
          <cell r="I510"/>
          <cell r="L510">
            <v>0</v>
          </cell>
          <cell r="M510">
            <v>0</v>
          </cell>
        </row>
        <row r="511">
          <cell r="E511"/>
          <cell r="I511"/>
          <cell r="L511">
            <v>0</v>
          </cell>
          <cell r="M511">
            <v>0</v>
          </cell>
        </row>
        <row r="512">
          <cell r="E512"/>
          <cell r="I512"/>
          <cell r="L512">
            <v>0</v>
          </cell>
          <cell r="M512">
            <v>0</v>
          </cell>
        </row>
        <row r="513">
          <cell r="E513"/>
          <cell r="I513"/>
          <cell r="L513">
            <v>0</v>
          </cell>
          <cell r="M513">
            <v>0</v>
          </cell>
        </row>
        <row r="514">
          <cell r="E514"/>
          <cell r="I514"/>
          <cell r="L514">
            <v>0</v>
          </cell>
          <cell r="M514">
            <v>0</v>
          </cell>
        </row>
        <row r="515">
          <cell r="E515"/>
          <cell r="I515"/>
          <cell r="L515">
            <v>0</v>
          </cell>
          <cell r="M515">
            <v>0</v>
          </cell>
        </row>
        <row r="516">
          <cell r="E516"/>
          <cell r="I516"/>
          <cell r="L516">
            <v>0</v>
          </cell>
          <cell r="M516">
            <v>0</v>
          </cell>
        </row>
        <row r="517">
          <cell r="E517"/>
          <cell r="I517"/>
          <cell r="L517">
            <v>0</v>
          </cell>
          <cell r="M517">
            <v>0</v>
          </cell>
        </row>
        <row r="518">
          <cell r="E518"/>
          <cell r="I518"/>
          <cell r="L518">
            <v>0</v>
          </cell>
          <cell r="M518">
            <v>0</v>
          </cell>
        </row>
        <row r="519">
          <cell r="E519"/>
          <cell r="I519"/>
          <cell r="L519">
            <v>0</v>
          </cell>
          <cell r="M519">
            <v>0</v>
          </cell>
        </row>
        <row r="520">
          <cell r="E520"/>
          <cell r="I520"/>
          <cell r="L520">
            <v>0</v>
          </cell>
          <cell r="M520">
            <v>0</v>
          </cell>
        </row>
        <row r="521">
          <cell r="E521"/>
          <cell r="I521"/>
          <cell r="L521">
            <v>0</v>
          </cell>
          <cell r="M521">
            <v>0</v>
          </cell>
        </row>
        <row r="522">
          <cell r="E522"/>
          <cell r="I522"/>
          <cell r="L522">
            <v>0</v>
          </cell>
          <cell r="M522">
            <v>0</v>
          </cell>
        </row>
        <row r="523">
          <cell r="E523"/>
          <cell r="I523"/>
          <cell r="L523">
            <v>0</v>
          </cell>
          <cell r="M523">
            <v>0</v>
          </cell>
        </row>
        <row r="524">
          <cell r="E524"/>
          <cell r="I524"/>
          <cell r="L524">
            <v>0</v>
          </cell>
          <cell r="M524">
            <v>0</v>
          </cell>
        </row>
        <row r="525">
          <cell r="E525"/>
          <cell r="I525"/>
          <cell r="L525">
            <v>0</v>
          </cell>
          <cell r="M525">
            <v>0</v>
          </cell>
        </row>
        <row r="526">
          <cell r="E526"/>
          <cell r="I526"/>
          <cell r="L526">
            <v>0</v>
          </cell>
          <cell r="M526">
            <v>0</v>
          </cell>
        </row>
        <row r="527">
          <cell r="E527"/>
          <cell r="I527"/>
          <cell r="L527">
            <v>0</v>
          </cell>
          <cell r="M527">
            <v>0</v>
          </cell>
        </row>
        <row r="528">
          <cell r="E528"/>
          <cell r="I528"/>
          <cell r="L528">
            <v>0</v>
          </cell>
          <cell r="M528">
            <v>0</v>
          </cell>
        </row>
        <row r="529">
          <cell r="E529"/>
          <cell r="I529"/>
          <cell r="L529">
            <v>0</v>
          </cell>
          <cell r="M529">
            <v>0</v>
          </cell>
        </row>
        <row r="530">
          <cell r="E530"/>
          <cell r="I530"/>
          <cell r="L530">
            <v>0</v>
          </cell>
          <cell r="M530">
            <v>0</v>
          </cell>
        </row>
        <row r="531">
          <cell r="E531"/>
          <cell r="I531"/>
          <cell r="L531">
            <v>0</v>
          </cell>
          <cell r="M531">
            <v>0</v>
          </cell>
        </row>
        <row r="532">
          <cell r="E532"/>
          <cell r="I532"/>
          <cell r="L532">
            <v>0</v>
          </cell>
          <cell r="M532">
            <v>0</v>
          </cell>
        </row>
        <row r="533">
          <cell r="E533"/>
          <cell r="I533"/>
          <cell r="L533">
            <v>0</v>
          </cell>
          <cell r="M533">
            <v>0</v>
          </cell>
        </row>
        <row r="534">
          <cell r="E534"/>
          <cell r="I534"/>
          <cell r="L534">
            <v>0</v>
          </cell>
          <cell r="M534">
            <v>0</v>
          </cell>
        </row>
        <row r="535">
          <cell r="E535"/>
          <cell r="I535"/>
          <cell r="L535">
            <v>0</v>
          </cell>
          <cell r="M535">
            <v>0</v>
          </cell>
        </row>
        <row r="536">
          <cell r="E536"/>
          <cell r="I536"/>
          <cell r="L536">
            <v>0</v>
          </cell>
          <cell r="M536">
            <v>0</v>
          </cell>
        </row>
        <row r="537">
          <cell r="E537"/>
          <cell r="I537"/>
          <cell r="L537">
            <v>0</v>
          </cell>
          <cell r="M537">
            <v>0</v>
          </cell>
        </row>
        <row r="538">
          <cell r="E538"/>
          <cell r="I538"/>
          <cell r="L538">
            <v>0</v>
          </cell>
          <cell r="M538">
            <v>0</v>
          </cell>
        </row>
        <row r="539">
          <cell r="E539"/>
          <cell r="I539"/>
          <cell r="L539">
            <v>0</v>
          </cell>
          <cell r="M539">
            <v>0</v>
          </cell>
        </row>
        <row r="540">
          <cell r="E540"/>
          <cell r="I540"/>
          <cell r="L540">
            <v>0</v>
          </cell>
          <cell r="M540">
            <v>0</v>
          </cell>
        </row>
        <row r="541">
          <cell r="E541"/>
          <cell r="I541"/>
          <cell r="L541">
            <v>0</v>
          </cell>
          <cell r="M541">
            <v>0</v>
          </cell>
        </row>
        <row r="542">
          <cell r="E542"/>
          <cell r="I542"/>
          <cell r="L542">
            <v>0</v>
          </cell>
          <cell r="M542">
            <v>0</v>
          </cell>
        </row>
        <row r="543">
          <cell r="E543"/>
          <cell r="I543"/>
          <cell r="L543">
            <v>0</v>
          </cell>
          <cell r="M543">
            <v>0</v>
          </cell>
        </row>
        <row r="544">
          <cell r="E544"/>
          <cell r="I544"/>
          <cell r="L544">
            <v>0</v>
          </cell>
          <cell r="M544">
            <v>0</v>
          </cell>
        </row>
        <row r="545">
          <cell r="E545"/>
          <cell r="I545"/>
          <cell r="L545">
            <v>0</v>
          </cell>
          <cell r="M545">
            <v>0</v>
          </cell>
        </row>
        <row r="546">
          <cell r="E546"/>
          <cell r="I546"/>
          <cell r="L546">
            <v>0</v>
          </cell>
          <cell r="M546">
            <v>0</v>
          </cell>
        </row>
        <row r="547">
          <cell r="E547"/>
          <cell r="I547"/>
          <cell r="L547">
            <v>0</v>
          </cell>
          <cell r="M547">
            <v>0</v>
          </cell>
        </row>
        <row r="548">
          <cell r="E548"/>
          <cell r="I548"/>
          <cell r="L548">
            <v>0</v>
          </cell>
          <cell r="M548">
            <v>0</v>
          </cell>
        </row>
        <row r="549">
          <cell r="E549"/>
          <cell r="I549"/>
          <cell r="L549">
            <v>0</v>
          </cell>
          <cell r="M549">
            <v>0</v>
          </cell>
        </row>
        <row r="550">
          <cell r="E550"/>
          <cell r="I550"/>
          <cell r="L550">
            <v>0</v>
          </cell>
          <cell r="M550">
            <v>0</v>
          </cell>
        </row>
        <row r="551">
          <cell r="E551"/>
          <cell r="I551"/>
          <cell r="L551">
            <v>0</v>
          </cell>
          <cell r="M551">
            <v>0</v>
          </cell>
        </row>
        <row r="552">
          <cell r="E552"/>
          <cell r="I552"/>
          <cell r="L552">
            <v>0</v>
          </cell>
          <cell r="M552">
            <v>0</v>
          </cell>
        </row>
        <row r="553">
          <cell r="E553"/>
          <cell r="I553"/>
          <cell r="L553">
            <v>0</v>
          </cell>
          <cell r="M553">
            <v>0</v>
          </cell>
        </row>
        <row r="554">
          <cell r="E554"/>
          <cell r="I554"/>
          <cell r="L554">
            <v>0</v>
          </cell>
          <cell r="M554">
            <v>0</v>
          </cell>
        </row>
        <row r="555">
          <cell r="E555"/>
          <cell r="I555"/>
          <cell r="L555">
            <v>0</v>
          </cell>
          <cell r="M555">
            <v>0</v>
          </cell>
        </row>
        <row r="556">
          <cell r="E556"/>
          <cell r="I556"/>
          <cell r="L556">
            <v>0</v>
          </cell>
          <cell r="M556">
            <v>0</v>
          </cell>
        </row>
        <row r="557">
          <cell r="E557"/>
          <cell r="I557"/>
          <cell r="L557">
            <v>0</v>
          </cell>
          <cell r="M557">
            <v>0</v>
          </cell>
        </row>
        <row r="558">
          <cell r="E558"/>
          <cell r="I558"/>
          <cell r="L558">
            <v>0</v>
          </cell>
          <cell r="M558">
            <v>0</v>
          </cell>
        </row>
        <row r="559">
          <cell r="E559"/>
          <cell r="I559"/>
          <cell r="L559">
            <v>0</v>
          </cell>
          <cell r="M559">
            <v>0</v>
          </cell>
        </row>
        <row r="560">
          <cell r="E560"/>
          <cell r="I560"/>
          <cell r="L560">
            <v>0</v>
          </cell>
          <cell r="M560">
            <v>0</v>
          </cell>
        </row>
        <row r="561">
          <cell r="E561"/>
          <cell r="I561"/>
          <cell r="L561">
            <v>0</v>
          </cell>
          <cell r="M561">
            <v>0</v>
          </cell>
        </row>
        <row r="562">
          <cell r="E562"/>
          <cell r="I562"/>
          <cell r="L562">
            <v>0</v>
          </cell>
          <cell r="M562">
            <v>0</v>
          </cell>
        </row>
        <row r="563">
          <cell r="E563"/>
          <cell r="I563"/>
          <cell r="L563">
            <v>0</v>
          </cell>
          <cell r="M563">
            <v>0</v>
          </cell>
        </row>
        <row r="564">
          <cell r="E564"/>
          <cell r="I564"/>
          <cell r="L564">
            <v>0</v>
          </cell>
          <cell r="M564">
            <v>0</v>
          </cell>
        </row>
        <row r="565">
          <cell r="E565"/>
          <cell r="I565"/>
          <cell r="L565">
            <v>0</v>
          </cell>
          <cell r="M565">
            <v>0</v>
          </cell>
        </row>
        <row r="566">
          <cell r="E566"/>
          <cell r="I566"/>
          <cell r="L566">
            <v>0</v>
          </cell>
          <cell r="M566">
            <v>0</v>
          </cell>
        </row>
        <row r="567">
          <cell r="E567"/>
          <cell r="I567"/>
          <cell r="L567">
            <v>0</v>
          </cell>
          <cell r="M567">
            <v>0</v>
          </cell>
        </row>
        <row r="568">
          <cell r="E568"/>
          <cell r="I568"/>
          <cell r="L568">
            <v>0</v>
          </cell>
          <cell r="M568">
            <v>0</v>
          </cell>
        </row>
        <row r="569">
          <cell r="E569"/>
          <cell r="I569"/>
          <cell r="L569">
            <v>0</v>
          </cell>
          <cell r="M569">
            <v>0</v>
          </cell>
        </row>
        <row r="570">
          <cell r="E570"/>
          <cell r="I570"/>
          <cell r="L570">
            <v>0</v>
          </cell>
          <cell r="M570">
            <v>0</v>
          </cell>
        </row>
        <row r="571">
          <cell r="E571"/>
          <cell r="I571"/>
          <cell r="L571">
            <v>0</v>
          </cell>
          <cell r="M571">
            <v>0</v>
          </cell>
        </row>
        <row r="572">
          <cell r="E572"/>
          <cell r="I572"/>
          <cell r="L572">
            <v>0</v>
          </cell>
          <cell r="M572">
            <v>0</v>
          </cell>
        </row>
        <row r="573">
          <cell r="E573"/>
          <cell r="I573"/>
          <cell r="L573">
            <v>0</v>
          </cell>
          <cell r="M573">
            <v>0</v>
          </cell>
        </row>
        <row r="574">
          <cell r="E574"/>
          <cell r="I574"/>
          <cell r="L574">
            <v>0</v>
          </cell>
          <cell r="M574">
            <v>0</v>
          </cell>
        </row>
        <row r="575">
          <cell r="E575"/>
          <cell r="I575"/>
          <cell r="L575">
            <v>0</v>
          </cell>
          <cell r="M575">
            <v>0</v>
          </cell>
        </row>
        <row r="576">
          <cell r="E576"/>
          <cell r="I576"/>
          <cell r="L576">
            <v>0</v>
          </cell>
          <cell r="M576">
            <v>0</v>
          </cell>
        </row>
        <row r="577">
          <cell r="E577"/>
          <cell r="I577"/>
          <cell r="L577">
            <v>0</v>
          </cell>
          <cell r="M577">
            <v>0</v>
          </cell>
        </row>
        <row r="578">
          <cell r="E578"/>
          <cell r="I578"/>
          <cell r="L578">
            <v>0</v>
          </cell>
          <cell r="M578">
            <v>0</v>
          </cell>
        </row>
        <row r="579">
          <cell r="E579"/>
          <cell r="I579"/>
          <cell r="L579">
            <v>0</v>
          </cell>
          <cell r="M579">
            <v>0</v>
          </cell>
        </row>
        <row r="580">
          <cell r="E580"/>
          <cell r="I580"/>
          <cell r="L580">
            <v>0</v>
          </cell>
          <cell r="M580">
            <v>0</v>
          </cell>
        </row>
        <row r="581">
          <cell r="E581"/>
          <cell r="I581"/>
          <cell r="L581">
            <v>0</v>
          </cell>
          <cell r="M581">
            <v>0</v>
          </cell>
        </row>
        <row r="582">
          <cell r="E582"/>
          <cell r="I582"/>
          <cell r="L582">
            <v>0</v>
          </cell>
          <cell r="M582">
            <v>0</v>
          </cell>
        </row>
        <row r="583">
          <cell r="E583"/>
          <cell r="I583"/>
          <cell r="L583">
            <v>0</v>
          </cell>
          <cell r="M583">
            <v>0</v>
          </cell>
        </row>
        <row r="584">
          <cell r="E584"/>
          <cell r="I584"/>
          <cell r="L584">
            <v>0</v>
          </cell>
          <cell r="M584">
            <v>0</v>
          </cell>
        </row>
        <row r="585">
          <cell r="E585"/>
          <cell r="I585"/>
          <cell r="L585">
            <v>0</v>
          </cell>
          <cell r="M585">
            <v>0</v>
          </cell>
        </row>
        <row r="586">
          <cell r="E586"/>
          <cell r="I586"/>
          <cell r="L586">
            <v>0</v>
          </cell>
          <cell r="M586">
            <v>0</v>
          </cell>
        </row>
        <row r="587">
          <cell r="E587"/>
          <cell r="I587"/>
          <cell r="L587">
            <v>0</v>
          </cell>
          <cell r="M587">
            <v>0</v>
          </cell>
        </row>
        <row r="588">
          <cell r="E588"/>
          <cell r="I588"/>
          <cell r="L588">
            <v>0</v>
          </cell>
          <cell r="M588">
            <v>0</v>
          </cell>
        </row>
        <row r="589">
          <cell r="E589"/>
          <cell r="I589"/>
          <cell r="L589">
            <v>0</v>
          </cell>
          <cell r="M589">
            <v>0</v>
          </cell>
        </row>
        <row r="590">
          <cell r="E590"/>
          <cell r="I590"/>
          <cell r="L590">
            <v>0</v>
          </cell>
          <cell r="M590">
            <v>0</v>
          </cell>
        </row>
        <row r="591">
          <cell r="E591"/>
          <cell r="I591"/>
          <cell r="L591">
            <v>0</v>
          </cell>
          <cell r="M591">
            <v>0</v>
          </cell>
        </row>
        <row r="592">
          <cell r="E592"/>
          <cell r="I592"/>
          <cell r="L592">
            <v>0</v>
          </cell>
          <cell r="M592">
            <v>0</v>
          </cell>
        </row>
        <row r="593">
          <cell r="E593"/>
          <cell r="I593"/>
          <cell r="L593">
            <v>0</v>
          </cell>
          <cell r="M593">
            <v>0</v>
          </cell>
        </row>
        <row r="594">
          <cell r="E594"/>
          <cell r="I594"/>
          <cell r="L594">
            <v>0</v>
          </cell>
          <cell r="M594">
            <v>0</v>
          </cell>
        </row>
        <row r="595">
          <cell r="E595"/>
          <cell r="I595"/>
          <cell r="L595">
            <v>0</v>
          </cell>
          <cell r="M595">
            <v>0</v>
          </cell>
        </row>
        <row r="596">
          <cell r="E596"/>
          <cell r="I596"/>
          <cell r="L596">
            <v>0</v>
          </cell>
          <cell r="M596">
            <v>0</v>
          </cell>
        </row>
        <row r="597">
          <cell r="E597"/>
          <cell r="I597"/>
          <cell r="L597">
            <v>0</v>
          </cell>
          <cell r="M597">
            <v>0</v>
          </cell>
        </row>
        <row r="598">
          <cell r="E598"/>
          <cell r="I598"/>
          <cell r="L598">
            <v>0</v>
          </cell>
          <cell r="M598">
            <v>0</v>
          </cell>
        </row>
        <row r="599">
          <cell r="E599"/>
          <cell r="I599"/>
          <cell r="L599">
            <v>0</v>
          </cell>
          <cell r="M599">
            <v>0</v>
          </cell>
        </row>
        <row r="600">
          <cell r="E600"/>
          <cell r="I600"/>
          <cell r="L600">
            <v>0</v>
          </cell>
          <cell r="M600">
            <v>0</v>
          </cell>
        </row>
        <row r="601">
          <cell r="E601"/>
          <cell r="I601"/>
          <cell r="L601">
            <v>0</v>
          </cell>
          <cell r="M601">
            <v>0</v>
          </cell>
        </row>
        <row r="602">
          <cell r="E602"/>
          <cell r="I602"/>
          <cell r="L602">
            <v>0</v>
          </cell>
          <cell r="M602">
            <v>0</v>
          </cell>
        </row>
        <row r="603">
          <cell r="E603"/>
          <cell r="I603"/>
          <cell r="L603">
            <v>0</v>
          </cell>
          <cell r="M603">
            <v>0</v>
          </cell>
        </row>
        <row r="604">
          <cell r="E604"/>
          <cell r="I604"/>
          <cell r="L604">
            <v>0</v>
          </cell>
          <cell r="M604">
            <v>0</v>
          </cell>
        </row>
        <row r="605">
          <cell r="E605"/>
          <cell r="I605"/>
          <cell r="L605">
            <v>0</v>
          </cell>
          <cell r="M605">
            <v>0</v>
          </cell>
        </row>
        <row r="606">
          <cell r="E606"/>
          <cell r="I606"/>
          <cell r="L606">
            <v>0</v>
          </cell>
          <cell r="M606">
            <v>0</v>
          </cell>
        </row>
        <row r="607">
          <cell r="E607"/>
          <cell r="I607"/>
          <cell r="L607">
            <v>0</v>
          </cell>
          <cell r="M607">
            <v>0</v>
          </cell>
        </row>
        <row r="608">
          <cell r="E608"/>
          <cell r="I608"/>
          <cell r="L608">
            <v>0</v>
          </cell>
          <cell r="M608">
            <v>0</v>
          </cell>
        </row>
        <row r="609">
          <cell r="E609"/>
          <cell r="I609"/>
          <cell r="L609">
            <v>0</v>
          </cell>
          <cell r="M609">
            <v>0</v>
          </cell>
        </row>
        <row r="610">
          <cell r="E610"/>
          <cell r="I610"/>
          <cell r="L610">
            <v>0</v>
          </cell>
          <cell r="M610">
            <v>0</v>
          </cell>
        </row>
        <row r="611">
          <cell r="E611"/>
          <cell r="I611"/>
          <cell r="L611">
            <v>0</v>
          </cell>
          <cell r="M611">
            <v>0</v>
          </cell>
        </row>
        <row r="612">
          <cell r="E612"/>
          <cell r="I612"/>
          <cell r="L612">
            <v>0</v>
          </cell>
          <cell r="M612">
            <v>0</v>
          </cell>
        </row>
        <row r="613">
          <cell r="E613"/>
          <cell r="I613"/>
          <cell r="L613">
            <v>0</v>
          </cell>
          <cell r="M613">
            <v>0</v>
          </cell>
        </row>
        <row r="614">
          <cell r="E614"/>
          <cell r="I614"/>
          <cell r="L614">
            <v>0</v>
          </cell>
          <cell r="M614">
            <v>0</v>
          </cell>
        </row>
        <row r="615">
          <cell r="E615"/>
          <cell r="I615"/>
          <cell r="L615">
            <v>0</v>
          </cell>
          <cell r="M615">
            <v>0</v>
          </cell>
        </row>
        <row r="616">
          <cell r="E616"/>
          <cell r="I616"/>
          <cell r="L616">
            <v>0</v>
          </cell>
          <cell r="M616">
            <v>0</v>
          </cell>
        </row>
        <row r="617">
          <cell r="E617"/>
          <cell r="I617"/>
          <cell r="L617">
            <v>0</v>
          </cell>
          <cell r="M617">
            <v>0</v>
          </cell>
        </row>
        <row r="618">
          <cell r="E618"/>
          <cell r="I618"/>
          <cell r="L618">
            <v>0</v>
          </cell>
          <cell r="M618">
            <v>0</v>
          </cell>
        </row>
        <row r="619">
          <cell r="E619"/>
          <cell r="I619"/>
          <cell r="L619">
            <v>0</v>
          </cell>
          <cell r="M619">
            <v>0</v>
          </cell>
        </row>
        <row r="620">
          <cell r="E620"/>
          <cell r="I620"/>
          <cell r="L620">
            <v>0</v>
          </cell>
          <cell r="M620">
            <v>0</v>
          </cell>
        </row>
        <row r="621">
          <cell r="E621"/>
          <cell r="I621"/>
          <cell r="L621">
            <v>0</v>
          </cell>
          <cell r="M621">
            <v>0</v>
          </cell>
        </row>
        <row r="622">
          <cell r="E622"/>
          <cell r="I622"/>
          <cell r="L622">
            <v>0</v>
          </cell>
          <cell r="M622">
            <v>0</v>
          </cell>
        </row>
        <row r="623">
          <cell r="E623"/>
          <cell r="I623"/>
          <cell r="L623">
            <v>0</v>
          </cell>
          <cell r="M623">
            <v>0</v>
          </cell>
        </row>
        <row r="624">
          <cell r="E624"/>
          <cell r="I624"/>
          <cell r="L624">
            <v>0</v>
          </cell>
          <cell r="M624">
            <v>0</v>
          </cell>
        </row>
        <row r="625">
          <cell r="E625"/>
          <cell r="I625"/>
          <cell r="L625">
            <v>0</v>
          </cell>
          <cell r="M625">
            <v>0</v>
          </cell>
        </row>
        <row r="626">
          <cell r="E626"/>
          <cell r="I626"/>
          <cell r="L626">
            <v>0</v>
          </cell>
          <cell r="M626">
            <v>0</v>
          </cell>
        </row>
        <row r="627">
          <cell r="E627"/>
          <cell r="I627"/>
          <cell r="L627">
            <v>0</v>
          </cell>
          <cell r="M627">
            <v>0</v>
          </cell>
        </row>
        <row r="628">
          <cell r="E628"/>
          <cell r="I628"/>
          <cell r="L628">
            <v>0</v>
          </cell>
          <cell r="M628">
            <v>0</v>
          </cell>
        </row>
        <row r="629">
          <cell r="E629"/>
          <cell r="I629"/>
          <cell r="L629">
            <v>0</v>
          </cell>
          <cell r="M629">
            <v>0</v>
          </cell>
        </row>
        <row r="630">
          <cell r="E630"/>
          <cell r="I630"/>
          <cell r="L630">
            <v>0</v>
          </cell>
          <cell r="M630">
            <v>0</v>
          </cell>
        </row>
        <row r="631">
          <cell r="E631"/>
          <cell r="I631"/>
          <cell r="L631">
            <v>0</v>
          </cell>
          <cell r="M631">
            <v>0</v>
          </cell>
        </row>
        <row r="632">
          <cell r="E632"/>
          <cell r="I632"/>
          <cell r="L632">
            <v>0</v>
          </cell>
          <cell r="M632">
            <v>0</v>
          </cell>
        </row>
        <row r="633">
          <cell r="E633"/>
          <cell r="I633"/>
          <cell r="L633">
            <v>0</v>
          </cell>
          <cell r="M633">
            <v>0</v>
          </cell>
        </row>
        <row r="634">
          <cell r="E634"/>
          <cell r="I634"/>
          <cell r="L634">
            <v>0</v>
          </cell>
          <cell r="M634">
            <v>0</v>
          </cell>
        </row>
        <row r="635">
          <cell r="E635"/>
          <cell r="I635"/>
          <cell r="L635">
            <v>0</v>
          </cell>
          <cell r="M635">
            <v>0</v>
          </cell>
        </row>
        <row r="636">
          <cell r="E636"/>
          <cell r="I636"/>
          <cell r="L636">
            <v>0</v>
          </cell>
          <cell r="M636">
            <v>0</v>
          </cell>
        </row>
        <row r="637">
          <cell r="E637"/>
          <cell r="I637"/>
          <cell r="L637">
            <v>0</v>
          </cell>
          <cell r="M637">
            <v>0</v>
          </cell>
        </row>
        <row r="638">
          <cell r="E638"/>
          <cell r="I638"/>
          <cell r="L638">
            <v>0</v>
          </cell>
          <cell r="M638">
            <v>0</v>
          </cell>
        </row>
        <row r="639">
          <cell r="E639"/>
          <cell r="I639"/>
          <cell r="L639">
            <v>0</v>
          </cell>
          <cell r="M639">
            <v>0</v>
          </cell>
        </row>
        <row r="640">
          <cell r="E640"/>
          <cell r="I640"/>
          <cell r="L640">
            <v>0</v>
          </cell>
          <cell r="M640">
            <v>0</v>
          </cell>
        </row>
        <row r="641">
          <cell r="E641"/>
          <cell r="I641"/>
          <cell r="L641">
            <v>0</v>
          </cell>
          <cell r="M641">
            <v>0</v>
          </cell>
        </row>
        <row r="642">
          <cell r="E642"/>
          <cell r="I642"/>
          <cell r="L642">
            <v>0</v>
          </cell>
          <cell r="M642">
            <v>0</v>
          </cell>
        </row>
        <row r="643">
          <cell r="E643"/>
          <cell r="I643"/>
          <cell r="L643">
            <v>0</v>
          </cell>
          <cell r="M643">
            <v>0</v>
          </cell>
        </row>
        <row r="644">
          <cell r="E644"/>
          <cell r="I644"/>
          <cell r="L644">
            <v>0</v>
          </cell>
          <cell r="M644">
            <v>0</v>
          </cell>
        </row>
        <row r="645">
          <cell r="E645"/>
          <cell r="I645"/>
          <cell r="L645">
            <v>0</v>
          </cell>
          <cell r="M645">
            <v>0</v>
          </cell>
        </row>
        <row r="646">
          <cell r="E646"/>
          <cell r="I646"/>
          <cell r="L646">
            <v>0</v>
          </cell>
          <cell r="M646">
            <v>0</v>
          </cell>
        </row>
        <row r="647">
          <cell r="E647"/>
          <cell r="I647"/>
          <cell r="L647">
            <v>0</v>
          </cell>
          <cell r="M647">
            <v>0</v>
          </cell>
        </row>
        <row r="648">
          <cell r="E648"/>
          <cell r="I648"/>
          <cell r="L648">
            <v>0</v>
          </cell>
          <cell r="M648">
            <v>0</v>
          </cell>
        </row>
        <row r="649">
          <cell r="E649"/>
          <cell r="I649"/>
          <cell r="L649">
            <v>0</v>
          </cell>
          <cell r="M649">
            <v>0</v>
          </cell>
        </row>
        <row r="650">
          <cell r="E650"/>
          <cell r="I650"/>
          <cell r="L650">
            <v>0</v>
          </cell>
          <cell r="M650">
            <v>0</v>
          </cell>
        </row>
        <row r="651">
          <cell r="E651"/>
          <cell r="I651"/>
          <cell r="L651">
            <v>0</v>
          </cell>
          <cell r="M651">
            <v>0</v>
          </cell>
        </row>
        <row r="652">
          <cell r="E652"/>
          <cell r="I652"/>
          <cell r="L652">
            <v>0</v>
          </cell>
          <cell r="M652">
            <v>0</v>
          </cell>
        </row>
        <row r="653">
          <cell r="E653"/>
          <cell r="I653"/>
          <cell r="L653">
            <v>0</v>
          </cell>
          <cell r="M653">
            <v>0</v>
          </cell>
        </row>
        <row r="654">
          <cell r="E654"/>
          <cell r="I654"/>
          <cell r="L654">
            <v>0</v>
          </cell>
          <cell r="M654">
            <v>0</v>
          </cell>
        </row>
        <row r="655">
          <cell r="E655"/>
          <cell r="I655"/>
          <cell r="L655">
            <v>0</v>
          </cell>
          <cell r="M655">
            <v>0</v>
          </cell>
        </row>
        <row r="656">
          <cell r="E656"/>
          <cell r="I656"/>
          <cell r="L656">
            <v>0</v>
          </cell>
          <cell r="M656">
            <v>0</v>
          </cell>
        </row>
        <row r="657">
          <cell r="E657"/>
          <cell r="I657"/>
          <cell r="L657">
            <v>0</v>
          </cell>
          <cell r="M657">
            <v>0</v>
          </cell>
        </row>
        <row r="658">
          <cell r="E658"/>
          <cell r="I658"/>
          <cell r="L658">
            <v>0</v>
          </cell>
          <cell r="M658">
            <v>0</v>
          </cell>
        </row>
        <row r="659">
          <cell r="E659"/>
          <cell r="I659"/>
          <cell r="L659">
            <v>0</v>
          </cell>
          <cell r="M659">
            <v>0</v>
          </cell>
        </row>
        <row r="660">
          <cell r="E660"/>
          <cell r="I660"/>
          <cell r="L660">
            <v>0</v>
          </cell>
          <cell r="M660">
            <v>0</v>
          </cell>
        </row>
        <row r="661">
          <cell r="E661"/>
          <cell r="I661"/>
          <cell r="L661">
            <v>0</v>
          </cell>
          <cell r="M661">
            <v>0</v>
          </cell>
        </row>
        <row r="662">
          <cell r="E662"/>
          <cell r="I662"/>
          <cell r="L662">
            <v>0</v>
          </cell>
          <cell r="M662">
            <v>0</v>
          </cell>
        </row>
        <row r="663">
          <cell r="E663"/>
          <cell r="I663"/>
          <cell r="L663">
            <v>0</v>
          </cell>
          <cell r="M663">
            <v>0</v>
          </cell>
        </row>
        <row r="664">
          <cell r="E664"/>
          <cell r="I664"/>
          <cell r="L664">
            <v>0</v>
          </cell>
          <cell r="M664">
            <v>0</v>
          </cell>
        </row>
        <row r="665">
          <cell r="E665"/>
          <cell r="I665"/>
          <cell r="L665">
            <v>0</v>
          </cell>
          <cell r="M665">
            <v>0</v>
          </cell>
        </row>
        <row r="666">
          <cell r="E666"/>
          <cell r="I666"/>
          <cell r="L666">
            <v>0</v>
          </cell>
          <cell r="M666">
            <v>0</v>
          </cell>
        </row>
        <row r="667">
          <cell r="E667"/>
          <cell r="I667"/>
          <cell r="L667">
            <v>0</v>
          </cell>
          <cell r="M667">
            <v>0</v>
          </cell>
        </row>
        <row r="668">
          <cell r="E668"/>
          <cell r="I668"/>
          <cell r="L668">
            <v>0</v>
          </cell>
          <cell r="M668">
            <v>0</v>
          </cell>
        </row>
        <row r="669">
          <cell r="E669"/>
          <cell r="I669"/>
          <cell r="L669">
            <v>0</v>
          </cell>
          <cell r="M669">
            <v>0</v>
          </cell>
        </row>
        <row r="670">
          <cell r="E670"/>
          <cell r="I670"/>
          <cell r="L670">
            <v>0</v>
          </cell>
          <cell r="M670">
            <v>0</v>
          </cell>
        </row>
        <row r="671">
          <cell r="E671"/>
          <cell r="I671"/>
          <cell r="L671">
            <v>0</v>
          </cell>
          <cell r="M671">
            <v>0</v>
          </cell>
        </row>
        <row r="672">
          <cell r="E672"/>
          <cell r="I672"/>
          <cell r="L672">
            <v>0</v>
          </cell>
          <cell r="M672">
            <v>0</v>
          </cell>
        </row>
        <row r="673">
          <cell r="E673"/>
          <cell r="I673"/>
          <cell r="L673">
            <v>0</v>
          </cell>
          <cell r="M673">
            <v>0</v>
          </cell>
        </row>
        <row r="674">
          <cell r="E674"/>
          <cell r="I674"/>
          <cell r="L674">
            <v>0</v>
          </cell>
          <cell r="M674">
            <v>0</v>
          </cell>
        </row>
        <row r="675">
          <cell r="E675"/>
          <cell r="I675"/>
          <cell r="L675">
            <v>0</v>
          </cell>
          <cell r="M675">
            <v>0</v>
          </cell>
        </row>
        <row r="676">
          <cell r="E676"/>
          <cell r="I676"/>
          <cell r="L676">
            <v>0</v>
          </cell>
          <cell r="M676">
            <v>0</v>
          </cell>
        </row>
        <row r="677">
          <cell r="E677"/>
          <cell r="I677"/>
          <cell r="L677">
            <v>0</v>
          </cell>
          <cell r="M677">
            <v>0</v>
          </cell>
        </row>
        <row r="678">
          <cell r="E678"/>
          <cell r="I678"/>
          <cell r="L678">
            <v>0</v>
          </cell>
          <cell r="M678">
            <v>0</v>
          </cell>
        </row>
        <row r="679">
          <cell r="E679"/>
          <cell r="I679"/>
          <cell r="L679">
            <v>0</v>
          </cell>
          <cell r="M679">
            <v>0</v>
          </cell>
        </row>
        <row r="680">
          <cell r="E680"/>
          <cell r="I680"/>
          <cell r="L680">
            <v>0</v>
          </cell>
          <cell r="M680">
            <v>0</v>
          </cell>
        </row>
        <row r="681">
          <cell r="E681"/>
          <cell r="I681"/>
          <cell r="L681">
            <v>0</v>
          </cell>
          <cell r="M681">
            <v>0</v>
          </cell>
        </row>
        <row r="682">
          <cell r="E682"/>
          <cell r="I682"/>
          <cell r="L682">
            <v>0</v>
          </cell>
          <cell r="M682">
            <v>0</v>
          </cell>
        </row>
        <row r="683">
          <cell r="E683"/>
          <cell r="I683"/>
          <cell r="L683">
            <v>0</v>
          </cell>
          <cell r="M683">
            <v>0</v>
          </cell>
        </row>
        <row r="684">
          <cell r="E684"/>
          <cell r="I684"/>
          <cell r="L684">
            <v>0</v>
          </cell>
          <cell r="M684">
            <v>0</v>
          </cell>
        </row>
        <row r="685">
          <cell r="E685"/>
          <cell r="I685"/>
          <cell r="L685">
            <v>0</v>
          </cell>
          <cell r="M685">
            <v>0</v>
          </cell>
        </row>
        <row r="686">
          <cell r="E686"/>
          <cell r="I686"/>
          <cell r="L686">
            <v>0</v>
          </cell>
          <cell r="M686">
            <v>0</v>
          </cell>
        </row>
        <row r="687">
          <cell r="E687"/>
          <cell r="I687"/>
          <cell r="L687">
            <v>0</v>
          </cell>
          <cell r="M687">
            <v>0</v>
          </cell>
        </row>
        <row r="688">
          <cell r="E688"/>
          <cell r="I688"/>
          <cell r="L688">
            <v>0</v>
          </cell>
          <cell r="M688">
            <v>0</v>
          </cell>
        </row>
        <row r="689">
          <cell r="E689"/>
          <cell r="I689"/>
          <cell r="L689">
            <v>0</v>
          </cell>
          <cell r="M689">
            <v>0</v>
          </cell>
        </row>
        <row r="690">
          <cell r="E690"/>
          <cell r="I690"/>
          <cell r="L690">
            <v>0</v>
          </cell>
          <cell r="M690">
            <v>0</v>
          </cell>
        </row>
        <row r="691">
          <cell r="E691"/>
          <cell r="I691"/>
          <cell r="L691">
            <v>0</v>
          </cell>
          <cell r="M691">
            <v>0</v>
          </cell>
        </row>
        <row r="692">
          <cell r="E692"/>
          <cell r="I692"/>
          <cell r="L692">
            <v>0</v>
          </cell>
          <cell r="M692">
            <v>0</v>
          </cell>
        </row>
        <row r="693">
          <cell r="E693"/>
          <cell r="I693"/>
          <cell r="L693">
            <v>0</v>
          </cell>
          <cell r="M693">
            <v>0</v>
          </cell>
        </row>
        <row r="694">
          <cell r="E694"/>
          <cell r="I694"/>
          <cell r="L694">
            <v>0</v>
          </cell>
          <cell r="M694">
            <v>0</v>
          </cell>
        </row>
        <row r="695">
          <cell r="E695"/>
          <cell r="I695"/>
          <cell r="L695">
            <v>0</v>
          </cell>
          <cell r="M695">
            <v>0</v>
          </cell>
        </row>
        <row r="696">
          <cell r="E696"/>
          <cell r="I696"/>
          <cell r="L696">
            <v>0</v>
          </cell>
          <cell r="M696">
            <v>0</v>
          </cell>
        </row>
        <row r="697">
          <cell r="E697"/>
          <cell r="I697"/>
          <cell r="L697">
            <v>0</v>
          </cell>
          <cell r="M697">
            <v>0</v>
          </cell>
        </row>
        <row r="698">
          <cell r="E698"/>
          <cell r="I698"/>
          <cell r="L698">
            <v>0</v>
          </cell>
          <cell r="M698">
            <v>0</v>
          </cell>
        </row>
        <row r="699">
          <cell r="E699"/>
          <cell r="I699"/>
          <cell r="L699">
            <v>0</v>
          </cell>
          <cell r="M699">
            <v>0</v>
          </cell>
        </row>
        <row r="700">
          <cell r="E700"/>
          <cell r="I700"/>
          <cell r="L700">
            <v>0</v>
          </cell>
          <cell r="M700">
            <v>0</v>
          </cell>
        </row>
        <row r="701">
          <cell r="E701"/>
          <cell r="I701"/>
          <cell r="L701">
            <v>0</v>
          </cell>
          <cell r="M701">
            <v>0</v>
          </cell>
        </row>
        <row r="702">
          <cell r="E702"/>
          <cell r="I702"/>
          <cell r="L702">
            <v>0</v>
          </cell>
          <cell r="M702">
            <v>0</v>
          </cell>
        </row>
        <row r="703">
          <cell r="E703"/>
          <cell r="I703"/>
          <cell r="L703">
            <v>0</v>
          </cell>
          <cell r="M703">
            <v>0</v>
          </cell>
        </row>
        <row r="704">
          <cell r="E704"/>
          <cell r="I704"/>
          <cell r="L704">
            <v>0</v>
          </cell>
          <cell r="M704">
            <v>0</v>
          </cell>
        </row>
        <row r="705">
          <cell r="E705"/>
          <cell r="I705"/>
          <cell r="L705">
            <v>0</v>
          </cell>
          <cell r="M705">
            <v>0</v>
          </cell>
        </row>
        <row r="706">
          <cell r="E706"/>
          <cell r="I706"/>
          <cell r="L706">
            <v>0</v>
          </cell>
          <cell r="M706">
            <v>0</v>
          </cell>
        </row>
        <row r="707">
          <cell r="E707"/>
          <cell r="I707"/>
          <cell r="L707">
            <v>0</v>
          </cell>
          <cell r="M707">
            <v>0</v>
          </cell>
        </row>
        <row r="708">
          <cell r="E708"/>
          <cell r="I708"/>
          <cell r="L708">
            <v>0</v>
          </cell>
          <cell r="M708">
            <v>0</v>
          </cell>
        </row>
        <row r="709">
          <cell r="E709"/>
          <cell r="I709"/>
          <cell r="L709">
            <v>0</v>
          </cell>
          <cell r="M709">
            <v>0</v>
          </cell>
        </row>
        <row r="710">
          <cell r="E710"/>
          <cell r="I710"/>
          <cell r="L710">
            <v>0</v>
          </cell>
          <cell r="M710">
            <v>0</v>
          </cell>
        </row>
        <row r="711">
          <cell r="E711"/>
          <cell r="I711"/>
          <cell r="L711">
            <v>0</v>
          </cell>
          <cell r="M711">
            <v>0</v>
          </cell>
        </row>
        <row r="712">
          <cell r="E712"/>
          <cell r="I712"/>
          <cell r="L712">
            <v>0</v>
          </cell>
          <cell r="M712">
            <v>0</v>
          </cell>
        </row>
        <row r="713">
          <cell r="E713"/>
          <cell r="I713"/>
          <cell r="L713">
            <v>0</v>
          </cell>
          <cell r="M713">
            <v>0</v>
          </cell>
        </row>
        <row r="714">
          <cell r="E714"/>
          <cell r="I714"/>
          <cell r="L714">
            <v>0</v>
          </cell>
          <cell r="M714">
            <v>0</v>
          </cell>
        </row>
        <row r="715">
          <cell r="E715"/>
          <cell r="I715"/>
          <cell r="L715">
            <v>0</v>
          </cell>
          <cell r="M715">
            <v>0</v>
          </cell>
        </row>
        <row r="716">
          <cell r="E716"/>
          <cell r="I716"/>
          <cell r="L716">
            <v>0</v>
          </cell>
          <cell r="M716">
            <v>0</v>
          </cell>
        </row>
        <row r="717">
          <cell r="E717"/>
          <cell r="I717"/>
          <cell r="L717">
            <v>0</v>
          </cell>
          <cell r="M717">
            <v>0</v>
          </cell>
        </row>
        <row r="718">
          <cell r="E718"/>
          <cell r="I718"/>
          <cell r="L718">
            <v>0</v>
          </cell>
          <cell r="M718">
            <v>0</v>
          </cell>
        </row>
        <row r="719">
          <cell r="E719"/>
          <cell r="I719"/>
          <cell r="L719">
            <v>0</v>
          </cell>
          <cell r="M719">
            <v>0</v>
          </cell>
        </row>
        <row r="720">
          <cell r="E720"/>
          <cell r="I720"/>
          <cell r="L720">
            <v>0</v>
          </cell>
          <cell r="M720">
            <v>0</v>
          </cell>
        </row>
        <row r="721">
          <cell r="E721"/>
          <cell r="I721"/>
          <cell r="L721">
            <v>0</v>
          </cell>
          <cell r="M721">
            <v>0</v>
          </cell>
        </row>
        <row r="722">
          <cell r="E722"/>
          <cell r="I722"/>
          <cell r="L722">
            <v>0</v>
          </cell>
          <cell r="M722">
            <v>0</v>
          </cell>
        </row>
        <row r="723">
          <cell r="E723"/>
          <cell r="I723"/>
          <cell r="L723">
            <v>0</v>
          </cell>
          <cell r="M723">
            <v>0</v>
          </cell>
        </row>
        <row r="724">
          <cell r="E724"/>
          <cell r="I724"/>
          <cell r="L724">
            <v>0</v>
          </cell>
          <cell r="M724">
            <v>0</v>
          </cell>
        </row>
        <row r="725">
          <cell r="E725"/>
          <cell r="I725"/>
          <cell r="L725">
            <v>0</v>
          </cell>
          <cell r="M725">
            <v>0</v>
          </cell>
        </row>
        <row r="726">
          <cell r="E726"/>
          <cell r="I726"/>
          <cell r="L726">
            <v>0</v>
          </cell>
          <cell r="M726">
            <v>0</v>
          </cell>
        </row>
        <row r="727">
          <cell r="E727"/>
          <cell r="I727"/>
          <cell r="L727">
            <v>0</v>
          </cell>
          <cell r="M727">
            <v>0</v>
          </cell>
        </row>
        <row r="728">
          <cell r="E728"/>
          <cell r="I728"/>
          <cell r="L728">
            <v>0</v>
          </cell>
          <cell r="M728">
            <v>0</v>
          </cell>
        </row>
        <row r="729">
          <cell r="E729"/>
          <cell r="I729"/>
          <cell r="L729">
            <v>0</v>
          </cell>
          <cell r="M729">
            <v>0</v>
          </cell>
        </row>
        <row r="730">
          <cell r="E730"/>
          <cell r="I730"/>
          <cell r="L730">
            <v>0</v>
          </cell>
          <cell r="M730">
            <v>0</v>
          </cell>
        </row>
        <row r="731">
          <cell r="E731"/>
          <cell r="I731"/>
          <cell r="L731">
            <v>0</v>
          </cell>
          <cell r="M731">
            <v>0</v>
          </cell>
        </row>
        <row r="732">
          <cell r="E732"/>
          <cell r="I732"/>
          <cell r="L732">
            <v>0</v>
          </cell>
          <cell r="M732">
            <v>0</v>
          </cell>
        </row>
        <row r="733">
          <cell r="E733"/>
          <cell r="I733"/>
          <cell r="L733">
            <v>0</v>
          </cell>
          <cell r="M733">
            <v>0</v>
          </cell>
        </row>
        <row r="734">
          <cell r="E734"/>
          <cell r="I734"/>
          <cell r="L734">
            <v>0</v>
          </cell>
          <cell r="M734">
            <v>0</v>
          </cell>
        </row>
        <row r="735">
          <cell r="E735"/>
          <cell r="I735"/>
          <cell r="L735">
            <v>0</v>
          </cell>
          <cell r="M735">
            <v>0</v>
          </cell>
        </row>
        <row r="736">
          <cell r="E736"/>
          <cell r="I736"/>
          <cell r="L736">
            <v>0</v>
          </cell>
          <cell r="M736">
            <v>0</v>
          </cell>
        </row>
        <row r="737">
          <cell r="E737"/>
          <cell r="I737"/>
          <cell r="L737">
            <v>0</v>
          </cell>
          <cell r="M737">
            <v>0</v>
          </cell>
        </row>
        <row r="738">
          <cell r="E738"/>
          <cell r="I738"/>
          <cell r="L738">
            <v>0</v>
          </cell>
          <cell r="M738">
            <v>0</v>
          </cell>
        </row>
        <row r="739">
          <cell r="E739"/>
          <cell r="I739"/>
          <cell r="L739">
            <v>0</v>
          </cell>
          <cell r="M739">
            <v>0</v>
          </cell>
        </row>
        <row r="740">
          <cell r="E740"/>
          <cell r="I740"/>
          <cell r="L740">
            <v>0</v>
          </cell>
          <cell r="M740">
            <v>0</v>
          </cell>
        </row>
        <row r="741">
          <cell r="E741"/>
          <cell r="I741"/>
          <cell r="L741">
            <v>0</v>
          </cell>
          <cell r="M741">
            <v>0</v>
          </cell>
        </row>
        <row r="742">
          <cell r="E742"/>
          <cell r="I742"/>
          <cell r="L742">
            <v>0</v>
          </cell>
          <cell r="M742">
            <v>0</v>
          </cell>
        </row>
        <row r="743">
          <cell r="E743"/>
          <cell r="I743"/>
          <cell r="L743">
            <v>0</v>
          </cell>
          <cell r="M743">
            <v>0</v>
          </cell>
        </row>
        <row r="744">
          <cell r="E744"/>
          <cell r="I744"/>
          <cell r="L744">
            <v>0</v>
          </cell>
          <cell r="M744">
            <v>0</v>
          </cell>
        </row>
        <row r="745">
          <cell r="E745"/>
          <cell r="I745"/>
          <cell r="L745">
            <v>0</v>
          </cell>
          <cell r="M745">
            <v>0</v>
          </cell>
        </row>
        <row r="746">
          <cell r="E746"/>
          <cell r="I746"/>
          <cell r="L746">
            <v>0</v>
          </cell>
          <cell r="M746">
            <v>0</v>
          </cell>
        </row>
        <row r="747">
          <cell r="E747"/>
          <cell r="I747"/>
          <cell r="L747">
            <v>0</v>
          </cell>
          <cell r="M747">
            <v>0</v>
          </cell>
        </row>
        <row r="748">
          <cell r="E748"/>
          <cell r="I748"/>
          <cell r="L748">
            <v>0</v>
          </cell>
          <cell r="M748">
            <v>0</v>
          </cell>
        </row>
        <row r="749">
          <cell r="E749"/>
          <cell r="I749"/>
          <cell r="L749">
            <v>0</v>
          </cell>
          <cell r="M749">
            <v>0</v>
          </cell>
        </row>
        <row r="750">
          <cell r="E750"/>
          <cell r="I750"/>
          <cell r="L750">
            <v>0</v>
          </cell>
          <cell r="M750">
            <v>0</v>
          </cell>
        </row>
        <row r="751">
          <cell r="E751"/>
          <cell r="I751"/>
          <cell r="L751">
            <v>0</v>
          </cell>
          <cell r="M751">
            <v>0</v>
          </cell>
        </row>
        <row r="752">
          <cell r="E752"/>
          <cell r="I752"/>
          <cell r="L752">
            <v>0</v>
          </cell>
          <cell r="M752">
            <v>0</v>
          </cell>
        </row>
        <row r="753">
          <cell r="E753"/>
          <cell r="I753"/>
          <cell r="L753">
            <v>0</v>
          </cell>
          <cell r="M753">
            <v>0</v>
          </cell>
        </row>
        <row r="754">
          <cell r="E754"/>
          <cell r="I754"/>
          <cell r="L754">
            <v>0</v>
          </cell>
          <cell r="M754">
            <v>0</v>
          </cell>
        </row>
        <row r="755">
          <cell r="E755"/>
          <cell r="I755"/>
          <cell r="L755">
            <v>0</v>
          </cell>
          <cell r="M755">
            <v>0</v>
          </cell>
        </row>
        <row r="756">
          <cell r="E756"/>
          <cell r="I756"/>
          <cell r="L756">
            <v>0</v>
          </cell>
          <cell r="M756">
            <v>0</v>
          </cell>
        </row>
        <row r="757">
          <cell r="E757"/>
          <cell r="I757"/>
          <cell r="L757">
            <v>0</v>
          </cell>
          <cell r="M757">
            <v>0</v>
          </cell>
        </row>
        <row r="758">
          <cell r="E758"/>
          <cell r="I758"/>
          <cell r="L758">
            <v>0</v>
          </cell>
          <cell r="M758">
            <v>0</v>
          </cell>
        </row>
        <row r="759">
          <cell r="E759"/>
          <cell r="I759"/>
          <cell r="L759">
            <v>0</v>
          </cell>
          <cell r="M759">
            <v>0</v>
          </cell>
        </row>
        <row r="760">
          <cell r="E760"/>
          <cell r="I760"/>
          <cell r="L760">
            <v>0</v>
          </cell>
          <cell r="M760">
            <v>0</v>
          </cell>
        </row>
        <row r="761">
          <cell r="E761"/>
          <cell r="I761"/>
          <cell r="L761">
            <v>0</v>
          </cell>
          <cell r="M761">
            <v>0</v>
          </cell>
        </row>
        <row r="762">
          <cell r="E762"/>
          <cell r="I762"/>
          <cell r="L762">
            <v>0</v>
          </cell>
          <cell r="M762">
            <v>0</v>
          </cell>
        </row>
        <row r="763">
          <cell r="E763"/>
          <cell r="I763"/>
          <cell r="L763">
            <v>0</v>
          </cell>
          <cell r="M763">
            <v>0</v>
          </cell>
        </row>
        <row r="764">
          <cell r="E764"/>
          <cell r="I764"/>
          <cell r="L764">
            <v>0</v>
          </cell>
          <cell r="M764">
            <v>0</v>
          </cell>
        </row>
        <row r="765">
          <cell r="E765"/>
          <cell r="I765"/>
          <cell r="L765">
            <v>0</v>
          </cell>
          <cell r="M765">
            <v>0</v>
          </cell>
        </row>
        <row r="766">
          <cell r="E766"/>
          <cell r="I766"/>
          <cell r="L766">
            <v>0</v>
          </cell>
          <cell r="M766">
            <v>0</v>
          </cell>
        </row>
        <row r="767">
          <cell r="E767"/>
          <cell r="I767"/>
          <cell r="L767">
            <v>0</v>
          </cell>
          <cell r="M767">
            <v>0</v>
          </cell>
        </row>
        <row r="768">
          <cell r="E768"/>
          <cell r="I768"/>
          <cell r="L768">
            <v>0</v>
          </cell>
          <cell r="M768">
            <v>0</v>
          </cell>
        </row>
        <row r="769">
          <cell r="E769"/>
          <cell r="I769"/>
          <cell r="L769">
            <v>0</v>
          </cell>
          <cell r="M769">
            <v>0</v>
          </cell>
        </row>
        <row r="770">
          <cell r="E770"/>
          <cell r="I770"/>
          <cell r="L770">
            <v>0</v>
          </cell>
          <cell r="M770">
            <v>0</v>
          </cell>
        </row>
        <row r="771">
          <cell r="E771"/>
          <cell r="I771"/>
          <cell r="L771">
            <v>0</v>
          </cell>
          <cell r="M771">
            <v>0</v>
          </cell>
        </row>
        <row r="772">
          <cell r="E772"/>
          <cell r="I772"/>
          <cell r="L772">
            <v>0</v>
          </cell>
          <cell r="M772">
            <v>0</v>
          </cell>
        </row>
        <row r="773">
          <cell r="E773"/>
          <cell r="I773"/>
          <cell r="L773">
            <v>0</v>
          </cell>
          <cell r="M773">
            <v>0</v>
          </cell>
        </row>
        <row r="774">
          <cell r="E774"/>
          <cell r="I774"/>
          <cell r="L774">
            <v>0</v>
          </cell>
          <cell r="M774">
            <v>0</v>
          </cell>
        </row>
        <row r="775">
          <cell r="E775"/>
          <cell r="I775"/>
          <cell r="L775">
            <v>0</v>
          </cell>
          <cell r="M775">
            <v>0</v>
          </cell>
        </row>
        <row r="776">
          <cell r="E776"/>
          <cell r="I776"/>
          <cell r="L776">
            <v>0</v>
          </cell>
          <cell r="M776">
            <v>0</v>
          </cell>
        </row>
        <row r="777">
          <cell r="E777"/>
          <cell r="I777"/>
          <cell r="L777">
            <v>0</v>
          </cell>
          <cell r="M777">
            <v>0</v>
          </cell>
        </row>
        <row r="778">
          <cell r="E778"/>
          <cell r="I778"/>
          <cell r="L778">
            <v>0</v>
          </cell>
          <cell r="M778">
            <v>0</v>
          </cell>
        </row>
        <row r="779">
          <cell r="E779"/>
          <cell r="I779"/>
          <cell r="L779">
            <v>0</v>
          </cell>
          <cell r="M779">
            <v>0</v>
          </cell>
        </row>
        <row r="780">
          <cell r="E780"/>
          <cell r="I780"/>
          <cell r="L780">
            <v>0</v>
          </cell>
          <cell r="M780">
            <v>0</v>
          </cell>
        </row>
        <row r="781">
          <cell r="E781"/>
          <cell r="I781"/>
          <cell r="L781">
            <v>0</v>
          </cell>
          <cell r="M781">
            <v>0</v>
          </cell>
        </row>
        <row r="782">
          <cell r="E782"/>
          <cell r="I782"/>
          <cell r="L782">
            <v>0</v>
          </cell>
          <cell r="M782">
            <v>0</v>
          </cell>
        </row>
        <row r="783">
          <cell r="E783"/>
          <cell r="I783"/>
          <cell r="L783">
            <v>0</v>
          </cell>
          <cell r="M783">
            <v>0</v>
          </cell>
        </row>
        <row r="784">
          <cell r="E784"/>
          <cell r="I784"/>
          <cell r="L784">
            <v>0</v>
          </cell>
          <cell r="M784">
            <v>0</v>
          </cell>
        </row>
        <row r="785">
          <cell r="E785"/>
          <cell r="I785"/>
          <cell r="L785">
            <v>0</v>
          </cell>
          <cell r="M785">
            <v>0</v>
          </cell>
        </row>
        <row r="786">
          <cell r="E786"/>
          <cell r="I786"/>
          <cell r="L786">
            <v>0</v>
          </cell>
          <cell r="M786">
            <v>0</v>
          </cell>
        </row>
        <row r="787">
          <cell r="E787"/>
          <cell r="I787"/>
          <cell r="L787">
            <v>0</v>
          </cell>
          <cell r="M787">
            <v>0</v>
          </cell>
        </row>
        <row r="788">
          <cell r="E788"/>
          <cell r="I788"/>
          <cell r="L788">
            <v>0</v>
          </cell>
          <cell r="M788">
            <v>0</v>
          </cell>
        </row>
        <row r="789">
          <cell r="E789"/>
          <cell r="I789"/>
          <cell r="L789">
            <v>0</v>
          </cell>
          <cell r="M789">
            <v>0</v>
          </cell>
        </row>
        <row r="790">
          <cell r="E790"/>
          <cell r="I790"/>
          <cell r="L790">
            <v>0</v>
          </cell>
          <cell r="M790">
            <v>0</v>
          </cell>
        </row>
        <row r="791">
          <cell r="E791"/>
          <cell r="I791"/>
          <cell r="L791">
            <v>0</v>
          </cell>
          <cell r="M791">
            <v>0</v>
          </cell>
        </row>
        <row r="792">
          <cell r="E792"/>
          <cell r="I792"/>
          <cell r="L792">
            <v>0</v>
          </cell>
          <cell r="M792">
            <v>0</v>
          </cell>
        </row>
        <row r="793">
          <cell r="E793"/>
          <cell r="I793"/>
          <cell r="L793">
            <v>0</v>
          </cell>
          <cell r="M793">
            <v>0</v>
          </cell>
        </row>
        <row r="794">
          <cell r="E794"/>
          <cell r="I794"/>
          <cell r="L794">
            <v>0</v>
          </cell>
          <cell r="M794">
            <v>0</v>
          </cell>
        </row>
        <row r="795">
          <cell r="E795"/>
          <cell r="I795"/>
          <cell r="L795">
            <v>0</v>
          </cell>
          <cell r="M795">
            <v>0</v>
          </cell>
        </row>
        <row r="796">
          <cell r="E796"/>
          <cell r="I796"/>
          <cell r="L796">
            <v>0</v>
          </cell>
          <cell r="M796">
            <v>0</v>
          </cell>
        </row>
        <row r="797">
          <cell r="E797"/>
          <cell r="I797"/>
          <cell r="L797">
            <v>0</v>
          </cell>
          <cell r="M797">
            <v>0</v>
          </cell>
        </row>
        <row r="798">
          <cell r="E798"/>
          <cell r="I798"/>
          <cell r="L798">
            <v>0</v>
          </cell>
          <cell r="M798">
            <v>0</v>
          </cell>
        </row>
        <row r="799">
          <cell r="E799"/>
          <cell r="I799"/>
          <cell r="L799">
            <v>0</v>
          </cell>
          <cell r="M799">
            <v>0</v>
          </cell>
        </row>
        <row r="800">
          <cell r="E800"/>
          <cell r="I800"/>
          <cell r="L800">
            <v>0</v>
          </cell>
          <cell r="M800">
            <v>0</v>
          </cell>
        </row>
        <row r="801">
          <cell r="E801"/>
          <cell r="I801"/>
          <cell r="L801">
            <v>0</v>
          </cell>
          <cell r="M801">
            <v>0</v>
          </cell>
        </row>
        <row r="802">
          <cell r="E802"/>
          <cell r="I802"/>
          <cell r="L802">
            <v>0</v>
          </cell>
          <cell r="M802">
            <v>0</v>
          </cell>
        </row>
        <row r="803">
          <cell r="E803"/>
          <cell r="I803"/>
          <cell r="L803">
            <v>0</v>
          </cell>
          <cell r="M803">
            <v>0</v>
          </cell>
        </row>
        <row r="804">
          <cell r="E804"/>
          <cell r="I804"/>
          <cell r="L804">
            <v>0</v>
          </cell>
          <cell r="M804">
            <v>0</v>
          </cell>
        </row>
        <row r="805">
          <cell r="E805"/>
          <cell r="I805"/>
          <cell r="L805">
            <v>0</v>
          </cell>
          <cell r="M805">
            <v>0</v>
          </cell>
        </row>
        <row r="806">
          <cell r="E806"/>
          <cell r="I806"/>
          <cell r="L806">
            <v>0</v>
          </cell>
          <cell r="M806">
            <v>0</v>
          </cell>
        </row>
        <row r="807">
          <cell r="E807"/>
          <cell r="I807"/>
          <cell r="L807">
            <v>0</v>
          </cell>
          <cell r="M807">
            <v>0</v>
          </cell>
        </row>
        <row r="808">
          <cell r="E808"/>
          <cell r="I808"/>
          <cell r="L808">
            <v>0</v>
          </cell>
          <cell r="M808">
            <v>0</v>
          </cell>
        </row>
        <row r="809">
          <cell r="E809"/>
          <cell r="I809"/>
          <cell r="L809">
            <v>0</v>
          </cell>
          <cell r="M809">
            <v>0</v>
          </cell>
        </row>
        <row r="810">
          <cell r="E810"/>
          <cell r="I810"/>
          <cell r="L810">
            <v>0</v>
          </cell>
          <cell r="M810">
            <v>0</v>
          </cell>
        </row>
        <row r="811">
          <cell r="E811"/>
          <cell r="I811"/>
          <cell r="L811">
            <v>0</v>
          </cell>
          <cell r="M811">
            <v>0</v>
          </cell>
        </row>
        <row r="812">
          <cell r="E812"/>
          <cell r="I812"/>
          <cell r="L812">
            <v>0</v>
          </cell>
          <cell r="M812">
            <v>0</v>
          </cell>
        </row>
        <row r="813">
          <cell r="E813"/>
          <cell r="I813"/>
          <cell r="L813">
            <v>0</v>
          </cell>
          <cell r="M813">
            <v>0</v>
          </cell>
        </row>
        <row r="814">
          <cell r="E814"/>
          <cell r="I814"/>
          <cell r="L814">
            <v>0</v>
          </cell>
          <cell r="M814">
            <v>0</v>
          </cell>
        </row>
        <row r="815">
          <cell r="E815"/>
          <cell r="I815"/>
          <cell r="L815">
            <v>0</v>
          </cell>
          <cell r="M815">
            <v>0</v>
          </cell>
        </row>
        <row r="816">
          <cell r="E816"/>
          <cell r="I816"/>
          <cell r="L816">
            <v>0</v>
          </cell>
          <cell r="M816">
            <v>0</v>
          </cell>
        </row>
        <row r="817">
          <cell r="E817"/>
          <cell r="I817"/>
          <cell r="L817">
            <v>0</v>
          </cell>
          <cell r="M817">
            <v>0</v>
          </cell>
        </row>
        <row r="818">
          <cell r="E818"/>
          <cell r="I818"/>
          <cell r="L818">
            <v>0</v>
          </cell>
          <cell r="M818">
            <v>0</v>
          </cell>
        </row>
        <row r="819">
          <cell r="E819"/>
          <cell r="I819"/>
          <cell r="L819">
            <v>0</v>
          </cell>
          <cell r="M819">
            <v>0</v>
          </cell>
        </row>
        <row r="820">
          <cell r="E820"/>
          <cell r="I820"/>
          <cell r="L820">
            <v>0</v>
          </cell>
          <cell r="M820">
            <v>0</v>
          </cell>
        </row>
        <row r="821">
          <cell r="E821"/>
          <cell r="I821"/>
          <cell r="L821">
            <v>0</v>
          </cell>
          <cell r="M821">
            <v>0</v>
          </cell>
        </row>
        <row r="822">
          <cell r="E822"/>
          <cell r="I822"/>
          <cell r="L822">
            <v>0</v>
          </cell>
          <cell r="M822">
            <v>0</v>
          </cell>
        </row>
        <row r="823">
          <cell r="E823"/>
          <cell r="I823"/>
          <cell r="L823">
            <v>0</v>
          </cell>
          <cell r="M823">
            <v>0</v>
          </cell>
        </row>
        <row r="824">
          <cell r="E824"/>
          <cell r="I824"/>
          <cell r="L824">
            <v>0</v>
          </cell>
          <cell r="M824">
            <v>0</v>
          </cell>
        </row>
        <row r="825">
          <cell r="E825"/>
          <cell r="I825"/>
          <cell r="L825">
            <v>0</v>
          </cell>
          <cell r="M825">
            <v>0</v>
          </cell>
        </row>
        <row r="826">
          <cell r="E826"/>
          <cell r="I826"/>
          <cell r="L826">
            <v>0</v>
          </cell>
          <cell r="M826">
            <v>0</v>
          </cell>
        </row>
        <row r="827">
          <cell r="E827"/>
          <cell r="I827"/>
          <cell r="L827">
            <v>0</v>
          </cell>
          <cell r="M827">
            <v>0</v>
          </cell>
        </row>
        <row r="828">
          <cell r="E828"/>
          <cell r="I828"/>
          <cell r="L828">
            <v>0</v>
          </cell>
          <cell r="M828">
            <v>0</v>
          </cell>
        </row>
        <row r="829">
          <cell r="E829"/>
          <cell r="I829"/>
          <cell r="L829">
            <v>0</v>
          </cell>
          <cell r="M829">
            <v>0</v>
          </cell>
        </row>
        <row r="830">
          <cell r="E830"/>
          <cell r="I830"/>
          <cell r="L830">
            <v>0</v>
          </cell>
          <cell r="M830">
            <v>0</v>
          </cell>
        </row>
        <row r="831">
          <cell r="E831"/>
          <cell r="I831"/>
          <cell r="L831">
            <v>0</v>
          </cell>
          <cell r="M831">
            <v>0</v>
          </cell>
        </row>
        <row r="832">
          <cell r="E832"/>
          <cell r="I832"/>
          <cell r="L832">
            <v>0</v>
          </cell>
          <cell r="M832">
            <v>0</v>
          </cell>
        </row>
        <row r="833">
          <cell r="E833"/>
          <cell r="I833"/>
          <cell r="L833">
            <v>0</v>
          </cell>
          <cell r="M833">
            <v>0</v>
          </cell>
        </row>
        <row r="834">
          <cell r="E834"/>
          <cell r="I834"/>
          <cell r="L834">
            <v>0</v>
          </cell>
          <cell r="M834">
            <v>0</v>
          </cell>
        </row>
        <row r="835">
          <cell r="E835"/>
          <cell r="I835"/>
          <cell r="L835">
            <v>0</v>
          </cell>
          <cell r="M835">
            <v>0</v>
          </cell>
        </row>
        <row r="836">
          <cell r="E836"/>
          <cell r="I836"/>
          <cell r="L836">
            <v>0</v>
          </cell>
          <cell r="M836">
            <v>0</v>
          </cell>
        </row>
        <row r="837">
          <cell r="E837"/>
          <cell r="I837"/>
          <cell r="L837">
            <v>0</v>
          </cell>
          <cell r="M837">
            <v>0</v>
          </cell>
        </row>
        <row r="838">
          <cell r="E838"/>
          <cell r="I838"/>
          <cell r="L838">
            <v>0</v>
          </cell>
          <cell r="M838">
            <v>0</v>
          </cell>
        </row>
        <row r="839">
          <cell r="E839"/>
          <cell r="I839"/>
          <cell r="L839">
            <v>0</v>
          </cell>
          <cell r="M839">
            <v>0</v>
          </cell>
        </row>
        <row r="840">
          <cell r="E840"/>
          <cell r="I840"/>
          <cell r="L840">
            <v>0</v>
          </cell>
          <cell r="M840">
            <v>0</v>
          </cell>
        </row>
        <row r="841">
          <cell r="E841"/>
          <cell r="I841"/>
          <cell r="L841">
            <v>0</v>
          </cell>
          <cell r="M841">
            <v>0</v>
          </cell>
        </row>
        <row r="842">
          <cell r="E842"/>
          <cell r="I842"/>
          <cell r="L842">
            <v>0</v>
          </cell>
          <cell r="M842">
            <v>0</v>
          </cell>
        </row>
        <row r="843">
          <cell r="E843"/>
          <cell r="I843"/>
          <cell r="L843">
            <v>0</v>
          </cell>
          <cell r="M843">
            <v>0</v>
          </cell>
        </row>
        <row r="844">
          <cell r="E844"/>
          <cell r="I844"/>
          <cell r="L844">
            <v>0</v>
          </cell>
          <cell r="M844">
            <v>0</v>
          </cell>
        </row>
        <row r="845">
          <cell r="E845"/>
          <cell r="I845"/>
          <cell r="L845">
            <v>0</v>
          </cell>
          <cell r="M845">
            <v>0</v>
          </cell>
        </row>
        <row r="846">
          <cell r="E846"/>
          <cell r="I846"/>
          <cell r="L846">
            <v>0</v>
          </cell>
          <cell r="M846">
            <v>0</v>
          </cell>
        </row>
        <row r="847">
          <cell r="E847"/>
          <cell r="I847"/>
          <cell r="L847">
            <v>0</v>
          </cell>
          <cell r="M847">
            <v>0</v>
          </cell>
        </row>
        <row r="848">
          <cell r="E848"/>
          <cell r="I848"/>
          <cell r="L848">
            <v>0</v>
          </cell>
          <cell r="M848">
            <v>0</v>
          </cell>
        </row>
        <row r="849">
          <cell r="E849"/>
          <cell r="I849"/>
          <cell r="L849">
            <v>0</v>
          </cell>
          <cell r="M849">
            <v>0</v>
          </cell>
        </row>
        <row r="850">
          <cell r="E850"/>
          <cell r="I850"/>
          <cell r="L850">
            <v>0</v>
          </cell>
          <cell r="M850">
            <v>0</v>
          </cell>
        </row>
        <row r="851">
          <cell r="E851"/>
          <cell r="I851"/>
          <cell r="L851">
            <v>0</v>
          </cell>
          <cell r="M851">
            <v>0</v>
          </cell>
        </row>
        <row r="852">
          <cell r="E852"/>
          <cell r="I852"/>
          <cell r="L852">
            <v>0</v>
          </cell>
          <cell r="M852">
            <v>0</v>
          </cell>
        </row>
        <row r="853">
          <cell r="E853"/>
          <cell r="I853"/>
          <cell r="L853">
            <v>0</v>
          </cell>
          <cell r="M853">
            <v>0</v>
          </cell>
        </row>
        <row r="854">
          <cell r="E854"/>
          <cell r="I854"/>
          <cell r="L854">
            <v>0</v>
          </cell>
          <cell r="M854">
            <v>0</v>
          </cell>
        </row>
        <row r="855">
          <cell r="E855"/>
          <cell r="I855"/>
          <cell r="L855">
            <v>0</v>
          </cell>
          <cell r="M855">
            <v>0</v>
          </cell>
        </row>
        <row r="856">
          <cell r="E856"/>
          <cell r="I856"/>
          <cell r="L856">
            <v>0</v>
          </cell>
          <cell r="M856">
            <v>0</v>
          </cell>
        </row>
        <row r="857">
          <cell r="E857"/>
          <cell r="I857"/>
          <cell r="L857">
            <v>0</v>
          </cell>
          <cell r="M857">
            <v>0</v>
          </cell>
        </row>
        <row r="858">
          <cell r="E858"/>
          <cell r="I858"/>
          <cell r="L858">
            <v>0</v>
          </cell>
          <cell r="M858">
            <v>0</v>
          </cell>
        </row>
        <row r="859">
          <cell r="E859"/>
          <cell r="I859"/>
          <cell r="L859">
            <v>0</v>
          </cell>
          <cell r="M859">
            <v>0</v>
          </cell>
        </row>
        <row r="860">
          <cell r="E860"/>
          <cell r="I860"/>
          <cell r="L860">
            <v>0</v>
          </cell>
          <cell r="M860">
            <v>0</v>
          </cell>
        </row>
        <row r="861">
          <cell r="E861"/>
          <cell r="I861"/>
          <cell r="L861">
            <v>0</v>
          </cell>
          <cell r="M861">
            <v>0</v>
          </cell>
        </row>
        <row r="862">
          <cell r="E862"/>
          <cell r="I862"/>
          <cell r="L862">
            <v>0</v>
          </cell>
          <cell r="M862">
            <v>0</v>
          </cell>
        </row>
        <row r="863">
          <cell r="E863"/>
          <cell r="I863"/>
          <cell r="L863">
            <v>0</v>
          </cell>
          <cell r="M863">
            <v>0</v>
          </cell>
        </row>
        <row r="864">
          <cell r="E864"/>
          <cell r="I864"/>
          <cell r="L864">
            <v>0</v>
          </cell>
          <cell r="M864">
            <v>0</v>
          </cell>
        </row>
        <row r="865">
          <cell r="E865"/>
          <cell r="I865"/>
          <cell r="L865">
            <v>0</v>
          </cell>
          <cell r="M865">
            <v>0</v>
          </cell>
        </row>
        <row r="866">
          <cell r="E866"/>
          <cell r="I866"/>
          <cell r="L866">
            <v>0</v>
          </cell>
          <cell r="M866">
            <v>0</v>
          </cell>
        </row>
        <row r="867">
          <cell r="E867"/>
          <cell r="I867"/>
          <cell r="L867">
            <v>0</v>
          </cell>
          <cell r="M867">
            <v>0</v>
          </cell>
        </row>
        <row r="868">
          <cell r="E868"/>
          <cell r="I868"/>
          <cell r="L868">
            <v>0</v>
          </cell>
          <cell r="M868">
            <v>0</v>
          </cell>
        </row>
        <row r="869">
          <cell r="E869"/>
          <cell r="I869"/>
          <cell r="L869">
            <v>0</v>
          </cell>
          <cell r="M869">
            <v>0</v>
          </cell>
        </row>
        <row r="870">
          <cell r="E870"/>
          <cell r="I870"/>
          <cell r="L870">
            <v>0</v>
          </cell>
          <cell r="M870">
            <v>0</v>
          </cell>
        </row>
        <row r="871">
          <cell r="E871"/>
          <cell r="I871"/>
          <cell r="L871">
            <v>0</v>
          </cell>
          <cell r="M871">
            <v>0</v>
          </cell>
        </row>
        <row r="872">
          <cell r="E872"/>
          <cell r="I872"/>
          <cell r="L872">
            <v>0</v>
          </cell>
          <cell r="M872">
            <v>0</v>
          </cell>
        </row>
        <row r="873">
          <cell r="E873"/>
          <cell r="I873"/>
          <cell r="L873">
            <v>0</v>
          </cell>
          <cell r="M873">
            <v>0</v>
          </cell>
        </row>
        <row r="874">
          <cell r="E874"/>
          <cell r="I874"/>
          <cell r="L874">
            <v>0</v>
          </cell>
          <cell r="M874">
            <v>0</v>
          </cell>
        </row>
        <row r="875">
          <cell r="E875"/>
          <cell r="I875"/>
          <cell r="L875">
            <v>0</v>
          </cell>
          <cell r="M875">
            <v>0</v>
          </cell>
        </row>
        <row r="876">
          <cell r="E876"/>
          <cell r="I876"/>
          <cell r="L876">
            <v>0</v>
          </cell>
          <cell r="M876">
            <v>0</v>
          </cell>
        </row>
        <row r="877">
          <cell r="E877"/>
          <cell r="I877"/>
          <cell r="L877">
            <v>0</v>
          </cell>
          <cell r="M877">
            <v>0</v>
          </cell>
        </row>
        <row r="878">
          <cell r="E878"/>
          <cell r="I878"/>
          <cell r="L878">
            <v>0</v>
          </cell>
          <cell r="M878">
            <v>0</v>
          </cell>
        </row>
        <row r="879">
          <cell r="E879"/>
          <cell r="I879"/>
          <cell r="L879">
            <v>0</v>
          </cell>
          <cell r="M879">
            <v>0</v>
          </cell>
        </row>
        <row r="880">
          <cell r="E880"/>
          <cell r="I880"/>
          <cell r="L880">
            <v>0</v>
          </cell>
          <cell r="M880">
            <v>0</v>
          </cell>
        </row>
        <row r="881">
          <cell r="E881"/>
          <cell r="I881"/>
          <cell r="L881">
            <v>0</v>
          </cell>
          <cell r="M881">
            <v>0</v>
          </cell>
        </row>
        <row r="882">
          <cell r="E882"/>
          <cell r="I882"/>
          <cell r="L882">
            <v>0</v>
          </cell>
          <cell r="M882">
            <v>0</v>
          </cell>
        </row>
        <row r="883">
          <cell r="E883"/>
          <cell r="I883"/>
          <cell r="L883">
            <v>0</v>
          </cell>
          <cell r="M883">
            <v>0</v>
          </cell>
        </row>
        <row r="884">
          <cell r="E884"/>
          <cell r="I884"/>
          <cell r="L884">
            <v>0</v>
          </cell>
          <cell r="M884">
            <v>0</v>
          </cell>
        </row>
        <row r="885">
          <cell r="E885"/>
          <cell r="I885"/>
          <cell r="L885">
            <v>0</v>
          </cell>
          <cell r="M885">
            <v>0</v>
          </cell>
        </row>
        <row r="886">
          <cell r="E886"/>
          <cell r="I886"/>
          <cell r="L886">
            <v>0</v>
          </cell>
          <cell r="M886">
            <v>0</v>
          </cell>
        </row>
        <row r="887">
          <cell r="E887"/>
          <cell r="I887"/>
          <cell r="L887">
            <v>0</v>
          </cell>
          <cell r="M887">
            <v>0</v>
          </cell>
        </row>
        <row r="888">
          <cell r="E888"/>
          <cell r="I888"/>
          <cell r="L888">
            <v>0</v>
          </cell>
          <cell r="M888">
            <v>0</v>
          </cell>
        </row>
        <row r="889">
          <cell r="E889"/>
          <cell r="I889"/>
          <cell r="L889">
            <v>0</v>
          </cell>
          <cell r="M889">
            <v>0</v>
          </cell>
        </row>
        <row r="890">
          <cell r="E890"/>
          <cell r="I890"/>
          <cell r="L890">
            <v>0</v>
          </cell>
          <cell r="M890">
            <v>0</v>
          </cell>
        </row>
        <row r="891">
          <cell r="E891"/>
          <cell r="I891"/>
          <cell r="L891">
            <v>0</v>
          </cell>
          <cell r="M891">
            <v>0</v>
          </cell>
        </row>
        <row r="892">
          <cell r="E892"/>
          <cell r="I892"/>
          <cell r="L892">
            <v>0</v>
          </cell>
          <cell r="M892">
            <v>0</v>
          </cell>
        </row>
        <row r="893">
          <cell r="E893"/>
          <cell r="I893"/>
          <cell r="L893">
            <v>0</v>
          </cell>
          <cell r="M893">
            <v>0</v>
          </cell>
        </row>
        <row r="894">
          <cell r="E894"/>
          <cell r="I894"/>
          <cell r="L894">
            <v>0</v>
          </cell>
          <cell r="M894">
            <v>0</v>
          </cell>
        </row>
        <row r="895">
          <cell r="E895"/>
          <cell r="I895"/>
          <cell r="L895">
            <v>0</v>
          </cell>
          <cell r="M895">
            <v>0</v>
          </cell>
        </row>
        <row r="896">
          <cell r="E896"/>
          <cell r="I896"/>
          <cell r="L896">
            <v>0</v>
          </cell>
          <cell r="M896">
            <v>0</v>
          </cell>
        </row>
        <row r="897">
          <cell r="E897"/>
          <cell r="I897"/>
          <cell r="L897">
            <v>0</v>
          </cell>
          <cell r="M897">
            <v>0</v>
          </cell>
        </row>
        <row r="898">
          <cell r="E898"/>
          <cell r="I898"/>
          <cell r="L898">
            <v>0</v>
          </cell>
          <cell r="M898">
            <v>0</v>
          </cell>
        </row>
        <row r="899">
          <cell r="E899"/>
          <cell r="I899"/>
          <cell r="L899">
            <v>0</v>
          </cell>
          <cell r="M899">
            <v>0</v>
          </cell>
        </row>
        <row r="900">
          <cell r="E900"/>
          <cell r="I900"/>
          <cell r="L900">
            <v>0</v>
          </cell>
          <cell r="M900">
            <v>0</v>
          </cell>
        </row>
        <row r="901">
          <cell r="E901"/>
          <cell r="I901"/>
          <cell r="L901">
            <v>0</v>
          </cell>
          <cell r="M901">
            <v>0</v>
          </cell>
        </row>
        <row r="902">
          <cell r="E902"/>
          <cell r="I902"/>
          <cell r="L902">
            <v>0</v>
          </cell>
          <cell r="M902">
            <v>0</v>
          </cell>
        </row>
        <row r="903">
          <cell r="E903"/>
          <cell r="I903"/>
          <cell r="L903">
            <v>0</v>
          </cell>
          <cell r="M903">
            <v>0</v>
          </cell>
        </row>
        <row r="904">
          <cell r="E904"/>
          <cell r="I904"/>
          <cell r="L904">
            <v>0</v>
          </cell>
          <cell r="M904">
            <v>0</v>
          </cell>
        </row>
        <row r="905">
          <cell r="E905"/>
          <cell r="I905"/>
          <cell r="L905">
            <v>0</v>
          </cell>
          <cell r="M905">
            <v>0</v>
          </cell>
        </row>
        <row r="906">
          <cell r="E906"/>
          <cell r="I906"/>
          <cell r="L906">
            <v>0</v>
          </cell>
          <cell r="M906">
            <v>0</v>
          </cell>
        </row>
        <row r="907">
          <cell r="E907"/>
          <cell r="I907"/>
          <cell r="L907">
            <v>0</v>
          </cell>
          <cell r="M907">
            <v>0</v>
          </cell>
        </row>
        <row r="908">
          <cell r="E908"/>
          <cell r="I908"/>
          <cell r="L908">
            <v>0</v>
          </cell>
          <cell r="M908">
            <v>0</v>
          </cell>
        </row>
        <row r="909">
          <cell r="E909"/>
          <cell r="I909"/>
          <cell r="L909">
            <v>0</v>
          </cell>
          <cell r="M909">
            <v>0</v>
          </cell>
        </row>
        <row r="910">
          <cell r="E910"/>
          <cell r="I910"/>
          <cell r="L910">
            <v>0</v>
          </cell>
          <cell r="M910">
            <v>0</v>
          </cell>
        </row>
        <row r="911">
          <cell r="E911"/>
          <cell r="I911"/>
          <cell r="L911">
            <v>0</v>
          </cell>
          <cell r="M911">
            <v>0</v>
          </cell>
        </row>
        <row r="912">
          <cell r="E912"/>
          <cell r="I912"/>
          <cell r="L912">
            <v>0</v>
          </cell>
          <cell r="M912">
            <v>0</v>
          </cell>
        </row>
        <row r="913">
          <cell r="E913"/>
          <cell r="I913"/>
          <cell r="L913">
            <v>0</v>
          </cell>
          <cell r="M913">
            <v>0</v>
          </cell>
        </row>
        <row r="914">
          <cell r="E914"/>
          <cell r="I914"/>
          <cell r="L914">
            <v>0</v>
          </cell>
          <cell r="M914">
            <v>0</v>
          </cell>
        </row>
        <row r="915">
          <cell r="E915"/>
          <cell r="I915"/>
          <cell r="L915">
            <v>0</v>
          </cell>
          <cell r="M915">
            <v>0</v>
          </cell>
        </row>
        <row r="916">
          <cell r="E916"/>
          <cell r="I916"/>
          <cell r="L916">
            <v>0</v>
          </cell>
          <cell r="M916">
            <v>0</v>
          </cell>
        </row>
        <row r="917">
          <cell r="E917"/>
          <cell r="I917"/>
          <cell r="L917">
            <v>0</v>
          </cell>
          <cell r="M917">
            <v>0</v>
          </cell>
        </row>
        <row r="918">
          <cell r="E918"/>
          <cell r="I918"/>
          <cell r="L918">
            <v>0</v>
          </cell>
          <cell r="M918">
            <v>0</v>
          </cell>
        </row>
        <row r="919">
          <cell r="E919"/>
          <cell r="I919"/>
          <cell r="L919">
            <v>0</v>
          </cell>
          <cell r="M919">
            <v>0</v>
          </cell>
        </row>
        <row r="920">
          <cell r="E920"/>
          <cell r="I920"/>
          <cell r="L920">
            <v>0</v>
          </cell>
          <cell r="M920">
            <v>0</v>
          </cell>
        </row>
        <row r="921">
          <cell r="E921"/>
          <cell r="I921"/>
          <cell r="L921">
            <v>0</v>
          </cell>
          <cell r="M921">
            <v>0</v>
          </cell>
        </row>
        <row r="922">
          <cell r="E922"/>
          <cell r="I922"/>
          <cell r="L922">
            <v>0</v>
          </cell>
          <cell r="M922">
            <v>0</v>
          </cell>
        </row>
        <row r="923">
          <cell r="E923"/>
          <cell r="I923"/>
          <cell r="L923">
            <v>0</v>
          </cell>
          <cell r="M923">
            <v>0</v>
          </cell>
        </row>
        <row r="924">
          <cell r="E924"/>
          <cell r="I924"/>
          <cell r="L924">
            <v>0</v>
          </cell>
          <cell r="M924">
            <v>0</v>
          </cell>
        </row>
        <row r="925">
          <cell r="E925"/>
          <cell r="I925"/>
          <cell r="L925">
            <v>0</v>
          </cell>
          <cell r="M925">
            <v>0</v>
          </cell>
        </row>
        <row r="926">
          <cell r="E926"/>
          <cell r="I926"/>
          <cell r="L926">
            <v>0</v>
          </cell>
          <cell r="M926">
            <v>0</v>
          </cell>
        </row>
        <row r="927">
          <cell r="E927"/>
          <cell r="I927"/>
          <cell r="L927">
            <v>0</v>
          </cell>
          <cell r="M927">
            <v>0</v>
          </cell>
        </row>
        <row r="928">
          <cell r="E928"/>
          <cell r="I928"/>
          <cell r="L928">
            <v>0</v>
          </cell>
          <cell r="M928">
            <v>0</v>
          </cell>
        </row>
        <row r="929">
          <cell r="E929"/>
          <cell r="I929"/>
          <cell r="L929">
            <v>0</v>
          </cell>
          <cell r="M929">
            <v>0</v>
          </cell>
        </row>
        <row r="930">
          <cell r="E930"/>
          <cell r="I930"/>
          <cell r="L930">
            <v>0</v>
          </cell>
          <cell r="M930">
            <v>0</v>
          </cell>
        </row>
        <row r="931">
          <cell r="E931"/>
          <cell r="I931"/>
          <cell r="L931">
            <v>0</v>
          </cell>
          <cell r="M931">
            <v>0</v>
          </cell>
        </row>
        <row r="932">
          <cell r="E932"/>
          <cell r="I932"/>
          <cell r="L932">
            <v>0</v>
          </cell>
          <cell r="M932">
            <v>0</v>
          </cell>
        </row>
        <row r="933">
          <cell r="E933"/>
          <cell r="I933"/>
          <cell r="L933">
            <v>0</v>
          </cell>
          <cell r="M933">
            <v>0</v>
          </cell>
        </row>
        <row r="934">
          <cell r="E934"/>
          <cell r="I934"/>
          <cell r="L934">
            <v>0</v>
          </cell>
          <cell r="M934">
            <v>0</v>
          </cell>
        </row>
        <row r="935">
          <cell r="E935"/>
          <cell r="I935"/>
          <cell r="L935">
            <v>0</v>
          </cell>
          <cell r="M935">
            <v>0</v>
          </cell>
        </row>
        <row r="936">
          <cell r="E936"/>
          <cell r="I936"/>
          <cell r="L936">
            <v>0</v>
          </cell>
          <cell r="M936">
            <v>0</v>
          </cell>
        </row>
        <row r="937">
          <cell r="E937"/>
          <cell r="I937"/>
          <cell r="L937">
            <v>0</v>
          </cell>
          <cell r="M937">
            <v>0</v>
          </cell>
        </row>
        <row r="938">
          <cell r="E938"/>
          <cell r="I938"/>
          <cell r="L938">
            <v>0</v>
          </cell>
          <cell r="M938">
            <v>0</v>
          </cell>
        </row>
        <row r="939">
          <cell r="E939"/>
          <cell r="I939"/>
          <cell r="L939">
            <v>0</v>
          </cell>
          <cell r="M939">
            <v>0</v>
          </cell>
        </row>
        <row r="940">
          <cell r="E940"/>
          <cell r="I940"/>
          <cell r="L940">
            <v>0</v>
          </cell>
          <cell r="M940">
            <v>0</v>
          </cell>
        </row>
        <row r="941">
          <cell r="E941"/>
          <cell r="I941"/>
          <cell r="L941">
            <v>0</v>
          </cell>
          <cell r="M941">
            <v>0</v>
          </cell>
        </row>
        <row r="942">
          <cell r="E942"/>
          <cell r="I942"/>
          <cell r="L942">
            <v>0</v>
          </cell>
          <cell r="M942">
            <v>0</v>
          </cell>
        </row>
        <row r="943">
          <cell r="E943"/>
          <cell r="I943"/>
          <cell r="L943">
            <v>0</v>
          </cell>
          <cell r="M943">
            <v>0</v>
          </cell>
        </row>
        <row r="944">
          <cell r="E944"/>
          <cell r="I944"/>
          <cell r="L944">
            <v>0</v>
          </cell>
          <cell r="M944">
            <v>0</v>
          </cell>
        </row>
        <row r="945">
          <cell r="E945"/>
          <cell r="I945"/>
          <cell r="L945">
            <v>0</v>
          </cell>
          <cell r="M945">
            <v>0</v>
          </cell>
        </row>
        <row r="946">
          <cell r="E946"/>
          <cell r="I946"/>
          <cell r="L946">
            <v>0</v>
          </cell>
          <cell r="M946">
            <v>0</v>
          </cell>
        </row>
        <row r="947">
          <cell r="E947"/>
          <cell r="I947"/>
          <cell r="L947">
            <v>0</v>
          </cell>
          <cell r="M947">
            <v>0</v>
          </cell>
        </row>
        <row r="948">
          <cell r="E948"/>
          <cell r="I948"/>
          <cell r="L948">
            <v>0</v>
          </cell>
          <cell r="M948">
            <v>0</v>
          </cell>
        </row>
        <row r="949">
          <cell r="E949"/>
          <cell r="I949"/>
          <cell r="L949">
            <v>0</v>
          </cell>
          <cell r="M949">
            <v>0</v>
          </cell>
        </row>
        <row r="950">
          <cell r="E950"/>
          <cell r="I950"/>
          <cell r="L950">
            <v>0</v>
          </cell>
          <cell r="M950">
            <v>0</v>
          </cell>
        </row>
        <row r="951">
          <cell r="E951"/>
          <cell r="I951"/>
          <cell r="L951">
            <v>0</v>
          </cell>
          <cell r="M951">
            <v>0</v>
          </cell>
        </row>
        <row r="952">
          <cell r="E952"/>
          <cell r="I952"/>
          <cell r="L952">
            <v>0</v>
          </cell>
          <cell r="M952">
            <v>0</v>
          </cell>
        </row>
        <row r="953">
          <cell r="E953"/>
          <cell r="I953"/>
          <cell r="L953">
            <v>0</v>
          </cell>
          <cell r="M953">
            <v>0</v>
          </cell>
        </row>
        <row r="954">
          <cell r="E954"/>
          <cell r="I954"/>
          <cell r="L954">
            <v>0</v>
          </cell>
          <cell r="M954">
            <v>0</v>
          </cell>
        </row>
        <row r="955">
          <cell r="E955"/>
          <cell r="I955"/>
          <cell r="L955">
            <v>0</v>
          </cell>
          <cell r="M955">
            <v>0</v>
          </cell>
        </row>
        <row r="956">
          <cell r="E956"/>
          <cell r="I956"/>
          <cell r="L956">
            <v>0</v>
          </cell>
          <cell r="M956">
            <v>0</v>
          </cell>
        </row>
        <row r="957">
          <cell r="E957"/>
          <cell r="I957"/>
          <cell r="L957">
            <v>0</v>
          </cell>
          <cell r="M957">
            <v>0</v>
          </cell>
        </row>
        <row r="958">
          <cell r="E958"/>
          <cell r="I958"/>
          <cell r="L958">
            <v>0</v>
          </cell>
          <cell r="M958">
            <v>0</v>
          </cell>
        </row>
        <row r="959">
          <cell r="E959"/>
          <cell r="I959"/>
          <cell r="L959">
            <v>0</v>
          </cell>
          <cell r="M959">
            <v>0</v>
          </cell>
        </row>
        <row r="960">
          <cell r="E960"/>
          <cell r="I960"/>
          <cell r="L960">
            <v>0</v>
          </cell>
          <cell r="M960">
            <v>0</v>
          </cell>
        </row>
        <row r="961">
          <cell r="E961"/>
          <cell r="I961"/>
          <cell r="L961">
            <v>0</v>
          </cell>
          <cell r="M961">
            <v>0</v>
          </cell>
        </row>
        <row r="962">
          <cell r="E962"/>
          <cell r="I962"/>
          <cell r="L962">
            <v>0</v>
          </cell>
          <cell r="M962">
            <v>0</v>
          </cell>
        </row>
        <row r="963">
          <cell r="E963"/>
          <cell r="I963"/>
          <cell r="L963">
            <v>0</v>
          </cell>
          <cell r="M963">
            <v>0</v>
          </cell>
        </row>
        <row r="964">
          <cell r="E964"/>
          <cell r="I964"/>
          <cell r="L964">
            <v>0</v>
          </cell>
          <cell r="M964">
            <v>0</v>
          </cell>
        </row>
        <row r="965">
          <cell r="E965"/>
          <cell r="I965"/>
          <cell r="L965">
            <v>0</v>
          </cell>
          <cell r="M965">
            <v>0</v>
          </cell>
        </row>
        <row r="966">
          <cell r="E966"/>
          <cell r="I966"/>
          <cell r="L966">
            <v>0</v>
          </cell>
          <cell r="M966">
            <v>0</v>
          </cell>
        </row>
        <row r="967">
          <cell r="E967"/>
          <cell r="I967"/>
          <cell r="L967">
            <v>0</v>
          </cell>
          <cell r="M967">
            <v>0</v>
          </cell>
        </row>
        <row r="968">
          <cell r="E968"/>
          <cell r="I968"/>
          <cell r="L968">
            <v>0</v>
          </cell>
          <cell r="M968">
            <v>0</v>
          </cell>
        </row>
        <row r="969">
          <cell r="E969"/>
          <cell r="I969"/>
          <cell r="L969">
            <v>0</v>
          </cell>
          <cell r="M969">
            <v>0</v>
          </cell>
        </row>
        <row r="970">
          <cell r="E970"/>
          <cell r="I970"/>
          <cell r="L970">
            <v>0</v>
          </cell>
          <cell r="M970">
            <v>0</v>
          </cell>
        </row>
        <row r="971">
          <cell r="E971"/>
          <cell r="I971"/>
          <cell r="L971">
            <v>0</v>
          </cell>
          <cell r="M971">
            <v>0</v>
          </cell>
        </row>
        <row r="972">
          <cell r="E972"/>
          <cell r="I972"/>
          <cell r="L972">
            <v>0</v>
          </cell>
          <cell r="M972">
            <v>0</v>
          </cell>
        </row>
        <row r="973">
          <cell r="E973"/>
          <cell r="I973"/>
          <cell r="L973">
            <v>0</v>
          </cell>
          <cell r="M973">
            <v>0</v>
          </cell>
        </row>
        <row r="974">
          <cell r="E974"/>
          <cell r="I974"/>
          <cell r="L974">
            <v>0</v>
          </cell>
          <cell r="M974">
            <v>0</v>
          </cell>
        </row>
        <row r="975">
          <cell r="E975"/>
          <cell r="I975"/>
          <cell r="L975">
            <v>0</v>
          </cell>
          <cell r="M975">
            <v>0</v>
          </cell>
        </row>
        <row r="976">
          <cell r="E976"/>
          <cell r="I976"/>
          <cell r="L976">
            <v>0</v>
          </cell>
          <cell r="M976">
            <v>0</v>
          </cell>
        </row>
        <row r="977">
          <cell r="E977"/>
          <cell r="I977"/>
          <cell r="L977">
            <v>0</v>
          </cell>
          <cell r="M977">
            <v>0</v>
          </cell>
        </row>
        <row r="978">
          <cell r="E978"/>
          <cell r="I978"/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B26002652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B26002891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D25019205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D26001869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D26003782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D26004063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D26004065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D26004172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D26004421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D26004422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D26004530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D26004591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T26000148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T26000171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B26002930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B26003797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B26003850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B26003851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B26001307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D26002713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D26002714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T24001625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D24017664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T25001722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D25019599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D26000152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D26000153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D26000257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D26000590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B26000573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D26000830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B26000819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B26000881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D26000937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T26000065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D26001210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B26001129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D26001333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D26001437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D26001533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D26001636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T26000104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B26001741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D26001845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D26001988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D26002036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D26002142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D26002144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D26002274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D26002292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B26002204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D26002432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D26002662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D26002924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D26002959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D26002978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D26003055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B26002931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D26003308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D26003460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D26003486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D26003538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D26003604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B26003369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D26003855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D26003891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D26004102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D26004267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D26004277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D26004343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D26004344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D26004373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B26003803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D26004463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B26000800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T26000215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B26003832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D26000219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B26001024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B26001427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D26002113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B26003238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B26003310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T26000063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D25018991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B25016636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B25016679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B25016699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D25019570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B26000367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B26000411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B26000490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B26000588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B26000683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B26000863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D26001139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B26001399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D26001433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D26001490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B26001553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B26001554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D26001765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B26001803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B26001909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B26001929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B26001930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B26002090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Z26000412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Z26000413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Z26000414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Z26000415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Z26000418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Z26000478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Z26000492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Z26000766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Z26000767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Z26000857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Z26000858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Z26000862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D26001682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D26003068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T26000220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D26004499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B25014223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D25017624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B25015823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D25018213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Z25003356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D25019620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Z25003374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Z25003397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B26000429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D26000565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Z26000091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D26000711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D26000775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D26000776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D26001205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Z26000194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B26001638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D26001751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D26001824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D26001832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B26001738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D26001882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D26001883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Z26000329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Z26000349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D26002089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D26002192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D26002316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Z26000466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B26002534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B26002605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D26003226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Z26000807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D26004398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B26002505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B26003618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T26000280K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D26003496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D26003200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D26003218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B26003652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D26002887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D26002888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B26002884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B26002953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B26003060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D26003323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B26003255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D26003543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B26003385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B26003386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D26004173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D26004174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D26004545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D26004546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T26000025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B26003056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D26003873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B26002262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B26003773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B26003934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D26003518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B26003408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B26003409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D26001212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T26000218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B26002907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B26003254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D26003747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B26002918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T26000235k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T26000237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B26002358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T26000189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B26003025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B26003259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D26003601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B26003348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B26003381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L26000013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B26003456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B26003476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D26003923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D26003979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B26003793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B26003794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B26000701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D26000758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B26001359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D26002457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D26002552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B26002879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B26003307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D26003749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D26004317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D26004318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B26003936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B26003937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T26000317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D26000237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B26000783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B26001561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D26003097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B26002996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B26003398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D26003783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D26004551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D26004552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T25001720K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B25016519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B26000268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D26000737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D26000873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B26000831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B26000872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D26001016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B26001047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D26001214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B26001239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D26001742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B26001730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D26001867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B26001840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B26001854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B26001859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T26000139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B26002153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D26002256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B26002228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D26002440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B26002270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B26002324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B26002346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D26002522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D26002622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D26002648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D26002811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D26003032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D26003033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D26003048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T26000231k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B26002959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B26002960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B26002973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D26003187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D26003196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D26003321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B26003124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B26003167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D26003495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D26003512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D26003591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B26003326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D26003634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B26003391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D26003795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D26003799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B26003448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B26003504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D26003959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D26003960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D26003983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B26003542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B26003543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B26003573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B26003690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B26003730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D26004372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D26004407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D26004466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B26003830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D26004528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D26004529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D26004554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D26004555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D26004561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B26003650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B26003689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B26003697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D26004341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B26003760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C26000142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B26002317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T26000348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T26000229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T26000192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D26003242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D26003435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D26004113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D26004219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B26003927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B26003931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D26004588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B26003103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B26003136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B26003137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B26003139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L26000010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D26003403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D26003665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D26003690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D26004086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D26004087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B26003710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B26003711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B26003712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B26003713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B26003950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D26004582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B26001901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B26002107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C26000151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D26003586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B26002062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B26003247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D26003628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D26002410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D26003732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B26003829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D26003123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D26004477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B26003924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D26004594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B25005869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D25010517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D26004505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D26002255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D26003104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D26003515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B26002777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D25018930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D26004498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T26000149K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B26001889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D26002000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B26002156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B26002509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D26002749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D26003092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B26003119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B26003442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D26003885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D26001386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D26001392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B26002785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D26003116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B26003356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B26003357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D26003769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D26003806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B26003775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B26003890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Z26000520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Z26000617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D26002848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B26003303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B26003587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D26004509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B26002247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B26003611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D26003694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D26003517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T25001533K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T26000086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T25001556K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D26002748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B26001136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B26001590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B26001591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D26002416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B26002645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D26004187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D26004188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Z26000231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Z26000232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Z26000607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Z26000821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D26003713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D26000810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B26000982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B26000983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D26001275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D26001314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B26001274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B26001388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B26001410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B26001446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B26001574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B26001580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D26001839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B26001745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D26002091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D26002297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D26002682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D26002683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D26002710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D26002907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D26002913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D26002914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B26002910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B26003009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B26003174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D26003593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D26003972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D26003985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B26003622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B26003807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B26003811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D26004668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B26003361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B25013215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B25013285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B25008183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B26001004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D26002404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B26002150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B26002728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B26002496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B26003241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D26004517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B26003118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D26004321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D26002401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B26000125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B26000508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B26001344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D26002160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B26002874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B26003549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D26004185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D26001318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Z26000424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D26000848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B26000811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B26000842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B26000843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B26000894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B26000895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B26000907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D26001026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D26001084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B26001113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D26001153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D26001171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D26001172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B26001146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D26001224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B26001218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B26001219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D26001283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D26001297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B26001238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B26001295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D26001383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D26001466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B26001433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B26001434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B26001459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D26001631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D26001732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B26001655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B26001670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D26001858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D26001859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D26001902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B26001821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B26001822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B26001869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B26001870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D26002052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B26001985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B26001986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B26002054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B26002055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B26002133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B26002134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D26002277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D26002374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B26002209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B26002291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B26002327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B26002334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B26002335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D26002656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B26002549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D26002680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D26002736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D26002737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B26002619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B26002620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D26002845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B26002737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B26002738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D26002984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D26002985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D26003050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B26002897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B26002898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B26002965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B26002970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D26003169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B26003000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B26003024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D26003232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B26003053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B26003096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B26003143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D26003374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D26003428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D26003429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D26003498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D26003499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D26003503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D26003558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D26003559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D26003627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D26003650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D26003706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B26003435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B26003436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D26003895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D26003954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D26003955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D26003975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D26003976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D26004029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D26004030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D26004032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D26004079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D26004080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D26004136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D26004137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D26004169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D26004202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D26004586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D26004631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D26004656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D26003884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T26000314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D26004183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D26001875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D26001969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B26002625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D26001733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B26001753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D26001879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B26002716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D26004636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B26002752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D26003246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B26003595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B26003651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B26003660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D26002300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B26002308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B26002309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B26003900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D26004645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D25016516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N25000063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D26003524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D26003535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D26004347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D26004374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B26003037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D26003487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D26004252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D26004381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B26000050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B26000726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D26000942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D26001481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D26001580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D26002530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D26004028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B26000049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B26001029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T26000092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D26001184</v>
          </cell>
          <cell r="AP1549">
            <v>0</v>
          </cell>
          <cell r="AQ1549">
            <v>0</v>
          </cell>
          <cell r="AV1549">
            <v>1300000</v>
          </cell>
        </row>
        <row r="1550">
          <cell r="E1550" t="str">
            <v>D26002063</v>
          </cell>
          <cell r="AP1550">
            <v>0</v>
          </cell>
          <cell r="AQ1550">
            <v>0</v>
          </cell>
          <cell r="AV1550">
            <v>1560000</v>
          </cell>
        </row>
        <row r="1551">
          <cell r="E1551" t="str">
            <v>B26002218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B26002288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D26004072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B26003921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Z26000094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Z26000102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Z26000130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Z26000153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Z26000177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Z26000279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Z26000372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Z26000427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Z26000437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Z26000549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Z26000550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Z26000787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Z26000788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Z26000813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Z26000814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B26001201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B26001289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B26001341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B26001348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B26001383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B26001464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B26001551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B26001698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B26001774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B26001779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B26001782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D26002098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D26002167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D26002270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B26002210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D26002488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D26002500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D26002516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D26002615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D26002699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D26002794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D26002832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D26003078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D26003192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D26003199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D26003303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D26003478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D26003546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D26003810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B26003512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B26003554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D26004095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D26004100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D26004162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B26003649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D26004217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D26004218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D26004236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D26004307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D26004308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B26003783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B26003818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B26003819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B26003933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T26000253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T26000254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B25002140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T26000183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D26003024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B26002908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B26003228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D26003907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B26003777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D26004471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D26004496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Z26000402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Z26000605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Z26000609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B26003363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D25019399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B26001649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B26001714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D26002696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B26002616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D24015365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D24015541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C25000192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C25000197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C25000198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C25000445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B25008299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B25008808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B25009712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M25000081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D25018593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T26000338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T26000339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B26003843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D26001327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D26003701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D26003708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D26002752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D26002753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B26003379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B26003384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D26003731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T26000124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D26003355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D26003371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D26003541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D26004108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D26004112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B26003675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D26004301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D26004335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B26003925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D26001745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D26001800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D26001801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D26002019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B26001898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D26002042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B26002167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B26002168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D26002971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D26003067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D26003126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B26003180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D26003481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D26003808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D26004061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D26004062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B26003847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B26001765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D26002387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D26002388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T26000122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Z26000519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Z26000652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Z26000757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D26003087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D26003122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B26003601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B26002988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T26000251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B26003462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T26000284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T26000331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B26002313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D26003451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D26004299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D26003452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D26004493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D26001781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B26002909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B26002911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B26003275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T25001881k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B26001319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D26002055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D26003730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D26001633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D26001633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B26002847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B26003057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D26003319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B26001613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T26000165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D26003030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D26003031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D26003040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T26000216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D26003356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B26003928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D26001854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B26001851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D26002080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B26002052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B26002100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D26002778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T26000222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D26003688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D26004500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D26003344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D26003353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D26003655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D26003757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B26003687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B26002893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D26004210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B26002323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D26003585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D26003702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D26003814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B26003917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D26004481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T25000698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T25000700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D25017210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D25018775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D25018776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D25019491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B25016962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D26001199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B26003446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B26003447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B26001039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D26001222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B25016629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D25019258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B25017107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B25017109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D26000485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D26000506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D26000575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D26000852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D26001446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D26001587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D26001625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D26001850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D26002100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D26002356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D26002976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D26003028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D26003039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D26003086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B26003035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D26003206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D26003767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D26004000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D26004180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D26004434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D26004581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D26004599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T22000046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T22000053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T22000087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T22000122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T22000134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T22000139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T22000141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T22000167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T22000207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T22000254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T22000265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T22000282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T22000338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T22000378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T22000394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T22000405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T22000425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T22000456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T22000472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T22000491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T22000520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T22000560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T22000561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T22000580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T22000604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T22000664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T22000725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T22000772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T22000799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T23000003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T23000012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T23000013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T23000057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T23000064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T23000087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T23000120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D23001207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T23000149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T23000184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T23000187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T23000252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T23000257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T23000275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T23000285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T23000332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T23000355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T23000382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T23000419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T23000426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T23000485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T23000492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T23000504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T23000509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T23000522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T23000524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T23000577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T23000584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T23000594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T23000630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T23000644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T23000686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T23000695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T23000741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T23000742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T23000772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T23000781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T23000782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T23000809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T23000845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T23000846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T23000860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T23000881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T23000884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T23000924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T23000935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T23000936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T23000986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T23000989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T23000994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T23000998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T23000999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T23001025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T23001026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T23001057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T23001094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T23001095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T23001103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T24000001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T24000018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T24000040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T24000113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T24000118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T24000126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T24000149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T24000166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T24000175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T24000176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T24000250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T24000251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T24000260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T24000265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T24000279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T24000299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T24000376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T24000384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T24000391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T24000392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T24000419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T24000448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T24000488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T24000489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T24000495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T24000497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T24000498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T24000499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T24000519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T24000527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T24000598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T24000600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T24000601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T24000602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T24000603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T24000612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T24000631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T24000635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T24000673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T24000717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T24000718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T24000719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T24000720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T24000726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T24000727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T24000754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T24000755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T24000787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T24000938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T24000939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T24000946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T24000983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T24000984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T24000985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T24001077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T24001078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T24001079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T24001087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T24001088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T24001108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T24001119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T24001120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T24001121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T24001215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T24001220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T24001249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T24001250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T24001265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T24001359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T24001360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T24001361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T24001369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T24001372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T24001380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T24001424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T24001446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T24001447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T24001638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T24001651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T24001652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T24001653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T24001654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T24001655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T24001697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T24001717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T24001721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T24001842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T25000028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T25000029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T25000035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T25000036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T25000091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T25000142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T25000157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T25000158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T25000161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T25000172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T25000178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T25000328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T25000329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T25000357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T25000365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T25000367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T25000368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T25000372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T25000432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T25000523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T25000547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T25000548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T25000558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T25000559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T25000563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T25000564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T25000578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T25000626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T25000685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T25000686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T25000702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T25000706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T25000707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T25000734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T25000735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T25000740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T25000764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T25000770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R25000015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T25000878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T25000886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T25000887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T25000888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T25000895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T25000902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T25000903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T25000914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T25000915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C25000475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T25000936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T25000957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T25000958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D25009205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T25000988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T25000997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T25000999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T25001024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T25001025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T25001033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T25001062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T25001078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T25001110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T25001162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T25001165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T25001173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T25001189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T25001203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T25001207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T25001222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T25001269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T25001294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T25001323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T25001329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T25001330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T25001336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T25001343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T25001395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T25001408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T25001452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T25001458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T25001459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T25001463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T25001464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T25001485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T25001497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T25001592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T25001593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T25001608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T25001628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T25001629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T25001630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T25001683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T25001712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T25001729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T25001741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T25001742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T25001746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T25001752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T25001756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T25001757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T25001764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T25001766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T25001767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T25001768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T25001769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T25001807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T25001832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T25001896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T26000004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T26000005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T26000007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T26000012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T26000015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T26000020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T26000048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T26000069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T26000080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T26000084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T26000112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T26000113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T26000137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T26000138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T26000141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T26000260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T26000266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T26000267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T26000278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T26000282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C26000216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T26000357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T26000358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T26000359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T26000390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T26000391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B25016903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D25019699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T26000001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Z26000815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Z26000844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B26001830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B26002061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B26002811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B26002815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B26003344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T26000306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B26003570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B26003571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D26004247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B26002599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B26003280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T26000125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Z26000633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D26003231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B26003155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D26003354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D26004261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B26003814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D26004470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D26004485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D26004486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B26002445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T26000182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B26002527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B26000464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B26001015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B26001016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D26002143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D26002276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B26001686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D26002213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B26002946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T26000028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D26002037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D26002038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D26003346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B26003352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B26003941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B26002128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D26003430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B26003304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B26003305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D26004519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D26004520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D26000920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B26000897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D26000963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B26001369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D26001450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D26001453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D26001482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D26001492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D26002109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D26002495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D26003144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D26004283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B26003718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D26004577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D26004617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D26003870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B26001296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D26001432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T26000298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T26000289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B26003236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T26000311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D26000628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D26000641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T26000077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B26001913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B26001914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D26003263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D26003264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D26003345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B26001807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B26002193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B26002580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D26002835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Z26000596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Z26000744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Z26000753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Z26000790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Z26000791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Z26000826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Z26000850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D26001951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B26002417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D26002739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D26002740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D26002759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D26002760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D26002762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D26002763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D26002837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D26002877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D26002878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D26002884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D26002894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D26003211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D26003240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D26003241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B26003138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D26003339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D26003401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D26003402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D26003621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D26003817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D26003851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D26004193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D26004212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D26004213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D26004260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D26004324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D26004433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T25001634K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T25001713K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T26000058K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D26003854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B26003577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B26003578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T26000031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T26000049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T26000056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D26001370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D26001592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B26001587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T26000126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B26001938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D26002043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D26002069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D26002083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B26002591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B26002592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B26002792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B26002793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B26003279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D26004074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D26004114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D26004115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D26004143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D26002332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D26003047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B26003013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B26003672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D26004478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D25018821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B26000110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D26000050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D26000160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T26000010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B26000174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B26000547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B26000548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B26000549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B26000820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D26000934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D26001000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D26001001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D26001252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D26001253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D26001397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D26001406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B26001748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B26001749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B26001827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B26001828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B26002469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D26002605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D26002606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D26002667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D26002668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B26002869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B26002905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B26002906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B26002989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B26003325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B26003327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B26003555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B26003556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D26004059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B26003808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B26003809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B26003810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D26004575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T26000081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T26000107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B26001915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D26002738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B26003746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D26003693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D26003807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D26002810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D26003549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B26003383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D26003696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D26004190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D26002886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B26002459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B26003283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T26000388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Z26000825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C26000248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Z26000845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Z26000846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Z26000851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B26001118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B26001119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B26001249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B26001250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B26001475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B26001478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B26001642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B26001643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D26001961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D26001962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D26002535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B26003494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B26003495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D26004669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B26001502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D26002281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D26002367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D26002420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D26002491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B26002658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B26002700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B26002993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T26000247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D26003433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B26003335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D26003774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B26003531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D26004205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D26001431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D26003320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B26003306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B26003388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D26004178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B26003835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T26000067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T26000286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D26001703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B26003907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D26000742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T26000037K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D26001362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D26002235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T26000154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B26002224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B26002286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B26002287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D26002905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T26000212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B26003145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D26003351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T26000272k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D26003622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D26003934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D26004004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D26004177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D26004198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B26003786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T26000380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B26003943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T26000387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D26004641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D26000546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D26000623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D26001522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D26002825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B26003569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R26000001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B25014771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D25019221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T26000072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T26000075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B26002165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T26000159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D26003686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B26003410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B26003868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D26004464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B25016978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D25019626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B26000278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B26000628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B26003645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B26003646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D26004235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D26002359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D26004479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B26003158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D26003582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D26003609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B26003848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B26003849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D26004671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T25001873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D25019721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B26000452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D26001889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T25001857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D26002005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B26002546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B26003090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B26003091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L26000009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B26003817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B26003828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D26004497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C26000244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D26004058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D26004221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D26004334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D26002718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D26003207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B26003268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B26003269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D26003685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B26003729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L26000017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B26003772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D26003965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B26002026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B26002098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B26002493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B26002718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B26003415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D26003784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B26002099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B26002119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B26002501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D26003260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B26003505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B26003871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D26000787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B26001474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B26002102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B26003151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B26002393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D26002554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D26002578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D26003437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D26003661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D26003668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C26000245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C26000246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B26002865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B26002889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D26002318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B26002644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B26002824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B26002825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B26003127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B26003491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B26003635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D26001958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D26003529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D21000994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B25016768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B25016769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T25001878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D25019426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D25019525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D26000138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D26000258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D26000379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D26000443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T26000091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D26001793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D26001799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B26002045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B26002046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D26002265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D26002568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B26002666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B26002686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T26000193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B26002708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D26003021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B26002878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B26003146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D26003493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D26003531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D26003758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D26004014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T26000336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B26002382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D26004017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T26000337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B26002609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D26003422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D26002654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D26002655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B26003319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B26003721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D26001346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B26001871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B26002586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B26002587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D26003064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B26002902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B26002947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B26002995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T26000269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B26003353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D26003881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B26003617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D26004184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D26004250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B26003753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B26003758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B26003836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D26004557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T26000383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T26000384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Z26000254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Z26000354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Z26000394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Z26000428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Z26000429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Z26000432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Z26000461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Z26000462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Z26000474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Z26000486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Z26000502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Z26000503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Z26000506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Z26000510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Z26000515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Z26000528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Z26000532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Z26000533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Z26000534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Z26000541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Z26000553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Z26000554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Z26000564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Z26000566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Z26000572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Z26000573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Z26000580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Z26000582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Z26000603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Z26000608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Z26000610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Z26000611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Z26000622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Z26000625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Z26000643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Z26000644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Z26000653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Z26000666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Z26000677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Z26000678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Z26000687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Z26000695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Z26000698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Z26000709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Z26000717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Z26000749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Z26000751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Z26000776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Z26000778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Z26000780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Z26000796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Z26000797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Z26000802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Z26000811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Z26000832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Z260010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Z26000838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Z26000854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Z26000855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Z26000861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Z260011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B26003187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D26003788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D26004614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D26004649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D26004589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D26004620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D26004621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D26002498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D26003168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D26004675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B26001617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D26002275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D26002319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D26003676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T26000179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B26002756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B26002757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B26002883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B26003075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B26003076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B26003378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D26004152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B26003894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B26003895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B26003896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D26003949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D26003951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D26003952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T26000127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T26000128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D26003564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Z25003155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Z25003160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Z25003231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Z26000132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Z26000165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Z26000295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Z26000760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D26002520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B26002454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D26002624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D26004438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D26004446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B26003888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B26003947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B26001151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B26001152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D26004098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T26000343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T26000039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T26000303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B26003043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B26003918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D25017877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D26002843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D26002844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B26002742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B26002768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B26002779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B26002829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T26000239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B26003015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B26003041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D26003244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D26003245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D26003289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B26003225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D26003914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B26003559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D26004066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D26004358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D26004359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D26004456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D26004534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D26004543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D26004544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D26004597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D26004598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D26002803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D26002804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D26002805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B26003284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B26003285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B26003372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D26003839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D26003840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B25016719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T25001870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D25019687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D26000794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B26000763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B26000789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B26001310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B26001316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D26001513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B26001625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B26001648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D26001764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D26001893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D26002056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D26002258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B26002199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B26002241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D26002635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B26002574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B26002575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B26002922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B26002923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B26002940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B26003156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B26003157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D26003376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B26003315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D26004298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D26004382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D26004384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D26004385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T26000085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B26002044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D25018352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T26000246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B26003044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B26003046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B26003117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B26003201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B26003202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B26003350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B26003424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D26003824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D26003905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B26003526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D26004025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D26004302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D26004436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D26004454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B26000904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B26002696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B26002638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D26003057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B26003460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B26002615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B26003189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D26000841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B26002220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B25015514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B25015835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D25018981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D25018982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B25016652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D25019412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B26002130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B26002131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D26002290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D26002298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D26002306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B26002265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B26002266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D26002471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T26000166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D26002518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T26000177K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B26002557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D26002755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D26002806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D26002814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D26002815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B26002802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B26002803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D26003008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D26003129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B26002942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B26002943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B26002977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D26003228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D26003229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T26000281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D26003571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D26003572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D26003580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D26003600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D26003733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B26003396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B26003397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D26004020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D26004021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D26004047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D26004049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B26003628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B26002408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D26003465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B26003266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B26003515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B26003798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Z26000445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Z26000537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Z26000551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Z26000658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Z26000706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Z26000719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Z26000720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Z26000795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Z26000829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Z26000830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Z26000836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Z26000837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D26004501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D26004508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D26004527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D26003773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D25018111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D26002344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D26002345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B26000121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B26001639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D26002196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T26000151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T26000302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B25016323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B25016323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B25016368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D25019153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D25019210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D25019268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D25019269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D25019356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D25019356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D25019394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D25019394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D25019517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D25019596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D25019596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B25017086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B25017135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D26000081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D26000081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D26000083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D26000083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D26000536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D26000583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D26001285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D26001285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D26001494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D26001494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D26001508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D26001508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D26001675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D26001676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D26001770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D26001770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D26001802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D26001802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D26002025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D26002025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D26002430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D26002430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D26002443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D26002443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D26002513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D26002627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D26002681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D26002691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B26002751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B26002775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D26002962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D26002986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D26003007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B26003188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D26003643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D26003646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D26003736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D26003968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D26004209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B26003657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D26004386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D26004403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D26004427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D26004592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D26004615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D26004616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D25007908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D25015340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D25010159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B26003067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D26003306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B26001143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D26004609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D26004610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D26004611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D24016641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T26000346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A26000385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A26000431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A26000437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A26000475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A26000488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A26000490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A26000491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A26000492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A26000495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A26000496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A26000502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A26000503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A26000504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A26000508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A26000509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A26000510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A26000511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A26000478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A26000484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A26000486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A26000487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A26000494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A26000498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A26000499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A26000500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D26003860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T26000374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D26002468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D26002992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D26002993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D26003581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B26003768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B26002295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B26002299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B26002781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D26003369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D26003370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D26003112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B26003196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B26003458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B26003469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D26001717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D26001786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D26001823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D26002044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B26002552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B26002774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B26002952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B26003209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D26003569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D26003658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D26003728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D26003878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D26003879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B26003486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B26003525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D26004019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B26003539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B26003855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B26003856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D26004606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D25013126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D26002392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D26002555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D26002608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D26002974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D26003381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D26003456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D26003457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D26003457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D26003659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D26003833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D26004076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D26004140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C26000232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D26004417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D26004474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T26000120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T26000121k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B26003402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T26000325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D26004016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D26004216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B26003862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B26001719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B26001720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B26001721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B26001823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B26002517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B26002518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B26002519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D26003718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D26003719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B26003946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B26003949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B26002758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B26002759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T26000205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T26000206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T26000209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T26000219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T26000233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D26003191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B26003081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D26004562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D26004563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D26004564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B26001756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D26001848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B26002221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B26002985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D26003666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T26000181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D26001198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D26003421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T26000324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B26001979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B26003149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B25016555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B26001771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D26002214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D26002702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B26002676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D26002893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T26000223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B26003245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B26003309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B26003594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B26003785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D26004416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B26003881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D26004660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B26002154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D26004556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B26002894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B26002895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D26001461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D26003637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B26001598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B26003563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B25016462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B25016462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B25017144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B26000223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D26000251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D26000296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D26000307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D26000320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D26000328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D26000458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D26000465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D26000468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B26000576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D26000677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D26000727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D26000777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B26000792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D26000871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D26000986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D26000986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B26001097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B26001097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D26001331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B26001276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B26001349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B26001401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D26001429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D26001430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D26001447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D26001485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D26001493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D26001512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B26001493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D26001600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D26001623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D26001635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B26001573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D26001672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B26001616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D26001798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D26001809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D26001809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B26001711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B26001716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D26001860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D26002016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B26001953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D26002116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D26002118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B26002006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D26002187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D26002187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D26002212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B26002192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D26002436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D26002481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B26002378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B26002411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D26002570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D26002661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D26002734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D26002735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D26002756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D26002757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D26002864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D26002897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D26002979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D26002979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D26003060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D26003182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D26003224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B26003064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B26003079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B26003080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B26003083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D26003505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D26003505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D26003670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D26003717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T26000308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D26003797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T26000309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B26003427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B26003430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B26003459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D26003841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B26003478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B26003519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D26004081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D26004093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D26004099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D26004099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D26004101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B26003567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D26004150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D26004166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D26004223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D26004237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D26004238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D26004242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D26004245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D26004248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D26004265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B26003688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D26004271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D26004279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D26004285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B26003767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B26003802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D26004405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D26004458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D26004460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D26004465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B26003831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B26003853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B26003854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D26004522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D26004523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D26004566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B26003906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D26004662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D26001269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D26004613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B26001286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B26001659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B26001681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T25001792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B26000836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B26000877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B26001354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B26001995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D26002110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D26004578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D26004579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D26004580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D26001720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D26002818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D26003974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D26004117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T26000345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D26004461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D26004632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D26004633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D26004670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D26001106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B26001700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D26003291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D26003714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B26000599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D26000627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B26003636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D25019702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D26000944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D26000964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D26001117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B26001287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B26001508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B26001757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B26002229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D26002657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B26002548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D26002790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D26002875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B26002706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D26002926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B26003129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B26003130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B26003206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D26003632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D26003647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B26003482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B26003483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Z26000750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D26004369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B26002237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D26002453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D26002925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T26000197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T26000226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D26000178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D26000883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B26001109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B26001281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B26001456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D26002750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B26003428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D26003883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B26002430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D26003967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B26001947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B26002002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D26002403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B26002294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B26003052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B26003061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D26003247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B26003885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B26003954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D26003691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D26004376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B26001376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T25001374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B26001076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B26003302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B26000310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D26001175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D26001615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D26002248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D26003537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B26003406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D26004612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D26002917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D26002919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B26003833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Z26000473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Z26000487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Z26000500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Z26000522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Z26000683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Z26000684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Z26000689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Z26000707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Z26000733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D26001941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D26001942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D26001820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B25016985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D26002354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B26003022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D26003599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D26003742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T26000313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T26000361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B26003861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D26000829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D26002013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D26002218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D26002219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D26002226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D26002242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D26002282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D26002431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D26003056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D26003106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D26003673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D26003674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D26003675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B26003345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D26004319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D26004320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D26004338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D26004445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D26004467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T26000234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B26002348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D26004536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T25001236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D26001993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T25000648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R25000130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B26003059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B26003432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D26003925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B26003905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B26002196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B26002489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D26000103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B26000774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T26000047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T26000109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B26002678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D26003412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B26001297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B26003007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D26003474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D26004366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N26000037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B26002268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T26000363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T25001726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T25001727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D26002809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D26003961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T26000365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T25001499k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D25017560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T25001743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B25015759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B25015760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B25016494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B25016495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B26000065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B26000407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B26000801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B26000802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T26000052k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T26000053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B26000919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B26001531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B26001532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B26001543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B26002424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B26002426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D26002609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D26003827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D26004154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D26004168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B26001811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B26001868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B26001920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B26002861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B26002863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T26000295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D26004409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D26004410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D26004435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B25015134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D25017600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D26001819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D26001838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D26001897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B26001899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D26002405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D26002406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D26002504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D26002882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B26002843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B26002928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B26002939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D26003286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B26003208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D26003466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D26003506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D26003639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D26003682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D26004090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D26004091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B26003764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D26004415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D26002791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B26002860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D26003652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D26003653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B26003182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B26003183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B26003185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B26002648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T26000240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B26003070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>
            <v>260023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D26003811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B26003452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D26004199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T25001747</v>
          </cell>
          <cell r="AP3505">
            <v>0</v>
          </cell>
          <cell r="AQ3505">
            <v>0</v>
          </cell>
          <cell r="AV3505">
            <v>3000000</v>
          </cell>
        </row>
        <row r="3506">
          <cell r="E3506" t="str">
            <v>T26000236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D26000923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D26001396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B26001431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B26001878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D26002008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D26002009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B26001921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D26002465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D26002466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B26002646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D26002827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D26002828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D26002829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B26002786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B26003042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B26003192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B26003193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D26003651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D26003867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D26003868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D26004200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B26003791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B26003792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D26004442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D26004449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D25019464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D25019543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D25019589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D25019589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D25019590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D25019590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D25019591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D25019600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D25019608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D25019608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D26000006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D26000068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D26000463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D26000494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D26000523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D26000523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D26000617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D26000618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D26000746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D26000842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D26000842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D26000996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D26000996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D26001094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D26001094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D26001095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D26001096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D26001096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B26001106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B26001107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B26001107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D26001336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D26001372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D26001372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D26001495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D26001495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D26001496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D26001517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D26001517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D26001689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D26001689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D26001718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D26001718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D26001744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D26001744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D26001888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D26002035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D26002035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D26002148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D26002148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D26002149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D26002149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D26002150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D26002150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D26002166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D26002207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T26000150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D26002240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D26002284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D26002341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D26002346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D26002346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B26002213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B26002214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D26002428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D26002428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D26002510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D26002583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D26002583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B26002468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B26002468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B26002473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D26002625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D26002625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D26002674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D26002676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D26002677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B26002633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B26002633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D26002865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D26003000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D26003001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D26003108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D26003109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D26003110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D26003137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D26003161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D26003162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D26003177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D26003178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D26003235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D26003256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D26003282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D26003283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D26003383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D26003385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D26003386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D26003416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D26003426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D26003539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D26003605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D26003606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D26003640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D26003679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D26003794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C26000203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C26000204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D26004046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D26004203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D26004204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D26004346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D26004507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T26000071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B26002171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D26003183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D26003184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D26004639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D26004640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D26003300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T26000335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B26002818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D26003729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D26004393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D26004132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D26003567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B26003585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D26004142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B26001826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D26002065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B26002059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D26002329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B26002197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D26002851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D26002981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D26003540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D26003687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D26003917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D26004082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B26003669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D26004514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B26000779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B26002827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D23006230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N25000011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B26003877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B26003878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D26001425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D26001918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D26001948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B26002806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T26000210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D26003287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D25019452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D26000445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D26000474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D26000498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D26000499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D26000519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B26000598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D26000741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D26001098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D26001099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D26001116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B26001236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D26001366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T26000097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D26001501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D26001501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B26001449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D26001526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D26001815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D26001863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B26001824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D26002175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D26002203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D26002206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B26002231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D26002450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B26002340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D26002553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D26002632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D26002643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D26002643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D26002715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D26002721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D26002975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D26003105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B26003006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D26003227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D26003251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D26003252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D26003596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D26004296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D26004339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D26004340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D26004600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B26003321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B26003322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B25015963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D25018569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B25017002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B25017003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B25017004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B25017041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B25017046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D26001049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D26001050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B26001138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D26003166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B26003632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Z26000166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Z26000407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Z26000410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Z26000476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Z26000477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Z26000672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Z26000694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Z26000696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Z26000729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Z26000734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Z26000747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Z26000755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Z26000785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Z26000786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Z26000812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Z26000847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Z26000848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D26003859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D26004133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D26004134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D26004135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D26004472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D26004473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D26004655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D26004661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T26000252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T26000347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B26003926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D26003017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D26003432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B26003523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T26000329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B26001403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B26003665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D26002614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B26003355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D26002565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B26003217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D26003804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D26003805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D26001724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D26002070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B26002601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B26002602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D26002775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B26002990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D26003945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D26003948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B26003513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D26004045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B26003731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B26003733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B26003734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L26000018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B26002418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D26003035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B26003919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B26003074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D26003842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D26003843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D26003844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B26003781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D26000405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D26002334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B26003232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Z26000841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Z26000842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B26003380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B26003825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B26003903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D26003220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Z26000612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B26003939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D26004601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D26003249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D26003927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B26003308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B26003318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D26003626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B26003347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D26004258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D26004259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B26003670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B26003695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B26003724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C26000249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T26000118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C26000116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B26002838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D26003342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D26003343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B26003220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B26003242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D26003608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B26003407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D26004035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T26000043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Z26000282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Z26000390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Z26000463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Z26000485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Z26000521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Z26000587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Z26000616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Z26000621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Z26000680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Z26000798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Z26000799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Z26000805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Z26000808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Z26000809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Z26000859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Z26000860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T26000103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T26000142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B26003904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D25013643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T26000057K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D26003349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D26004677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D26001931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D26002939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D26003002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D26003853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D26003926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D26004255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B26001558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B26001708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D26001767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D26002278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D26002509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D26002575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D26002645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B26002490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B26002491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D26002846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D26003489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D26003555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D26003556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D26003587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D26004048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B26003623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B26003624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D26004333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D26004352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D26003043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T26000258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D26004129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D26004149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D26003902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D26004088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D26004192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D26004266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B26003667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D26004322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D26004330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D26004349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B26003806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D26004480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B25016405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B25016539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B25016540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D25019392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D25019402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B26000529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B26000530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B26000643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D26000729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D26002722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D26002723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D26004547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D26004548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D26004549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D26004550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D26004587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D26001922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D26001955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D26001956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D26002114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B26002191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B26002465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B26002465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D26002716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D26002729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D26002968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D26002968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B26002999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B26003002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D26003551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D26003595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D26003597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D26003709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D26004362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D26004363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B26001477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D26002915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D26002916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D26002933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D26003791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D26004394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D26004402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N26000040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D26004521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Z26000233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B26003598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B26003599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D25015258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D26001097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D26004502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D26004596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D26002637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B26003484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T26000014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D26002204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D26003250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D26003864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B26003769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D26004443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B26001962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D26003156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D26003157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D26004253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D26004315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T25001866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B26002543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D26002859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T26000194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B26003747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B26003726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B26003727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T26000364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B26003839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B26003844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B26002184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D26003471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D26003557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B26003728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B26003741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B26001192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D26003970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B26003944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B26002787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T26000201k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B26000378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D26001960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T26000133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D26002376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T26000304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B26001528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B26002651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D26003359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D26003360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T26000328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D26000217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D26000218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B26000560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B26000569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B26000570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D26001528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B26002039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D26003475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B26003787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B26003788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B26003126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B26000038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B26000298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B26000593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D26000625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B26001110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B26001694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D26001787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D26002030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D26002361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B26002289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D26002511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D26003477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B26003392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D26004525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T26000379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D26001851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D26001852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D26001885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B26003068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T26000261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D26004533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B26003897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D26004646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B26002553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D26002708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B26002654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B26002668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D26002874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D26002885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B26002770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B26002773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B26002798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D26002950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B26002862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D26003089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B26003028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B26003029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B26003082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D26003248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D26003307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B26003102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B26003106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D26003408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D26003525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B26003271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B26003336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D26003715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D26003716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D26003897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B26003487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B26003613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D26004208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D26004222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D26004251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B26003679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D26004294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B26003840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B26003872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B26003880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B26003886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D26004635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B26003738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D26004357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Z26000543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Z26000618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D26002497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D26002521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B26002938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B26002941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B26003674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D26004293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D26004312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B26003913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B26003914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B26003915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D26003119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D26002961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N26000028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T26000041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B26000998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B26001226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D26001330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B26001270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B26001405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D26001530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B26001696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D26001919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D26001921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B26001981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B26002093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D26002244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B26002255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B26002390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D26002567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D26002602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B26002662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B26002670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B26002707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B26002735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D26002973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B26003152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B26003153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L26000011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D26003449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D26003759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B26003501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D26003987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D26004304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D26004608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D26000675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D26001080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D26001081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D26001123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D26002251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D26002252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D26002271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D26002600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D26002601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N26000023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B26002832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B26002833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D26003629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D26003630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B26003620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B26003621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D25019435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D25019436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D25019437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N25000086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D26002965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D26002999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T26000175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D26004336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D26004558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D26004559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D26001723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B26003507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D26002313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B26003864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D26004622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D26003053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T25001874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D26001576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B26001971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B26002092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B26002251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D26002629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B26002562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D26003037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D26003054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D26003073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D26004628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D26004629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D26004634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D26004674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B26001612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D26001821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D26002027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D26002092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B26001987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B26001987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B26001988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B26002120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B26002155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D26002305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D26002337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D26002482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B26002380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D26002612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B26002528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D26002868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B26002841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D26003125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D26003234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D26003337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D26003389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D26003410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T26000283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B26003324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D26003645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D26003787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D26004073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D26004159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B26003676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B26003756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D26004440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B26003826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B26003827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D26004542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B26003916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D26004604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D26004625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T25001880</v>
          </cell>
          <cell r="AP4236">
            <v>0</v>
          </cell>
          <cell r="AQ4236">
            <v>0</v>
          </cell>
          <cell r="AV4236">
            <v>1000000</v>
          </cell>
        </row>
        <row r="4237">
          <cell r="E4237" t="str">
            <v>B26000964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B26000965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D26002347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D26002858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T26000228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D26003754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B26003461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D26004284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D26004264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B26003799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D26004418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D26004553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B26001737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T26000294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T26000366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D26003026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D26003602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D26003091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D26004618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B25012496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D25017825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B25015450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B25016277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D26000374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B26001931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D26002064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B26002304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B26002375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B26002376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B26002593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D26003117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D26003832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B26003776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D26004568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B26000622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B26000775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B26001262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T26000105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D26002855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B26002819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B26002820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D26001292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D26001420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D26001523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D26001981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D26002085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D26002140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B26002067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D26002422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D26002639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D26004230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D26004658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D26002333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B26002882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D26004310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B26001309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T26000248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B26003509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B26003684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D26004281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D26001994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B26001975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D26002104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D26002112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D26002201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D26002215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D26002411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D26002528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D26003058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D26003059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D26003075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D26003080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B26003286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B26003317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B26003351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B26003368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B26003547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D26004116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D26004171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D26004262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B26002881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D26003111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T26000066k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B26002310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B26002697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D26003822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B26003612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D26004311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B26003842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B26001963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D26003084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D26004607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D26003695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T26000307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B26003576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D26004495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D26004257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B26003784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T26000368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T25001515k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T25001519K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D26002285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D26002296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D26004630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D26004657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B25015498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B25015508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B25015667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B25015981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B25016753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T25001877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B25016907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B25016909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D26000033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D26000041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D26000042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B26000271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B26000335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D26000591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D26000816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D26000831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B26001161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D26001238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D26001378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D26001908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D26002060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B26002342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D26003155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D26003180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D26003363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T26000268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B26003337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D26003631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T26000299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B26003425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B26003040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B26003222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D26003683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D26004624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D26003358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T26000101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B26001926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B26001927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B26001994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D26002693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B26003159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B26003160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D26003338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D26003901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D26003916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D26003963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B26003534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D26004055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D25017643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D25018207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D25019018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D25019607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B26000124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B26000372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B26000495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B26001120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B26001210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B26001520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B26001579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D26003214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D26003892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D26004491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B26002685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Z26000370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Z26000526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D26000069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B26000945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B26001018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B26001594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B26003467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B26003468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B26003489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D26001816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D26001831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D26001913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D26002222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D26002449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B26002507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B26002753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D26002967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D26003394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B26003457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B26003535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D26004057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B26003899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B26003956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D26004643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B26001829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B26001836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B26001837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D26001944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B26001905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B26002158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D26002307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B26002431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B26002432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D26002642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B26002573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D26002769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D26002898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D26002899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D26002900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D26003258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B26003142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B26003190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D26003406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D26003761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B26003437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B26003438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D26003848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D26003849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D26004110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D26004111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D26004484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B25016192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B25017143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D26000064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D26000065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D26002003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D26002039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B26002398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D26003462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D26004593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T25001776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Z26000389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B26002447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B26002448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B26002611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B26002703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D26004038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D26004039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B26003541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B26003553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B26003560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B26003790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B26003875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B26003955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Z25003241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Z26000025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Z26000237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Z26000392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B26000309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B26000320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B26000492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B26000604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B26000732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B26001066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B26001148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B26001443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B26001448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B26001750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D26002090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D26002117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B26002079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D26002287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D26002288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B26002177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D26002321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D26002327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B26002203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B26002235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D26002866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D26002922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D26002923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B26002945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D26003255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D26003352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B26003243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D26003526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D26004239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B26003659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D26004249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B26003770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D26004462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D26004494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D26004605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B26001850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D26001986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B26003637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D26004309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D26004387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B26003929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R25000016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D26002896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B26003488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B26003696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D26003574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T26000288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B26003290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B26003338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D26003903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D26003090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T26000227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T26000088k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B26001517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D26004515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B26002403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D26000282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D26003387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D26003388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D26004052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B26002485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B26002486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B26002492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B26003414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B26003441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D26001963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D26002726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B26003506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B26000890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D26001435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D26001660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B26001842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B26001999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D26002597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D26002861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B26002849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D26003445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B26003550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B25014926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B25015763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B26001668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B26001796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D26002427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D26002588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D26002616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D26002631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B26002554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D26003443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D26003455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B26003703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B26003704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B26003705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B26003723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B26003795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B26003898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D26004659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Z26000309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Z26000337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Z26000386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Z26000479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Z26000516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Z26000517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Z26000619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Z26000620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Z26000638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Z26000674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T26000332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Z26000731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Z26000739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Z26000741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Z26000752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Z26000769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Z26000770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Z26000827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Z26000828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Z26000843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B26002748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B26002749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B26002750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B26003287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B26003606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B26003607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D25017659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D25018842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B26003763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B26001621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B26001622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B26001666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B26001172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B26001176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B26001460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D26001601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D26001602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D26002151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D26002958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D26004053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B26003584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D26000832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B26003417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B26003418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T26000146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D26004003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D26004018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B26003677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D26002781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B26002828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T26000271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B26000433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B26000689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B26000818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B26000934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B26001429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B26001660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D26002942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D26002943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D26002956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D26002960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D26003458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D26003886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N26000034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D26003918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B26003765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B26003870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B26003882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T26000382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D26004627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B26001232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D26001779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D26001782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B26001945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B26002019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D26002429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D26003484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D26003485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B26003334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D26003603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B26003823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B25016320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B26001436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D26002262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D26002652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D26003442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D26004644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B26003451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T26000316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B26003481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D26004141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B26002734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B26002267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D26004537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B26001263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B26002094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B26002715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B26002769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B26002856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B26002915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B26002926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B26002927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B26003072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T26000259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B26003099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T26000262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D26003861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T26000319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T26000367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T26000372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D26004468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T26000038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D26002470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D26002744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B26002885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D26003750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D26003752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B26003838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D26004538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Z26000265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Z26000818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Z26000819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B26002870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D26003921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D25018997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D25018998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D25019266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D26001678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D26001679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D26001680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T26000108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D26002649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D26002650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D26002651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D26002673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T26000202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D26003473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D26004167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B26002355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D26004228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D26004565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B25012121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B26002103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B26002105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D26002524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D26002679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D26002711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B26003212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B26003213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B26003583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B26003700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D26004297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D26004503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B26003889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D26003734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B26003529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D26001223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B26002253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B26003532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D26003977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B26003610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T26000026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T26000076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B26003399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D26003776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D26001864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D26002353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D26001762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B26002088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B26002359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D26004151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B26003655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D26004448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B26002631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D26002808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D26002660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B26003027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B26003033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L26000008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D26003480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D26003765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D26003766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D26003785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D26004119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D26004120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D26004125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D26004170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D26004413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D26004414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D26004459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D26000795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D26001163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D26001164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D26001731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D26001755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B26001805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D26002032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D26002266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D26002328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D26002672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D26003340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D26003373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D26003973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D26004069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D26000365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Z26000203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Z26000312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D26001870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Z26000338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Z26000357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D26002245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Z26000469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D26003173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D26003648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D26003649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Z26000839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Z26000864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B26000565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D26000552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D26000595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D26000710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D26000721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D26000951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D26001083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D26001088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D26001122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D26001377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D26001477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D26001497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D26001499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D26001746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B26001715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D26001861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D26001877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B26001801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B26001900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D26002095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D26002324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B26002216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B26002277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D26002593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B26002520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D26002712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D26003202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D26003225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D26003523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D26003768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D26003825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D26003831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D26003845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D26003898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D26003899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D26003900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D26003941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B26003517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D26004024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D26004431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D26004432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D26004482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D26004518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D26004667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B26003834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B26003837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B26002968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B26002969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B26003557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D26004426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D26003379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D26001653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D26002452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D26004365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B26001772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C26000247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B26000016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B26003197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B26001814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T26000153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B26002243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B26002743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B26002763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B26002858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D26003816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D26004232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D26004233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D26004329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D26004647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D26004648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D26003762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D26003763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D26004364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R25000105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D26003820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T26000170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B26003779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B26003780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T26000370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B26002367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B26002560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B26002561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D25018993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B26003164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D26003519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D26000048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B26001784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B26002991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B26003210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B26003663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B26003953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B26002186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B26003546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D26004220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T26000185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B26002936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B26002944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T26000241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B26003281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B26003282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B26003580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D26004191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D26002527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D26002705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B26002677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D26002849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B26002710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B26002876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D26003448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B26003311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D26003624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B26003596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B26003597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D26004327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B26001861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D26003521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D26003725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B26001662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D26001966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B26002011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D26002269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D26002517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D26003085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D26003194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D26003267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D26003328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D26003377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D26003446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D26003727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D26003771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D26003793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D26003942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D26004097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D26004118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D26004153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D26004240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D26004313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B26003821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D26003154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B26003691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D26000910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B26001311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D26001748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D26001754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D26001873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D26001874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D26002261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B26002234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D26002397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B26002607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D26002892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B26002790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D26003083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D26003413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D26003438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B26003299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Z26000792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D26004215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D26002618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D26003865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D26004043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D26004585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B26001723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D26001844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B26002084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B26002498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D26002770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D26002881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B26002851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D26003316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B26003364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D26003721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D26003823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B26003873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C26000098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T25001650K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B26000483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B26000849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B26001718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D26002373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D26003128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B26001754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B26001755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D26001978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T26000140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B26001996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B26001997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D26002135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D26002379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D26002380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B26002331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B26002332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B26002365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B26002437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B26002438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D26002797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D26002798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B26002835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D26003036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B26002890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B26003014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D26003284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D26003436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D26003684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B26003405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B26003431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B26003492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D26003924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D26004067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D26004243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D26004244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D26004291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D26004354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B26003874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B26003876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D26003520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D26002972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N26000030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B26002961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B26000967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D26001363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T26000238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D26002854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B26003678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D26004292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D26003589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D26003590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B26002344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B26002766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B26002767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D26003336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D26004085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D26004161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T24000579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B26003879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B26003938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T26000094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T26000095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B26002626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D26002198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B26002163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D26001227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D26001471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D26002303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B26002205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B26002440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B26002594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B26002681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B26002830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B26002831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D26003069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D26003411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D26003414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B26003234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D26003482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B26003264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D26003579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B26003544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B26003572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B26003593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D26004305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D26004424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D26004560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D25017697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D26002415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D26003770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B26003923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D26004626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D26004492</v>
          </cell>
          <cell r="AP5081">
            <v>0</v>
          </cell>
          <cell r="AQ5081">
            <v>0</v>
          </cell>
          <cell r="AV5081">
            <v>0</v>
          </cell>
        </row>
        <row r="5083">
          <cell r="E5083" t="str">
            <v>x</v>
          </cell>
          <cell r="AP5083" t="str">
            <v>x</v>
          </cell>
          <cell r="AQ5083" t="str">
            <v>x</v>
          </cell>
          <cell r="AV5083" t="str">
            <v>x</v>
          </cell>
        </row>
        <row r="5084">
          <cell r="AP5084">
            <v>0</v>
          </cell>
          <cell r="AQ5084">
            <v>0</v>
          </cell>
          <cell r="AV5084">
            <v>16327500</v>
          </cell>
        </row>
        <row r="5085">
          <cell r="AQ5085">
            <v>0</v>
          </cell>
        </row>
        <row r="5086">
          <cell r="AQ5086">
            <v>0</v>
          </cell>
        </row>
        <row r="5087">
          <cell r="AQ5087">
            <v>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Sumber Rejeki/Maksum</v>
          </cell>
          <cell r="I13">
            <v>4170000</v>
          </cell>
          <cell r="L13">
            <v>0</v>
          </cell>
          <cell r="M13">
            <v>4170000</v>
          </cell>
        </row>
        <row r="14">
          <cell r="E14" t="str">
            <v>Baru Rejo/Haris</v>
          </cell>
          <cell r="I14">
            <v>665000</v>
          </cell>
          <cell r="L14">
            <v>0</v>
          </cell>
          <cell r="M14">
            <v>665000</v>
          </cell>
        </row>
        <row r="15">
          <cell r="E15" t="str">
            <v>Sumber Rejeki/Maksum</v>
          </cell>
          <cell r="I15">
            <v>3885000</v>
          </cell>
          <cell r="L15">
            <v>0</v>
          </cell>
          <cell r="M15">
            <v>3885000</v>
          </cell>
        </row>
        <row r="16">
          <cell r="E16" t="str">
            <v>Tani Maju/Ayus Tinah</v>
          </cell>
          <cell r="I16">
            <v>6255000</v>
          </cell>
          <cell r="L16">
            <v>0</v>
          </cell>
          <cell r="M16">
            <v>6255000</v>
          </cell>
        </row>
        <row r="17">
          <cell r="E17" t="str">
            <v>Setia Jaya, UD/Saiful</v>
          </cell>
          <cell r="I17">
            <v>26655000</v>
          </cell>
          <cell r="L17">
            <v>0</v>
          </cell>
          <cell r="M17">
            <v>26655000</v>
          </cell>
        </row>
        <row r="18">
          <cell r="E18" t="str">
            <v>Setia Jaya, UD/Saiful</v>
          </cell>
          <cell r="I18">
            <v>17825000</v>
          </cell>
          <cell r="L18">
            <v>0</v>
          </cell>
          <cell r="M18">
            <v>17825000</v>
          </cell>
        </row>
        <row r="19">
          <cell r="E19" t="str">
            <v>Setia Jaya, UD/Saiful</v>
          </cell>
          <cell r="I19">
            <v>54000000</v>
          </cell>
          <cell r="L19">
            <v>0</v>
          </cell>
          <cell r="M19">
            <v>54000000</v>
          </cell>
        </row>
        <row r="20">
          <cell r="E20" t="str">
            <v>Setia Jaya, UD/Saiful</v>
          </cell>
          <cell r="I20">
            <v>16700000</v>
          </cell>
          <cell r="L20">
            <v>0</v>
          </cell>
          <cell r="M20">
            <v>16700000</v>
          </cell>
        </row>
        <row r="21">
          <cell r="E21" t="str">
            <v>Mapan Agro Sentosa, UD</v>
          </cell>
          <cell r="I21">
            <v>7440000</v>
          </cell>
          <cell r="L21">
            <v>0</v>
          </cell>
          <cell r="M21">
            <v>7440000</v>
          </cell>
        </row>
        <row r="22">
          <cell r="E22" t="str">
            <v>Rimba Kelapa/Ribut Aminah</v>
          </cell>
          <cell r="I22">
            <v>7800000</v>
          </cell>
          <cell r="L22">
            <v>0</v>
          </cell>
          <cell r="M22">
            <v>7800000</v>
          </cell>
        </row>
        <row r="23">
          <cell r="E23" t="str">
            <v>Rimba Kelapa/Ribut Aminah</v>
          </cell>
          <cell r="I23">
            <v>13420000</v>
          </cell>
          <cell r="L23">
            <v>0</v>
          </cell>
          <cell r="M23">
            <v>13420000</v>
          </cell>
        </row>
        <row r="24">
          <cell r="E24" t="str">
            <v>Rimba Kelapa/Ribut Aminah</v>
          </cell>
          <cell r="I24">
            <v>29312500</v>
          </cell>
          <cell r="L24">
            <v>0</v>
          </cell>
          <cell r="M24">
            <v>29312500</v>
          </cell>
        </row>
        <row r="25">
          <cell r="E25" t="str">
            <v>Sumber Rejeki/Tono</v>
          </cell>
          <cell r="I25">
            <v>3800000</v>
          </cell>
          <cell r="L25">
            <v>0</v>
          </cell>
          <cell r="M25">
            <v>3800000</v>
          </cell>
        </row>
        <row r="26">
          <cell r="E26" t="str">
            <v>Bimo Rukun Tani II</v>
          </cell>
          <cell r="I26">
            <v>34162500</v>
          </cell>
          <cell r="L26">
            <v>0</v>
          </cell>
          <cell r="M26">
            <v>34162500</v>
          </cell>
        </row>
        <row r="27">
          <cell r="E27" t="str">
            <v>Sumber Rejeki/Tono</v>
          </cell>
          <cell r="I27">
            <v>3500000</v>
          </cell>
          <cell r="L27">
            <v>0</v>
          </cell>
          <cell r="M27">
            <v>3500000</v>
          </cell>
        </row>
        <row r="28">
          <cell r="E28" t="str">
            <v>Bimo Rukun Tani II</v>
          </cell>
          <cell r="I28">
            <v>3400000</v>
          </cell>
          <cell r="L28">
            <v>0</v>
          </cell>
          <cell r="M28">
            <v>3400000</v>
          </cell>
        </row>
        <row r="29">
          <cell r="E29" t="str">
            <v>Bimo Rukun Tani II</v>
          </cell>
          <cell r="I29">
            <v>9700000</v>
          </cell>
          <cell r="L29">
            <v>0</v>
          </cell>
        </row>
        <row r="30">
          <cell r="E30" t="str">
            <v>Setia Jaya, UD/Saiful</v>
          </cell>
          <cell r="I30">
            <v>44760000</v>
          </cell>
          <cell r="L30">
            <v>0</v>
          </cell>
          <cell r="M30">
            <v>44760000</v>
          </cell>
        </row>
        <row r="31">
          <cell r="E31" t="str">
            <v>Setia Jaya, UD/Saiful</v>
          </cell>
          <cell r="I31">
            <v>24925000</v>
          </cell>
          <cell r="L31">
            <v>0</v>
          </cell>
          <cell r="M31">
            <v>24925000</v>
          </cell>
        </row>
        <row r="32">
          <cell r="E32" t="str">
            <v>Sumber Rejeki/Tono</v>
          </cell>
          <cell r="I32">
            <v>21210000</v>
          </cell>
          <cell r="L32">
            <v>0</v>
          </cell>
          <cell r="M32">
            <v>21210000</v>
          </cell>
        </row>
        <row r="33">
          <cell r="E33" t="str">
            <v>Bimo Rukun Tani II</v>
          </cell>
          <cell r="I33">
            <v>4524000</v>
          </cell>
          <cell r="L33">
            <v>0</v>
          </cell>
          <cell r="M33">
            <v>4524000</v>
          </cell>
        </row>
        <row r="34">
          <cell r="E34" t="str">
            <v>Pusaka Tani Jaya/Supri</v>
          </cell>
          <cell r="I34">
            <v>3940000</v>
          </cell>
          <cell r="L34">
            <v>0</v>
          </cell>
          <cell r="M34">
            <v>3940000</v>
          </cell>
        </row>
        <row r="35">
          <cell r="E35" t="str">
            <v>Bimo Rukun Tani II</v>
          </cell>
          <cell r="I35">
            <v>12538800</v>
          </cell>
          <cell r="L35">
            <v>0</v>
          </cell>
          <cell r="M35">
            <v>12538800</v>
          </cell>
        </row>
        <row r="36">
          <cell r="E36" t="str">
            <v>Alvin Tani/Toha</v>
          </cell>
          <cell r="I36">
            <v>18337500</v>
          </cell>
          <cell r="L36">
            <v>0</v>
          </cell>
          <cell r="M36">
            <v>18337500</v>
          </cell>
        </row>
        <row r="37">
          <cell r="E37" t="str">
            <v>Bimo Rukun Tani II</v>
          </cell>
          <cell r="I37">
            <v>29424000</v>
          </cell>
          <cell r="L37">
            <v>0</v>
          </cell>
          <cell r="M37">
            <v>29424000</v>
          </cell>
        </row>
        <row r="38">
          <cell r="E38" t="str">
            <v>Bimo Rukun Tani II</v>
          </cell>
          <cell r="I38">
            <v>13220000</v>
          </cell>
          <cell r="L38">
            <v>0</v>
          </cell>
          <cell r="M38">
            <v>13220000</v>
          </cell>
        </row>
        <row r="39">
          <cell r="E39" t="str">
            <v>Setia Jaya, UD/Saiful</v>
          </cell>
          <cell r="I39">
            <v>15937500</v>
          </cell>
          <cell r="L39">
            <v>0</v>
          </cell>
          <cell r="M39">
            <v>15937500</v>
          </cell>
        </row>
        <row r="40">
          <cell r="E40" t="str">
            <v>Setia Jaya, UD/Saiful</v>
          </cell>
          <cell r="I40">
            <v>5760000</v>
          </cell>
          <cell r="L40">
            <v>0</v>
          </cell>
          <cell r="M40">
            <v>5760000</v>
          </cell>
        </row>
        <row r="41">
          <cell r="E41" t="str">
            <v>Bimo Rukun Tani II</v>
          </cell>
          <cell r="I41">
            <v>9130000</v>
          </cell>
          <cell r="L41">
            <v>0</v>
          </cell>
          <cell r="M41">
            <v>9130000</v>
          </cell>
        </row>
        <row r="42">
          <cell r="E42" t="str">
            <v>Kharisma Alam Abadi</v>
          </cell>
          <cell r="I42">
            <v>10000000</v>
          </cell>
          <cell r="L42">
            <v>0</v>
          </cell>
          <cell r="M42">
            <v>10000000</v>
          </cell>
        </row>
        <row r="43">
          <cell r="E43" t="str">
            <v>Sumber Rejeki/Tono</v>
          </cell>
          <cell r="I43">
            <v>15820000</v>
          </cell>
          <cell r="L43">
            <v>0</v>
          </cell>
          <cell r="M43">
            <v>15820000</v>
          </cell>
        </row>
        <row r="44">
          <cell r="E44" t="str">
            <v>Sumber Rejeki/Tono</v>
          </cell>
          <cell r="I44">
            <v>3680000</v>
          </cell>
          <cell r="L44">
            <v>0</v>
          </cell>
          <cell r="M44">
            <v>3680000</v>
          </cell>
        </row>
        <row r="45">
          <cell r="E45" t="str">
            <v>Bimo Rukun Tani II</v>
          </cell>
          <cell r="I45">
            <v>3600000</v>
          </cell>
          <cell r="L45">
            <v>0</v>
          </cell>
          <cell r="M45">
            <v>3600000</v>
          </cell>
        </row>
        <row r="46">
          <cell r="E46" t="str">
            <v>Bimo Rukun Tani II</v>
          </cell>
          <cell r="I46">
            <v>4680000</v>
          </cell>
          <cell r="L46">
            <v>0</v>
          </cell>
          <cell r="M46">
            <v>4680000</v>
          </cell>
        </row>
        <row r="47">
          <cell r="E47" t="str">
            <v>Restu Tani/Rio</v>
          </cell>
          <cell r="I47">
            <v>255000</v>
          </cell>
          <cell r="L47">
            <v>0</v>
          </cell>
          <cell r="M47">
            <v>255000</v>
          </cell>
        </row>
        <row r="48">
          <cell r="E48" t="str">
            <v>Rimba Kelapa/Ribut Aminah</v>
          </cell>
          <cell r="I48">
            <v>10735000</v>
          </cell>
          <cell r="L48">
            <v>0</v>
          </cell>
          <cell r="M48">
            <v>10735000</v>
          </cell>
        </row>
        <row r="49">
          <cell r="E49" t="str">
            <v>Rimba Kelapa/Ribut Aminah</v>
          </cell>
          <cell r="I49">
            <v>1620000</v>
          </cell>
          <cell r="L49">
            <v>0</v>
          </cell>
          <cell r="M49">
            <v>1620000</v>
          </cell>
        </row>
        <row r="50">
          <cell r="E50" t="str">
            <v>Rimba Kelapa/Ribut Aminah</v>
          </cell>
          <cell r="I50">
            <v>1050000</v>
          </cell>
          <cell r="L50">
            <v>0</v>
          </cell>
        </row>
        <row r="51">
          <cell r="E51" t="str">
            <v>Klinik Tani/Defit</v>
          </cell>
          <cell r="I51">
            <v>6610000</v>
          </cell>
          <cell r="L51">
            <v>0</v>
          </cell>
        </row>
        <row r="52">
          <cell r="E52" t="str">
            <v>Sumber Rejeki/Tono</v>
          </cell>
          <cell r="I52">
            <v>22950000</v>
          </cell>
          <cell r="L52">
            <v>0</v>
          </cell>
          <cell r="M52">
            <v>22950000</v>
          </cell>
        </row>
        <row r="53">
          <cell r="E53" t="str">
            <v>Mitra Tani/Hariyanto</v>
          </cell>
          <cell r="I53">
            <v>18900000</v>
          </cell>
          <cell r="L53">
            <v>0</v>
          </cell>
          <cell r="M53">
            <v>18900000</v>
          </cell>
        </row>
        <row r="54">
          <cell r="E54" t="str">
            <v>Rimba Kelapa/Ribut Aminah</v>
          </cell>
          <cell r="I54">
            <v>5312500</v>
          </cell>
          <cell r="L54">
            <v>0</v>
          </cell>
          <cell r="M54">
            <v>5312500</v>
          </cell>
        </row>
        <row r="55">
          <cell r="E55" t="str">
            <v>Kumpul Tani/Hendro</v>
          </cell>
          <cell r="I55">
            <v>9900000</v>
          </cell>
          <cell r="L55">
            <v>0</v>
          </cell>
          <cell r="M55">
            <v>9900000</v>
          </cell>
        </row>
        <row r="56">
          <cell r="E56" t="str">
            <v>Kumpul Tani/Hendro</v>
          </cell>
          <cell r="I56">
            <v>17100000</v>
          </cell>
          <cell r="L56">
            <v>0</v>
          </cell>
          <cell r="M56">
            <v>17100000</v>
          </cell>
        </row>
        <row r="57">
          <cell r="E57" t="str">
            <v>Rimba Kelapa/Ribut Aminah</v>
          </cell>
          <cell r="I57">
            <v>23120000</v>
          </cell>
          <cell r="L57">
            <v>0</v>
          </cell>
          <cell r="M57">
            <v>23120000</v>
          </cell>
        </row>
        <row r="58">
          <cell r="E58" t="str">
            <v>Bimo Rukun Tani, UD</v>
          </cell>
          <cell r="I58">
            <v>7800000</v>
          </cell>
          <cell r="L58">
            <v>0</v>
          </cell>
          <cell r="M58">
            <v>7800000</v>
          </cell>
        </row>
        <row r="59">
          <cell r="E59" t="str">
            <v>Bimo Rukun Tani, UD</v>
          </cell>
          <cell r="I59">
            <v>33000000</v>
          </cell>
          <cell r="L59">
            <v>0</v>
          </cell>
          <cell r="M59">
            <v>33000000</v>
          </cell>
        </row>
        <row r="60">
          <cell r="E60" t="str">
            <v>Kharisma Alam Abadi</v>
          </cell>
          <cell r="I60">
            <v>2200000</v>
          </cell>
          <cell r="L60">
            <v>0</v>
          </cell>
          <cell r="M60">
            <v>2200000</v>
          </cell>
        </row>
        <row r="61">
          <cell r="E61" t="str">
            <v>Tani Jaya/Afuk</v>
          </cell>
          <cell r="I61">
            <v>13350000</v>
          </cell>
          <cell r="L61">
            <v>0</v>
          </cell>
          <cell r="M61">
            <v>13350000</v>
          </cell>
        </row>
        <row r="62">
          <cell r="E62" t="str">
            <v>Kharisma Alam Abadi</v>
          </cell>
          <cell r="I62">
            <v>15400000</v>
          </cell>
          <cell r="L62">
            <v>0</v>
          </cell>
          <cell r="M62">
            <v>15400000</v>
          </cell>
        </row>
        <row r="63">
          <cell r="E63" t="str">
            <v>Rizki Agro/Sakti</v>
          </cell>
          <cell r="I63">
            <v>11720000</v>
          </cell>
          <cell r="L63">
            <v>0</v>
          </cell>
          <cell r="M63">
            <v>11720000</v>
          </cell>
        </row>
        <row r="64">
          <cell r="E64" t="str">
            <v>Rizki Santoso, UD</v>
          </cell>
          <cell r="I64">
            <v>10255000</v>
          </cell>
          <cell r="L64">
            <v>0</v>
          </cell>
          <cell r="M64">
            <v>10255000</v>
          </cell>
        </row>
        <row r="65">
          <cell r="E65" t="str">
            <v>Bimo Rukun Tani, UD</v>
          </cell>
          <cell r="I65">
            <v>5560000</v>
          </cell>
          <cell r="L65">
            <v>0</v>
          </cell>
          <cell r="M65">
            <v>5560000</v>
          </cell>
        </row>
        <row r="66">
          <cell r="E66" t="str">
            <v>Bimo Rukun Tani, UD</v>
          </cell>
          <cell r="I66">
            <v>15540000</v>
          </cell>
          <cell r="L66">
            <v>0</v>
          </cell>
          <cell r="M66">
            <v>15540000</v>
          </cell>
        </row>
        <row r="67">
          <cell r="E67" t="str">
            <v>Bimo Rukun Tani, UD</v>
          </cell>
          <cell r="I67">
            <v>3400000</v>
          </cell>
          <cell r="L67">
            <v>0</v>
          </cell>
          <cell r="M67">
            <v>3400000</v>
          </cell>
        </row>
        <row r="68">
          <cell r="E68" t="str">
            <v>Bimo Rukun Tani, UD</v>
          </cell>
          <cell r="I68">
            <v>12036000</v>
          </cell>
          <cell r="L68">
            <v>0</v>
          </cell>
          <cell r="M68">
            <v>12036000</v>
          </cell>
        </row>
        <row r="69">
          <cell r="E69" t="str">
            <v>Jaya Sejahtera/Dian Retno</v>
          </cell>
          <cell r="I69">
            <v>6195000</v>
          </cell>
          <cell r="L69">
            <v>0</v>
          </cell>
          <cell r="M69">
            <v>6195000</v>
          </cell>
        </row>
        <row r="70">
          <cell r="E70" t="str">
            <v>Mujahidin Delapan, UD</v>
          </cell>
          <cell r="I70">
            <v>12545000</v>
          </cell>
          <cell r="L70">
            <v>0</v>
          </cell>
          <cell r="M70">
            <v>12545000</v>
          </cell>
        </row>
        <row r="71">
          <cell r="E71" t="str">
            <v>Prima Tani/Candra Sanjaya</v>
          </cell>
          <cell r="I71">
            <v>11000000</v>
          </cell>
          <cell r="L71">
            <v>0</v>
          </cell>
          <cell r="M71">
            <v>11000000</v>
          </cell>
        </row>
        <row r="72">
          <cell r="E72" t="str">
            <v>Sumber Rejeki/Tono</v>
          </cell>
          <cell r="I72">
            <v>10000000</v>
          </cell>
          <cell r="L72">
            <v>0</v>
          </cell>
          <cell r="M72">
            <v>10000000</v>
          </cell>
        </row>
        <row r="73">
          <cell r="E73" t="str">
            <v>Kumpul Tani/Hendro</v>
          </cell>
          <cell r="I73">
            <v>4600000</v>
          </cell>
          <cell r="L73">
            <v>0</v>
          </cell>
          <cell r="M73">
            <v>4600000</v>
          </cell>
        </row>
        <row r="74">
          <cell r="E74" t="str">
            <v>Mujahidin Delapan, UD</v>
          </cell>
          <cell r="I74">
            <v>17600000</v>
          </cell>
          <cell r="L74">
            <v>0</v>
          </cell>
          <cell r="M74">
            <v>17600000</v>
          </cell>
        </row>
        <row r="75">
          <cell r="E75" t="str">
            <v>Mujahidin Delapan, UD</v>
          </cell>
          <cell r="I75">
            <v>1065000</v>
          </cell>
          <cell r="L75">
            <v>0</v>
          </cell>
          <cell r="M75">
            <v>1065000</v>
          </cell>
        </row>
        <row r="76">
          <cell r="E76" t="str">
            <v>Sumber Rejeki/Tono</v>
          </cell>
          <cell r="I76">
            <v>15547500</v>
          </cell>
          <cell r="L76">
            <v>0</v>
          </cell>
          <cell r="M76">
            <v>15547500</v>
          </cell>
        </row>
        <row r="77">
          <cell r="E77" t="str">
            <v>Rimba Kelapa/Ribut Aminah</v>
          </cell>
          <cell r="I77">
            <v>6000000</v>
          </cell>
          <cell r="L77">
            <v>0</v>
          </cell>
          <cell r="M77">
            <v>6000000</v>
          </cell>
        </row>
        <row r="78">
          <cell r="E78" t="str">
            <v>Dwi Putra, UD</v>
          </cell>
          <cell r="I78">
            <v>2400000</v>
          </cell>
          <cell r="L78">
            <v>0</v>
          </cell>
          <cell r="M78">
            <v>2400000</v>
          </cell>
        </row>
        <row r="79">
          <cell r="E79" t="str">
            <v>Restu Tani/Rio</v>
          </cell>
          <cell r="I79">
            <v>2125000</v>
          </cell>
          <cell r="L79">
            <v>0</v>
          </cell>
          <cell r="M79">
            <v>2125000</v>
          </cell>
        </row>
        <row r="80">
          <cell r="E80" t="str">
            <v>Bimo Rukun Tani II</v>
          </cell>
          <cell r="I80">
            <v>5400000</v>
          </cell>
          <cell r="L80">
            <v>0</v>
          </cell>
          <cell r="M80">
            <v>5400000</v>
          </cell>
        </row>
        <row r="81">
          <cell r="E81" t="str">
            <v>Mitra Tani/Hariyanto</v>
          </cell>
          <cell r="I81">
            <v>59850000</v>
          </cell>
          <cell r="L81">
            <v>0</v>
          </cell>
          <cell r="M81">
            <v>59850000</v>
          </cell>
        </row>
        <row r="82">
          <cell r="E82" t="str">
            <v>Rizki Agro/Sakti</v>
          </cell>
          <cell r="I82">
            <v>1520000</v>
          </cell>
          <cell r="L82">
            <v>0</v>
          </cell>
          <cell r="M82">
            <v>1520000</v>
          </cell>
        </row>
        <row r="83">
          <cell r="E83" t="str">
            <v>Rizki Santoso, UD</v>
          </cell>
          <cell r="I83">
            <v>4050000</v>
          </cell>
          <cell r="L83">
            <v>0</v>
          </cell>
          <cell r="M83">
            <v>4050000</v>
          </cell>
        </row>
        <row r="84">
          <cell r="E84" t="str">
            <v>Cahaya Mulya</v>
          </cell>
          <cell r="I84">
            <v>54000000</v>
          </cell>
          <cell r="L84">
            <v>0</v>
          </cell>
        </row>
        <row r="85">
          <cell r="E85" t="str">
            <v>Lestari Jaya</v>
          </cell>
          <cell r="I85">
            <v>4150000</v>
          </cell>
          <cell r="L85">
            <v>0</v>
          </cell>
          <cell r="M85">
            <v>4150000</v>
          </cell>
        </row>
        <row r="86">
          <cell r="E86" t="str">
            <v>Lestari Jaya</v>
          </cell>
          <cell r="I86">
            <v>1560000</v>
          </cell>
          <cell r="L86">
            <v>0</v>
          </cell>
          <cell r="M86">
            <v>1560000</v>
          </cell>
        </row>
        <row r="87">
          <cell r="E87" t="str">
            <v>Mujahidin Delapan, UD</v>
          </cell>
          <cell r="I87">
            <v>13050000</v>
          </cell>
          <cell r="L87">
            <v>0</v>
          </cell>
          <cell r="M87">
            <v>13050000</v>
          </cell>
        </row>
        <row r="88">
          <cell r="E88" t="str">
            <v>Mujahidin Delapan, UD</v>
          </cell>
          <cell r="I88">
            <v>7180000</v>
          </cell>
          <cell r="L88">
            <v>0</v>
          </cell>
          <cell r="M88">
            <v>7180000</v>
          </cell>
        </row>
        <row r="89">
          <cell r="E89" t="str">
            <v>Sumber Rejeki/Tono</v>
          </cell>
          <cell r="I89">
            <v>7140000</v>
          </cell>
          <cell r="L89">
            <v>0</v>
          </cell>
          <cell r="M89">
            <v>7140000</v>
          </cell>
        </row>
        <row r="90">
          <cell r="E90" t="str">
            <v>Tani Jaya/Afuk</v>
          </cell>
          <cell r="I90">
            <v>17700000</v>
          </cell>
          <cell r="L90">
            <v>0</v>
          </cell>
          <cell r="M90">
            <v>17700000</v>
          </cell>
        </row>
        <row r="91">
          <cell r="E91" t="str">
            <v>Mujahidin Delapan, UD</v>
          </cell>
          <cell r="I91">
            <v>12900000</v>
          </cell>
          <cell r="L91">
            <v>0</v>
          </cell>
          <cell r="M91">
            <v>12900000</v>
          </cell>
        </row>
        <row r="92">
          <cell r="E92" t="str">
            <v>Rizki Santoso, UD</v>
          </cell>
          <cell r="I92">
            <v>16070000</v>
          </cell>
          <cell r="L92">
            <v>0</v>
          </cell>
          <cell r="M92">
            <v>16070000</v>
          </cell>
        </row>
        <row r="93">
          <cell r="E93" t="str">
            <v>Rizki Santoso, UD</v>
          </cell>
          <cell r="I93">
            <v>1520000</v>
          </cell>
          <cell r="L93">
            <v>0</v>
          </cell>
          <cell r="M93">
            <v>1520000</v>
          </cell>
        </row>
        <row r="94">
          <cell r="E94" t="str">
            <v>Bimo Rukun Tani II</v>
          </cell>
          <cell r="I94">
            <v>28530000</v>
          </cell>
          <cell r="L94">
            <v>0</v>
          </cell>
          <cell r="M94">
            <v>28530000</v>
          </cell>
        </row>
        <row r="95">
          <cell r="E95" t="str">
            <v>Eka Jaya/David</v>
          </cell>
          <cell r="I95">
            <v>27800000</v>
          </cell>
          <cell r="L95">
            <v>0</v>
          </cell>
          <cell r="M95">
            <v>27800000</v>
          </cell>
        </row>
        <row r="96">
          <cell r="E96" t="str">
            <v>Eka Jaya/David</v>
          </cell>
          <cell r="I96">
            <v>13500000</v>
          </cell>
          <cell r="L96">
            <v>0</v>
          </cell>
          <cell r="M96">
            <v>13500000</v>
          </cell>
        </row>
        <row r="97">
          <cell r="E97" t="str">
            <v>Kumpul Tani/Hendro</v>
          </cell>
          <cell r="I97">
            <v>7640000</v>
          </cell>
          <cell r="L97">
            <v>0</v>
          </cell>
          <cell r="M97">
            <v>7640000</v>
          </cell>
        </row>
        <row r="98">
          <cell r="E98" t="str">
            <v>Kumpul Tani/Hendro</v>
          </cell>
          <cell r="I98">
            <v>44000000</v>
          </cell>
          <cell r="L98">
            <v>0</v>
          </cell>
          <cell r="M98">
            <v>44000000</v>
          </cell>
        </row>
        <row r="99">
          <cell r="E99" t="str">
            <v>Kumpul Tani/Hendro</v>
          </cell>
          <cell r="I99">
            <v>22000000</v>
          </cell>
          <cell r="L99">
            <v>0</v>
          </cell>
          <cell r="M99">
            <v>22000000</v>
          </cell>
        </row>
        <row r="100">
          <cell r="E100" t="str">
            <v>Mujahidin Delapan, UD</v>
          </cell>
          <cell r="I100">
            <v>5200000</v>
          </cell>
          <cell r="L100">
            <v>0</v>
          </cell>
          <cell r="M100">
            <v>5200000</v>
          </cell>
        </row>
        <row r="101">
          <cell r="E101" t="str">
            <v>Mutiara Tani, UD/Abdur Rahman</v>
          </cell>
          <cell r="I101">
            <v>2356900</v>
          </cell>
          <cell r="L101">
            <v>0</v>
          </cell>
          <cell r="M101">
            <v>2356900</v>
          </cell>
        </row>
        <row r="102">
          <cell r="E102" t="str">
            <v>Agro Tiara Jaya</v>
          </cell>
          <cell r="I102">
            <v>40750000</v>
          </cell>
          <cell r="L102">
            <v>0</v>
          </cell>
          <cell r="M102">
            <v>40750000</v>
          </cell>
        </row>
        <row r="103">
          <cell r="E103" t="str">
            <v>Bimo Rukun Tani II</v>
          </cell>
          <cell r="I103">
            <v>352500</v>
          </cell>
          <cell r="L103">
            <v>0</v>
          </cell>
          <cell r="M103">
            <v>352500</v>
          </cell>
        </row>
        <row r="104">
          <cell r="E104" t="str">
            <v>Bimo Rukun Tani II</v>
          </cell>
          <cell r="I104">
            <v>11640000</v>
          </cell>
          <cell r="L104">
            <v>0</v>
          </cell>
          <cell r="M104">
            <v>11640000</v>
          </cell>
        </row>
        <row r="105">
          <cell r="E105" t="str">
            <v>Eka Jaya/David</v>
          </cell>
          <cell r="I105">
            <v>47976000</v>
          </cell>
          <cell r="L105">
            <v>0</v>
          </cell>
          <cell r="M105">
            <v>47976000</v>
          </cell>
        </row>
        <row r="106">
          <cell r="E106" t="str">
            <v>Kumpul Tani/Hendro</v>
          </cell>
          <cell r="I106">
            <v>15080000</v>
          </cell>
          <cell r="L106">
            <v>0</v>
          </cell>
          <cell r="M106">
            <v>15080000</v>
          </cell>
        </row>
        <row r="107">
          <cell r="E107" t="str">
            <v>Mulyo Tani/Danang</v>
          </cell>
          <cell r="I107">
            <v>68347500</v>
          </cell>
          <cell r="L107">
            <v>0</v>
          </cell>
          <cell r="M107">
            <v>68347500</v>
          </cell>
        </row>
        <row r="108">
          <cell r="E108" t="str">
            <v>Sumber Rejeki/Tono</v>
          </cell>
          <cell r="I108">
            <v>11000000</v>
          </cell>
          <cell r="L108">
            <v>0</v>
          </cell>
          <cell r="M108">
            <v>11000000</v>
          </cell>
        </row>
        <row r="109">
          <cell r="E109" t="str">
            <v>Tunas Abadi/Sujarwo</v>
          </cell>
          <cell r="I109">
            <v>88950000</v>
          </cell>
          <cell r="L109">
            <v>0</v>
          </cell>
          <cell r="M109">
            <v>88950000</v>
          </cell>
        </row>
        <row r="110">
          <cell r="E110" t="str">
            <v>Eka Jaya/David</v>
          </cell>
          <cell r="I110">
            <v>6950000</v>
          </cell>
          <cell r="L110">
            <v>0</v>
          </cell>
          <cell r="M110">
            <v>6950000</v>
          </cell>
        </row>
        <row r="111">
          <cell r="E111" t="str">
            <v>Eka Jaya/David</v>
          </cell>
          <cell r="I111">
            <v>17820000</v>
          </cell>
          <cell r="L111">
            <v>0</v>
          </cell>
          <cell r="M111">
            <v>17820000</v>
          </cell>
        </row>
        <row r="112">
          <cell r="E112" t="str">
            <v>Eka Jaya/David</v>
          </cell>
          <cell r="I112">
            <v>3750000</v>
          </cell>
          <cell r="L112">
            <v>0</v>
          </cell>
          <cell r="M112">
            <v>3750000</v>
          </cell>
        </row>
        <row r="113">
          <cell r="E113" t="str">
            <v>Kumpul Tani/Hendro</v>
          </cell>
          <cell r="I113">
            <v>3150000</v>
          </cell>
          <cell r="L113">
            <v>0</v>
          </cell>
          <cell r="M113">
            <v>3150000</v>
          </cell>
        </row>
        <row r="114">
          <cell r="E114" t="str">
            <v>Kumpul Tani/Hendro</v>
          </cell>
          <cell r="I114">
            <v>3600000</v>
          </cell>
          <cell r="L114">
            <v>0</v>
          </cell>
          <cell r="M114">
            <v>3600000</v>
          </cell>
        </row>
        <row r="115">
          <cell r="E115" t="str">
            <v>Lestari Jaya</v>
          </cell>
          <cell r="I115">
            <v>1687500</v>
          </cell>
          <cell r="L115">
            <v>0</v>
          </cell>
          <cell r="M115">
            <v>1687500</v>
          </cell>
        </row>
        <row r="116">
          <cell r="E116" t="str">
            <v>Margo Joyo/Iksan</v>
          </cell>
          <cell r="I116">
            <v>4050000</v>
          </cell>
          <cell r="L116">
            <v>0</v>
          </cell>
          <cell r="M116">
            <v>4050000</v>
          </cell>
        </row>
        <row r="117">
          <cell r="E117" t="str">
            <v>Margo Joyo/Iksan</v>
          </cell>
          <cell r="I117">
            <v>904800</v>
          </cell>
          <cell r="L117">
            <v>0</v>
          </cell>
          <cell r="M117">
            <v>904800</v>
          </cell>
        </row>
        <row r="118">
          <cell r="E118" t="str">
            <v>Mujahidin Delapan, UD</v>
          </cell>
          <cell r="I118">
            <v>1980000</v>
          </cell>
          <cell r="L118">
            <v>0</v>
          </cell>
          <cell r="M118">
            <v>1980000</v>
          </cell>
        </row>
        <row r="119">
          <cell r="E119" t="str">
            <v>Rizki Santoso, UD</v>
          </cell>
          <cell r="I119">
            <v>9740000</v>
          </cell>
          <cell r="L119">
            <v>0</v>
          </cell>
          <cell r="M119">
            <v>9740000</v>
          </cell>
        </row>
        <row r="120">
          <cell r="E120" t="str">
            <v>Rizki Santoso, UD</v>
          </cell>
          <cell r="I120">
            <v>6570000</v>
          </cell>
          <cell r="L120">
            <v>0</v>
          </cell>
          <cell r="M120">
            <v>6570000</v>
          </cell>
        </row>
        <row r="121">
          <cell r="E121" t="str">
            <v>Rizki Santoso, UD</v>
          </cell>
          <cell r="I121">
            <v>2760000</v>
          </cell>
          <cell r="L121">
            <v>0</v>
          </cell>
          <cell r="M121">
            <v>2760000</v>
          </cell>
        </row>
        <row r="122">
          <cell r="E122" t="str">
            <v>Sumber Rejeki/Tono</v>
          </cell>
          <cell r="I122">
            <v>3995000</v>
          </cell>
          <cell r="L122">
            <v>0</v>
          </cell>
          <cell r="M122">
            <v>3995000</v>
          </cell>
        </row>
        <row r="123">
          <cell r="E123" t="str">
            <v>Wes Joyo/Hermas</v>
          </cell>
          <cell r="I123">
            <v>2400000</v>
          </cell>
          <cell r="L123">
            <v>0</v>
          </cell>
          <cell r="M123">
            <v>2400000</v>
          </cell>
        </row>
        <row r="124">
          <cell r="E124" t="str">
            <v>Wes Joyo/Hermas</v>
          </cell>
          <cell r="I124">
            <v>4200000</v>
          </cell>
          <cell r="L124">
            <v>0</v>
          </cell>
          <cell r="M124">
            <v>4200000</v>
          </cell>
        </row>
        <row r="125">
          <cell r="E125" t="str">
            <v>Angka Jaya</v>
          </cell>
          <cell r="I125">
            <v>565500000</v>
          </cell>
          <cell r="L125">
            <v>0</v>
          </cell>
          <cell r="M125">
            <v>565500000</v>
          </cell>
        </row>
        <row r="126">
          <cell r="E126" t="str">
            <v>Mujahidin Delapan, UD</v>
          </cell>
          <cell r="I126">
            <v>5200000</v>
          </cell>
          <cell r="L126">
            <v>0</v>
          </cell>
          <cell r="M126">
            <v>5200000</v>
          </cell>
        </row>
        <row r="127">
          <cell r="E127" t="str">
            <v>Rizki Santoso, UD</v>
          </cell>
          <cell r="I127">
            <v>12000000</v>
          </cell>
          <cell r="L127">
            <v>0</v>
          </cell>
          <cell r="M127">
            <v>12000000</v>
          </cell>
        </row>
        <row r="128">
          <cell r="E128" t="str">
            <v>Sumber Rejeki/Tono</v>
          </cell>
          <cell r="I128">
            <v>14000000</v>
          </cell>
          <cell r="L128">
            <v>0</v>
          </cell>
          <cell r="M128">
            <v>14000000</v>
          </cell>
        </row>
        <row r="129">
          <cell r="E129" t="str">
            <v>Angka Jaya</v>
          </cell>
          <cell r="I129">
            <v>313200000</v>
          </cell>
          <cell r="L129">
            <v>0</v>
          </cell>
          <cell r="M129">
            <v>313200000</v>
          </cell>
        </row>
        <row r="130">
          <cell r="E130" t="str">
            <v>Angka Jaya</v>
          </cell>
          <cell r="I130">
            <v>138600000</v>
          </cell>
          <cell r="L130">
            <v>0</v>
          </cell>
          <cell r="M130">
            <v>138600000</v>
          </cell>
        </row>
        <row r="131">
          <cell r="E131" t="str">
            <v>Dino Vita, Toko</v>
          </cell>
          <cell r="I131">
            <v>12800000</v>
          </cell>
          <cell r="L131">
            <v>0</v>
          </cell>
          <cell r="M131">
            <v>12800000</v>
          </cell>
        </row>
        <row r="132">
          <cell r="E132" t="str">
            <v>Dino Vita, Toko</v>
          </cell>
          <cell r="I132">
            <v>975000</v>
          </cell>
          <cell r="L132">
            <v>0</v>
          </cell>
          <cell r="M132">
            <v>975000</v>
          </cell>
        </row>
        <row r="133">
          <cell r="E133" t="str">
            <v>Farma Tani/Riza</v>
          </cell>
          <cell r="I133">
            <v>2130000</v>
          </cell>
          <cell r="L133">
            <v>0</v>
          </cell>
          <cell r="M133">
            <v>2130000</v>
          </cell>
        </row>
        <row r="134">
          <cell r="E134" t="str">
            <v>Insan Tani, UD/Yohan</v>
          </cell>
          <cell r="I134">
            <v>1430000</v>
          </cell>
          <cell r="L134">
            <v>0</v>
          </cell>
          <cell r="M134">
            <v>1430000</v>
          </cell>
        </row>
        <row r="135">
          <cell r="E135" t="str">
            <v>Mekar Tani/Tunti</v>
          </cell>
          <cell r="I135">
            <v>5125000</v>
          </cell>
          <cell r="L135">
            <v>0</v>
          </cell>
          <cell r="M135">
            <v>5125000</v>
          </cell>
        </row>
        <row r="136">
          <cell r="E136" t="str">
            <v>Mulyo Tani/Danang</v>
          </cell>
          <cell r="I136">
            <v>450000</v>
          </cell>
          <cell r="L136">
            <v>0</v>
          </cell>
          <cell r="M136">
            <v>450000</v>
          </cell>
        </row>
        <row r="137">
          <cell r="E137" t="str">
            <v>Wes Joyo/Hermas</v>
          </cell>
          <cell r="I137">
            <v>3690000</v>
          </cell>
          <cell r="L137">
            <v>0</v>
          </cell>
          <cell r="M137">
            <v>3690000</v>
          </cell>
        </row>
        <row r="138">
          <cell r="E138" t="str">
            <v>Dwi Putra, UD</v>
          </cell>
          <cell r="I138">
            <v>2050000</v>
          </cell>
          <cell r="L138">
            <v>0</v>
          </cell>
          <cell r="M138">
            <v>2050000</v>
          </cell>
        </row>
        <row r="139">
          <cell r="E139" t="str">
            <v>Dwi Putra, UD</v>
          </cell>
          <cell r="I139">
            <v>285000</v>
          </cell>
          <cell r="L139">
            <v>0</v>
          </cell>
          <cell r="M139">
            <v>285000</v>
          </cell>
        </row>
        <row r="140">
          <cell r="E140" t="str">
            <v>Eka Jaya/David</v>
          </cell>
          <cell r="I140">
            <v>48375000</v>
          </cell>
          <cell r="L140">
            <v>0</v>
          </cell>
          <cell r="M140">
            <v>48375000</v>
          </cell>
        </row>
        <row r="141">
          <cell r="E141" t="str">
            <v>Eka Jaya/David</v>
          </cell>
          <cell r="I141">
            <v>10670000</v>
          </cell>
          <cell r="L141">
            <v>0</v>
          </cell>
          <cell r="M141">
            <v>10670000</v>
          </cell>
        </row>
        <row r="142">
          <cell r="E142" t="str">
            <v>Eka Jaya/David</v>
          </cell>
          <cell r="I142">
            <v>5020000</v>
          </cell>
          <cell r="L142">
            <v>0</v>
          </cell>
          <cell r="M142">
            <v>5020000</v>
          </cell>
        </row>
        <row r="143">
          <cell r="E143" t="str">
            <v>Layan Tani II</v>
          </cell>
          <cell r="I143">
            <v>15630000</v>
          </cell>
          <cell r="L143">
            <v>0</v>
          </cell>
          <cell r="M143">
            <v>15630000</v>
          </cell>
        </row>
        <row r="144">
          <cell r="E144" t="str">
            <v>Mulyo Tani/Danang</v>
          </cell>
          <cell r="I144">
            <v>2250000</v>
          </cell>
          <cell r="L144">
            <v>0</v>
          </cell>
          <cell r="M144">
            <v>2250000</v>
          </cell>
        </row>
        <row r="145">
          <cell r="E145" t="str">
            <v>Mutiara Tani, UD/Abdur Rahman</v>
          </cell>
          <cell r="I145">
            <v>7760000</v>
          </cell>
          <cell r="L145">
            <v>0</v>
          </cell>
          <cell r="M145">
            <v>7760000</v>
          </cell>
        </row>
        <row r="146">
          <cell r="E146" t="str">
            <v>Rizki Agro/Sakti</v>
          </cell>
          <cell r="I146">
            <v>1320000</v>
          </cell>
          <cell r="L146">
            <v>0</v>
          </cell>
          <cell r="M146">
            <v>1320000</v>
          </cell>
        </row>
        <row r="147">
          <cell r="E147" t="str">
            <v>Rizki Agro/Sakti</v>
          </cell>
          <cell r="I147">
            <v>2440000</v>
          </cell>
          <cell r="L147">
            <v>0</v>
          </cell>
          <cell r="M147">
            <v>2440000</v>
          </cell>
        </row>
        <row r="148">
          <cell r="E148" t="str">
            <v>Wes Joyo/Hermas</v>
          </cell>
          <cell r="I148">
            <v>1420000</v>
          </cell>
          <cell r="L148">
            <v>0</v>
          </cell>
          <cell r="M148">
            <v>1420000</v>
          </cell>
        </row>
        <row r="149">
          <cell r="E149" t="str">
            <v>Agro Tani, UD</v>
          </cell>
          <cell r="I149">
            <v>5770000</v>
          </cell>
          <cell r="L149">
            <v>0</v>
          </cell>
          <cell r="M149">
            <v>5770000</v>
          </cell>
        </row>
        <row r="150">
          <cell r="E150" t="str">
            <v>Agro Tani, UD</v>
          </cell>
          <cell r="I150">
            <v>9380000</v>
          </cell>
          <cell r="L150">
            <v>0</v>
          </cell>
          <cell r="M150">
            <v>9380000</v>
          </cell>
        </row>
        <row r="151">
          <cell r="E151" t="str">
            <v>Angka Jaya</v>
          </cell>
          <cell r="I151">
            <v>80992000</v>
          </cell>
          <cell r="L151">
            <v>0</v>
          </cell>
          <cell r="M151">
            <v>80992000</v>
          </cell>
        </row>
        <row r="152">
          <cell r="E152" t="str">
            <v>Eka Jaya/David</v>
          </cell>
          <cell r="I152">
            <v>20250000</v>
          </cell>
          <cell r="L152">
            <v>0</v>
          </cell>
          <cell r="M152">
            <v>20250000</v>
          </cell>
        </row>
        <row r="153">
          <cell r="E153" t="str">
            <v>Mekar Tani/Tunti</v>
          </cell>
          <cell r="I153">
            <v>7800000</v>
          </cell>
          <cell r="L153">
            <v>0</v>
          </cell>
          <cell r="M153">
            <v>7800000</v>
          </cell>
        </row>
        <row r="154">
          <cell r="E154" t="str">
            <v>Putra Makmur Abadi, UD</v>
          </cell>
          <cell r="I154">
            <v>7800000</v>
          </cell>
          <cell r="L154">
            <v>0</v>
          </cell>
          <cell r="M154">
            <v>7800000</v>
          </cell>
        </row>
        <row r="155">
          <cell r="E155" t="str">
            <v>Rizki Agro/Sakti</v>
          </cell>
          <cell r="I155">
            <v>12000000</v>
          </cell>
          <cell r="L155">
            <v>0</v>
          </cell>
          <cell r="M155">
            <v>12000000</v>
          </cell>
        </row>
        <row r="156">
          <cell r="E156" t="str">
            <v>Rizki Santoso, UD</v>
          </cell>
          <cell r="I156">
            <v>34500000</v>
          </cell>
          <cell r="L156">
            <v>0</v>
          </cell>
          <cell r="M156">
            <v>34500000</v>
          </cell>
        </row>
        <row r="157">
          <cell r="E157" t="str">
            <v>Rizki Santoso, UD</v>
          </cell>
          <cell r="I157">
            <v>6360000</v>
          </cell>
          <cell r="L157">
            <v>0</v>
          </cell>
          <cell r="M157">
            <v>6360000</v>
          </cell>
        </row>
        <row r="158">
          <cell r="E158" t="str">
            <v>Sumber Rejeki/Tono</v>
          </cell>
          <cell r="I158">
            <v>10125000</v>
          </cell>
          <cell r="L158">
            <v>0</v>
          </cell>
          <cell r="M158">
            <v>10125000</v>
          </cell>
        </row>
        <row r="159">
          <cell r="E159" t="str">
            <v>Wes Joyo/Hermas</v>
          </cell>
          <cell r="I159">
            <v>7800000</v>
          </cell>
          <cell r="L159">
            <v>0</v>
          </cell>
          <cell r="M159">
            <v>7800000</v>
          </cell>
        </row>
        <row r="160">
          <cell r="E160" t="str">
            <v>Eka Jaya/David</v>
          </cell>
          <cell r="I160">
            <v>13390000</v>
          </cell>
          <cell r="L160">
            <v>0</v>
          </cell>
          <cell r="M160">
            <v>13390000</v>
          </cell>
        </row>
        <row r="161">
          <cell r="E161" t="str">
            <v>Eka Jaya/David</v>
          </cell>
          <cell r="I161">
            <v>6000000</v>
          </cell>
          <cell r="L161">
            <v>0</v>
          </cell>
          <cell r="M161">
            <v>6000000</v>
          </cell>
        </row>
        <row r="162">
          <cell r="E162" t="str">
            <v>Eka Jaya/David</v>
          </cell>
          <cell r="I162">
            <v>4680000</v>
          </cell>
          <cell r="L162">
            <v>0</v>
          </cell>
          <cell r="M162">
            <v>4680000</v>
          </cell>
        </row>
        <row r="163">
          <cell r="E163" t="str">
            <v>Eka Jaya/David</v>
          </cell>
          <cell r="I163">
            <v>9200000</v>
          </cell>
          <cell r="L163">
            <v>0</v>
          </cell>
          <cell r="M163">
            <v>9200000</v>
          </cell>
        </row>
        <row r="164">
          <cell r="E164" t="str">
            <v>Layan Tani II</v>
          </cell>
          <cell r="I164">
            <v>8400000</v>
          </cell>
          <cell r="L164">
            <v>0</v>
          </cell>
          <cell r="M164">
            <v>8400000</v>
          </cell>
        </row>
        <row r="165">
          <cell r="E165" t="str">
            <v>Lestari Jaya</v>
          </cell>
          <cell r="I165">
            <v>2125000</v>
          </cell>
          <cell r="L165">
            <v>0</v>
          </cell>
          <cell r="M165">
            <v>2125000</v>
          </cell>
        </row>
        <row r="166">
          <cell r="E166" t="str">
            <v>Lestari Jaya</v>
          </cell>
          <cell r="I166">
            <v>1240000</v>
          </cell>
          <cell r="L166">
            <v>0</v>
          </cell>
          <cell r="M166">
            <v>1240000</v>
          </cell>
        </row>
        <row r="167">
          <cell r="E167" t="str">
            <v>Lestari Jaya</v>
          </cell>
          <cell r="I167">
            <v>3120000</v>
          </cell>
          <cell r="L167">
            <v>0</v>
          </cell>
          <cell r="M167">
            <v>3120000</v>
          </cell>
        </row>
        <row r="168">
          <cell r="E168" t="str">
            <v>Mapan Agro Sentosa, UD</v>
          </cell>
          <cell r="I168">
            <v>8050000</v>
          </cell>
          <cell r="L168">
            <v>0</v>
          </cell>
          <cell r="M168">
            <v>8050000</v>
          </cell>
        </row>
        <row r="169">
          <cell r="E169" t="str">
            <v>Mujahidin Delapan, UD</v>
          </cell>
          <cell r="I169">
            <v>12450000</v>
          </cell>
          <cell r="L169">
            <v>0</v>
          </cell>
          <cell r="M169">
            <v>12450000</v>
          </cell>
        </row>
        <row r="170">
          <cell r="E170" t="str">
            <v>Mulyo Tani/Danang</v>
          </cell>
          <cell r="I170">
            <v>17500000</v>
          </cell>
          <cell r="L170">
            <v>0</v>
          </cell>
          <cell r="M170">
            <v>17500000</v>
          </cell>
        </row>
        <row r="171">
          <cell r="E171" t="str">
            <v>Mulyo Tani/Danang</v>
          </cell>
          <cell r="I171">
            <v>150050000</v>
          </cell>
          <cell r="L171">
            <v>0</v>
          </cell>
          <cell r="M171">
            <v>150050000</v>
          </cell>
        </row>
        <row r="172">
          <cell r="E172" t="str">
            <v>Mulyo Tani/Danang</v>
          </cell>
          <cell r="I172">
            <v>107935000</v>
          </cell>
          <cell r="L172">
            <v>0</v>
          </cell>
          <cell r="M172">
            <v>107935000</v>
          </cell>
        </row>
        <row r="173">
          <cell r="E173" t="str">
            <v>Mutiara Tani, UD/Abdur Rahman</v>
          </cell>
          <cell r="I173">
            <v>11640000</v>
          </cell>
          <cell r="L173">
            <v>0</v>
          </cell>
          <cell r="M173">
            <v>11640000</v>
          </cell>
        </row>
        <row r="174">
          <cell r="E174" t="str">
            <v>Mutiara Tani, UD/Abdur Rahman</v>
          </cell>
          <cell r="I174">
            <v>36500000</v>
          </cell>
          <cell r="L174">
            <v>0</v>
          </cell>
          <cell r="M174">
            <v>36500000</v>
          </cell>
        </row>
        <row r="175">
          <cell r="E175" t="str">
            <v>Tani Makmur/Wahid</v>
          </cell>
          <cell r="I175">
            <v>8600000</v>
          </cell>
          <cell r="L175">
            <v>0</v>
          </cell>
          <cell r="M175">
            <v>8600000</v>
          </cell>
        </row>
        <row r="176">
          <cell r="E176" t="str">
            <v>Wes Joyo/Hermas</v>
          </cell>
          <cell r="I176">
            <v>1070000</v>
          </cell>
          <cell r="L176">
            <v>0</v>
          </cell>
          <cell r="M176">
            <v>1070000</v>
          </cell>
        </row>
        <row r="177">
          <cell r="E177" t="str">
            <v>Wes Joyo/Hermas</v>
          </cell>
          <cell r="I177">
            <v>1420000</v>
          </cell>
          <cell r="L177">
            <v>0</v>
          </cell>
          <cell r="M177">
            <v>1420000</v>
          </cell>
        </row>
        <row r="178">
          <cell r="E178" t="str">
            <v>Bimo Rukun Tani, UD</v>
          </cell>
          <cell r="I178">
            <v>18480000</v>
          </cell>
          <cell r="L178">
            <v>0</v>
          </cell>
          <cell r="M178">
            <v>18480000</v>
          </cell>
        </row>
        <row r="179">
          <cell r="E179" t="str">
            <v>Eka Jaya/David</v>
          </cell>
          <cell r="I179">
            <v>31162500</v>
          </cell>
          <cell r="L179">
            <v>0</v>
          </cell>
          <cell r="M179">
            <v>31162500</v>
          </cell>
        </row>
        <row r="180">
          <cell r="E180" t="str">
            <v>Layan Tani II</v>
          </cell>
          <cell r="I180">
            <v>114000000</v>
          </cell>
          <cell r="L180">
            <v>0</v>
          </cell>
          <cell r="M180">
            <v>114000000</v>
          </cell>
        </row>
        <row r="181">
          <cell r="E181" t="str">
            <v>Lestari Jaya</v>
          </cell>
          <cell r="I181">
            <v>1687500</v>
          </cell>
          <cell r="L181">
            <v>0</v>
          </cell>
          <cell r="M181">
            <v>1687500</v>
          </cell>
        </row>
        <row r="182">
          <cell r="E182" t="str">
            <v>Mulyo Tani/Danang</v>
          </cell>
          <cell r="I182">
            <v>87180000</v>
          </cell>
          <cell r="L182">
            <v>0</v>
          </cell>
          <cell r="M182">
            <v>87180000</v>
          </cell>
        </row>
        <row r="183">
          <cell r="E183" t="str">
            <v>Mulyo Tani/Danang</v>
          </cell>
          <cell r="I183">
            <v>47150000</v>
          </cell>
          <cell r="L183">
            <v>0</v>
          </cell>
          <cell r="M183">
            <v>47150000</v>
          </cell>
        </row>
        <row r="184">
          <cell r="E184" t="str">
            <v>Tani Jaya/Afuk</v>
          </cell>
          <cell r="I184">
            <v>5899000</v>
          </cell>
          <cell r="L184">
            <v>0</v>
          </cell>
          <cell r="M184">
            <v>5899000</v>
          </cell>
        </row>
        <row r="185">
          <cell r="E185" t="str">
            <v>Tani Jaya/Afuk</v>
          </cell>
          <cell r="I185">
            <v>5040000</v>
          </cell>
          <cell r="L185">
            <v>0</v>
          </cell>
          <cell r="M185">
            <v>5040000</v>
          </cell>
        </row>
        <row r="186">
          <cell r="E186" t="str">
            <v>Bimo Rukun Tani, UD</v>
          </cell>
          <cell r="I186">
            <v>29310000</v>
          </cell>
          <cell r="L186">
            <v>0</v>
          </cell>
          <cell r="M186">
            <v>29310000</v>
          </cell>
        </row>
        <row r="187">
          <cell r="E187" t="str">
            <v>Eka Jaya/David</v>
          </cell>
          <cell r="I187">
            <v>31975000</v>
          </cell>
          <cell r="L187">
            <v>0</v>
          </cell>
          <cell r="M187">
            <v>31975000</v>
          </cell>
        </row>
        <row r="188">
          <cell r="E188" t="str">
            <v>Eka Jaya/David</v>
          </cell>
          <cell r="I188">
            <v>49865000</v>
          </cell>
          <cell r="L188">
            <v>0</v>
          </cell>
          <cell r="M188">
            <v>49865000</v>
          </cell>
        </row>
        <row r="189">
          <cell r="E189" t="str">
            <v>Kumpul Tani/Hendro</v>
          </cell>
          <cell r="I189">
            <v>32160000</v>
          </cell>
          <cell r="L189">
            <v>0</v>
          </cell>
          <cell r="M189">
            <v>32160000</v>
          </cell>
        </row>
        <row r="190">
          <cell r="E190" t="str">
            <v>Kumpul Tani/Hendro</v>
          </cell>
          <cell r="I190">
            <v>18855000</v>
          </cell>
          <cell r="L190">
            <v>0</v>
          </cell>
          <cell r="M190">
            <v>18855000</v>
          </cell>
        </row>
        <row r="191">
          <cell r="E191" t="str">
            <v>Kumpul Tani/Hendro</v>
          </cell>
          <cell r="I191">
            <v>27550000</v>
          </cell>
          <cell r="L191">
            <v>0</v>
          </cell>
          <cell r="M191">
            <v>27550000</v>
          </cell>
        </row>
        <row r="192">
          <cell r="E192" t="str">
            <v>Layan Tani II</v>
          </cell>
          <cell r="I192">
            <v>34200000</v>
          </cell>
          <cell r="L192">
            <v>0</v>
          </cell>
          <cell r="M192">
            <v>34200000</v>
          </cell>
        </row>
        <row r="193">
          <cell r="E193" t="str">
            <v>Mona Tani</v>
          </cell>
          <cell r="I193">
            <v>15210000</v>
          </cell>
          <cell r="L193">
            <v>0</v>
          </cell>
          <cell r="M193">
            <v>15210000</v>
          </cell>
        </row>
        <row r="194">
          <cell r="E194" t="str">
            <v>Mujahidin Delapan, UD</v>
          </cell>
          <cell r="I194">
            <v>15000000</v>
          </cell>
          <cell r="L194">
            <v>0</v>
          </cell>
          <cell r="M194">
            <v>15000000</v>
          </cell>
        </row>
        <row r="195">
          <cell r="E195" t="str">
            <v>Wes Joyo/Hermas</v>
          </cell>
          <cell r="I195">
            <v>5400000</v>
          </cell>
          <cell r="L195">
            <v>0</v>
          </cell>
          <cell r="M195">
            <v>5400000</v>
          </cell>
        </row>
        <row r="196">
          <cell r="E196" t="str">
            <v>Wes Joyo/Hermas</v>
          </cell>
          <cell r="I196">
            <v>3450000</v>
          </cell>
          <cell r="L196">
            <v>0</v>
          </cell>
          <cell r="M196">
            <v>3450000</v>
          </cell>
        </row>
        <row r="197">
          <cell r="E197" t="str">
            <v>Bintang Tani/Kabul</v>
          </cell>
          <cell r="I197">
            <v>5670000</v>
          </cell>
          <cell r="L197">
            <v>0</v>
          </cell>
          <cell r="M197">
            <v>5670000</v>
          </cell>
        </row>
        <row r="198">
          <cell r="E198" t="str">
            <v>Mulyo Tani/Danang</v>
          </cell>
          <cell r="I198">
            <v>96500000</v>
          </cell>
          <cell r="L198">
            <v>0</v>
          </cell>
          <cell r="M198">
            <v>96500000</v>
          </cell>
        </row>
        <row r="199">
          <cell r="E199" t="str">
            <v>Mulyo Tani/Danang</v>
          </cell>
          <cell r="I199">
            <v>17200000</v>
          </cell>
          <cell r="L199">
            <v>0</v>
          </cell>
          <cell r="M199">
            <v>17200000</v>
          </cell>
        </row>
        <row r="200">
          <cell r="E200" t="str">
            <v>Mulyo Tani/Danang</v>
          </cell>
          <cell r="I200">
            <v>62000000</v>
          </cell>
          <cell r="L200">
            <v>0</v>
          </cell>
          <cell r="M200">
            <v>62000000</v>
          </cell>
        </row>
        <row r="201">
          <cell r="E201" t="str">
            <v>Mulyo Tani/Danang</v>
          </cell>
          <cell r="I201">
            <v>2700000</v>
          </cell>
          <cell r="L201">
            <v>0</v>
          </cell>
          <cell r="M201">
            <v>2700000</v>
          </cell>
        </row>
        <row r="202">
          <cell r="E202" t="str">
            <v>Obama, Toko</v>
          </cell>
          <cell r="I202">
            <v>3100000</v>
          </cell>
          <cell r="L202">
            <v>0</v>
          </cell>
          <cell r="M202">
            <v>3100000</v>
          </cell>
        </row>
        <row r="203">
          <cell r="E203" t="str">
            <v>Parnadi, UD</v>
          </cell>
          <cell r="I203">
            <v>48340000</v>
          </cell>
          <cell r="L203">
            <v>0</v>
          </cell>
          <cell r="M203">
            <v>48340000</v>
          </cell>
        </row>
        <row r="204">
          <cell r="E204" t="str">
            <v>Rizki Santoso, UD</v>
          </cell>
          <cell r="I204">
            <v>91200000</v>
          </cell>
          <cell r="L204">
            <v>0</v>
          </cell>
          <cell r="M204">
            <v>91200000</v>
          </cell>
        </row>
        <row r="205">
          <cell r="E205" t="str">
            <v>Rizki Santoso, UD</v>
          </cell>
          <cell r="I205">
            <v>6237500</v>
          </cell>
          <cell r="L205">
            <v>0</v>
          </cell>
          <cell r="M205">
            <v>6237500</v>
          </cell>
        </row>
        <row r="206">
          <cell r="E206" t="str">
            <v>Bintang Tani/Kabul</v>
          </cell>
          <cell r="I206">
            <v>11051000</v>
          </cell>
          <cell r="L206">
            <v>0</v>
          </cell>
          <cell r="M206">
            <v>11051000</v>
          </cell>
        </row>
        <row r="207">
          <cell r="E207" t="str">
            <v>Bintang Tani/Kabul</v>
          </cell>
          <cell r="I207">
            <v>3200000</v>
          </cell>
          <cell r="L207">
            <v>0</v>
          </cell>
          <cell r="M207">
            <v>3200000</v>
          </cell>
        </row>
        <row r="208">
          <cell r="E208" t="str">
            <v>Bintang Tani/Kabul</v>
          </cell>
          <cell r="I208">
            <v>1620000</v>
          </cell>
          <cell r="L208">
            <v>0</v>
          </cell>
          <cell r="M208">
            <v>1620000</v>
          </cell>
        </row>
        <row r="209">
          <cell r="E209" t="str">
            <v>Dino Vita, Toko</v>
          </cell>
          <cell r="I209">
            <v>4510000</v>
          </cell>
          <cell r="L209">
            <v>0</v>
          </cell>
          <cell r="M209">
            <v>4510000</v>
          </cell>
        </row>
        <row r="210">
          <cell r="E210" t="str">
            <v>Eka Jaya/David</v>
          </cell>
          <cell r="I210">
            <v>10625000</v>
          </cell>
          <cell r="L210">
            <v>0</v>
          </cell>
          <cell r="M210">
            <v>10625000</v>
          </cell>
        </row>
        <row r="211">
          <cell r="E211" t="str">
            <v>Eka Jaya/David</v>
          </cell>
          <cell r="I211">
            <v>1890000</v>
          </cell>
          <cell r="L211">
            <v>0</v>
          </cell>
          <cell r="M211">
            <v>1890000</v>
          </cell>
        </row>
        <row r="212">
          <cell r="E212" t="str">
            <v>Layan Tani II</v>
          </cell>
          <cell r="I212">
            <v>8330000</v>
          </cell>
          <cell r="L212">
            <v>0</v>
          </cell>
          <cell r="M212">
            <v>8330000</v>
          </cell>
        </row>
        <row r="213">
          <cell r="E213" t="str">
            <v>Mulyo Tani/Danang</v>
          </cell>
          <cell r="I213">
            <v>10700000</v>
          </cell>
          <cell r="L213">
            <v>0</v>
          </cell>
          <cell r="M213">
            <v>10700000</v>
          </cell>
        </row>
        <row r="214">
          <cell r="E214" t="str">
            <v>Mutiara Tani, UD/Abdur Rahman</v>
          </cell>
          <cell r="I214">
            <v>11180000</v>
          </cell>
          <cell r="L214">
            <v>0</v>
          </cell>
          <cell r="M214">
            <v>11180000</v>
          </cell>
        </row>
        <row r="215">
          <cell r="E215" t="str">
            <v>Sumber Rejeki, UD/Sigit</v>
          </cell>
          <cell r="I215">
            <v>2780000</v>
          </cell>
          <cell r="L215">
            <v>0</v>
          </cell>
          <cell r="M215">
            <v>2780000</v>
          </cell>
        </row>
        <row r="216">
          <cell r="E216" t="str">
            <v>Tani Jaya/Afuk</v>
          </cell>
          <cell r="I216">
            <v>13800000</v>
          </cell>
          <cell r="L216">
            <v>0</v>
          </cell>
          <cell r="M216">
            <v>13800000</v>
          </cell>
        </row>
        <row r="217">
          <cell r="E217" t="str">
            <v>Wes Joyo/Hermas</v>
          </cell>
          <cell r="I217">
            <v>5000000</v>
          </cell>
          <cell r="L217">
            <v>0</v>
          </cell>
          <cell r="M217">
            <v>5000000</v>
          </cell>
        </row>
        <row r="218">
          <cell r="E218" t="str">
            <v>Lestari Jaya</v>
          </cell>
          <cell r="I218">
            <v>2160000</v>
          </cell>
          <cell r="L218">
            <v>0</v>
          </cell>
          <cell r="M218">
            <v>2160000</v>
          </cell>
        </row>
        <row r="219">
          <cell r="E219" t="str">
            <v>Maha Karya Sentosa, Toko</v>
          </cell>
          <cell r="I219">
            <v>5101800</v>
          </cell>
          <cell r="L219">
            <v>0</v>
          </cell>
          <cell r="M219">
            <v>5101800</v>
          </cell>
        </row>
        <row r="220">
          <cell r="E220" t="str">
            <v>Maha Karya Sentosa, Toko</v>
          </cell>
          <cell r="I220">
            <v>23509000</v>
          </cell>
          <cell r="L220">
            <v>0</v>
          </cell>
          <cell r="M220">
            <v>23509000</v>
          </cell>
        </row>
        <row r="221">
          <cell r="E221" t="str">
            <v>Maha Karya Sentosa, Toko</v>
          </cell>
          <cell r="I221">
            <v>13375000</v>
          </cell>
          <cell r="L221">
            <v>0</v>
          </cell>
          <cell r="M221">
            <v>13375000</v>
          </cell>
        </row>
        <row r="222">
          <cell r="E222" t="str">
            <v>Mekar Tani/Tunti</v>
          </cell>
          <cell r="I222">
            <v>3880000</v>
          </cell>
          <cell r="L222">
            <v>0</v>
          </cell>
          <cell r="M222">
            <v>3880000</v>
          </cell>
        </row>
        <row r="223">
          <cell r="E223" t="str">
            <v>Rizki Agro/Sakti</v>
          </cell>
          <cell r="I223">
            <v>10012500</v>
          </cell>
          <cell r="L223">
            <v>0</v>
          </cell>
          <cell r="M223">
            <v>10012500</v>
          </cell>
        </row>
        <row r="224">
          <cell r="E224" t="str">
            <v>Rizki Santoso, UD</v>
          </cell>
          <cell r="I224">
            <v>20025000</v>
          </cell>
          <cell r="L224">
            <v>0</v>
          </cell>
          <cell r="M224">
            <v>20025000</v>
          </cell>
        </row>
        <row r="225">
          <cell r="E225" t="str">
            <v>Bintang Tani/Kabul</v>
          </cell>
          <cell r="I225">
            <v>5810000</v>
          </cell>
          <cell r="L225">
            <v>0</v>
          </cell>
          <cell r="M225">
            <v>5810000</v>
          </cell>
        </row>
        <row r="226">
          <cell r="E226" t="str">
            <v>Bintang Tani/Kabul</v>
          </cell>
          <cell r="I226">
            <v>12757500</v>
          </cell>
          <cell r="L226">
            <v>0</v>
          </cell>
          <cell r="M226">
            <v>12757500</v>
          </cell>
        </row>
        <row r="227">
          <cell r="E227" t="str">
            <v>Joko Supriyo</v>
          </cell>
          <cell r="I227">
            <v>18000000</v>
          </cell>
          <cell r="L227">
            <v>0</v>
          </cell>
          <cell r="M227">
            <v>18000000</v>
          </cell>
        </row>
        <row r="228">
          <cell r="E228" t="str">
            <v>Mekar Tani/Tunti</v>
          </cell>
          <cell r="I228">
            <v>6900000</v>
          </cell>
          <cell r="L228">
            <v>0</v>
          </cell>
          <cell r="M228">
            <v>6900000</v>
          </cell>
        </row>
        <row r="229">
          <cell r="E229" t="str">
            <v>Wes Joyo/Hermas</v>
          </cell>
          <cell r="I229">
            <v>3645000</v>
          </cell>
          <cell r="L229">
            <v>0</v>
          </cell>
          <cell r="M229">
            <v>3645000</v>
          </cell>
        </row>
        <row r="230">
          <cell r="E230" t="str">
            <v>Wes Joyo/Hermas</v>
          </cell>
          <cell r="I230">
            <v>4160000</v>
          </cell>
          <cell r="L230">
            <v>0</v>
          </cell>
          <cell r="M230">
            <v>4160000</v>
          </cell>
        </row>
        <row r="231">
          <cell r="E231" t="str">
            <v>Eka Jaya/David</v>
          </cell>
          <cell r="I231">
            <v>22240000</v>
          </cell>
          <cell r="L231">
            <v>0</v>
          </cell>
          <cell r="M231">
            <v>22240000</v>
          </cell>
        </row>
        <row r="232">
          <cell r="E232" t="str">
            <v>Kumpul Tani/Hendro</v>
          </cell>
          <cell r="I232">
            <v>11900000</v>
          </cell>
          <cell r="L232">
            <v>0</v>
          </cell>
          <cell r="M232">
            <v>11900000</v>
          </cell>
        </row>
        <row r="233">
          <cell r="E233" t="str">
            <v>Kumpul Tani/Hendro</v>
          </cell>
          <cell r="I233">
            <v>9400000</v>
          </cell>
          <cell r="L233">
            <v>0</v>
          </cell>
          <cell r="M233">
            <v>9400000</v>
          </cell>
        </row>
        <row r="234">
          <cell r="E234" t="str">
            <v>Kumpul Tani/Hendro</v>
          </cell>
          <cell r="I234">
            <v>7152500</v>
          </cell>
          <cell r="L234">
            <v>0</v>
          </cell>
          <cell r="M234">
            <v>7152500</v>
          </cell>
        </row>
        <row r="235">
          <cell r="E235" t="str">
            <v>Rimba Kelapa/Ribut Aminah</v>
          </cell>
          <cell r="I235">
            <v>5265000</v>
          </cell>
          <cell r="L235">
            <v>0</v>
          </cell>
          <cell r="M235">
            <v>5265000</v>
          </cell>
        </row>
        <row r="236">
          <cell r="E236" t="str">
            <v>Rimba Kelapa/Ribut Aminah</v>
          </cell>
          <cell r="I236">
            <v>5025000</v>
          </cell>
          <cell r="L236">
            <v>0</v>
          </cell>
          <cell r="M236">
            <v>5025000</v>
          </cell>
        </row>
        <row r="237">
          <cell r="E237" t="str">
            <v>Bimo Rukun Tani, UD</v>
          </cell>
          <cell r="I237">
            <v>7070000</v>
          </cell>
          <cell r="L237">
            <v>0</v>
          </cell>
          <cell r="M237">
            <v>7070000</v>
          </cell>
        </row>
        <row r="238">
          <cell r="E238" t="str">
            <v>Gunung Semeru</v>
          </cell>
          <cell r="I238">
            <v>56112500</v>
          </cell>
          <cell r="L238">
            <v>0</v>
          </cell>
          <cell r="M238">
            <v>56112500</v>
          </cell>
        </row>
        <row r="239">
          <cell r="E239" t="str">
            <v>Gunung Semeru</v>
          </cell>
          <cell r="I239">
            <v>59700000</v>
          </cell>
          <cell r="L239">
            <v>0</v>
          </cell>
          <cell r="M239">
            <v>59700000</v>
          </cell>
        </row>
        <row r="240">
          <cell r="E240" t="str">
            <v>Gunung Semeru</v>
          </cell>
          <cell r="I240">
            <v>39250000</v>
          </cell>
          <cell r="L240">
            <v>0</v>
          </cell>
          <cell r="M240">
            <v>39250000</v>
          </cell>
        </row>
        <row r="241">
          <cell r="E241" t="str">
            <v>Mandiri/Suparni</v>
          </cell>
          <cell r="I241">
            <v>3575000</v>
          </cell>
          <cell r="L241">
            <v>0</v>
          </cell>
          <cell r="M241">
            <v>3575000</v>
          </cell>
        </row>
        <row r="242">
          <cell r="E242" t="str">
            <v>Mulyo Tani/Danang</v>
          </cell>
          <cell r="I242">
            <v>177500000</v>
          </cell>
          <cell r="L242">
            <v>0</v>
          </cell>
          <cell r="M242">
            <v>177500000</v>
          </cell>
        </row>
        <row r="243">
          <cell r="E243" t="str">
            <v>Setia Jaya, UD/Saiful</v>
          </cell>
          <cell r="I243">
            <v>29875000</v>
          </cell>
          <cell r="L243">
            <v>0</v>
          </cell>
          <cell r="M243">
            <v>29875000</v>
          </cell>
        </row>
        <row r="244">
          <cell r="E244" t="str">
            <v>Setia Jaya, UD/Saiful</v>
          </cell>
          <cell r="I244">
            <v>10625000</v>
          </cell>
          <cell r="L244">
            <v>0</v>
          </cell>
          <cell r="M244">
            <v>10625000</v>
          </cell>
        </row>
        <row r="245">
          <cell r="E245" t="str">
            <v>Putra Makmur Abadi, UD</v>
          </cell>
          <cell r="I245">
            <v>10575000</v>
          </cell>
          <cell r="L245">
            <v>0</v>
          </cell>
          <cell r="M245">
            <v>10575000</v>
          </cell>
        </row>
        <row r="246">
          <cell r="E246" t="str">
            <v>Angka Jaya</v>
          </cell>
          <cell r="I246">
            <v>76800000</v>
          </cell>
          <cell r="L246">
            <v>0</v>
          </cell>
          <cell r="M246">
            <v>76800000</v>
          </cell>
        </row>
        <row r="247">
          <cell r="E247" t="str">
            <v>Layan Tani II</v>
          </cell>
          <cell r="I247">
            <v>4680000</v>
          </cell>
          <cell r="L247">
            <v>0</v>
          </cell>
          <cell r="M247">
            <v>4680000</v>
          </cell>
        </row>
        <row r="248">
          <cell r="E248" t="str">
            <v>Mutiara Tani, UD/Abdur Rahman</v>
          </cell>
          <cell r="I248">
            <v>216000000</v>
          </cell>
          <cell r="L248">
            <v>0</v>
          </cell>
          <cell r="M248">
            <v>216000000</v>
          </cell>
        </row>
        <row r="249">
          <cell r="E249" t="str">
            <v>Restu Tani/Rio</v>
          </cell>
          <cell r="I249">
            <v>10040000</v>
          </cell>
          <cell r="L249">
            <v>0</v>
          </cell>
          <cell r="M249">
            <v>10040000</v>
          </cell>
        </row>
        <row r="250">
          <cell r="E250" t="str">
            <v>Mutiara Tani, UD/Abdur Rahman</v>
          </cell>
          <cell r="I250">
            <v>80000000</v>
          </cell>
          <cell r="L250">
            <v>0</v>
          </cell>
          <cell r="M250">
            <v>80000000</v>
          </cell>
        </row>
        <row r="251">
          <cell r="E251" t="str">
            <v>Mutiara Tani, UD/Abdur Rahman</v>
          </cell>
          <cell r="I251">
            <v>28500000</v>
          </cell>
          <cell r="L251">
            <v>0</v>
          </cell>
          <cell r="M251">
            <v>28500000</v>
          </cell>
        </row>
        <row r="252">
          <cell r="E252" t="str">
            <v>Mutiara Tani, UD/Abdur Rahman</v>
          </cell>
          <cell r="I252">
            <v>2850000</v>
          </cell>
          <cell r="L252">
            <v>0</v>
          </cell>
          <cell r="M252">
            <v>2850000</v>
          </cell>
        </row>
        <row r="253">
          <cell r="E253" t="str">
            <v>Bimo Rukun Tani, UD</v>
          </cell>
          <cell r="I253">
            <v>23000000</v>
          </cell>
          <cell r="L253">
            <v>0</v>
          </cell>
          <cell r="M253">
            <v>23000000</v>
          </cell>
        </row>
        <row r="254">
          <cell r="E254" t="str">
            <v>Gunung Semeru</v>
          </cell>
          <cell r="I254">
            <v>6825000</v>
          </cell>
          <cell r="L254">
            <v>0</v>
          </cell>
          <cell r="M254">
            <v>6825000</v>
          </cell>
        </row>
        <row r="255">
          <cell r="E255" t="str">
            <v>Gunung Semeru</v>
          </cell>
          <cell r="I255">
            <v>108000000</v>
          </cell>
          <cell r="L255">
            <v>0</v>
          </cell>
          <cell r="M255">
            <v>108000000</v>
          </cell>
        </row>
        <row r="256">
          <cell r="E256" t="str">
            <v>Gunung Semeru</v>
          </cell>
          <cell r="I256">
            <v>117300000</v>
          </cell>
          <cell r="L256">
            <v>0</v>
          </cell>
          <cell r="M256">
            <v>117300000</v>
          </cell>
        </row>
        <row r="257">
          <cell r="E257" t="str">
            <v>Mutiara Tani, UD/Abdur Rahman</v>
          </cell>
          <cell r="I257">
            <v>24212500</v>
          </cell>
          <cell r="L257">
            <v>0</v>
          </cell>
          <cell r="M257">
            <v>24212500</v>
          </cell>
        </row>
        <row r="258">
          <cell r="E258" t="str">
            <v xml:space="preserve">Songo Songo Dokaran/Ardan </v>
          </cell>
          <cell r="I258">
            <v>2200000</v>
          </cell>
          <cell r="L258">
            <v>0</v>
          </cell>
          <cell r="M258">
            <v>2200000</v>
          </cell>
        </row>
        <row r="259">
          <cell r="E259" t="str">
            <v>Tawaf, Toko</v>
          </cell>
          <cell r="I259">
            <v>125000</v>
          </cell>
          <cell r="L259">
            <v>0</v>
          </cell>
          <cell r="M259">
            <v>125000</v>
          </cell>
        </row>
        <row r="260">
          <cell r="E260" t="str">
            <v>Baru Rejo/Haris</v>
          </cell>
          <cell r="I260">
            <v>4800000</v>
          </cell>
          <cell r="L260">
            <v>0</v>
          </cell>
          <cell r="M260">
            <v>4800000</v>
          </cell>
        </row>
        <row r="261">
          <cell r="E261" t="str">
            <v>Bintang Tani/Kabul</v>
          </cell>
          <cell r="I261">
            <v>8505000</v>
          </cell>
          <cell r="L261">
            <v>0</v>
          </cell>
          <cell r="M261">
            <v>8505000</v>
          </cell>
        </row>
        <row r="262">
          <cell r="E262" t="str">
            <v>Eka Jaya/David</v>
          </cell>
          <cell r="I262">
            <v>15260000</v>
          </cell>
          <cell r="L262">
            <v>0</v>
          </cell>
          <cell r="M262">
            <v>15260000</v>
          </cell>
        </row>
        <row r="263">
          <cell r="E263" t="str">
            <v>Mulyo Tani/Danang</v>
          </cell>
          <cell r="I263">
            <v>22750000</v>
          </cell>
          <cell r="L263">
            <v>0</v>
          </cell>
          <cell r="M263">
            <v>22750000</v>
          </cell>
        </row>
        <row r="264">
          <cell r="E264" t="str">
            <v>Mutiara Tani, UD/Abdur Rahman</v>
          </cell>
          <cell r="I264">
            <v>18690000</v>
          </cell>
          <cell r="L264">
            <v>0</v>
          </cell>
          <cell r="M264">
            <v>18690000</v>
          </cell>
        </row>
        <row r="265">
          <cell r="E265" t="str">
            <v>Parnadi, UD</v>
          </cell>
          <cell r="I265">
            <v>50000000</v>
          </cell>
          <cell r="L265">
            <v>0</v>
          </cell>
          <cell r="M265">
            <v>50000000</v>
          </cell>
        </row>
        <row r="266">
          <cell r="E266" t="str">
            <v>Pertanian 99/Efendi</v>
          </cell>
          <cell r="I266">
            <v>31110000</v>
          </cell>
          <cell r="L266">
            <v>0</v>
          </cell>
          <cell r="M266">
            <v>31110000</v>
          </cell>
        </row>
        <row r="267">
          <cell r="E267" t="str">
            <v>Pertanian 99/Efendi</v>
          </cell>
          <cell r="I267">
            <v>14400000</v>
          </cell>
          <cell r="L267">
            <v>0</v>
          </cell>
          <cell r="M267">
            <v>14400000</v>
          </cell>
        </row>
        <row r="268">
          <cell r="E268" t="str">
            <v>Pertanian 99/Efendi</v>
          </cell>
          <cell r="I268">
            <v>9700000</v>
          </cell>
          <cell r="L268">
            <v>0</v>
          </cell>
          <cell r="M268">
            <v>9700000</v>
          </cell>
        </row>
        <row r="269">
          <cell r="E269" t="str">
            <v>Pertanian 99/Efendi</v>
          </cell>
          <cell r="I269">
            <v>960000</v>
          </cell>
          <cell r="L269">
            <v>0</v>
          </cell>
          <cell r="M269">
            <v>960000</v>
          </cell>
        </row>
        <row r="270">
          <cell r="E270" t="str">
            <v>Pertanian 99/Efendi</v>
          </cell>
          <cell r="I270">
            <v>960000</v>
          </cell>
          <cell r="L270">
            <v>0</v>
          </cell>
          <cell r="M270">
            <v>960000</v>
          </cell>
        </row>
        <row r="271">
          <cell r="E271" t="str">
            <v>Sumber Makmur/Satino</v>
          </cell>
          <cell r="I271">
            <v>560000</v>
          </cell>
          <cell r="L271">
            <v>0</v>
          </cell>
          <cell r="M271">
            <v>560000</v>
          </cell>
        </row>
        <row r="272">
          <cell r="E272" t="str">
            <v>Tawaf, Toko</v>
          </cell>
          <cell r="I272">
            <v>250000</v>
          </cell>
          <cell r="L272">
            <v>0</v>
          </cell>
          <cell r="M272">
            <v>250000</v>
          </cell>
        </row>
        <row r="273">
          <cell r="E273" t="str">
            <v>Bintang Tani/Kabul</v>
          </cell>
          <cell r="I273">
            <v>5670000</v>
          </cell>
          <cell r="L273">
            <v>0</v>
          </cell>
          <cell r="M273">
            <v>5670000</v>
          </cell>
        </row>
        <row r="274">
          <cell r="E274" t="str">
            <v>Eka Jaya/David</v>
          </cell>
          <cell r="I274">
            <v>60355000</v>
          </cell>
          <cell r="L274">
            <v>0</v>
          </cell>
          <cell r="M274">
            <v>60355000</v>
          </cell>
        </row>
        <row r="275">
          <cell r="E275" t="str">
            <v>KSU CU Sang Timur/CU Agro</v>
          </cell>
          <cell r="I275">
            <v>10575000</v>
          </cell>
          <cell r="L275">
            <v>0</v>
          </cell>
          <cell r="M275">
            <v>10575000</v>
          </cell>
        </row>
        <row r="276">
          <cell r="E276" t="str">
            <v>Lestari Jaya</v>
          </cell>
          <cell r="I276">
            <v>250000</v>
          </cell>
          <cell r="L276">
            <v>0</v>
          </cell>
          <cell r="M276">
            <v>250000</v>
          </cell>
        </row>
        <row r="277">
          <cell r="E277" t="str">
            <v>Mekar Tani/Tunti</v>
          </cell>
          <cell r="I277">
            <v>3440000</v>
          </cell>
          <cell r="L277">
            <v>0</v>
          </cell>
          <cell r="M277">
            <v>3440000</v>
          </cell>
        </row>
        <row r="278">
          <cell r="E278" t="str">
            <v>Mekar Tani/Tunti</v>
          </cell>
          <cell r="I278">
            <v>1950000</v>
          </cell>
          <cell r="L278">
            <v>0</v>
          </cell>
          <cell r="M278">
            <v>1950000</v>
          </cell>
        </row>
        <row r="279">
          <cell r="E279" t="str">
            <v>Mujahidin Delapan, UD</v>
          </cell>
          <cell r="I279">
            <v>3960000</v>
          </cell>
          <cell r="L279">
            <v>0</v>
          </cell>
          <cell r="M279">
            <v>3960000</v>
          </cell>
        </row>
        <row r="280">
          <cell r="E280" t="str">
            <v>Mujahidin Delapan, UD</v>
          </cell>
          <cell r="I280">
            <v>11445000</v>
          </cell>
          <cell r="L280">
            <v>0</v>
          </cell>
          <cell r="M280">
            <v>11445000</v>
          </cell>
        </row>
        <row r="281">
          <cell r="E281" t="str">
            <v>Mujahidin Delapan, UD</v>
          </cell>
          <cell r="I281">
            <v>12560000</v>
          </cell>
          <cell r="L281">
            <v>0</v>
          </cell>
          <cell r="M281">
            <v>12560000</v>
          </cell>
        </row>
        <row r="282">
          <cell r="E282" t="str">
            <v>Pertanian 99/Efendi</v>
          </cell>
          <cell r="I282">
            <v>3160000</v>
          </cell>
          <cell r="L282">
            <v>0</v>
          </cell>
          <cell r="M282">
            <v>3160000</v>
          </cell>
        </row>
        <row r="283">
          <cell r="E283" t="str">
            <v>Tawaf, Toko</v>
          </cell>
          <cell r="I283">
            <v>4624000</v>
          </cell>
          <cell r="L283">
            <v>0</v>
          </cell>
          <cell r="M283">
            <v>4624000</v>
          </cell>
        </row>
        <row r="284">
          <cell r="E284" t="str">
            <v>Tawaf, Toko</v>
          </cell>
          <cell r="I284">
            <v>3720000</v>
          </cell>
          <cell r="L284">
            <v>0</v>
          </cell>
          <cell r="M284">
            <v>3720000</v>
          </cell>
        </row>
        <row r="285">
          <cell r="E285" t="str">
            <v>Wes Joyo/Hermas</v>
          </cell>
          <cell r="I285">
            <v>5210000</v>
          </cell>
          <cell r="L285">
            <v>0</v>
          </cell>
          <cell r="M285">
            <v>5210000</v>
          </cell>
        </row>
        <row r="286">
          <cell r="E286" t="str">
            <v>Akbar Tani, UD</v>
          </cell>
          <cell r="I286">
            <v>9945000</v>
          </cell>
          <cell r="L286">
            <v>0</v>
          </cell>
          <cell r="M286">
            <v>9945000</v>
          </cell>
        </row>
        <row r="287">
          <cell r="E287" t="str">
            <v>DNA Pantura/Eko</v>
          </cell>
          <cell r="I287">
            <v>8400000</v>
          </cell>
          <cell r="L287">
            <v>0</v>
          </cell>
          <cell r="M287">
            <v>8400000</v>
          </cell>
        </row>
        <row r="288">
          <cell r="E288" t="str">
            <v>Dua Putra, UD/Alvan</v>
          </cell>
          <cell r="I288">
            <v>1440000</v>
          </cell>
          <cell r="L288">
            <v>0</v>
          </cell>
          <cell r="M288">
            <v>1440000</v>
          </cell>
        </row>
        <row r="289">
          <cell r="E289" t="str">
            <v>Dua Putra, UD/Alvan</v>
          </cell>
          <cell r="I289">
            <v>2800000</v>
          </cell>
          <cell r="L289">
            <v>0</v>
          </cell>
          <cell r="M289">
            <v>2800000</v>
          </cell>
        </row>
        <row r="290">
          <cell r="E290" t="str">
            <v>Dua Putra, UD/Alvan</v>
          </cell>
          <cell r="I290">
            <v>7200000</v>
          </cell>
          <cell r="L290">
            <v>0</v>
          </cell>
          <cell r="M290">
            <v>7200000</v>
          </cell>
        </row>
        <row r="291">
          <cell r="E291" t="str">
            <v>Eka Jaya/David</v>
          </cell>
          <cell r="I291">
            <v>7500000</v>
          </cell>
          <cell r="L291">
            <v>0</v>
          </cell>
          <cell r="M291">
            <v>7500000</v>
          </cell>
        </row>
        <row r="292">
          <cell r="E292" t="str">
            <v>Gunung Semeru</v>
          </cell>
          <cell r="I292">
            <v>38124000</v>
          </cell>
          <cell r="L292">
            <v>0</v>
          </cell>
          <cell r="M292">
            <v>38124000</v>
          </cell>
        </row>
        <row r="293">
          <cell r="E293" t="str">
            <v>Kumpul Tani/Hendro</v>
          </cell>
          <cell r="I293">
            <v>7200000</v>
          </cell>
          <cell r="L293">
            <v>0</v>
          </cell>
          <cell r="M293">
            <v>7200000</v>
          </cell>
        </row>
        <row r="294">
          <cell r="E294" t="str">
            <v>Kumpul Tani/Hendro</v>
          </cell>
          <cell r="I294">
            <v>9600000</v>
          </cell>
          <cell r="L294">
            <v>0</v>
          </cell>
          <cell r="M294">
            <v>9600000</v>
          </cell>
        </row>
        <row r="295">
          <cell r="E295" t="str">
            <v>Kumpul Tani/Hendro</v>
          </cell>
          <cell r="I295">
            <v>8000000</v>
          </cell>
          <cell r="L295">
            <v>0</v>
          </cell>
          <cell r="M295">
            <v>8000000</v>
          </cell>
        </row>
        <row r="296">
          <cell r="E296" t="str">
            <v>Lestari Jaya</v>
          </cell>
          <cell r="I296">
            <v>3375000</v>
          </cell>
          <cell r="L296">
            <v>0</v>
          </cell>
          <cell r="M296">
            <v>3375000</v>
          </cell>
        </row>
        <row r="297">
          <cell r="E297" t="str">
            <v>Mitra Tani/Eko Susanto</v>
          </cell>
          <cell r="I297">
            <v>4007500</v>
          </cell>
          <cell r="L297">
            <v>0</v>
          </cell>
          <cell r="M297">
            <v>4007500</v>
          </cell>
        </row>
        <row r="298">
          <cell r="E298" t="str">
            <v>Pertanian 99/Efendi</v>
          </cell>
          <cell r="I298">
            <v>11232000</v>
          </cell>
          <cell r="L298">
            <v>0</v>
          </cell>
          <cell r="M298">
            <v>11232000</v>
          </cell>
        </row>
        <row r="299">
          <cell r="E299" t="str">
            <v>Rizki Santoso, UD</v>
          </cell>
          <cell r="I299">
            <v>7770000</v>
          </cell>
          <cell r="L299">
            <v>0</v>
          </cell>
          <cell r="M299">
            <v>7770000</v>
          </cell>
        </row>
        <row r="300">
          <cell r="E300" t="str">
            <v>Rizki Santoso, UD</v>
          </cell>
          <cell r="I300">
            <v>1950000</v>
          </cell>
          <cell r="L300">
            <v>0</v>
          </cell>
          <cell r="M300">
            <v>1950000</v>
          </cell>
        </row>
        <row r="301">
          <cell r="E301" t="str">
            <v>Sinar Fajar, UD</v>
          </cell>
          <cell r="I301">
            <v>2750000</v>
          </cell>
          <cell r="L301">
            <v>0</v>
          </cell>
          <cell r="M301">
            <v>2750000</v>
          </cell>
        </row>
        <row r="302">
          <cell r="E302" t="str">
            <v>Sumber Tani/Sandra</v>
          </cell>
          <cell r="I302">
            <v>2016000</v>
          </cell>
          <cell r="L302">
            <v>0</v>
          </cell>
          <cell r="M302">
            <v>2016000</v>
          </cell>
        </row>
        <row r="303">
          <cell r="E303" t="str">
            <v>Tani Maju, UD/Afif Zarkasyi</v>
          </cell>
          <cell r="I303">
            <v>5420000</v>
          </cell>
          <cell r="L303">
            <v>0</v>
          </cell>
          <cell r="M303">
            <v>5420000</v>
          </cell>
        </row>
        <row r="304">
          <cell r="E304" t="str">
            <v>Tani Makmur/Ashuri</v>
          </cell>
          <cell r="I304">
            <v>4400000</v>
          </cell>
          <cell r="L304">
            <v>0</v>
          </cell>
          <cell r="M304">
            <v>4400000</v>
          </cell>
        </row>
        <row r="305">
          <cell r="E305" t="str">
            <v>Akbar Tani, UD</v>
          </cell>
          <cell r="I305">
            <v>20000000</v>
          </cell>
          <cell r="L305">
            <v>0</v>
          </cell>
          <cell r="M305">
            <v>20000000</v>
          </cell>
        </row>
        <row r="306">
          <cell r="E306" t="str">
            <v>Akbar Tani, UD</v>
          </cell>
          <cell r="I306">
            <v>21200000</v>
          </cell>
          <cell r="L306">
            <v>0</v>
          </cell>
          <cell r="M306">
            <v>21200000</v>
          </cell>
        </row>
        <row r="307">
          <cell r="E307" t="str">
            <v>Bimo Rukun Tani, UD</v>
          </cell>
          <cell r="I307">
            <v>21200000</v>
          </cell>
          <cell r="L307">
            <v>0</v>
          </cell>
          <cell r="M307">
            <v>21200000</v>
          </cell>
        </row>
        <row r="308">
          <cell r="E308" t="str">
            <v>Indo Tani/Suhadi</v>
          </cell>
          <cell r="I308">
            <v>11500000</v>
          </cell>
          <cell r="L308">
            <v>0</v>
          </cell>
          <cell r="M308">
            <v>11500000</v>
          </cell>
        </row>
        <row r="309">
          <cell r="E309" t="str">
            <v>Langgeng Makmur</v>
          </cell>
          <cell r="I309">
            <v>1170000</v>
          </cell>
          <cell r="L309">
            <v>0</v>
          </cell>
          <cell r="M309">
            <v>1170000</v>
          </cell>
        </row>
        <row r="310">
          <cell r="E310" t="str">
            <v>Layan Tani, UD</v>
          </cell>
          <cell r="I310">
            <v>22800000</v>
          </cell>
          <cell r="L310">
            <v>0</v>
          </cell>
          <cell r="M310">
            <v>22800000</v>
          </cell>
        </row>
        <row r="311">
          <cell r="E311" t="str">
            <v>Mandiri/Suparni</v>
          </cell>
          <cell r="I311">
            <v>11400000</v>
          </cell>
          <cell r="L311">
            <v>0</v>
          </cell>
          <cell r="M311">
            <v>11400000</v>
          </cell>
        </row>
        <row r="312">
          <cell r="E312" t="str">
            <v>Mekar Tani/Tunti</v>
          </cell>
          <cell r="I312">
            <v>3910000</v>
          </cell>
          <cell r="L312">
            <v>0</v>
          </cell>
          <cell r="M312">
            <v>3910000</v>
          </cell>
        </row>
        <row r="313">
          <cell r="E313" t="str">
            <v>Mujahidin Delapan, UD</v>
          </cell>
          <cell r="I313">
            <v>8700000</v>
          </cell>
          <cell r="L313">
            <v>0</v>
          </cell>
          <cell r="M313">
            <v>8700000</v>
          </cell>
        </row>
        <row r="314">
          <cell r="E314" t="str">
            <v>Mulyo Tani/Danang</v>
          </cell>
          <cell r="I314">
            <v>82800000</v>
          </cell>
          <cell r="L314">
            <v>0</v>
          </cell>
          <cell r="M314">
            <v>82800000</v>
          </cell>
        </row>
        <row r="315">
          <cell r="E315" t="str">
            <v>Rizki Agro/Sakti</v>
          </cell>
          <cell r="I315">
            <v>875000</v>
          </cell>
          <cell r="L315">
            <v>0</v>
          </cell>
          <cell r="M315">
            <v>875000</v>
          </cell>
        </row>
        <row r="316">
          <cell r="E316" t="str">
            <v>Sumber Rejeki/Tono</v>
          </cell>
          <cell r="I316">
            <v>10400000</v>
          </cell>
          <cell r="L316">
            <v>0</v>
          </cell>
          <cell r="M316">
            <v>10400000</v>
          </cell>
        </row>
        <row r="317">
          <cell r="E317" t="str">
            <v>Tani Jaya/Budi Wiyono</v>
          </cell>
          <cell r="I317">
            <v>4540000</v>
          </cell>
          <cell r="L317">
            <v>0</v>
          </cell>
          <cell r="M317">
            <v>4540000</v>
          </cell>
        </row>
        <row r="318">
          <cell r="E318" t="str">
            <v>Tunas Jaya, UD/Bacuk</v>
          </cell>
          <cell r="I318">
            <v>630000</v>
          </cell>
          <cell r="L318">
            <v>0</v>
          </cell>
          <cell r="M318">
            <v>630000</v>
          </cell>
        </row>
        <row r="319">
          <cell r="E319" t="str">
            <v>Yahya Makmur</v>
          </cell>
          <cell r="I319">
            <v>12480000</v>
          </cell>
          <cell r="L319">
            <v>0</v>
          </cell>
          <cell r="M319">
            <v>12480000</v>
          </cell>
        </row>
        <row r="320">
          <cell r="E320" t="str">
            <v>Agro Tani, UD</v>
          </cell>
          <cell r="I320">
            <v>5050000</v>
          </cell>
          <cell r="L320">
            <v>0</v>
          </cell>
          <cell r="M320">
            <v>5050000</v>
          </cell>
        </row>
        <row r="321">
          <cell r="E321" t="str">
            <v>Akbar Tani, UD</v>
          </cell>
          <cell r="I321">
            <v>8200000</v>
          </cell>
          <cell r="L321">
            <v>0</v>
          </cell>
          <cell r="M321">
            <v>8200000</v>
          </cell>
        </row>
        <row r="322">
          <cell r="E322" t="str">
            <v>Akbar Tani, UD</v>
          </cell>
          <cell r="I322">
            <v>11400000</v>
          </cell>
          <cell r="L322">
            <v>0</v>
          </cell>
          <cell r="M322">
            <v>11400000</v>
          </cell>
        </row>
        <row r="323">
          <cell r="E323" t="str">
            <v>Berkah Tani/Ali Mutohar</v>
          </cell>
          <cell r="I323">
            <v>3600000</v>
          </cell>
          <cell r="L323">
            <v>0</v>
          </cell>
          <cell r="M323">
            <v>3600000</v>
          </cell>
        </row>
        <row r="324">
          <cell r="E324" t="str">
            <v>Berkah Tani/Zainul</v>
          </cell>
          <cell r="I324">
            <v>19400000</v>
          </cell>
          <cell r="L324">
            <v>0</v>
          </cell>
          <cell r="M324">
            <v>19400000</v>
          </cell>
        </row>
        <row r="325">
          <cell r="E325" t="str">
            <v>Berkah Tani/Zainul</v>
          </cell>
          <cell r="I325">
            <v>16480000</v>
          </cell>
          <cell r="L325">
            <v>0</v>
          </cell>
          <cell r="M325">
            <v>16480000</v>
          </cell>
        </row>
        <row r="326">
          <cell r="E326" t="str">
            <v>Bimo Rukun Tani, UD</v>
          </cell>
          <cell r="I326">
            <v>11600000</v>
          </cell>
          <cell r="L326">
            <v>0</v>
          </cell>
          <cell r="M326">
            <v>11600000</v>
          </cell>
        </row>
        <row r="327">
          <cell r="E327" t="str">
            <v>Durian Merah/Dian</v>
          </cell>
          <cell r="I327">
            <v>8550000</v>
          </cell>
          <cell r="L327">
            <v>0</v>
          </cell>
          <cell r="M327">
            <v>8550000</v>
          </cell>
        </row>
        <row r="328">
          <cell r="E328" t="str">
            <v>Dwi Putra, UD</v>
          </cell>
          <cell r="I328">
            <v>2400000</v>
          </cell>
          <cell r="L328">
            <v>0</v>
          </cell>
          <cell r="M328">
            <v>2400000</v>
          </cell>
        </row>
        <row r="329">
          <cell r="E329" t="str">
            <v>Dwi Putra, UD</v>
          </cell>
          <cell r="I329">
            <v>6760000</v>
          </cell>
          <cell r="L329">
            <v>0</v>
          </cell>
          <cell r="M329">
            <v>6760000</v>
          </cell>
        </row>
        <row r="330">
          <cell r="E330" t="str">
            <v>Eka Jaya/David</v>
          </cell>
          <cell r="I330">
            <v>44000000</v>
          </cell>
          <cell r="L330">
            <v>0</v>
          </cell>
          <cell r="M330">
            <v>44000000</v>
          </cell>
        </row>
        <row r="331">
          <cell r="E331" t="str">
            <v>Eka Jaya/David</v>
          </cell>
          <cell r="I331">
            <v>3600000</v>
          </cell>
          <cell r="L331">
            <v>0</v>
          </cell>
          <cell r="M331">
            <v>3600000</v>
          </cell>
        </row>
        <row r="332">
          <cell r="E332" t="str">
            <v>Eka Jaya/David</v>
          </cell>
          <cell r="I332">
            <v>5050000</v>
          </cell>
          <cell r="L332">
            <v>0</v>
          </cell>
          <cell r="M332">
            <v>5050000</v>
          </cell>
        </row>
        <row r="333">
          <cell r="E333" t="str">
            <v>Gunung Semeru</v>
          </cell>
          <cell r="I333">
            <v>3500000</v>
          </cell>
          <cell r="L333">
            <v>0</v>
          </cell>
          <cell r="M333">
            <v>3500000</v>
          </cell>
        </row>
        <row r="334">
          <cell r="E334" t="str">
            <v>Kumpul Tani/Hendro</v>
          </cell>
          <cell r="I334">
            <v>13914000</v>
          </cell>
          <cell r="L334">
            <v>0</v>
          </cell>
          <cell r="M334">
            <v>13914000</v>
          </cell>
        </row>
        <row r="335">
          <cell r="E335" t="str">
            <v>Kumpul Tani/Hendro</v>
          </cell>
          <cell r="I335">
            <v>7400000</v>
          </cell>
          <cell r="L335">
            <v>0</v>
          </cell>
          <cell r="M335">
            <v>7400000</v>
          </cell>
        </row>
        <row r="336">
          <cell r="E336" t="str">
            <v>Kumpul Tani/Hendro</v>
          </cell>
          <cell r="I336">
            <v>22800000</v>
          </cell>
          <cell r="L336">
            <v>0</v>
          </cell>
          <cell r="M336">
            <v>22800000</v>
          </cell>
        </row>
        <row r="337">
          <cell r="E337" t="str">
            <v>Layan Tani II</v>
          </cell>
          <cell r="I337">
            <v>8700000</v>
          </cell>
          <cell r="L337">
            <v>0</v>
          </cell>
          <cell r="M337">
            <v>8700000</v>
          </cell>
        </row>
        <row r="338">
          <cell r="E338" t="str">
            <v>Layan Tani II</v>
          </cell>
          <cell r="I338">
            <v>2960000</v>
          </cell>
          <cell r="L338">
            <v>0</v>
          </cell>
          <cell r="M338">
            <v>2960000</v>
          </cell>
        </row>
        <row r="339">
          <cell r="E339" t="str">
            <v>Layan Tani, UD</v>
          </cell>
          <cell r="I339">
            <v>17800000</v>
          </cell>
          <cell r="L339">
            <v>0</v>
          </cell>
          <cell r="M339">
            <v>17800000</v>
          </cell>
        </row>
        <row r="340">
          <cell r="E340" t="str">
            <v>Mekar Tani/Tunti</v>
          </cell>
          <cell r="I340">
            <v>1730000</v>
          </cell>
          <cell r="L340">
            <v>0</v>
          </cell>
          <cell r="M340">
            <v>1730000</v>
          </cell>
        </row>
        <row r="341">
          <cell r="E341" t="str">
            <v>Mekar Tani/Tunti</v>
          </cell>
          <cell r="I341">
            <v>4680000</v>
          </cell>
          <cell r="L341">
            <v>0</v>
          </cell>
          <cell r="M341">
            <v>4680000</v>
          </cell>
        </row>
        <row r="342">
          <cell r="E342" t="str">
            <v>Mekar Tani/Tunti</v>
          </cell>
          <cell r="I342">
            <v>2780000</v>
          </cell>
          <cell r="L342">
            <v>0</v>
          </cell>
          <cell r="M342">
            <v>2780000</v>
          </cell>
        </row>
        <row r="343">
          <cell r="E343" t="str">
            <v>Mona Tani</v>
          </cell>
          <cell r="I343">
            <v>11000000</v>
          </cell>
          <cell r="L343">
            <v>0</v>
          </cell>
          <cell r="M343">
            <v>11000000</v>
          </cell>
        </row>
        <row r="344">
          <cell r="E344" t="str">
            <v>Mulyo Tani/Danang</v>
          </cell>
          <cell r="I344">
            <v>33020000</v>
          </cell>
          <cell r="L344">
            <v>0</v>
          </cell>
          <cell r="M344">
            <v>33020000</v>
          </cell>
        </row>
        <row r="345">
          <cell r="E345" t="str">
            <v>Mulyo Tani/Danang</v>
          </cell>
          <cell r="I345">
            <v>66500000</v>
          </cell>
          <cell r="L345">
            <v>0</v>
          </cell>
          <cell r="M345">
            <v>66500000</v>
          </cell>
        </row>
        <row r="346">
          <cell r="E346" t="str">
            <v>Mutiara Tani, UD/Abdur Rahman</v>
          </cell>
          <cell r="I346">
            <v>36795000</v>
          </cell>
          <cell r="L346">
            <v>0</v>
          </cell>
          <cell r="M346">
            <v>36795000</v>
          </cell>
        </row>
        <row r="347">
          <cell r="E347" t="str">
            <v>Mutiara Tani, UD/Abdur Rahman</v>
          </cell>
          <cell r="I347">
            <v>12830000</v>
          </cell>
          <cell r="L347">
            <v>0</v>
          </cell>
          <cell r="M347">
            <v>12830000</v>
          </cell>
        </row>
        <row r="348">
          <cell r="E348" t="str">
            <v>Mutiara Tani, UD/Abdur Rahman</v>
          </cell>
          <cell r="I348">
            <v>1400000</v>
          </cell>
          <cell r="L348">
            <v>0</v>
          </cell>
          <cell r="M348">
            <v>1400000</v>
          </cell>
        </row>
        <row r="349">
          <cell r="E349" t="str">
            <v>Mutiara Tani, UD/Abdur Rahman</v>
          </cell>
          <cell r="I349">
            <v>600000</v>
          </cell>
          <cell r="L349">
            <v>0</v>
          </cell>
          <cell r="M349">
            <v>600000</v>
          </cell>
        </row>
        <row r="350">
          <cell r="E350" t="str">
            <v>Mutiara Tani, UD/Abdur Rahman</v>
          </cell>
          <cell r="I350">
            <v>8480000</v>
          </cell>
          <cell r="L350">
            <v>0</v>
          </cell>
          <cell r="M350">
            <v>8480000</v>
          </cell>
        </row>
        <row r="351">
          <cell r="E351" t="str">
            <v>Mutiara Tani, UD/Abdur Rahman</v>
          </cell>
          <cell r="I351">
            <v>80000000</v>
          </cell>
          <cell r="L351">
            <v>0</v>
          </cell>
          <cell r="M351">
            <v>80000000</v>
          </cell>
        </row>
        <row r="352">
          <cell r="E352" t="str">
            <v>Nusantara Agro/Viola</v>
          </cell>
          <cell r="I352">
            <v>1900000</v>
          </cell>
          <cell r="L352">
            <v>0</v>
          </cell>
          <cell r="M352">
            <v>1900000</v>
          </cell>
        </row>
        <row r="353">
          <cell r="E353" t="str">
            <v>Perdana Jaya/Zainud</v>
          </cell>
          <cell r="I353">
            <v>1200000</v>
          </cell>
          <cell r="L353">
            <v>0</v>
          </cell>
          <cell r="M353">
            <v>1200000</v>
          </cell>
        </row>
        <row r="354">
          <cell r="E354" t="str">
            <v>Pertanian 99/Efendi</v>
          </cell>
          <cell r="I354">
            <v>37000000</v>
          </cell>
          <cell r="L354">
            <v>0</v>
          </cell>
          <cell r="M354">
            <v>37000000</v>
          </cell>
        </row>
        <row r="355">
          <cell r="E355" t="str">
            <v>Pertanian 99/Efendi</v>
          </cell>
          <cell r="I355">
            <v>46200000</v>
          </cell>
          <cell r="L355">
            <v>0</v>
          </cell>
          <cell r="M355">
            <v>46200000</v>
          </cell>
        </row>
        <row r="356">
          <cell r="E356" t="str">
            <v>Pertanian 99/Efendi</v>
          </cell>
          <cell r="I356">
            <v>26800000</v>
          </cell>
          <cell r="L356">
            <v>0</v>
          </cell>
          <cell r="M356">
            <v>26800000</v>
          </cell>
        </row>
        <row r="357">
          <cell r="E357" t="str">
            <v>Pos Tani/Busiyanto</v>
          </cell>
          <cell r="I357">
            <v>2004000</v>
          </cell>
          <cell r="L357">
            <v>0</v>
          </cell>
          <cell r="M357">
            <v>2004000</v>
          </cell>
        </row>
        <row r="358">
          <cell r="E358" t="str">
            <v>Subur/Liang Han</v>
          </cell>
          <cell r="I358">
            <v>2750000</v>
          </cell>
          <cell r="L358">
            <v>0</v>
          </cell>
          <cell r="M358">
            <v>2750000</v>
          </cell>
        </row>
        <row r="359">
          <cell r="E359" t="str">
            <v>Sumber Tani/Sandra</v>
          </cell>
          <cell r="I359">
            <v>1200000</v>
          </cell>
          <cell r="L359">
            <v>0</v>
          </cell>
          <cell r="M359">
            <v>1200000</v>
          </cell>
        </row>
        <row r="360">
          <cell r="E360" t="str">
            <v>Tani Jaya/Afuk</v>
          </cell>
          <cell r="I360">
            <v>2760000</v>
          </cell>
          <cell r="L360">
            <v>0</v>
          </cell>
          <cell r="M360">
            <v>2760000</v>
          </cell>
        </row>
        <row r="361">
          <cell r="E361" t="str">
            <v>Tani Makmur/Ashuri</v>
          </cell>
          <cell r="I361">
            <v>2460000</v>
          </cell>
          <cell r="L361">
            <v>0</v>
          </cell>
          <cell r="M361">
            <v>2460000</v>
          </cell>
        </row>
        <row r="362">
          <cell r="E362" t="str">
            <v>Tani Makmur/Sunaryo</v>
          </cell>
          <cell r="I362">
            <v>5560000</v>
          </cell>
          <cell r="L362">
            <v>0</v>
          </cell>
          <cell r="M362">
            <v>5560000</v>
          </cell>
        </row>
        <row r="363">
          <cell r="E363" t="str">
            <v>Tani Smart/Nur Syi`ah</v>
          </cell>
          <cell r="I363">
            <v>4250000</v>
          </cell>
          <cell r="L363">
            <v>0</v>
          </cell>
          <cell r="M363">
            <v>4250000</v>
          </cell>
        </row>
        <row r="364">
          <cell r="E364" t="str">
            <v>Tunas Abadi/Sujarwo</v>
          </cell>
          <cell r="I364">
            <v>234310000</v>
          </cell>
          <cell r="L364">
            <v>0</v>
          </cell>
          <cell r="M364">
            <v>234310000</v>
          </cell>
        </row>
        <row r="365">
          <cell r="E365" t="str">
            <v>Wes Joyo/Hermas</v>
          </cell>
          <cell r="I365">
            <v>8230000</v>
          </cell>
          <cell r="L365">
            <v>0</v>
          </cell>
          <cell r="M365">
            <v>8230000</v>
          </cell>
        </row>
        <row r="366">
          <cell r="E366" t="str">
            <v>Wes Joyo/Hermas</v>
          </cell>
          <cell r="I366">
            <v>955000</v>
          </cell>
          <cell r="L366">
            <v>0</v>
          </cell>
          <cell r="M366">
            <v>955000</v>
          </cell>
        </row>
        <row r="367">
          <cell r="E367" t="str">
            <v>Abadi Tani, Toko</v>
          </cell>
          <cell r="I367">
            <v>565000</v>
          </cell>
          <cell r="L367">
            <v>0</v>
          </cell>
          <cell r="M367">
            <v>565000</v>
          </cell>
        </row>
        <row r="368">
          <cell r="E368" t="str">
            <v>Agro Tropica Raya</v>
          </cell>
          <cell r="I368">
            <v>1900000</v>
          </cell>
          <cell r="L368">
            <v>0</v>
          </cell>
          <cell r="M368">
            <v>1900000</v>
          </cell>
        </row>
        <row r="369">
          <cell r="E369" t="str">
            <v>Baru Rejo/Haris</v>
          </cell>
          <cell r="I369">
            <v>8200000</v>
          </cell>
          <cell r="L369">
            <v>0</v>
          </cell>
          <cell r="M369">
            <v>8200000</v>
          </cell>
        </row>
        <row r="370">
          <cell r="E370" t="str">
            <v>Berkah Tani/Zainul</v>
          </cell>
          <cell r="I370">
            <v>5300000</v>
          </cell>
          <cell r="L370">
            <v>0</v>
          </cell>
          <cell r="M370">
            <v>5300000</v>
          </cell>
        </row>
        <row r="371">
          <cell r="E371" t="str">
            <v>Bimo Rukun Tani, UD</v>
          </cell>
          <cell r="I371">
            <v>30400000</v>
          </cell>
          <cell r="L371">
            <v>0</v>
          </cell>
          <cell r="M371">
            <v>30400000</v>
          </cell>
        </row>
        <row r="372">
          <cell r="E372" t="str">
            <v>Cahaya Mulya</v>
          </cell>
          <cell r="I372">
            <v>7778750</v>
          </cell>
          <cell r="L372">
            <v>0</v>
          </cell>
          <cell r="M372">
            <v>7778750</v>
          </cell>
        </row>
        <row r="373">
          <cell r="E373" t="str">
            <v>Cahaya Mulya</v>
          </cell>
          <cell r="I373">
            <v>20880000</v>
          </cell>
          <cell r="L373">
            <v>0</v>
          </cell>
          <cell r="M373">
            <v>20880000</v>
          </cell>
        </row>
        <row r="374">
          <cell r="E374" t="str">
            <v>Cahaya Mulya</v>
          </cell>
          <cell r="I374">
            <v>2300000</v>
          </cell>
          <cell r="L374">
            <v>0</v>
          </cell>
          <cell r="M374">
            <v>2300000</v>
          </cell>
        </row>
        <row r="375">
          <cell r="E375" t="str">
            <v>Kumpul Tani/Hendro</v>
          </cell>
          <cell r="I375">
            <v>22800000</v>
          </cell>
          <cell r="L375">
            <v>0</v>
          </cell>
          <cell r="M375">
            <v>22800000</v>
          </cell>
        </row>
        <row r="376">
          <cell r="E376" t="str">
            <v>Margo Joyo/Iksan</v>
          </cell>
          <cell r="I376">
            <v>1230000</v>
          </cell>
          <cell r="L376">
            <v>0</v>
          </cell>
          <cell r="M376">
            <v>1230000</v>
          </cell>
        </row>
        <row r="377">
          <cell r="E377" t="str">
            <v>Margo Joyo/Iksan</v>
          </cell>
          <cell r="I377">
            <v>11725000</v>
          </cell>
          <cell r="L377">
            <v>0</v>
          </cell>
          <cell r="M377">
            <v>11725000</v>
          </cell>
        </row>
        <row r="378">
          <cell r="E378" t="str">
            <v>Mitra Tani 1</v>
          </cell>
          <cell r="I378">
            <v>720000</v>
          </cell>
          <cell r="L378">
            <v>0</v>
          </cell>
          <cell r="M378">
            <v>720000</v>
          </cell>
        </row>
        <row r="379">
          <cell r="E379" t="str">
            <v>Mitra Tani/Eko Susanto</v>
          </cell>
          <cell r="I379">
            <v>14725000</v>
          </cell>
          <cell r="L379">
            <v>0</v>
          </cell>
          <cell r="M379">
            <v>14725000</v>
          </cell>
        </row>
        <row r="380">
          <cell r="E380" t="str">
            <v>Mitra Tani/Eko Susanto</v>
          </cell>
          <cell r="I380">
            <v>651750</v>
          </cell>
          <cell r="L380">
            <v>0</v>
          </cell>
          <cell r="M380">
            <v>651750</v>
          </cell>
        </row>
        <row r="381">
          <cell r="E381" t="str">
            <v>Mitra Tani/Eko Susanto</v>
          </cell>
          <cell r="I381">
            <v>3064800</v>
          </cell>
          <cell r="L381">
            <v>0</v>
          </cell>
          <cell r="M381">
            <v>3064800</v>
          </cell>
        </row>
        <row r="382">
          <cell r="E382" t="str">
            <v>Mitra Tani/Eko Susanto</v>
          </cell>
          <cell r="I382">
            <v>7700000</v>
          </cell>
          <cell r="L382">
            <v>0</v>
          </cell>
          <cell r="M382">
            <v>7700000</v>
          </cell>
        </row>
        <row r="383">
          <cell r="E383" t="str">
            <v>Mitra Tani/Ngatiyem</v>
          </cell>
          <cell r="I383">
            <v>1220000</v>
          </cell>
          <cell r="L383">
            <v>0</v>
          </cell>
          <cell r="M383">
            <v>1220000</v>
          </cell>
        </row>
        <row r="384">
          <cell r="E384" t="str">
            <v>Mona Tani</v>
          </cell>
          <cell r="I384">
            <v>4260000</v>
          </cell>
          <cell r="L384">
            <v>0</v>
          </cell>
          <cell r="M384">
            <v>4260000</v>
          </cell>
        </row>
        <row r="385">
          <cell r="E385" t="str">
            <v>Mutiara Tani, UD/Abdur Rahman</v>
          </cell>
          <cell r="I385">
            <v>3600000</v>
          </cell>
          <cell r="L385">
            <v>0</v>
          </cell>
          <cell r="M385">
            <v>3600000</v>
          </cell>
        </row>
        <row r="386">
          <cell r="E386" t="str">
            <v>Subur/Liang Han</v>
          </cell>
          <cell r="I386">
            <v>900000</v>
          </cell>
          <cell r="L386">
            <v>0</v>
          </cell>
          <cell r="M386">
            <v>900000</v>
          </cell>
        </row>
        <row r="387">
          <cell r="E387" t="str">
            <v>Tani Jaya/Afuk</v>
          </cell>
          <cell r="I387">
            <v>5300000</v>
          </cell>
          <cell r="L387">
            <v>0</v>
          </cell>
          <cell r="M387">
            <v>5300000</v>
          </cell>
        </row>
        <row r="388">
          <cell r="E388" t="str">
            <v>Tawaf, Toko</v>
          </cell>
          <cell r="I388">
            <v>3720000</v>
          </cell>
          <cell r="L388">
            <v>0</v>
          </cell>
          <cell r="M388">
            <v>3720000</v>
          </cell>
        </row>
        <row r="389">
          <cell r="E389" t="str">
            <v>Agro Tani, UD</v>
          </cell>
          <cell r="I389">
            <v>955000</v>
          </cell>
          <cell r="L389">
            <v>0</v>
          </cell>
          <cell r="M389">
            <v>955000</v>
          </cell>
        </row>
        <row r="390">
          <cell r="E390" t="str">
            <v>Ar Royan, UD</v>
          </cell>
          <cell r="I390">
            <v>1900000</v>
          </cell>
          <cell r="L390">
            <v>0</v>
          </cell>
          <cell r="M390">
            <v>1900000</v>
          </cell>
        </row>
        <row r="391">
          <cell r="E391" t="str">
            <v>Cahaya/Shohib</v>
          </cell>
          <cell r="I391">
            <v>4410000</v>
          </cell>
          <cell r="L391">
            <v>0</v>
          </cell>
          <cell r="M391">
            <v>4410000</v>
          </cell>
        </row>
        <row r="392">
          <cell r="E392" t="str">
            <v>Cahaya/Shohib</v>
          </cell>
          <cell r="I392">
            <v>7990000</v>
          </cell>
          <cell r="L392">
            <v>0</v>
          </cell>
          <cell r="M392">
            <v>7990000</v>
          </cell>
        </row>
        <row r="393">
          <cell r="E393" t="str">
            <v>Cahaya/Shohib</v>
          </cell>
          <cell r="I393">
            <v>3230000</v>
          </cell>
          <cell r="L393">
            <v>0</v>
          </cell>
          <cell r="M393">
            <v>3230000</v>
          </cell>
        </row>
        <row r="394">
          <cell r="E394" t="str">
            <v>Eka Jaya/David</v>
          </cell>
          <cell r="I394">
            <v>551250000</v>
          </cell>
          <cell r="L394">
            <v>0</v>
          </cell>
          <cell r="M394">
            <v>551250000</v>
          </cell>
        </row>
        <row r="395">
          <cell r="E395" t="str">
            <v>Eka Jaya/David</v>
          </cell>
          <cell r="I395">
            <v>9000000</v>
          </cell>
          <cell r="L395">
            <v>0</v>
          </cell>
          <cell r="M395">
            <v>9000000</v>
          </cell>
        </row>
        <row r="396">
          <cell r="E396" t="str">
            <v>Handayani, UD</v>
          </cell>
          <cell r="I396">
            <v>2102400</v>
          </cell>
          <cell r="L396">
            <v>0</v>
          </cell>
          <cell r="M396">
            <v>2102400</v>
          </cell>
        </row>
        <row r="397">
          <cell r="E397" t="str">
            <v>Harto Tani/Suhartini</v>
          </cell>
          <cell r="I397">
            <v>2732500</v>
          </cell>
          <cell r="L397">
            <v>0</v>
          </cell>
          <cell r="M397">
            <v>2732500</v>
          </cell>
        </row>
        <row r="398">
          <cell r="E398" t="str">
            <v>Mekar Tani/Tunti</v>
          </cell>
          <cell r="I398">
            <v>15400000</v>
          </cell>
          <cell r="L398">
            <v>0</v>
          </cell>
          <cell r="M398">
            <v>15400000</v>
          </cell>
        </row>
        <row r="399">
          <cell r="E399" t="str">
            <v>Mitra Tani 1</v>
          </cell>
          <cell r="I399">
            <v>3980000</v>
          </cell>
          <cell r="L399">
            <v>0</v>
          </cell>
          <cell r="M399">
            <v>3980000</v>
          </cell>
        </row>
        <row r="400">
          <cell r="E400" t="str">
            <v>Putra Makmur Abadi, UD</v>
          </cell>
          <cell r="I400">
            <v>1340000</v>
          </cell>
          <cell r="L400">
            <v>0</v>
          </cell>
          <cell r="M400">
            <v>1340000</v>
          </cell>
        </row>
        <row r="401">
          <cell r="E401" t="str">
            <v>Tani Jaya/Afuk</v>
          </cell>
          <cell r="I401">
            <v>19200000</v>
          </cell>
          <cell r="L401">
            <v>0</v>
          </cell>
          <cell r="M401">
            <v>19200000</v>
          </cell>
        </row>
        <row r="402">
          <cell r="E402" t="str">
            <v>Tani Makmur/Ashuri</v>
          </cell>
          <cell r="I402">
            <v>360000</v>
          </cell>
          <cell r="L402">
            <v>0</v>
          </cell>
          <cell r="M402">
            <v>360000</v>
          </cell>
        </row>
        <row r="403">
          <cell r="E403" t="str">
            <v>Tani Makmur/Nurhamid</v>
          </cell>
          <cell r="I403">
            <v>4000000</v>
          </cell>
          <cell r="L403">
            <v>0</v>
          </cell>
          <cell r="M403">
            <v>4000000</v>
          </cell>
        </row>
        <row r="404">
          <cell r="E404" t="str">
            <v>Tani Mulyo/Rubidar</v>
          </cell>
          <cell r="I404">
            <v>2750000</v>
          </cell>
          <cell r="L404">
            <v>0</v>
          </cell>
          <cell r="M404">
            <v>2750000</v>
          </cell>
        </row>
        <row r="405">
          <cell r="E405" t="str">
            <v>Tani Mulyo/Rubidar</v>
          </cell>
          <cell r="I405">
            <v>900000</v>
          </cell>
          <cell r="L405">
            <v>0</v>
          </cell>
          <cell r="M405">
            <v>900000</v>
          </cell>
        </row>
        <row r="406">
          <cell r="E406" t="str">
            <v>Wes Joyo/Hermas</v>
          </cell>
          <cell r="I406">
            <v>1400000</v>
          </cell>
          <cell r="L406">
            <v>0</v>
          </cell>
          <cell r="M406">
            <v>1400000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B26002652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B26002891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D25019205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D26001869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D26003782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D26004063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D26004065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D26004172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D26004421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D26004422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D26004530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D26004591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T26000148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T26000171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B26002930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B26003797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B26003850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B26003851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B26001307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D26002713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D26002714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T24001625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D24017664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T25001722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D25019599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D26000152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D26000153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D26000257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D26000590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B26000573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D26000830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B26000819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B26000881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D26000937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T26000065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D26001210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B26001129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D26001333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D26001437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D26001533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D26001636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T26000104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B26001741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D26001845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D26001988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D26002036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D26002142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D26002144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D26002274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D26002292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B26002204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D26002432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D26002662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D26002924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D26002959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D26002978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D26003055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B26002931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D26003308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D26003460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D26003486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D26003538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D26003604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B26003369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D26003855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D26003891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D26004102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D26004267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D26004277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D26004343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D26004344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D26004373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B26003803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D26004463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B26000800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T26000215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B26003832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D26000219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B26001024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B26001427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D26002113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B26003238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B26003310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T26000063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D25018991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B25016636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B25016679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B25016699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D25019570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B26000367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B26000411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B26000490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B26000588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B26000683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B26000863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D26001139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B26001399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D26001433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D26001490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B26001553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B26001554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D26001765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B26001803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B26001909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B26001929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B26001930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B26002090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Z26000412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Z26000413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Z26000414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Z26000415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Z26000418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Z26000478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Z26000492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Z26000766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Z26000767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Z26000857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Z26000858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Z26000862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D26001682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D26003068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T26000220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D26004499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B25014223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D25017624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B25015823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D25018213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Z25003356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D25019620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Z25003374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Z25003397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B26000429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D26000565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Z26000091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D26000711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D26000775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D26000776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D26001205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Z26000194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B26001638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D26001751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D26001824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D26001832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B26001738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D26001882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D26001883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Z26000329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Z26000349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D26002089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D26002192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D26002316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Z26000466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B26002534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B26002605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D26003226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Z26000807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D26004398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B26002505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B26003618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T26000280K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D26003496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D26003200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D26003218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B26003652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D26002887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D26002888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B26002884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B26002953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B26003060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D26003323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B26003255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D26003543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B26003385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B26003386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D26004173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D26004174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D26004545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D26004546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T26000025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B26003056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D26003873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B26002262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B26003773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B26003934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D26003518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B26003408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B26003409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D26001212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T26000218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B26002907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B26003254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D26003747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B26002918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T26000235k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T26000237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B26002358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T26000189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B26003025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B26003259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D26003601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B26003348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B26003381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L26000013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B26003456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B26003476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D26003923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D26003979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B26003793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B26003794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B26000701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D26000758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B26001359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D26002457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D26002552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B26002879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B26003307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D26003749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D26004317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D26004318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B26003936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B26003937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T26000317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D26000237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B26000783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B26001561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D26003097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B26002996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B26003398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D26003783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D26004551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D26004552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T25001720K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B25016519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B26000268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D26000737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D26000873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B26000831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B26000872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D26001016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B26001047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D26001214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B26001239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D26001742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B26001730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D26001867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B26001840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B26001854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B26001859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T26000139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B26002153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D26002256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B26002228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D26002440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B26002270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B26002324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B26002346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D26002522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D26002622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D26002648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D26002811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D26003032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D26003033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D26003048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T26000231k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B26002959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B26002960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B26002973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D26003187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D26003196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D26003321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B26003124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B26003167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D26003495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D26003512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D26003591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B26003326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D26003634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B26003391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D26003795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D26003799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B26003448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B26003504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D26003959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D26003960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D26003983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B26003542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B26003543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B26003573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B26003690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B26003730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D26004372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D26004407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D26004466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B26003830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D26004528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D26004529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D26004554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D26004555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D26004561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B26003650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B26003689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B26003697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D26004341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B26003760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C26000142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B26002317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T26000348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T26000229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T26000192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D26003242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D26003435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D26004113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D26004219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B26003927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B26003931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D26004588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B26003103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B26003136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B26003137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B26003139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L26000010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D26003403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D26003665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D26003690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D26004086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D26004087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B26003710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B26003711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B26003712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B26003713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B26003950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D26004582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B26001901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B26002107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C26000151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D26003586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B26002062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B26003247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D26003628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D26002410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D26003732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B26003829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D26003123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D26004477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B26003924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D26004594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B25005869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D25010517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D26004505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D26002255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D26003104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D26003515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B26002777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D25018930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D26004498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T26000149K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B26001889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D26002000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B26002156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B26002509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D26002749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D26003092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B26003119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B26003442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D26003885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D26001386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D26001392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B26002785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D26003116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B26003356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B26003357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D26003769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D26003806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B26003775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B26003890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Z26000520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Z26000617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D26002848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B26003303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B26003587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D26004509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B26002247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B26003611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D26003694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D26003517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T25001533K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T26000086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T25001556K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D26002748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B26001136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B26001590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B26001591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D26002416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B26002645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D26004187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D26004188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Z26000231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Z26000232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Z26000607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Z26000821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D26003713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D26000810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B26000982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B26000983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D26001275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D26001314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B26001274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B26001388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B26001410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B26001446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B26001574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B26001580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D26001839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B26001745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D26002091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D26002297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D26002682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D26002683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D26002710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D26002907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D26002913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D26002914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B26002910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B26003009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B26003174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D26003593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D26003972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D26003985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B26003622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B26003807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B26003811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D26004668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B26003361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B25013215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B25013285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B25008183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B26001004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D26002404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B26002150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B26002728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B26002496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B26003241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D26004517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B26003118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D26004321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D26002401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B26000125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B26000508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B26001344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D26002160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B26002874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B26003549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D26004185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D26001318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Z26000424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D26000848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B26000811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B26000842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B26000843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B26000894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B26000895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B26000907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D26001026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D26001084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B26001113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D26001153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D26001171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D26001172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B26001146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D26001224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B26001218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B26001219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D26001283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D26001297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B26001238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B26001295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D26001383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D26001466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B26001433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B26001434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B26001459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D26001631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D26001732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B26001655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B26001670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D26001858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D26001859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D26001902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B26001821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B26001822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B26001869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B26001870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D26002052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B26001985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B26001986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B26002054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B26002055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B26002133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B26002134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D26002277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D26002374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B26002209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B26002291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B26002327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B26002334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B26002335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D26002656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B26002549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D26002680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D26002736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D26002737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B26002619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B26002620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D26002845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B26002737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B26002738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D26002984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D26002985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D26003050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B26002897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B26002898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B26002965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B26002970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D26003169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B26003000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B26003024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D26003232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B26003053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B26003096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B26003143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D26003374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D26003428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D26003429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D26003498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D26003499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D26003503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D26003558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D26003559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D26003627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D26003650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D26003706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B26003435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B26003436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D26003895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D26003954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D26003955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D26003975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D26003976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D26004029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D26004030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D26004032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D26004079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D26004080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D26004136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D26004137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D26004169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D26004202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D26004586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D26004631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D26004656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D26003884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T26000314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D26004183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D26001875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D26001969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B26002625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D26001733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B26001753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D26001879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B26002716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D26004636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B26002752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D26003246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B26003595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B26003651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B26003660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D26002300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B26002308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B26002309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B26003900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D26004645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D25016516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N25000063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D26003524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D26003535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D26004347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D26004374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B26003037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D26003487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D26004252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D26004381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B26000050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B26000726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D26000942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D26001481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D26001580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D26002530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D26004028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B26000049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B26001029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T26000092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D26001184</v>
          </cell>
          <cell r="AP1549">
            <v>0</v>
          </cell>
          <cell r="AQ1549">
            <v>0</v>
          </cell>
          <cell r="AV1549">
            <v>1300000</v>
          </cell>
        </row>
        <row r="1550">
          <cell r="E1550" t="str">
            <v>D26002063</v>
          </cell>
          <cell r="AP1550">
            <v>0</v>
          </cell>
          <cell r="AQ1550">
            <v>0</v>
          </cell>
          <cell r="AV1550">
            <v>1560000</v>
          </cell>
        </row>
        <row r="1551">
          <cell r="E1551" t="str">
            <v>B26002218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B26002288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D26004072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B26003921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Z26000094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Z26000102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Z26000130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Z26000153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Z26000177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Z26000279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Z26000372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Z26000427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Z26000437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Z26000549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Z26000550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Z26000787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Z26000788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Z26000813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Z26000814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B26001201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B26001289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B26001341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B26001348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B26001383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B26001464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B26001551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B26001698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B26001774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B26001779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B26001782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D26002098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D26002167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D26002270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B26002210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D26002488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D26002500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D26002516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D26002615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D26002699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D26002794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D26002832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D26003078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D26003192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D26003199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D26003303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D26003478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D26003546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D26003810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B26003512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B26003554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D26004095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D26004100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D26004162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B26003649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D26004217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D26004218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D26004236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D26004307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D26004308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B26003783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B26003818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B26003819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B26003933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T26000253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T26000254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B25002140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T26000183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D26003024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B26002908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B26003228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D26003907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B26003777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D26004471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D26004496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Z26000402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Z26000605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Z26000609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B26003363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D25019399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B26001649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B26001714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D26002696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B26002616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D24015365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D24015541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C25000192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C25000197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C25000198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C25000445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B25008299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B25008808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B25009712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M25000081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D25018593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T26000338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T26000339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B26003843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D26001327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D26003701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D26003708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D26002752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D26002753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B26003379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B26003384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D26003731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T26000124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D26003355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D26003371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D26003541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D26004108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D26004112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B26003675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D26004301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D26004335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B26003925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D26001745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D26001800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D26001801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D26002019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B26001898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D26002042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B26002167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B26002168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D26002971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D26003067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D26003126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B26003180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D26003481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D26003808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D26004061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D26004062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B26003847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B26001765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D26002387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D26002388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T26000122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Z26000519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Z26000652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Z26000757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D26003087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D26003122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B26003601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B26002988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T26000251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B26003462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T26000284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T26000331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B26002313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D26003451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D26004299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D26003452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D26004493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D26001781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B26002909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B26002911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B26003275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T25001881k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B26001319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D26002055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D26003730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D26001633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D26001633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B26002847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B26003057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D26003319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B26001613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T26000165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D26003030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D26003031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D26003040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T26000216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D26003356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B26003928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D26001854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B26001851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D26002080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B26002052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B26002100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D26002778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T26000222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D26003688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D26004500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D26003344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D26003353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D26003655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D26003757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B26003687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B26002893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D26004210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B26002323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D26003585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D26003702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D26003814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B26003917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D26004481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T25000698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T25000700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D25017210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D25018775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D25018776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D25019491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B25016962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D26001199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B26003446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B26003447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B26001039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D26001222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B25016629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D25019258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B25017107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B25017109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D26000485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D26000506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D26000575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D26000852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D26001446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D26001587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D26001625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D26001850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D26002100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D26002356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D26002976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D26003028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D26003039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D26003086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B26003035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D26003206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D26003767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D26004000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D26004180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D26004434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D26004581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D26004599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T22000046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T22000053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T22000087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T22000122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T22000134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T22000139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T22000141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T22000167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T22000207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T22000254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T22000265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T22000282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T22000338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T22000378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T22000394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T22000405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T22000425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T22000456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T22000472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T22000491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T22000520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T22000560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T22000561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T22000580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T22000604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T22000664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T22000725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T22000772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T22000799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T23000003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T23000012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T23000013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T23000057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T23000064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T23000087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T23000120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D23001207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T23000149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T23000184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T23000187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T23000252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T23000257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T23000275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T23000285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T23000332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T23000355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T23000382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T23000419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T23000426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T23000485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T23000492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T23000504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T23000509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T23000522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T23000524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T23000577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T23000584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T23000594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T23000630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T23000644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T23000686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T23000695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T23000741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T23000742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T23000772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T23000781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T23000782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T23000809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T23000845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T23000846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T23000860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T23000881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T23000884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T23000924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T23000935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T23000936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T23000986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T23000989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T23000994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T23000998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T23000999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T23001025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T23001026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T23001057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T23001094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T23001095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T23001103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T24000001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T24000018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T24000040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T24000113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T24000118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T24000126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T24000149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T24000166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T24000175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T24000176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T24000250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T24000251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T24000260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T24000265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T24000279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T24000299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T24000376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T24000384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T24000391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T24000392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T24000419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T24000448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T24000488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T24000489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T24000495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T24000497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T24000498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T24000499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T24000519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T24000527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T24000598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T24000600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T24000601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T24000602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T24000603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T24000612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T24000631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T24000635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T24000673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T24000717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T24000718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T24000719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T24000720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T24000726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T24000727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T24000754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T24000755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T24000787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T24000938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T24000939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T24000946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T24000983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T24000984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T24000985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T24001077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T24001078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T24001079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T24001087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T24001088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T24001108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T24001119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T24001120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T24001121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T24001215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T24001220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T24001249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T24001250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T24001265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T24001359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T24001360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T24001361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T24001369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T24001372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T24001380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T24001424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T24001446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T24001447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T24001638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T24001651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T24001652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T24001653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T24001654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T24001655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T24001697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T24001717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T24001721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T24001842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T25000028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T25000029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T25000035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T25000036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T25000091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T25000142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T25000157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T25000158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T25000161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T25000172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T25000178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T25000328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T25000329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T25000357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T25000365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T25000367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T25000368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T25000372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T25000432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T25000523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T25000547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T25000548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T25000558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T25000559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T25000563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T25000564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T25000578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T25000626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T25000685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T25000686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T25000702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T25000706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T25000707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T25000734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T25000735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T25000740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T25000764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T25000770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R25000015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T25000878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T25000886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T25000887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T25000888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T25000895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T25000902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T25000903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T25000914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T25000915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C25000475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T25000936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T25000957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T25000958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D25009205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T25000988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T25000997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T25000999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T25001024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T25001025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T25001033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T25001062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T25001078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T25001110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T25001162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T25001165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T25001173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T25001189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T25001203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T25001207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T25001222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T25001269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T25001294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T25001323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T25001329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T25001330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T25001336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T25001343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T25001395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T25001408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T25001452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T25001458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T25001459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T25001463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T25001464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T25001485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T25001497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T25001592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T25001593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T25001608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T25001628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T25001629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T25001630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T25001683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T25001712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T25001729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T25001741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T25001742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T25001746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T25001752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T25001756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T25001757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T25001764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T25001766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T25001767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T25001768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T25001769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T25001807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T25001832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T25001896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T26000004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T26000005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T26000007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T26000012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T26000015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T26000020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T26000048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T26000069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T26000080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T26000084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T26000112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T26000113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T26000137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T26000138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T26000141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T26000260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T26000266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T26000267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T26000278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T26000282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C26000216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T26000357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T26000358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T26000359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T26000390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T26000391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B25016903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D25019699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T26000001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Z26000815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Z26000844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B26001830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B26002061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B26002811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B26002815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B26003344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T26000306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B26003570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B26003571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D26004247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B26002599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B26003280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T26000125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Z26000633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D26003231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B26003155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D26003354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D26004261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B26003814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D26004470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D26004485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D26004486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B26002445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T26000182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B26002527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B26000464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B26001015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B26001016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D26002143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D26002276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B26001686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D26002213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B26002946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T26000028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D26002037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D26002038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D26003346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B26003352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B26003941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B26002128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D26003430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B26003304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B26003305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D26004519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D26004520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D26000920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B26000897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D26000963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B26001369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D26001450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D26001453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D26001482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D26001492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D26002109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D26002495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D26003144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D26004283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B26003718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D26004577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D26004617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D26003870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B26001296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D26001432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T26000298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T26000289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B26003236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T26000311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D26000628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D26000641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T26000077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B26001913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B26001914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D26003263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D26003264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D26003345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B26001807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B26002193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B26002580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D26002835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Z26000596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Z26000744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Z26000753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Z26000790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Z26000791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Z26000826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Z26000850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D26001951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B26002417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D26002739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D26002740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D26002759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D26002760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D26002762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D26002763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D26002837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D26002877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D26002878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D26002884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D26002894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D26003211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D26003240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D26003241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B26003138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D26003339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D26003401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D26003402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D26003621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D26003817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D26003851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D26004193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D26004212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D26004213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D26004260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D26004324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D26004433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T25001634K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T25001713K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T26000058K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D26003854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B26003577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B26003578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T26000031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T26000049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T26000056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D26001370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D26001592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B26001587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T26000126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B26001938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D26002043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D26002069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D26002083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B26002591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B26002592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B26002792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B26002793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B26003279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D26004074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D26004114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D26004115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D26004143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D26002332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D26003047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B26003013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B26003672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D26004478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D25018821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B26000110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D26000050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D26000160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T26000010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B26000174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B26000547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B26000548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B26000549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B26000820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D26000934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D26001000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D26001001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D26001252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D26001253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D26001397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D26001406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B26001748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B26001749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B26001827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B26001828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B26002469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D26002605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D26002606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D26002667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D26002668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B26002869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B26002905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B26002906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B26002989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B26003325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B26003327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B26003555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B26003556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D26004059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B26003808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B26003809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B26003810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D26004575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T26000081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T26000107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B26001915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D26002738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B26003746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D26003693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D26003807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D26002810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D26003549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B26003383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D26003696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D26004190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D26002886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B26002459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B26003283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T26000388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Z26000825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C26000248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Z26000845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Z26000846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Z26000851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B26001118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B26001119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B26001249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B26001250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B26001475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B26001478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B26001642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B26001643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D26001961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D26001962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D26002535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B26003494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B26003495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D26004669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B26001502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D26002281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D26002367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D26002420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D26002491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B26002658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B26002700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B26002993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T26000247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D26003433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B26003335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D26003774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B26003531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D26004205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D26001431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D26003320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B26003306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B26003388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D26004178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B26003835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T26000067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T26000286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D26001703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B26003907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D26000742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T26000037K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D26001362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D26002235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T26000154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B26002224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B26002286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B26002287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D26002905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T26000212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B26003145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D26003351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T26000272k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D26003622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D26003934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D26004004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D26004177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D26004198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B26003786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T26000380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B26003943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T26000387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D26004641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D26000546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D26000623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D26001522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D26002825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B26003569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R26000001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B25014771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D25019221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T26000072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T26000075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B26002165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T26000159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D26003686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B26003410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B26003868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D26004464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B25016978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D25019626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B26000278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B26000628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B26003645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B26003646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D26004235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D26002359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D26004479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B26003158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D26003582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D26003609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B26003848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B26003849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D26004671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T25001873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D25019721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B26000452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D26001889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T25001857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D26002005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B26002546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B26003090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B26003091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L26000009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B26003817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B26003828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D26004497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C26000244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D26004058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D26004221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D26004334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D26002718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D26003207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B26003268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B26003269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D26003685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B26003729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L26000017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B26003772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D26003965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B26002026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B26002098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B26002493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B26002718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B26003415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D26003784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B26002099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B26002119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B26002501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D26003260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B26003505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B26003871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D26000787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B26001474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B26002102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B26003151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B26002393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D26002554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D26002578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D26003437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D26003661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D26003668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C26000245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C26000246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B26002865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B26002889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D26002318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B26002644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B26002824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B26002825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B26003127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B26003491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B26003635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D26001958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D26003529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D21000994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B25016768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B25016769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T25001878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D25019426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D25019525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D26000138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D26000258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D26000379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D26000443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T26000091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D26001793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D26001799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B26002045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B26002046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D26002265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D26002568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B26002666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B26002686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T26000193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B26002708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D26003021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B26002878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B26003146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D26003493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D26003531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D26003758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D26004014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T26000336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B26002382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D26004017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T26000337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B26002609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D26003422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D26002654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D26002655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B26003319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B26003721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D26001346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B26001871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B26002586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B26002587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D26003064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B26002902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B26002947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B26002995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T26000269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B26003353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D26003881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B26003617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D26004184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D26004250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B26003753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B26003758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B26003836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D26004557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T26000383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T26000384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Z26000254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Z26000354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Z26000394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Z26000428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Z26000429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Z26000432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Z26000461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Z26000462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Z26000474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Z26000486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Z26000502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Z26000503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Z26000506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Z26000510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Z26000515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Z26000528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Z26000532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Z26000533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Z26000534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Z26000541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Z26000553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Z26000554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Z26000564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Z26000566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Z26000572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Z26000573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Z26000580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Z26000582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Z26000603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Z26000608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Z26000610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Z26000611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Z26000622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Z26000625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Z26000643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Z26000644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Z26000653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Z26000666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Z26000677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Z26000678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Z26000687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Z26000695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Z26000698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Z26000709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Z26000717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Z26000749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Z26000751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Z26000776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Z26000778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Z26000780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Z26000796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Z26000797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Z26000802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Z26000811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Z26000832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Z260010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Z26000838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Z26000854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Z26000855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Z26000861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Z260011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B26003187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D26003788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D26004614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D26004649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D26004589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D26004620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D26004621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D26002498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D26003168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D26004675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B26001617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D26002275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D26002319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D26003676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T26000179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B26002756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B26002757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B26002883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B26003075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B26003076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B26003378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D26004152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B26003894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B26003895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B26003896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D26003949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D26003951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D26003952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T26000127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T26000128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D26003564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Z25003155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Z25003160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Z25003231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Z26000132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Z26000165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Z26000295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Z26000760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D26002520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B26002454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D26002624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D26004438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D26004446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B26003888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B26003947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B26001151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B26001152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D26004098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T26000343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T26000039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T26000303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B26003043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B26003918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D25017877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D26002843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D26002844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B26002742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B26002768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B26002779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B26002829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T26000239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B26003015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B26003041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D26003244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D26003245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D26003289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B26003225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D26003914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B26003559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D26004066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D26004358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D26004359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D26004456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D26004534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D26004543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D26004544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D26004597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D26004598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D26002803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D26002804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D26002805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B26003284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B26003285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B26003372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D26003839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D26003840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B25016719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T25001870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D25019687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D26000794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B26000763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B26000789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B26001310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B26001316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D26001513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B26001625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B26001648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D26001764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D26001893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D26002056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D26002258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B26002199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B26002241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D26002635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B26002574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B26002575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B26002922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B26002923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B26002940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B26003156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B26003157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D26003376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B26003315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D26004298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D26004382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D26004384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D26004385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T26000085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B26002044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D25018352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T26000246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B26003044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B26003046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B26003117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B26003201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B26003202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B26003350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B26003424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D26003824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D26003905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B26003526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D26004025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D26004302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D26004436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D26004454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B26000904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B26002696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B26002638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D26003057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B26003460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B26002615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B26003189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D26000841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B26002220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B25015514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B25015835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D25018981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D25018982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B25016652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D25019412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B26002130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B26002131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D26002290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D26002298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D26002306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B26002265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B26002266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D26002471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T26000166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D26002518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T26000177K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B26002557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D26002755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D26002806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D26002814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D26002815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B26002802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B26002803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D26003008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D26003129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B26002942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B26002943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B26002977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D26003228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D26003229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T26000281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D26003571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D26003572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D26003580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D26003600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D26003733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B26003396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B26003397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D26004020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D26004021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D26004047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D26004049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B26003628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B26002408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D26003465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B26003266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B26003515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B26003798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Z26000445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Z26000537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Z26000551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Z26000658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Z26000706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Z26000719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Z26000720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Z26000795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Z26000829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Z26000830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Z26000836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Z26000837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D26004501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D26004508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D26004527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D26003773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D25018111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D26002344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D26002345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B26000121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B26001639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D26002196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T26000151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T26000302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B25016323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B25016323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B25016368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D25019153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D25019210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D25019268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D25019269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D25019356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D25019356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D25019394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D25019394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D25019517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D25019596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D25019596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B25017086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B25017135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D26000081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D26000081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D26000083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D26000083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D26000536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D26000583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D26001285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D26001285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D26001494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D26001494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D26001508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D26001508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D26001675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D26001676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D26001770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D26001770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D26001802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D26001802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D26002025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D26002025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D26002430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D26002430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D26002443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D26002443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D26002513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D26002627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D26002681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D26002691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B26002751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B26002775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D26002962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D26002986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D26003007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B26003188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D26003643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D26003646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D26003736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D26003968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D26004209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B26003657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D26004386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D26004403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D26004427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D26004592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D26004615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D26004616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D25007908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D25015340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D25010159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B26003067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D26003306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B26001143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D26004609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D26004610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D26004611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D24016641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T26000346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A26000385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A26000431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A26000437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A26000475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A26000488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A26000490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A26000491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A26000492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A26000495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A26000496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A26000502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A26000503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A26000504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A26000508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A26000509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A26000510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A26000511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A26000478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A26000484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A26000486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A26000487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A26000494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A26000498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A26000499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A26000500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D26003860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T26000374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D26002468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D26002992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D26002993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D26003581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B26003768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B26002295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B26002299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B26002781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D26003369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D26003370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D26003112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B26003196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B26003458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B26003469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D26001717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D26001786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D26001823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D26002044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B26002552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B26002774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B26002952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B26003209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D26003569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D26003658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D26003728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D26003878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D26003879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B26003486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B26003525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D26004019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B26003539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B26003855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B26003856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D26004606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D25013126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D26002392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D26002555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D26002608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D26002974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D26003381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D26003456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D26003457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D26003457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D26003659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D26003833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D26004076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D26004140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C26000232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D26004417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D26004474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T26000120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T26000121k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B26003402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T26000325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D26004016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D26004216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B26003862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B26001719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B26001720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B26001721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B26001823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B26002517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B26002518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B26002519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D26003718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D26003719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B26003946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B26003949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B26002758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B26002759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T26000205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T26000206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T26000209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T26000219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T26000233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D26003191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B26003081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D26004562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D26004563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D26004564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B26001756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D26001848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B26002221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B26002985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D26003666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T26000181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D26001198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D26003421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T26000324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B26001979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B26003149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B25016555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B26001771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D26002214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D26002702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B26002676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D26002893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T26000223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B26003245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B26003309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B26003594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B26003785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D26004416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B26003881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D26004660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B26002154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D26004556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B26002894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B26002895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D26001461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D26003637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B26001598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B26003563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B25016462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B25016462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B25017144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B26000223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D26000251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D26000296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D26000307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D26000320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D26000328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D26000458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D26000465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D26000468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B26000576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D26000677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D26000727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D26000777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B26000792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D26000871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D26000986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D26000986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B26001097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B26001097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D26001331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B26001276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B26001349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B26001401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D26001429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D26001430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D26001447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D26001485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D26001493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D26001512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B26001493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D26001600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D26001623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D26001635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B26001573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D26001672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B26001616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D26001798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D26001809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D26001809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B26001711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B26001716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D26001860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D26002016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B26001953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D26002116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D26002118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B26002006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D26002187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D26002187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D26002212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B26002192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D26002436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D26002481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B26002378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B26002411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D26002570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D26002661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D26002734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D26002735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D26002756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D26002757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D26002864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D26002897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D26002979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D26002979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D26003060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D26003182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D26003224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B26003064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B26003079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B26003080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B26003083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D26003505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D26003505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D26003670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D26003717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T26000308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D26003797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T26000309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B26003427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B26003430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B26003459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D26003841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B26003478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B26003519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D26004081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D26004093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D26004099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D26004099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D26004101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B26003567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D26004150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D26004166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D26004223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D26004237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D26004238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D26004242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D26004245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D26004248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D26004265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B26003688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D26004271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D26004279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D26004285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B26003767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B26003802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D26004405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D26004458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D26004460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D26004465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B26003831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B26003853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B26003854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D26004522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D26004523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D26004566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B26003906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D26004662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D26001269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D26004613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B26001286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B26001659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B26001681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T25001792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B26000836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B26000877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B26001354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B26001995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D26002110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D26004578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D26004579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D26004580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D26001720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D26002818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D26003974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D26004117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T26000345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D26004461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D26004632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D26004633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D26004670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D26001106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B26001700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D26003291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D26003714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B26000599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D26000627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B26003636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D25019702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D26000944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D26000964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D26001117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B26001287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B26001508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B26001757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B26002229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D26002657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B26002548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D26002790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D26002875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B26002706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D26002926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B26003129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B26003130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B26003206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D26003632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D26003647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B26003482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B26003483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Z26000750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D26004369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B26002237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D26002453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D26002925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T26000197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T26000226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D26000178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D26000883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B26001109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B26001281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B26001456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D26002750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B26003428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D26003883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B26002430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D26003967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B26001947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B26002002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D26002403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B26002294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B26003052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B26003061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D26003247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B26003885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B26003954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D26003691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D26004376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B26001376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T25001374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B26001076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B26003302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B26000310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D26001175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D26001615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D26002248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D26003537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B26003406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D26004612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D26002917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D26002919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B26003833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Z26000473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Z26000487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Z26000500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Z26000522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Z26000683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Z26000684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Z26000689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Z26000707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Z26000733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D26001941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D26001942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D26001820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B25016985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D26002354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B26003022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D26003599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D26003742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T26000313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T26000361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B26003861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D26000829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D26002013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D26002218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D26002219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D26002226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D26002242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D26002282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D26002431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D26003056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D26003106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D26003673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D26003674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D26003675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B26003345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D26004319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D26004320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D26004338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D26004445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D26004467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T26000234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B26002348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D26004536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T25001236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D26001993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T25000648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R25000130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B26003059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B26003432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D26003925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B26003905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B26002196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B26002489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D26000103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B26000774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T26000047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T26000109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B26002678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D26003412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B26001297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B26003007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D26003474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D26004366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N26000037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B26002268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T26000363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T25001726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T25001727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D26002809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D26003961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T26000365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T25001499k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D25017560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T25001743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B25015759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B25015760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B25016494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B25016495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B26000065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B26000407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B26000801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B26000802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T26000052k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T26000053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B26000919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B26001531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B26001532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B26001543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B26002424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B26002426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D26002609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D26003827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D26004154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D26004168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B26001811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B26001868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B26001920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B26002861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B26002863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T26000295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D26004409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D26004410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D26004435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B25015134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D25017600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D26001819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D26001838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D26001897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B26001899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D26002405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D26002406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D26002504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D26002882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B26002843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B26002928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B26002939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D26003286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B26003208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D26003466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D26003506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D26003639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D26003682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D26004090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D26004091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B26003764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D26004415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D26002791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B26002860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D26003652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D26003653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B26003182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B26003183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B26003185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B26002648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T26000240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B26003070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>
            <v>260023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D26003811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B26003452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D26004199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T25001747</v>
          </cell>
          <cell r="AP3505">
            <v>0</v>
          </cell>
          <cell r="AQ3505">
            <v>0</v>
          </cell>
          <cell r="AV3505">
            <v>3000000</v>
          </cell>
        </row>
        <row r="3506">
          <cell r="E3506" t="str">
            <v>T26000236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D26000923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D26001396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B26001431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B26001878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D26002008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D26002009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B26001921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D26002465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D26002466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B26002646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D26002827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D26002828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D26002829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B26002786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B26003042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B26003192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B26003193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D26003651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D26003867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D26003868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D26004200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B26003791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B26003792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D26004442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D26004449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D25019464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D25019543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D25019589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D25019589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D25019590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D25019590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D25019591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D25019600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D25019608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D25019608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D26000006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D26000068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D26000463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D26000494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D26000523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D26000523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D26000617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D26000618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D26000746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D26000842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D26000842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D26000996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D26000996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D26001094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D26001094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D26001095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D26001096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D26001096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B26001106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B26001107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B26001107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D26001336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D26001372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D26001372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D26001495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D26001495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D26001496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D26001517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D26001517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D26001689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D26001689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D26001718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D26001718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D26001744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D26001744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D26001888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D26002035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D26002035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D26002148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D26002148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D26002149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D26002149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D26002150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D26002150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D26002166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D26002207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T26000150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D26002240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D26002284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D26002341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D26002346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D26002346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B26002213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B26002214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D26002428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D26002428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D26002510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D26002583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D26002583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B26002468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B26002468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B26002473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D26002625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D26002625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D26002674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D26002676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D26002677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B26002633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B26002633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D26002865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D26003000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D26003001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D26003108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D26003109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D26003110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D26003137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D26003161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D26003162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D26003177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D26003178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D26003235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D26003256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D26003282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D26003283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D26003383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D26003385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D26003386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D26003416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D26003426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D26003539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D26003605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D26003606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D26003640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D26003679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D26003794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C26000203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C26000204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D26004046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D26004203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D26004204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D26004346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D26004507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T26000071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B26002171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D26003183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D26003184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D26004639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D26004640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D26003300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T26000335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B26002818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D26003729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D26004393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D26004132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D26003567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B26003585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D26004142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B26001826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D26002065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B26002059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D26002329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B26002197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D26002851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D26002981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D26003540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D26003687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D26003917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D26004082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B26003669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D26004514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B26000779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B26002827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D23006230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N25000011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B26003877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B26003878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D26001425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D26001918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D26001948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B26002806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T26000210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D26003287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D25019452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D26000445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D26000474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D26000498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D26000499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D26000519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B26000598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D26000741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D26001098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D26001099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D26001116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B26001236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D26001366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T26000097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D26001501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D26001501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B26001449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D26001526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D26001815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D26001863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B26001824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D26002175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D26002203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D26002206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B26002231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D26002450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B26002340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D26002553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D26002632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D26002643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D26002643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D26002715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D26002721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D26002975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D26003105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B26003006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D26003227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D26003251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D26003252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D26003596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D26004296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D26004339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D26004340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D26004600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B26003321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B26003322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B25015963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D25018569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B25017002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B25017003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B25017004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B25017041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B25017046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D26001049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D26001050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B26001138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D26003166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B26003632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Z26000166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Z26000407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Z26000410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Z26000476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Z26000477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Z26000672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Z26000694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Z26000696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Z26000729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Z26000734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Z26000747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Z26000755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Z26000785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Z26000786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Z26000812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Z26000847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Z26000848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D26003859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D26004133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D26004134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D26004135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D26004472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D26004473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D26004655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D26004661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T26000252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T26000347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B26003926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D26003017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D26003432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B26003523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T26000329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B26001403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B26003665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D26002614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B26003355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D26002565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B26003217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D26003804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D26003805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D26001724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D26002070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B26002601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B26002602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D26002775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B26002990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D26003945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D26003948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B26003513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D26004045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B26003731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B26003733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B26003734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L26000018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B26002418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D26003035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B26003919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B26003074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D26003842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D26003843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D26003844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B26003781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D26000405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D26002334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B26003232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Z26000841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Z26000842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B26003380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B26003825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B26003903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D26003220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Z26000612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B26003939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D26004601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D26003249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D26003927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B26003308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B26003318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D26003626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B26003347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D26004258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D26004259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B26003670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B26003695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B26003724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C26000249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T26000118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C26000116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B26002838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D26003342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D26003343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B26003220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B26003242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D26003608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B26003407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D26004035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T26000043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Z26000282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Z26000390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Z26000463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Z26000485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Z26000521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Z26000587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Z26000616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Z26000621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Z26000680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Z26000798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Z26000799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Z26000805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Z26000808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Z26000809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Z26000859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Z26000860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T26000103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T26000142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B26003904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D25013643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T26000057K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D26003349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D26004677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D26001931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D26002939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D26003002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D26003853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D26003926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D26004255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B26001558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B26001708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D26001767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D26002278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D26002509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D26002575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D26002645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B26002490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B26002491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D26002846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D26003489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D26003555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D26003556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D26003587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D26004048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B26003623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B26003624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D26004333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D26004352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D26003043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T26000258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D26004129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D26004149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D26003902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D26004088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D26004192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D26004266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B26003667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D26004322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D26004330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D26004349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B26003806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D26004480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B25016405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B25016539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B25016540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D25019392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D25019402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B26000529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B26000530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B26000643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D26000729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D26002722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D26002723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D26004547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D26004548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D26004549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D26004550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D26004587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D26001922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D26001955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D26001956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D26002114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B26002191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B26002465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B26002465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D26002716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D26002729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D26002968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D26002968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B26002999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B26003002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D26003551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D26003595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D26003597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D26003709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D26004362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D26004363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B26001477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D26002915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D26002916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D26002933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D26003791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D26004394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D26004402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N26000040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D26004521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Z26000233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B26003598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B26003599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D25015258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D26001097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D26004502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D26004596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D26002637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B26003484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T26000014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D26002204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D26003250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D26003864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B26003769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D26004443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B26001962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D26003156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D26003157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D26004253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D26004315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T25001866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B26002543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D26002859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T26000194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B26003747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B26003726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B26003727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T26000364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B26003839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B26003844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B26002184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D26003471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D26003557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B26003728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B26003741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B26001192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D26003970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B26003944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B26002787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T26000201k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B26000378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D26001960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T26000133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D26002376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T26000304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B26001528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B26002651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D26003359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D26003360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T26000328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D26000217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D26000218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B26000560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B26000569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B26000570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D26001528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B26002039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D26003475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B26003787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B26003788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B26003126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B26000038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B26000298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B26000593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D26000625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B26001110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B26001694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D26001787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D26002030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D26002361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B26002289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D26002511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D26003477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B26003392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D26004525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T26000379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D26001851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D26001852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D26001885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B26003068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T26000261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D26004533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B26003897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D26004646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B26002553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D26002708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B26002654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B26002668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D26002874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D26002885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B26002770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B26002773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B26002798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D26002950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B26002862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D26003089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B26003028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B26003029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B26003082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D26003248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D26003307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B26003102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B26003106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D26003408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D26003525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B26003271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B26003336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D26003715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D26003716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D26003897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B26003487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B26003613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D26004208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D26004222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D26004251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B26003679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D26004294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B26003840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B26003872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B26003880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B26003886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D26004635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B26003738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D26004357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Z26000543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Z26000618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D26002497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D26002521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B26002938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B26002941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B26003674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D26004293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D26004312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B26003913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B26003914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B26003915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D26003119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D26002961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N26000028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T26000041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B26000998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B26001226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D26001330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B26001270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B26001405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D26001530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B26001696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D26001919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D26001921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B26001981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B26002093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D26002244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B26002255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B26002390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D26002567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D26002602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B26002662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B26002670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B26002707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B26002735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D26002973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B26003152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B26003153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L26000011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D26003449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D26003759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B26003501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D26003987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D26004304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D26004608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D26000675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D26001080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D26001081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D26001123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D26002251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D26002252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D26002271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D26002600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D26002601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N26000023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B26002832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B26002833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D26003629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D26003630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B26003620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B26003621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D25019435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D25019436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D25019437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N25000086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D26002965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D26002999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T26000175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D26004336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D26004558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D26004559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D26001723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B26003507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D26002313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B26003864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D26004622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D26003053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T25001874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D26001576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B26001971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B26002092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B26002251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D26002629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B26002562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D26003037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D26003054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D26003073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D26004628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D26004629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D26004634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D26004674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B26001612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D26001821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D26002027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D26002092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B26001987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B26001987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B26001988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B26002120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B26002155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D26002305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D26002337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D26002482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B26002380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D26002612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B26002528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D26002868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B26002841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D26003125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D26003234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D26003337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D26003389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D26003410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T26000283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B26003324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D26003645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D26003787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D26004073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D26004159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B26003676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B26003756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D26004440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B26003826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B26003827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D26004542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B26003916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D26004604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D26004625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T25001880</v>
          </cell>
          <cell r="AP4236">
            <v>0</v>
          </cell>
          <cell r="AQ4236">
            <v>0</v>
          </cell>
          <cell r="AV4236">
            <v>1000000</v>
          </cell>
        </row>
        <row r="4237">
          <cell r="E4237" t="str">
            <v>B26000964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B26000965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D26002347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D26002858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T26000228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D26003754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B26003461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D26004284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D26004264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B26003799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D26004418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D26004553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B26001737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T26000294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T26000366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D26003026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D26003602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D26003091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D26004618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B25012496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D25017825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B25015450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B25016277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D26000374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B26001931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D26002064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B26002304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B26002375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B26002376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B26002593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D26003117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D26003832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B26003776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D26004568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B26000622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B26000775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B26001262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T26000105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D26002855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B26002819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B26002820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D26001292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D26001420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D26001523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D26001981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D26002085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D26002140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B26002067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D26002422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D26002639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D26004230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D26004658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D26002333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B26002882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D26004310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B26001309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T26000248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B26003509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B26003684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D26004281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D26001994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B26001975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D26002104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D26002112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D26002201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D26002215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D26002411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D26002528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D26003058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D26003059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D26003075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D26003080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B26003286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B26003317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B26003351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B26003368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B26003547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D26004116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D26004171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D26004262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B26002881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D26003111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T26000066k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B26002310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B26002697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D26003822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B26003612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D26004311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B26003842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B26001963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D26003084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D26004607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D26003695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T26000307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B26003576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D26004495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D26004257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B26003784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T26000368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T25001515k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T25001519K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D26002285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D26002296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D26004630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D26004657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B25015498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B25015508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B25015667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B25015981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B25016753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T25001877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B25016907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B25016909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D26000033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D26000041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D26000042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B26000271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B26000335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D26000591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D26000816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D26000831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B26001161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D26001238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D26001378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D26001908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D26002060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B26002342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D26003155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D26003180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D26003363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T26000268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B26003337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D26003631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T26000299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B26003425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B26003040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B26003222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D26003683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D26004624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D26003358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T26000101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B26001926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B26001927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B26001994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D26002693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B26003159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B26003160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D26003338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D26003901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D26003916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D26003963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B26003534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D26004055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D25017643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D25018207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D25019018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D25019607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B26000124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B26000372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B26000495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B26001120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B26001210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B26001520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B26001579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D26003214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D26003892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D26004491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B26002685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Z26000370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Z26000526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D26000069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B26000945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B26001018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B26001594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B26003467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B26003468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B26003489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D26001816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D26001831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D26001913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D26002222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D26002449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B26002507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B26002753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D26002967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D26003394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B26003457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B26003535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D26004057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B26003899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B26003956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D26004643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B26001829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B26001836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B26001837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D26001944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B26001905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B26002158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D26002307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B26002431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B26002432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D26002642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B26002573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D26002769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D26002898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D26002899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D26002900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D26003258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B26003142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B26003190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D26003406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D26003761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B26003437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B26003438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D26003848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D26003849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D26004110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D26004111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D26004484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B25016192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B25017143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D26000064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D26000065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D26002003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D26002039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B26002398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D26003462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D26004593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T25001776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Z26000389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B26002447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B26002448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B26002611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B26002703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D26004038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D26004039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B26003541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B26003553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B26003560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B26003790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B26003875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B26003955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Z25003241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Z26000025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Z26000237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Z26000392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B26000309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B26000320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B26000492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B26000604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B26000732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B26001066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B26001148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B26001443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B26001448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B26001750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D26002090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D26002117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B26002079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D26002287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D26002288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B26002177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D26002321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D26002327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B26002203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B26002235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D26002866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D26002922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D26002923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B26002945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D26003255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D26003352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B26003243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D26003526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D26004239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B26003659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D26004249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B26003770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D26004462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D26004494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D26004605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B26001850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D26001986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B26003637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D26004309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D26004387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B26003929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R25000016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D26002896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B26003488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B26003696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D26003574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T26000288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B26003290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B26003338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D26003903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D26003090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T26000227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T26000088k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B26001517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D26004515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B26002403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D26000282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D26003387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D26003388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D26004052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B26002485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B26002486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B26002492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B26003414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B26003441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D26001963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D26002726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B26003506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B26000890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D26001435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D26001660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B26001842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B26001999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D26002597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D26002861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B26002849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D26003445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B26003550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B25014926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B25015763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B26001668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B26001796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D26002427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D26002588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D26002616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D26002631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B26002554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D26003443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D26003455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B26003703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B26003704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B26003705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B26003723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B26003795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B26003898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D26004659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Z26000309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Z26000337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Z26000386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Z26000479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Z26000516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Z26000517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Z26000619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Z26000620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Z26000638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Z26000674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T26000332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Z26000731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Z26000739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Z26000741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Z26000752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Z26000769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Z26000770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Z26000827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Z26000828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Z26000843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B26002748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B26002749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B26002750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B26003287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B26003606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B26003607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D25017659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D25018842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B26003763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B26001621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B26001622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B26001666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B26001172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B26001176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B26001460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D26001601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D26001602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D26002151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D26002958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D26004053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B26003584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D26000832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B26003417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B26003418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T26000146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D26004003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D26004018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B26003677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D26002781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B26002828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T26000271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B26000433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B26000689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B26000818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B26000934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B26001429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B26001660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D26002942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D26002943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D26002956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D26002960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D26003458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D26003886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N26000034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D26003918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B26003765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B26003870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B26003882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T26000382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D26004627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B26001232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D26001779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D26001782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B26001945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B26002019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D26002429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D26003484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D26003485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B26003334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D26003603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B26003823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B25016320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B26001436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D26002262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D26002652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D26003442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D26004644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B26003451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T26000316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B26003481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D26004141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B26002734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B26002267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D26004537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B26001263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B26002094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B26002715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B26002769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B26002856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B26002915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B26002926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B26002927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B26003072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T26000259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B26003099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T26000262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D26003861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T26000319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T26000367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T26000372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D26004468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T26000038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D26002470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D26002744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B26002885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D26003750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D26003752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B26003838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D26004538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Z26000265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Z26000818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Z26000819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B26002870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D26003921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D25018997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D25018998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D25019266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D26001678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D26001679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D26001680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T26000108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D26002649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D26002650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D26002651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D26002673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T26000202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D26003473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D26004167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B26002355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D26004228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D26004565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B25012121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B26002103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B26002105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D26002524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D26002679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D26002711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B26003212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B26003213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B26003583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B26003700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D26004297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D26004503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B26003889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D26003734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B26003529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D26001223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B26002253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B26003532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D26003977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B26003610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T26000026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T26000076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B26003399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D26003776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D26001864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D26002353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D26001762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B26002088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B26002359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D26004151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B26003655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D26004448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B26002631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D26002808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D26002660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B26003027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B26003033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L26000008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D26003480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D26003765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D26003766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D26003785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D26004119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D26004120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D26004125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D26004170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D26004413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D26004414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D26004459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D26000795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D26001163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D26001164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D26001731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D26001755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B26001805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D26002032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D26002266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D26002328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D26002672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D26003340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D26003373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D26003973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D26004069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D26000365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Z26000203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Z26000312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D26001870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Z26000338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Z26000357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D26002245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Z26000469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D26003173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D26003648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D26003649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Z26000839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Z26000864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B26000565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D26000552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D26000595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D26000710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D26000721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D26000951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D26001083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D26001088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D26001122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D26001377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D26001477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D26001497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D26001499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D26001746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B26001715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D26001861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D26001877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B26001801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B26001900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D26002095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D26002324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B26002216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B26002277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D26002593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B26002520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D26002712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D26003202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D26003225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D26003523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D26003768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D26003825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D26003831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D26003845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D26003898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D26003899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D26003900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D26003941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B26003517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D26004024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D26004431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D26004432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D26004482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D26004518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D26004667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B26003834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B26003837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B26002968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B26002969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B26003557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D26004426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D26003379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D26001653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D26002452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D26004365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B26001772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C26000247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B26000016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B26003197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B26001814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T26000153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B26002243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B26002743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B26002763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B26002858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D26003816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D26004232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D26004233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D26004329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D26004647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D26004648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D26003762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D26003763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D26004364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R25000105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D26003820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T26000170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B26003779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B26003780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T26000370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B26002367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B26002560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B26002561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D25018993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B26003164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D26003519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D26000048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B26001784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B26002991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B26003210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B26003663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B26003953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B26002186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B26003546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D26004220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T26000185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B26002936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B26002944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T26000241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B26003281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B26003282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B26003580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D26004191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D26002527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D26002705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B26002677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D26002849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B26002710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B26002876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D26003448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B26003311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D26003624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B26003596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B26003597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D26004327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B26001861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D26003521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D26003725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B26001662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D26001966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B26002011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D26002269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D26002517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D26003085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D26003194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D26003267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D26003328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D26003377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D26003446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D26003727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D26003771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D26003793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D26003942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D26004097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D26004118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D26004153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D26004240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D26004313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B26003821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D26003154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B26003691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D26000910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B26001311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D26001748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D26001754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D26001873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D26001874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D26002261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B26002234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D26002397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B26002607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D26002892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B26002790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D26003083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D26003413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D26003438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B26003299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Z26000792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D26004215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D26002618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D26003865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D26004043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D26004585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B26001723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D26001844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B26002084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B26002498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D26002770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D26002881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B26002851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D26003316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B26003364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D26003721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D26003823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B26003873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C26000098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T25001650K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B26000483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B26000849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B26001718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D26002373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D26003128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B26001754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B26001755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D26001978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T26000140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B26001996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B26001997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D26002135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D26002379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D26002380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B26002331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B26002332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B26002365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B26002437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B26002438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D26002797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D26002798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B26002835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D26003036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B26002890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B26003014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D26003284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D26003436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D26003684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B26003405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B26003431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B26003492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D26003924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D26004067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D26004243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D26004244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D26004291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D26004354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B26003874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B26003876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D26003520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D26002972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N26000030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B26002961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B26000967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D26001363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T26000238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D26002854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B26003678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D26004292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D26003589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D26003590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B26002344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B26002766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B26002767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D26003336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D26004085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D26004161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T24000579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B26003879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B26003938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T26000094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T26000095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B26002626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D26002198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B26002163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D26001227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D26001471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D26002303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B26002205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B26002440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B26002594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B26002681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B26002830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B26002831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D26003069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D26003411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D26003414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B26003234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D26003482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B26003264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D26003579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B26003544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B26003572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B26003593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D26004305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D26004424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D26004560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D25017697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D26002415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D26003770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B26003923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D26004626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D26004492</v>
          </cell>
          <cell r="AP5081">
            <v>0</v>
          </cell>
          <cell r="AQ5081">
            <v>0</v>
          </cell>
          <cell r="AV5081">
            <v>0</v>
          </cell>
        </row>
        <row r="5083">
          <cell r="E5083" t="str">
            <v>x</v>
          </cell>
          <cell r="AP5083" t="str">
            <v>x</v>
          </cell>
          <cell r="AQ5083" t="str">
            <v>x</v>
          </cell>
          <cell r="AV5083" t="str">
            <v>x</v>
          </cell>
        </row>
        <row r="5084">
          <cell r="AP5084">
            <v>0</v>
          </cell>
          <cell r="AQ5084">
            <v>0</v>
          </cell>
          <cell r="AV5084">
            <v>16327500</v>
          </cell>
        </row>
        <row r="5085">
          <cell r="AQ5085">
            <v>0</v>
          </cell>
        </row>
        <row r="5086">
          <cell r="AQ5086">
            <v>0</v>
          </cell>
        </row>
        <row r="5087">
          <cell r="AQ5087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selection activeCell="N10" sqref="N10"/>
    </sheetView>
  </sheetViews>
  <sheetFormatPr defaultRowHeight="15"/>
  <cols>
    <col min="2" max="2" width="10" bestFit="1" customWidth="1"/>
    <col min="5" max="5" width="10" bestFit="1" customWidth="1"/>
    <col min="7" max="9" width="10.42578125" bestFit="1" customWidth="1"/>
  </cols>
  <sheetData>
    <row r="1" spans="1:20" ht="25.5">
      <c r="A1" s="130" t="s">
        <v>123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41" t="s">
        <v>124</v>
      </c>
      <c r="M1" s="42" t="s">
        <v>124</v>
      </c>
      <c r="N1" s="43" t="s">
        <v>125</v>
      </c>
      <c r="O1" s="41" t="s">
        <v>126</v>
      </c>
      <c r="P1" s="41" t="s">
        <v>126</v>
      </c>
      <c r="Q1" s="131" t="s">
        <v>127</v>
      </c>
      <c r="R1" s="131"/>
      <c r="S1" s="131"/>
      <c r="T1" s="43" t="s">
        <v>126</v>
      </c>
    </row>
    <row r="2" spans="1:20" ht="36">
      <c r="A2" s="44" t="s">
        <v>128</v>
      </c>
      <c r="B2" s="45" t="s">
        <v>129</v>
      </c>
      <c r="C2" s="46" t="s">
        <v>130</v>
      </c>
      <c r="D2" s="47" t="s">
        <v>131</v>
      </c>
      <c r="E2" s="132" t="s">
        <v>132</v>
      </c>
      <c r="F2" s="132"/>
      <c r="G2" s="48" t="s">
        <v>133</v>
      </c>
      <c r="H2" s="49" t="s">
        <v>134</v>
      </c>
      <c r="I2" s="50" t="s">
        <v>135</v>
      </c>
      <c r="J2" s="133" t="s">
        <v>136</v>
      </c>
      <c r="K2" s="133"/>
      <c r="L2" s="51" t="s">
        <v>137</v>
      </c>
      <c r="M2" s="52" t="s">
        <v>138</v>
      </c>
      <c r="N2" s="53" t="s">
        <v>139</v>
      </c>
      <c r="O2" s="51" t="s">
        <v>140</v>
      </c>
      <c r="P2" s="51" t="s">
        <v>141</v>
      </c>
      <c r="Q2" s="54" t="s">
        <v>142</v>
      </c>
      <c r="R2" s="54" t="s">
        <v>143</v>
      </c>
      <c r="S2" s="54" t="s">
        <v>124</v>
      </c>
      <c r="T2" s="53" t="s">
        <v>144</v>
      </c>
    </row>
    <row r="3" spans="1:20">
      <c r="A3" s="55" t="s">
        <v>145</v>
      </c>
      <c r="B3" s="56">
        <f>+E3+G3+H3+J3</f>
        <v>23682.089988079999</v>
      </c>
      <c r="C3" s="57">
        <v>0.96</v>
      </c>
      <c r="D3" s="58">
        <f>+F3</f>
        <v>0.94300363318104963</v>
      </c>
      <c r="E3" s="56">
        <v>22332.29690008</v>
      </c>
      <c r="F3" s="59">
        <f t="shared" ref="F3:F6" si="0">+E3/B3</f>
        <v>0.94300363318104963</v>
      </c>
      <c r="G3" s="56">
        <v>1244.786288</v>
      </c>
      <c r="H3" s="56">
        <v>105.0068</v>
      </c>
      <c r="I3" s="59">
        <f t="shared" ref="I3:I6" si="1">+(G3+H3)/B3</f>
        <v>5.6996366818950379E-2</v>
      </c>
      <c r="J3" s="56">
        <v>0</v>
      </c>
      <c r="K3" s="59">
        <f t="shared" ref="K3:K6" si="2">+J3/B3</f>
        <v>0</v>
      </c>
      <c r="L3" s="112">
        <v>0.33333333333333331</v>
      </c>
      <c r="M3" s="60">
        <v>0.81179415830108537</v>
      </c>
      <c r="N3" s="61"/>
      <c r="O3" s="61"/>
      <c r="P3" s="61"/>
      <c r="Q3" s="62"/>
      <c r="R3" s="62"/>
      <c r="S3" s="59">
        <v>1</v>
      </c>
      <c r="T3" s="63">
        <v>0</v>
      </c>
    </row>
    <row r="4" spans="1:20">
      <c r="A4" s="55" t="s">
        <v>146</v>
      </c>
      <c r="B4" s="56">
        <f>+E4+G4+H4+J4</f>
        <v>26680.939750080001</v>
      </c>
      <c r="C4" s="57">
        <v>0.96</v>
      </c>
      <c r="D4" s="58">
        <f>AVERAGE(F3:F4)</f>
        <v>0.93864986653890148</v>
      </c>
      <c r="E4" s="56">
        <v>24927.897950080001</v>
      </c>
      <c r="F4" s="59">
        <f t="shared" si="0"/>
        <v>0.93429609989675333</v>
      </c>
      <c r="G4" s="56">
        <v>1753.0418</v>
      </c>
      <c r="H4" s="56">
        <v>0</v>
      </c>
      <c r="I4" s="59">
        <f t="shared" si="1"/>
        <v>6.5703900103246685E-2</v>
      </c>
      <c r="J4" s="56">
        <v>0</v>
      </c>
      <c r="K4" s="57">
        <f t="shared" si="2"/>
        <v>0</v>
      </c>
      <c r="L4" s="112">
        <v>0.3</v>
      </c>
      <c r="M4" s="60">
        <v>0.72452482438759114</v>
      </c>
      <c r="N4" s="61"/>
      <c r="O4" s="61"/>
      <c r="P4" s="61"/>
      <c r="Q4" s="62"/>
      <c r="R4" s="62"/>
      <c r="S4" s="59">
        <v>1</v>
      </c>
      <c r="T4" s="63">
        <v>0</v>
      </c>
    </row>
    <row r="5" spans="1:20">
      <c r="A5" s="55" t="s">
        <v>147</v>
      </c>
      <c r="B5" s="56">
        <f>+E5+G5+H5+J5</f>
        <v>26242.045555080003</v>
      </c>
      <c r="C5" s="57">
        <v>0.96</v>
      </c>
      <c r="D5" s="58">
        <f>+F5</f>
        <v>0.93670377194820253</v>
      </c>
      <c r="E5" s="56">
        <v>24581.023055080001</v>
      </c>
      <c r="F5" s="59">
        <f t="shared" si="0"/>
        <v>0.93670377194820253</v>
      </c>
      <c r="G5" s="56">
        <v>1249.078</v>
      </c>
      <c r="H5" s="56">
        <v>411.94450000000001</v>
      </c>
      <c r="I5" s="59">
        <f t="shared" si="1"/>
        <v>6.3296228051797396E-2</v>
      </c>
      <c r="J5" s="56">
        <v>0</v>
      </c>
      <c r="K5" s="59">
        <f t="shared" si="2"/>
        <v>0</v>
      </c>
      <c r="L5" s="113">
        <v>0.25</v>
      </c>
      <c r="M5" s="60">
        <v>0.79288735302581337</v>
      </c>
      <c r="N5" s="61"/>
      <c r="O5" s="61"/>
      <c r="P5" s="61"/>
      <c r="Q5" s="62"/>
      <c r="R5" s="62"/>
      <c r="S5" s="59">
        <v>1</v>
      </c>
      <c r="T5" s="63">
        <v>0</v>
      </c>
    </row>
    <row r="6" spans="1:20">
      <c r="A6" s="55" t="s">
        <v>218</v>
      </c>
      <c r="B6" s="56">
        <f>+E6+G6+H6+J6</f>
        <v>22104.505399999998</v>
      </c>
      <c r="C6" s="57">
        <v>0.96</v>
      </c>
      <c r="D6" s="58">
        <f>AVERAGE(F5:F6)</f>
        <v>0.94944018030888433</v>
      </c>
      <c r="E6" s="56">
        <v>21268.437600000001</v>
      </c>
      <c r="F6" s="59">
        <f t="shared" si="0"/>
        <v>0.96217658866956612</v>
      </c>
      <c r="G6" s="56">
        <v>677.25279999999998</v>
      </c>
      <c r="H6" s="56">
        <v>158.815</v>
      </c>
      <c r="I6" s="59">
        <f t="shared" si="1"/>
        <v>3.7823411330434029E-2</v>
      </c>
      <c r="J6" s="56">
        <v>0</v>
      </c>
      <c r="K6" s="59">
        <f t="shared" si="2"/>
        <v>0</v>
      </c>
      <c r="L6" s="112">
        <v>0.36840000000000001</v>
      </c>
      <c r="M6" s="60">
        <v>0.91661634033194928</v>
      </c>
      <c r="N6" s="61"/>
      <c r="O6" s="61"/>
      <c r="P6" s="61"/>
      <c r="Q6" s="62"/>
      <c r="R6" s="62"/>
      <c r="S6" s="59" t="e">
        <f t="shared" ref="S6" si="3">+R6/Q6</f>
        <v>#DIV/0!</v>
      </c>
      <c r="T6" s="63"/>
    </row>
    <row r="8" spans="1:20">
      <c r="A8" s="134" t="s">
        <v>148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64"/>
    </row>
    <row r="9" spans="1:20">
      <c r="A9" s="136" t="s">
        <v>128</v>
      </c>
      <c r="B9" s="137" t="s">
        <v>149</v>
      </c>
      <c r="C9" s="138"/>
      <c r="D9" s="138"/>
      <c r="E9" s="138"/>
      <c r="F9" s="138"/>
      <c r="G9" s="138"/>
      <c r="H9" s="139"/>
      <c r="I9" s="140" t="s">
        <v>130</v>
      </c>
      <c r="J9" s="141"/>
      <c r="K9" s="65" t="s">
        <v>150</v>
      </c>
      <c r="L9" s="65" t="s">
        <v>151</v>
      </c>
    </row>
    <row r="10" spans="1:20">
      <c r="A10" s="136"/>
      <c r="B10" s="142" t="s">
        <v>152</v>
      </c>
      <c r="C10" s="143"/>
      <c r="D10" s="143"/>
      <c r="E10" s="144"/>
      <c r="F10" s="145" t="s">
        <v>153</v>
      </c>
      <c r="G10" s="146"/>
      <c r="H10" s="147"/>
      <c r="I10" s="127" t="s">
        <v>154</v>
      </c>
      <c r="J10" s="128"/>
      <c r="K10" s="66" t="s">
        <v>155</v>
      </c>
      <c r="L10" s="66" t="s">
        <v>156</v>
      </c>
    </row>
    <row r="11" spans="1:20">
      <c r="A11" s="136"/>
      <c r="B11" s="67" t="s">
        <v>130</v>
      </c>
      <c r="C11" s="68" t="s">
        <v>124</v>
      </c>
      <c r="D11" s="68" t="s">
        <v>157</v>
      </c>
      <c r="E11" s="69" t="s">
        <v>158</v>
      </c>
      <c r="F11" s="68" t="s">
        <v>124</v>
      </c>
      <c r="G11" s="68" t="s">
        <v>157</v>
      </c>
      <c r="H11" s="69" t="s">
        <v>158</v>
      </c>
      <c r="I11" s="70" t="s">
        <v>157</v>
      </c>
      <c r="J11" s="70" t="s">
        <v>158</v>
      </c>
      <c r="K11" s="71" t="s">
        <v>159</v>
      </c>
      <c r="L11" s="71" t="s">
        <v>159</v>
      </c>
    </row>
    <row r="12" spans="1:20">
      <c r="A12" s="72" t="s">
        <v>145</v>
      </c>
      <c r="B12" s="73">
        <v>0.95499999999999996</v>
      </c>
      <c r="C12" s="73">
        <f>+D12/(D12+E12)</f>
        <v>0.93824559493385462</v>
      </c>
      <c r="D12" s="74">
        <f>+G12</f>
        <v>11063.120599999991</v>
      </c>
      <c r="E12" s="74">
        <f>+H12</f>
        <v>728.16375000000016</v>
      </c>
      <c r="F12" s="75">
        <f t="shared" ref="F12:F15" si="4">+G12/(G12+H12)</f>
        <v>0.93824559493385462</v>
      </c>
      <c r="G12" s="76">
        <v>11063.120599999991</v>
      </c>
      <c r="H12" s="76">
        <v>728.16375000000016</v>
      </c>
      <c r="I12" s="77" t="s">
        <v>160</v>
      </c>
      <c r="J12" s="77" t="s">
        <v>161</v>
      </c>
      <c r="K12" s="78">
        <v>2</v>
      </c>
      <c r="L12" s="79">
        <v>0.24425986498374266</v>
      </c>
    </row>
    <row r="13" spans="1:20">
      <c r="A13" s="72" t="s">
        <v>146</v>
      </c>
      <c r="B13" s="73">
        <v>0.95499999999999996</v>
      </c>
      <c r="C13" s="73">
        <f t="shared" ref="C13:C15" si="5">+D13/(D13+E13)</f>
        <v>0.94503751711195927</v>
      </c>
      <c r="D13" s="74">
        <f>+D12+G13</f>
        <v>22732.442874999972</v>
      </c>
      <c r="E13" s="74">
        <f>+E12+H13</f>
        <v>1322.0972500000003</v>
      </c>
      <c r="F13" s="75">
        <f t="shared" si="4"/>
        <v>0.95156804107349702</v>
      </c>
      <c r="G13" s="76">
        <v>11669.322274999982</v>
      </c>
      <c r="H13" s="76">
        <v>593.93349999999998</v>
      </c>
      <c r="I13" s="77" t="s">
        <v>160</v>
      </c>
      <c r="J13" s="77" t="s">
        <v>161</v>
      </c>
      <c r="K13" s="78">
        <v>0</v>
      </c>
      <c r="L13" s="79">
        <v>0.41203842955466297</v>
      </c>
    </row>
    <row r="14" spans="1:20">
      <c r="A14" s="72" t="s">
        <v>147</v>
      </c>
      <c r="B14" s="73">
        <v>0.95499999999999996</v>
      </c>
      <c r="C14" s="73">
        <f t="shared" si="5"/>
        <v>0.9538901636863758</v>
      </c>
      <c r="D14" s="74">
        <f t="shared" ref="D14:E15" si="6">+D13+G14</f>
        <v>35852.356974999959</v>
      </c>
      <c r="E14" s="74">
        <f t="shared" si="6"/>
        <v>1733.0573000000004</v>
      </c>
      <c r="F14" s="75">
        <f t="shared" si="4"/>
        <v>0.9696279748489125</v>
      </c>
      <c r="G14" s="76">
        <v>13119.914099999989</v>
      </c>
      <c r="H14" s="76">
        <v>410.96005000000014</v>
      </c>
      <c r="I14" s="77" t="s">
        <v>160</v>
      </c>
      <c r="J14" s="77" t="s">
        <v>161</v>
      </c>
      <c r="K14" s="78">
        <v>1</v>
      </c>
      <c r="L14" s="79">
        <v>0.47388525725100283</v>
      </c>
    </row>
    <row r="15" spans="1:20">
      <c r="A15" s="72" t="s">
        <v>218</v>
      </c>
      <c r="B15" s="73">
        <v>0.95499999999999996</v>
      </c>
      <c r="C15" s="114">
        <f t="shared" si="5"/>
        <v>0.95735241771589152</v>
      </c>
      <c r="D15" s="74">
        <f t="shared" si="6"/>
        <v>54457.540610079945</v>
      </c>
      <c r="E15" s="74">
        <f t="shared" si="6"/>
        <v>2425.9430500000003</v>
      </c>
      <c r="F15" s="75">
        <f t="shared" si="4"/>
        <v>0.96409559235310371</v>
      </c>
      <c r="G15" s="76">
        <v>18605.183635079986</v>
      </c>
      <c r="H15" s="76">
        <v>692.88574999999992</v>
      </c>
      <c r="I15" s="77" t="s">
        <v>160</v>
      </c>
      <c r="J15" s="77" t="s">
        <v>161</v>
      </c>
      <c r="K15" s="78">
        <v>0</v>
      </c>
      <c r="L15" s="79">
        <v>0.63</v>
      </c>
    </row>
    <row r="17" spans="1:10">
      <c r="A17" s="115">
        <v>1</v>
      </c>
      <c r="B17" s="116" t="s">
        <v>162</v>
      </c>
      <c r="C17" s="116" t="s">
        <v>163</v>
      </c>
      <c r="D17" s="116" t="s">
        <v>219</v>
      </c>
      <c r="E17" s="4" t="s">
        <v>86</v>
      </c>
      <c r="F17" s="4" t="s">
        <v>167</v>
      </c>
      <c r="G17" s="117">
        <v>1880000</v>
      </c>
      <c r="H17" s="117">
        <v>2000000</v>
      </c>
      <c r="I17" s="117">
        <f t="shared" ref="I17:I21" si="7">+G17+H17</f>
        <v>3880000</v>
      </c>
      <c r="J17" s="80"/>
    </row>
    <row r="18" spans="1:10">
      <c r="A18" s="115">
        <v>2</v>
      </c>
      <c r="B18" s="116" t="s">
        <v>162</v>
      </c>
      <c r="C18" s="116" t="s">
        <v>163</v>
      </c>
      <c r="D18" s="116" t="s">
        <v>220</v>
      </c>
      <c r="E18" s="4" t="s">
        <v>25</v>
      </c>
      <c r="F18" s="4" t="s">
        <v>165</v>
      </c>
      <c r="G18" s="117">
        <v>3340000</v>
      </c>
      <c r="H18" s="117">
        <v>4500000</v>
      </c>
      <c r="I18" s="117">
        <f t="shared" si="7"/>
        <v>7840000</v>
      </c>
      <c r="J18" s="80"/>
    </row>
    <row r="19" spans="1:10">
      <c r="A19" s="115">
        <v>3</v>
      </c>
      <c r="B19" s="116" t="s">
        <v>162</v>
      </c>
      <c r="C19" s="116" t="s">
        <v>163</v>
      </c>
      <c r="D19" s="116" t="s">
        <v>221</v>
      </c>
      <c r="E19" s="4" t="s">
        <v>17</v>
      </c>
      <c r="F19" s="4" t="s">
        <v>167</v>
      </c>
      <c r="G19" s="117">
        <v>88150000</v>
      </c>
      <c r="H19" s="117">
        <v>65832000</v>
      </c>
      <c r="I19" s="117">
        <f t="shared" si="7"/>
        <v>153982000</v>
      </c>
      <c r="J19" s="80"/>
    </row>
    <row r="20" spans="1:10">
      <c r="A20" s="115">
        <v>4</v>
      </c>
      <c r="B20" s="116" t="s">
        <v>162</v>
      </c>
      <c r="C20" s="116" t="s">
        <v>163</v>
      </c>
      <c r="D20" s="116" t="s">
        <v>164</v>
      </c>
      <c r="E20" s="4" t="s">
        <v>26</v>
      </c>
      <c r="F20" s="4" t="s">
        <v>165</v>
      </c>
      <c r="G20" s="117">
        <v>100570000</v>
      </c>
      <c r="H20" s="117">
        <v>119265000</v>
      </c>
      <c r="I20" s="117">
        <f t="shared" si="7"/>
        <v>219835000</v>
      </c>
      <c r="J20" s="80"/>
    </row>
    <row r="21" spans="1:10">
      <c r="A21" s="115">
        <v>5</v>
      </c>
      <c r="B21" s="116" t="s">
        <v>162</v>
      </c>
      <c r="C21" s="116" t="s">
        <v>163</v>
      </c>
      <c r="D21" s="116" t="s">
        <v>166</v>
      </c>
      <c r="E21" s="4" t="s">
        <v>80</v>
      </c>
      <c r="F21" s="4" t="s">
        <v>167</v>
      </c>
      <c r="G21" s="117">
        <v>47118000</v>
      </c>
      <c r="H21" s="117">
        <v>135622000</v>
      </c>
      <c r="I21" s="117">
        <f t="shared" si="7"/>
        <v>182740000</v>
      </c>
      <c r="J21" s="80"/>
    </row>
    <row r="22" spans="1:10">
      <c r="A22" s="118"/>
      <c r="B22" s="81"/>
      <c r="C22" s="81"/>
      <c r="D22" s="81"/>
      <c r="E22" s="119" t="s">
        <v>168</v>
      </c>
      <c r="F22" s="82"/>
      <c r="G22" s="120"/>
      <c r="H22" s="120">
        <f>SUM(H20:H21)</f>
        <v>254887000</v>
      </c>
      <c r="I22" s="120">
        <f t="shared" ref="I22" si="8">SUM(I20:I21)</f>
        <v>402575000</v>
      </c>
      <c r="J22" s="83">
        <f>H22/I22</f>
        <v>0.63314165062410732</v>
      </c>
    </row>
    <row r="24" spans="1:10">
      <c r="A24" s="84" t="s">
        <v>169</v>
      </c>
      <c r="B24" s="84" t="s">
        <v>170</v>
      </c>
      <c r="C24" s="84" t="s">
        <v>171</v>
      </c>
      <c r="D24" s="84" t="s">
        <v>172</v>
      </c>
      <c r="E24" s="84" t="s">
        <v>173</v>
      </c>
      <c r="F24" s="84" t="s">
        <v>174</v>
      </c>
      <c r="G24" s="84" t="s">
        <v>163</v>
      </c>
      <c r="H24" s="84" t="s">
        <v>175</v>
      </c>
    </row>
    <row r="25" spans="1:10">
      <c r="A25" s="129">
        <v>1</v>
      </c>
      <c r="B25" s="16" t="s">
        <v>176</v>
      </c>
      <c r="C25" s="85">
        <v>387</v>
      </c>
      <c r="D25" s="10">
        <v>468</v>
      </c>
      <c r="E25" s="10">
        <v>609</v>
      </c>
      <c r="F25" s="10">
        <v>453</v>
      </c>
      <c r="G25" s="10">
        <v>438</v>
      </c>
      <c r="H25" s="10">
        <v>889</v>
      </c>
    </row>
    <row r="26" spans="1:10">
      <c r="A26" s="129"/>
      <c r="B26" s="16" t="s">
        <v>177</v>
      </c>
      <c r="C26" s="85">
        <v>357</v>
      </c>
      <c r="D26" s="10">
        <v>455</v>
      </c>
      <c r="E26" s="85">
        <v>562</v>
      </c>
      <c r="F26" s="10">
        <v>415</v>
      </c>
      <c r="G26" s="10">
        <v>415</v>
      </c>
      <c r="H26" s="10">
        <v>861</v>
      </c>
    </row>
    <row r="27" spans="1:10">
      <c r="A27" s="129"/>
      <c r="B27" s="16" t="s">
        <v>130</v>
      </c>
      <c r="C27" s="85">
        <v>30</v>
      </c>
      <c r="D27" s="85">
        <f t="shared" ref="D27" si="9">+D25-D26</f>
        <v>13</v>
      </c>
      <c r="E27" s="85">
        <f>+E25-E26</f>
        <v>47</v>
      </c>
      <c r="F27" s="10">
        <f>+F25-F26</f>
        <v>38</v>
      </c>
      <c r="G27" s="85">
        <f>+G25-G26</f>
        <v>23</v>
      </c>
      <c r="H27" s="85">
        <v>28</v>
      </c>
    </row>
    <row r="28" spans="1:10">
      <c r="A28" s="129"/>
      <c r="B28" s="86" t="s">
        <v>124</v>
      </c>
      <c r="C28" s="87">
        <f>C26/C25</f>
        <v>0.92248062015503873</v>
      </c>
      <c r="D28" s="87">
        <f t="shared" ref="D28:H28" si="10">D26/D25</f>
        <v>0.97222222222222221</v>
      </c>
      <c r="E28" s="87">
        <f t="shared" si="10"/>
        <v>0.92282430213464695</v>
      </c>
      <c r="F28" s="87">
        <f>F26/F25</f>
        <v>0.91611479028697573</v>
      </c>
      <c r="G28" s="87">
        <f t="shared" si="10"/>
        <v>0.94748858447488582</v>
      </c>
      <c r="H28" s="87">
        <f t="shared" si="10"/>
        <v>0.96850393700787396</v>
      </c>
    </row>
    <row r="29" spans="1:10">
      <c r="A29" s="129">
        <v>2</v>
      </c>
      <c r="B29" s="16" t="s">
        <v>176</v>
      </c>
      <c r="C29" s="85">
        <v>387</v>
      </c>
      <c r="D29" s="10">
        <v>468</v>
      </c>
      <c r="E29" s="10">
        <v>609</v>
      </c>
      <c r="F29" s="10">
        <v>453</v>
      </c>
      <c r="G29" s="10">
        <v>440</v>
      </c>
      <c r="H29" s="10">
        <v>889</v>
      </c>
    </row>
    <row r="30" spans="1:10">
      <c r="A30" s="129"/>
      <c r="B30" s="16" t="s">
        <v>177</v>
      </c>
      <c r="C30" s="85">
        <v>363</v>
      </c>
      <c r="D30" s="10">
        <v>457</v>
      </c>
      <c r="E30" s="85">
        <v>564</v>
      </c>
      <c r="F30" s="10">
        <v>425</v>
      </c>
      <c r="G30" s="10">
        <v>408</v>
      </c>
      <c r="H30" s="10">
        <v>863</v>
      </c>
    </row>
    <row r="31" spans="1:10">
      <c r="A31" s="129"/>
      <c r="B31" s="16" t="s">
        <v>130</v>
      </c>
      <c r="C31" s="85">
        <f t="shared" ref="C31:H31" si="11">+C29-C30</f>
        <v>24</v>
      </c>
      <c r="D31" s="85">
        <f>+D29-D30</f>
        <v>11</v>
      </c>
      <c r="E31" s="85">
        <f t="shared" si="11"/>
        <v>45</v>
      </c>
      <c r="F31" s="85">
        <f t="shared" si="11"/>
        <v>28</v>
      </c>
      <c r="G31" s="85">
        <v>32</v>
      </c>
      <c r="H31" s="85">
        <f t="shared" si="11"/>
        <v>26</v>
      </c>
    </row>
    <row r="32" spans="1:10">
      <c r="A32" s="129"/>
      <c r="B32" s="88" t="s">
        <v>124</v>
      </c>
      <c r="C32" s="89">
        <f>C30/C29</f>
        <v>0.93798449612403101</v>
      </c>
      <c r="D32" s="89">
        <f t="shared" ref="D32:E32" si="12">D30/D29</f>
        <v>0.97649572649572647</v>
      </c>
      <c r="E32" s="89">
        <f t="shared" si="12"/>
        <v>0.92610837438423643</v>
      </c>
      <c r="F32" s="89">
        <f>F30/F29</f>
        <v>0.9381898454746137</v>
      </c>
      <c r="G32" s="89">
        <f>G30/G29</f>
        <v>0.92727272727272725</v>
      </c>
      <c r="H32" s="89">
        <f t="shared" ref="H32" si="13">H30/H29</f>
        <v>0.97075365579302586</v>
      </c>
    </row>
    <row r="33" spans="1:8">
      <c r="A33" s="129">
        <v>3</v>
      </c>
      <c r="B33" s="16" t="s">
        <v>176</v>
      </c>
      <c r="C33" s="85">
        <v>610</v>
      </c>
      <c r="D33" s="10">
        <v>468</v>
      </c>
      <c r="E33" s="10">
        <v>387</v>
      </c>
      <c r="F33" s="10">
        <v>453</v>
      </c>
      <c r="G33" s="10">
        <v>440</v>
      </c>
      <c r="H33" s="10">
        <v>889</v>
      </c>
    </row>
    <row r="34" spans="1:8">
      <c r="A34" s="129"/>
      <c r="B34" s="16" t="s">
        <v>177</v>
      </c>
      <c r="C34" s="85">
        <v>581</v>
      </c>
      <c r="D34" s="10">
        <v>454</v>
      </c>
      <c r="E34" s="85">
        <v>362</v>
      </c>
      <c r="F34" s="10">
        <f>425+2</f>
        <v>427</v>
      </c>
      <c r="G34" s="10">
        <v>416</v>
      </c>
      <c r="H34" s="10">
        <f>863-2</f>
        <v>861</v>
      </c>
    </row>
    <row r="35" spans="1:8">
      <c r="A35" s="129"/>
      <c r="B35" s="16" t="s">
        <v>130</v>
      </c>
      <c r="C35" s="121">
        <f t="shared" ref="C35:H35" si="14">+C33-C34</f>
        <v>29</v>
      </c>
      <c r="D35" s="122">
        <f t="shared" si="14"/>
        <v>14</v>
      </c>
      <c r="E35" s="122">
        <f t="shared" si="14"/>
        <v>25</v>
      </c>
      <c r="F35" s="122">
        <f t="shared" si="14"/>
        <v>26</v>
      </c>
      <c r="G35" s="122">
        <f t="shared" si="14"/>
        <v>24</v>
      </c>
      <c r="H35" s="122">
        <f t="shared" si="14"/>
        <v>28</v>
      </c>
    </row>
    <row r="36" spans="1:8">
      <c r="A36" s="129"/>
      <c r="B36" s="88" t="s">
        <v>124</v>
      </c>
      <c r="C36" s="89">
        <f>C34/C33</f>
        <v>0.95245901639344266</v>
      </c>
      <c r="D36" s="89">
        <f t="shared" ref="D36" si="15">D34/D33</f>
        <v>0.97008547008547008</v>
      </c>
      <c r="E36" s="89">
        <f>E34/E33</f>
        <v>0.93540051679586567</v>
      </c>
      <c r="F36" s="89">
        <f>F34/F33</f>
        <v>0.94260485651214132</v>
      </c>
      <c r="G36" s="89">
        <f>G34/G33</f>
        <v>0.94545454545454544</v>
      </c>
      <c r="H36" s="89">
        <f t="shared" ref="H36" si="16">H34/H33</f>
        <v>0.96850393700787396</v>
      </c>
    </row>
    <row r="37" spans="1:8">
      <c r="A37" s="129">
        <v>4</v>
      </c>
      <c r="B37" s="16" t="s">
        <v>176</v>
      </c>
      <c r="C37" s="85">
        <v>625</v>
      </c>
      <c r="D37" s="10">
        <v>921</v>
      </c>
      <c r="E37" s="10">
        <v>402</v>
      </c>
      <c r="F37" s="10"/>
      <c r="G37" s="10">
        <v>461</v>
      </c>
      <c r="H37" s="10">
        <v>902</v>
      </c>
    </row>
    <row r="38" spans="1:8">
      <c r="A38" s="129"/>
      <c r="B38" s="16" t="s">
        <v>177</v>
      </c>
      <c r="C38" s="85">
        <v>598</v>
      </c>
      <c r="D38" s="10">
        <v>888</v>
      </c>
      <c r="E38" s="85">
        <v>381</v>
      </c>
      <c r="F38" s="10"/>
      <c r="G38" s="10">
        <v>429</v>
      </c>
      <c r="H38" s="10">
        <v>875</v>
      </c>
    </row>
    <row r="39" spans="1:8">
      <c r="A39" s="129"/>
      <c r="B39" s="16" t="s">
        <v>130</v>
      </c>
      <c r="C39" s="121">
        <f t="shared" ref="C39:H39" si="17">+C37-C38</f>
        <v>27</v>
      </c>
      <c r="D39" s="122">
        <f t="shared" si="17"/>
        <v>33</v>
      </c>
      <c r="E39" s="122">
        <f t="shared" si="17"/>
        <v>21</v>
      </c>
      <c r="F39" s="122">
        <f t="shared" si="17"/>
        <v>0</v>
      </c>
      <c r="G39" s="122">
        <f t="shared" si="17"/>
        <v>32</v>
      </c>
      <c r="H39" s="122">
        <f t="shared" si="17"/>
        <v>27</v>
      </c>
    </row>
    <row r="40" spans="1:8">
      <c r="A40" s="129"/>
      <c r="B40" s="88" t="s">
        <v>124</v>
      </c>
      <c r="C40" s="89">
        <f>C38/C37</f>
        <v>0.95679999999999998</v>
      </c>
      <c r="D40" s="89">
        <f t="shared" ref="D40" si="18">D38/D37</f>
        <v>0.96416938110749184</v>
      </c>
      <c r="E40" s="89">
        <f>E38/E37</f>
        <v>0.94776119402985071</v>
      </c>
      <c r="F40" s="89" t="e">
        <f>F38/F37</f>
        <v>#DIV/0!</v>
      </c>
      <c r="G40" s="89">
        <f>G38/G37</f>
        <v>0.93058568329718006</v>
      </c>
      <c r="H40" s="89">
        <f t="shared" ref="H40" si="19">H38/H37</f>
        <v>0.97006651884700668</v>
      </c>
    </row>
  </sheetData>
  <mergeCells count="15">
    <mergeCell ref="A1:K1"/>
    <mergeCell ref="Q1:S1"/>
    <mergeCell ref="E2:F2"/>
    <mergeCell ref="J2:K2"/>
    <mergeCell ref="A8:K8"/>
    <mergeCell ref="I10:J10"/>
    <mergeCell ref="A25:A28"/>
    <mergeCell ref="A29:A32"/>
    <mergeCell ref="A33:A36"/>
    <mergeCell ref="A37:A40"/>
    <mergeCell ref="A9:A11"/>
    <mergeCell ref="B9:H9"/>
    <mergeCell ref="I9:J9"/>
    <mergeCell ref="B10:E10"/>
    <mergeCell ref="F10:H10"/>
  </mergeCells>
  <conditionalFormatting sqref="B22:D22 F22">
    <cfRule type="expression" dxfId="711" priority="1">
      <formula>AND(#REF!&gt;0,#REF!&gt;89)</formula>
    </cfRule>
    <cfRule type="expression" dxfId="710" priority="2">
      <formula>AND(#REF!&gt;0,#REF!&gt;59)</formula>
    </cfRule>
    <cfRule type="expression" dxfId="709" priority="3">
      <formula>AND(#REF!&gt;0,#REF!&gt;44)</formula>
    </cfRule>
  </conditionalFormatting>
  <conditionalFormatting sqref="B17:F21">
    <cfRule type="expression" dxfId="708" priority="4">
      <formula>AND(#REF!&gt;0,#REF!&gt;89)</formula>
    </cfRule>
    <cfRule type="expression" dxfId="707" priority="5">
      <formula>AND(#REF!&gt;0,#REF!&gt;59)</formula>
    </cfRule>
    <cfRule type="expression" dxfId="706" priority="6">
      <formula>AND(#REF!&gt;0,#REF!&gt;44)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4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3" sqref="A3"/>
      <selection pane="bottomRight" activeCell="W75" sqref="W75"/>
    </sheetView>
  </sheetViews>
  <sheetFormatPr defaultRowHeight="15"/>
  <cols>
    <col min="1" max="1" width="4.5703125" customWidth="1"/>
    <col min="2" max="2" width="24.85546875" bestFit="1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2" width="5.7109375" customWidth="1"/>
    <col min="33" max="33" width="5.7109375" hidden="1" customWidth="1"/>
    <col min="34" max="39" width="5.7109375" customWidth="1"/>
  </cols>
  <sheetData>
    <row r="1" spans="1:55" ht="15.75">
      <c r="A1" s="125" t="s">
        <v>178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</row>
    <row r="2" spans="1:55" ht="15.75">
      <c r="A2" s="125" t="s">
        <v>178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90" t="s">
        <v>179</v>
      </c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</row>
    <row r="3" spans="1:55">
      <c r="A3" s="91"/>
      <c r="B3" s="92" t="s">
        <v>180</v>
      </c>
      <c r="C3" s="90" t="s">
        <v>181</v>
      </c>
      <c r="D3" s="93" t="s">
        <v>182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 t="s">
        <v>179</v>
      </c>
      <c r="AD3" s="90"/>
      <c r="AE3" s="90"/>
      <c r="AF3" s="90"/>
      <c r="AG3" s="90"/>
      <c r="AH3" s="90" t="s">
        <v>179</v>
      </c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</row>
    <row r="4" spans="1:55">
      <c r="A4" s="92"/>
      <c r="B4" s="92" t="s">
        <v>183</v>
      </c>
      <c r="C4" s="90" t="s">
        <v>181</v>
      </c>
      <c r="D4" s="93" t="s">
        <v>184</v>
      </c>
      <c r="E4" s="90"/>
      <c r="F4" s="90"/>
      <c r="G4" s="90"/>
      <c r="H4" s="90"/>
      <c r="I4" s="90"/>
      <c r="J4" s="90"/>
      <c r="K4" s="90"/>
      <c r="L4" s="90"/>
      <c r="M4" s="90" t="s">
        <v>179</v>
      </c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 t="s">
        <v>179</v>
      </c>
      <c r="Z4" s="90"/>
      <c r="AA4" s="90"/>
      <c r="AB4" s="90"/>
      <c r="AC4" s="90"/>
      <c r="AD4" s="90"/>
      <c r="AE4" s="90"/>
      <c r="AF4" s="90"/>
      <c r="AG4" s="90" t="s">
        <v>179</v>
      </c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</row>
    <row r="5" spans="1:55">
      <c r="A5" s="92"/>
      <c r="B5" s="92" t="s">
        <v>185</v>
      </c>
      <c r="C5" s="90" t="s">
        <v>181</v>
      </c>
      <c r="D5" s="93" t="s">
        <v>186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</row>
    <row r="6" spans="1:55" s="96" customFormat="1" ht="12.95" customHeight="1">
      <c r="A6" s="94" t="s">
        <v>2</v>
      </c>
      <c r="B6" s="94" t="s">
        <v>3</v>
      </c>
      <c r="C6" s="109">
        <v>1</v>
      </c>
      <c r="D6" s="94">
        <v>2</v>
      </c>
      <c r="E6" s="95">
        <v>3</v>
      </c>
      <c r="F6" s="94">
        <v>4</v>
      </c>
      <c r="G6" s="95">
        <v>5</v>
      </c>
      <c r="H6" s="94">
        <v>6</v>
      </c>
      <c r="I6" s="94">
        <v>7</v>
      </c>
      <c r="J6" s="109">
        <v>8</v>
      </c>
      <c r="K6" s="94">
        <v>9</v>
      </c>
      <c r="L6" s="94">
        <v>10</v>
      </c>
      <c r="M6" s="94">
        <v>11</v>
      </c>
      <c r="N6" s="95">
        <v>12</v>
      </c>
      <c r="O6" s="94">
        <v>13</v>
      </c>
      <c r="P6" s="94">
        <v>14</v>
      </c>
      <c r="Q6" s="109">
        <v>15</v>
      </c>
      <c r="R6" s="94">
        <v>16</v>
      </c>
      <c r="S6" s="94">
        <v>17</v>
      </c>
      <c r="T6" s="94">
        <v>18</v>
      </c>
      <c r="U6" s="95">
        <v>19</v>
      </c>
      <c r="V6" s="94">
        <v>20</v>
      </c>
      <c r="W6" s="109">
        <v>21</v>
      </c>
      <c r="X6" s="109">
        <v>22</v>
      </c>
      <c r="Y6" s="94">
        <v>23</v>
      </c>
      <c r="Z6" s="94">
        <v>24</v>
      </c>
      <c r="AA6" s="94">
        <v>25</v>
      </c>
      <c r="AB6" s="95">
        <v>26</v>
      </c>
      <c r="AC6" s="94">
        <v>27</v>
      </c>
      <c r="AD6" s="94">
        <v>28</v>
      </c>
      <c r="AE6" s="109">
        <v>29</v>
      </c>
      <c r="AF6" s="94">
        <v>30</v>
      </c>
      <c r="AG6" s="94">
        <v>31</v>
      </c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</row>
    <row r="7" spans="1:55" s="96" customFormat="1" ht="12.95" customHeight="1">
      <c r="A7" s="97">
        <v>1</v>
      </c>
      <c r="B7" s="4" t="s">
        <v>11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 t="s">
        <v>187</v>
      </c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9" t="s">
        <v>187</v>
      </c>
      <c r="AI7" s="100" t="s">
        <v>188</v>
      </c>
      <c r="AJ7" s="101" t="s">
        <v>189</v>
      </c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91"/>
      <c r="AW7" s="91"/>
      <c r="AX7" s="91"/>
      <c r="AY7" s="91"/>
      <c r="AZ7" s="91"/>
      <c r="BA7" s="91"/>
      <c r="BB7" s="91"/>
      <c r="BC7" s="91"/>
    </row>
    <row r="8" spans="1:55" s="96" customFormat="1" ht="12.95" customHeight="1">
      <c r="A8" s="97">
        <v>2</v>
      </c>
      <c r="B8" s="4" t="s">
        <v>12</v>
      </c>
      <c r="C8" s="98"/>
      <c r="D8" s="98"/>
      <c r="E8" s="98"/>
      <c r="F8" s="98"/>
      <c r="G8" s="98"/>
      <c r="H8" s="98" t="s">
        <v>187</v>
      </c>
      <c r="I8" s="98"/>
      <c r="J8" s="98"/>
      <c r="K8" s="98"/>
      <c r="L8" s="98" t="s">
        <v>188</v>
      </c>
      <c r="M8" s="98"/>
      <c r="N8" s="98"/>
      <c r="O8" s="98"/>
      <c r="P8" s="98" t="s">
        <v>187</v>
      </c>
      <c r="Q8" s="98"/>
      <c r="R8" s="98" t="s">
        <v>187</v>
      </c>
      <c r="S8" s="98"/>
      <c r="T8" s="98" t="s">
        <v>189</v>
      </c>
      <c r="U8" s="98"/>
      <c r="V8" s="98"/>
      <c r="W8" s="98"/>
      <c r="X8" s="98" t="s">
        <v>187</v>
      </c>
      <c r="Y8" s="98"/>
      <c r="Z8" s="98" t="s">
        <v>189</v>
      </c>
      <c r="AA8" s="98"/>
      <c r="AB8" s="98"/>
      <c r="AC8" s="98" t="s">
        <v>189</v>
      </c>
      <c r="AD8" s="98"/>
      <c r="AE8" s="98" t="s">
        <v>187</v>
      </c>
      <c r="AF8" s="98"/>
      <c r="AG8" s="98"/>
      <c r="AH8" s="102">
        <f>COUNTIF(C7:AG121,"T")</f>
        <v>209</v>
      </c>
      <c r="AI8" s="102">
        <f>COUNTIF(C7:AG121,"TB")</f>
        <v>61</v>
      </c>
      <c r="AJ8" s="102">
        <f>COUNTIF(C7:AG121,"B")</f>
        <v>156</v>
      </c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91"/>
      <c r="AW8" s="91"/>
      <c r="AX8" s="91"/>
      <c r="AY8" s="91"/>
      <c r="AZ8" s="91"/>
      <c r="BA8" s="91"/>
      <c r="BB8" s="91"/>
      <c r="BC8" s="91"/>
    </row>
    <row r="9" spans="1:55" s="96" customFormat="1" ht="12.95" customHeight="1">
      <c r="A9" s="97">
        <v>3</v>
      </c>
      <c r="B9" s="4" t="s">
        <v>13</v>
      </c>
      <c r="C9" s="98"/>
      <c r="D9" s="98"/>
      <c r="E9" s="98"/>
      <c r="F9" s="98" t="s">
        <v>188</v>
      </c>
      <c r="G9" s="98"/>
      <c r="H9" s="98"/>
      <c r="I9" s="98"/>
      <c r="J9" s="98"/>
      <c r="K9" s="98" t="s">
        <v>187</v>
      </c>
      <c r="L9" s="98"/>
      <c r="M9" s="98"/>
      <c r="N9" s="98"/>
      <c r="O9" s="98" t="s">
        <v>187</v>
      </c>
      <c r="P9" s="98"/>
      <c r="Q9" s="98"/>
      <c r="R9" s="98"/>
      <c r="S9" s="98"/>
      <c r="T9" s="98"/>
      <c r="U9" s="98"/>
      <c r="V9" s="98" t="s">
        <v>188</v>
      </c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91"/>
      <c r="AW9" s="91"/>
      <c r="AX9" s="91"/>
      <c r="AY9" s="91"/>
      <c r="AZ9" s="91"/>
      <c r="BA9" s="91"/>
      <c r="BB9" s="91"/>
      <c r="BC9" s="91"/>
    </row>
    <row r="10" spans="1:55" s="96" customFormat="1" ht="12.95" customHeight="1">
      <c r="A10" s="97">
        <v>4</v>
      </c>
      <c r="B10" s="4" t="s">
        <v>14</v>
      </c>
      <c r="C10" s="98"/>
      <c r="D10" s="98"/>
      <c r="E10" s="98"/>
      <c r="F10" s="98" t="s">
        <v>187</v>
      </c>
      <c r="G10" s="98"/>
      <c r="H10" s="98"/>
      <c r="I10" s="98" t="s">
        <v>189</v>
      </c>
      <c r="J10" s="98"/>
      <c r="K10" s="98"/>
      <c r="L10" s="98"/>
      <c r="M10" s="98"/>
      <c r="N10" s="98"/>
      <c r="O10" s="98" t="s">
        <v>187</v>
      </c>
      <c r="P10" s="98" t="s">
        <v>189</v>
      </c>
      <c r="Q10" s="98"/>
      <c r="R10" s="98"/>
      <c r="S10" s="98"/>
      <c r="T10" s="98"/>
      <c r="U10" s="98"/>
      <c r="V10" s="98" t="s">
        <v>187</v>
      </c>
      <c r="W10" s="98"/>
      <c r="X10" s="98" t="s">
        <v>189</v>
      </c>
      <c r="Y10" s="98"/>
      <c r="Z10" s="98"/>
      <c r="AA10" s="98"/>
      <c r="AB10" s="98"/>
      <c r="AC10" s="98"/>
      <c r="AD10" s="98"/>
      <c r="AE10" s="98"/>
      <c r="AF10" s="98"/>
      <c r="AG10" s="98"/>
      <c r="AH10" s="102" t="s">
        <v>187</v>
      </c>
      <c r="AI10" s="102" t="s">
        <v>189</v>
      </c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91"/>
      <c r="AW10" s="91"/>
      <c r="AX10" s="91"/>
      <c r="AY10" s="91"/>
      <c r="AZ10" s="91"/>
      <c r="BA10" s="91"/>
      <c r="BB10" s="91"/>
      <c r="BC10" s="91"/>
    </row>
    <row r="11" spans="1:55" s="96" customFormat="1" ht="12.95" customHeight="1">
      <c r="A11" s="97">
        <v>5</v>
      </c>
      <c r="B11" s="4" t="s">
        <v>15</v>
      </c>
      <c r="C11" s="98"/>
      <c r="D11" s="98" t="s">
        <v>189</v>
      </c>
      <c r="E11" s="98"/>
      <c r="F11" s="98"/>
      <c r="G11" s="98"/>
      <c r="H11" s="98"/>
      <c r="I11" s="98"/>
      <c r="J11" s="98"/>
      <c r="K11" s="98"/>
      <c r="L11" s="98" t="s">
        <v>189</v>
      </c>
      <c r="M11" s="98"/>
      <c r="N11" s="98"/>
      <c r="O11" s="98"/>
      <c r="P11" s="98" t="s">
        <v>189</v>
      </c>
      <c r="Q11" s="98"/>
      <c r="R11" s="98"/>
      <c r="S11" s="98" t="s">
        <v>189</v>
      </c>
      <c r="T11" s="98"/>
      <c r="U11" s="98"/>
      <c r="V11" s="98"/>
      <c r="W11" s="98" t="s">
        <v>189</v>
      </c>
      <c r="X11" s="98"/>
      <c r="Y11" s="98"/>
      <c r="Z11" s="98" t="s">
        <v>189</v>
      </c>
      <c r="AA11" s="98"/>
      <c r="AB11" s="98"/>
      <c r="AC11" s="98"/>
      <c r="AD11" s="98" t="s">
        <v>187</v>
      </c>
      <c r="AE11" s="98"/>
      <c r="AF11" s="98" t="s">
        <v>189</v>
      </c>
      <c r="AG11" s="98"/>
      <c r="AH11" s="102">
        <f>AH8+AI8+AH22+AI22</f>
        <v>310</v>
      </c>
      <c r="AI11" s="102">
        <f>AI8+AJ8+AI22+AJ22</f>
        <v>262</v>
      </c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91"/>
      <c r="AW11" s="91"/>
      <c r="AX11" s="91"/>
      <c r="AY11" s="91"/>
      <c r="AZ11" s="91"/>
      <c r="BA11" s="91"/>
      <c r="BB11" s="91"/>
      <c r="BC11" s="91"/>
    </row>
    <row r="12" spans="1:55" s="96" customFormat="1" ht="12.95" customHeight="1">
      <c r="A12" s="97">
        <v>6</v>
      </c>
      <c r="B12" s="4" t="s">
        <v>16</v>
      </c>
      <c r="C12" s="98"/>
      <c r="D12" s="98" t="s">
        <v>188</v>
      </c>
      <c r="E12" s="98"/>
      <c r="F12" s="98" t="s">
        <v>189</v>
      </c>
      <c r="G12" s="98"/>
      <c r="H12" s="98"/>
      <c r="I12" s="98"/>
      <c r="J12" s="98" t="s">
        <v>187</v>
      </c>
      <c r="K12" s="98"/>
      <c r="L12" s="98" t="s">
        <v>189</v>
      </c>
      <c r="M12" s="98"/>
      <c r="N12" s="98"/>
      <c r="O12" s="98"/>
      <c r="P12" s="98"/>
      <c r="Q12" s="98" t="s">
        <v>187</v>
      </c>
      <c r="R12" s="98"/>
      <c r="S12" s="98"/>
      <c r="T12" s="98"/>
      <c r="U12" s="98"/>
      <c r="V12" s="98" t="s">
        <v>187</v>
      </c>
      <c r="W12" s="98"/>
      <c r="X12" s="98"/>
      <c r="Y12" s="98"/>
      <c r="Z12" s="98" t="s">
        <v>188</v>
      </c>
      <c r="AA12" s="98"/>
      <c r="AB12" s="98"/>
      <c r="AC12" s="98" t="s">
        <v>188</v>
      </c>
      <c r="AD12" s="98"/>
      <c r="AE12" s="98" t="s">
        <v>187</v>
      </c>
      <c r="AF12" s="98"/>
      <c r="AG12" s="98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91"/>
      <c r="AW12" s="91"/>
      <c r="AX12" s="91"/>
      <c r="AY12" s="91"/>
      <c r="AZ12" s="91"/>
      <c r="BA12" s="91"/>
      <c r="BB12" s="91"/>
      <c r="BC12" s="91"/>
    </row>
    <row r="13" spans="1:55" s="96" customFormat="1" ht="12.95" customHeight="1">
      <c r="A13" s="97">
        <v>7</v>
      </c>
      <c r="B13" s="4" t="s">
        <v>17</v>
      </c>
      <c r="C13" s="98" t="s">
        <v>189</v>
      </c>
      <c r="D13" s="98"/>
      <c r="E13" s="98"/>
      <c r="F13" s="98" t="s">
        <v>187</v>
      </c>
      <c r="G13" s="98"/>
      <c r="H13" s="98" t="s">
        <v>189</v>
      </c>
      <c r="I13" s="98" t="s">
        <v>187</v>
      </c>
      <c r="J13" s="98"/>
      <c r="K13" s="98" t="s">
        <v>189</v>
      </c>
      <c r="L13" s="98"/>
      <c r="M13" s="98"/>
      <c r="N13" s="98"/>
      <c r="O13" s="98"/>
      <c r="P13" s="98" t="s">
        <v>187</v>
      </c>
      <c r="Q13" s="98"/>
      <c r="R13" s="98" t="s">
        <v>189</v>
      </c>
      <c r="S13" s="98" t="s">
        <v>187</v>
      </c>
      <c r="T13" s="98"/>
      <c r="U13" s="98"/>
      <c r="V13" s="98" t="s">
        <v>188</v>
      </c>
      <c r="W13" s="98"/>
      <c r="X13" s="98" t="s">
        <v>189</v>
      </c>
      <c r="Y13" s="98" t="s">
        <v>187</v>
      </c>
      <c r="Z13" s="98"/>
      <c r="AA13" s="98"/>
      <c r="AB13" s="98"/>
      <c r="AC13" s="98" t="s">
        <v>188</v>
      </c>
      <c r="AD13" s="98"/>
      <c r="AE13" s="98"/>
      <c r="AF13" s="98"/>
      <c r="AG13" s="98"/>
      <c r="AH13" s="103">
        <f>AI11/AH11</f>
        <v>0.84516129032258069</v>
      </c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91"/>
      <c r="AW13" s="91"/>
      <c r="AX13" s="91"/>
      <c r="AY13" s="91"/>
      <c r="AZ13" s="91"/>
      <c r="BA13" s="91"/>
      <c r="BB13" s="91"/>
      <c r="BC13" s="91"/>
    </row>
    <row r="14" spans="1:55" s="96" customFormat="1" ht="12.95" customHeight="1">
      <c r="A14" s="97">
        <v>8</v>
      </c>
      <c r="B14" s="4" t="s">
        <v>18</v>
      </c>
      <c r="C14" s="98" t="s">
        <v>187</v>
      </c>
      <c r="D14" s="98"/>
      <c r="E14" s="98"/>
      <c r="F14" s="98"/>
      <c r="G14" s="98"/>
      <c r="H14" s="98"/>
      <c r="I14" s="98" t="s">
        <v>187</v>
      </c>
      <c r="J14" s="98" t="s">
        <v>189</v>
      </c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 t="s">
        <v>187</v>
      </c>
      <c r="Y14" s="98"/>
      <c r="Z14" s="98" t="s">
        <v>189</v>
      </c>
      <c r="AA14" s="98"/>
      <c r="AB14" s="98"/>
      <c r="AC14" s="98"/>
      <c r="AD14" s="98"/>
      <c r="AE14" s="98"/>
      <c r="AF14" s="98"/>
      <c r="AG14" s="98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91"/>
      <c r="AW14" s="91"/>
      <c r="AX14" s="91"/>
      <c r="AY14" s="91"/>
      <c r="AZ14" s="91"/>
      <c r="BA14" s="91"/>
      <c r="BB14" s="91"/>
      <c r="BC14" s="91"/>
    </row>
    <row r="15" spans="1:55" s="96" customFormat="1" ht="12.95" customHeight="1">
      <c r="A15" s="97">
        <v>9</v>
      </c>
      <c r="B15" s="4" t="s">
        <v>19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91"/>
      <c r="AW15" s="91"/>
      <c r="AX15" s="91"/>
      <c r="AY15" s="91"/>
      <c r="AZ15" s="91"/>
      <c r="BA15" s="91"/>
      <c r="BB15" s="91"/>
      <c r="BC15" s="91"/>
    </row>
    <row r="16" spans="1:55" s="96" customFormat="1" ht="12.95" customHeight="1">
      <c r="A16" s="97">
        <v>10</v>
      </c>
      <c r="B16" s="4" t="s">
        <v>20</v>
      </c>
      <c r="C16" s="98"/>
      <c r="D16" s="98"/>
      <c r="E16" s="98"/>
      <c r="F16" s="98"/>
      <c r="G16" s="98"/>
      <c r="H16" s="98"/>
      <c r="I16" s="98"/>
      <c r="J16" s="98"/>
      <c r="K16" s="98"/>
      <c r="L16" s="98" t="s">
        <v>189</v>
      </c>
      <c r="M16" s="98"/>
      <c r="N16" s="98"/>
      <c r="O16" s="98"/>
      <c r="P16" s="98" t="s">
        <v>187</v>
      </c>
      <c r="Q16" s="98"/>
      <c r="R16" s="98"/>
      <c r="S16" s="98"/>
      <c r="T16" s="98" t="s">
        <v>189</v>
      </c>
      <c r="U16" s="98"/>
      <c r="V16" s="98" t="s">
        <v>189</v>
      </c>
      <c r="W16" s="98"/>
      <c r="X16" s="98" t="s">
        <v>187</v>
      </c>
      <c r="Y16" s="98"/>
      <c r="Z16" s="98" t="s">
        <v>189</v>
      </c>
      <c r="AA16" s="98"/>
      <c r="AB16" s="98"/>
      <c r="AC16" s="98" t="s">
        <v>189</v>
      </c>
      <c r="AD16" s="98"/>
      <c r="AE16" s="98" t="s">
        <v>187</v>
      </c>
      <c r="AF16" s="98"/>
      <c r="AG16" s="98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91"/>
      <c r="AW16" s="91"/>
      <c r="AX16" s="91"/>
      <c r="AY16" s="91"/>
      <c r="AZ16" s="91"/>
      <c r="BA16" s="91"/>
      <c r="BB16" s="91"/>
      <c r="BC16" s="91"/>
    </row>
    <row r="17" spans="1:55" s="96" customFormat="1" ht="12.95" customHeight="1">
      <c r="A17" s="97">
        <v>11</v>
      </c>
      <c r="B17" s="4" t="s">
        <v>21</v>
      </c>
      <c r="C17" s="98" t="s">
        <v>189</v>
      </c>
      <c r="D17" s="98"/>
      <c r="E17" s="98"/>
      <c r="F17" s="98" t="s">
        <v>187</v>
      </c>
      <c r="G17" s="98"/>
      <c r="H17" s="98"/>
      <c r="I17" s="98" t="s">
        <v>189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 t="s">
        <v>187</v>
      </c>
      <c r="Y17" s="98"/>
      <c r="Z17" s="98" t="s">
        <v>188</v>
      </c>
      <c r="AA17" s="98"/>
      <c r="AB17" s="98"/>
      <c r="AC17" s="98"/>
      <c r="AD17" s="98"/>
      <c r="AE17" s="98"/>
      <c r="AF17" s="98"/>
      <c r="AG17" s="98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91"/>
      <c r="AW17" s="91"/>
      <c r="AX17" s="91"/>
      <c r="AY17" s="91"/>
      <c r="AZ17" s="91"/>
      <c r="BA17" s="91"/>
      <c r="BB17" s="91"/>
      <c r="BC17" s="91"/>
    </row>
    <row r="18" spans="1:55" s="96" customFormat="1" ht="12.95" customHeight="1">
      <c r="A18" s="97">
        <v>12</v>
      </c>
      <c r="B18" s="4" t="s">
        <v>22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 t="s">
        <v>187</v>
      </c>
      <c r="Q18" s="98" t="s">
        <v>189</v>
      </c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91"/>
      <c r="AW18" s="91"/>
      <c r="AX18" s="91"/>
      <c r="AY18" s="91"/>
      <c r="AZ18" s="91"/>
      <c r="BA18" s="91"/>
      <c r="BB18" s="91"/>
      <c r="BC18" s="91"/>
    </row>
    <row r="19" spans="1:55" s="96" customFormat="1" ht="12.95" customHeight="1">
      <c r="A19" s="97">
        <v>13</v>
      </c>
      <c r="B19" s="4" t="s">
        <v>23</v>
      </c>
      <c r="C19" s="98"/>
      <c r="D19" s="98"/>
      <c r="E19" s="98"/>
      <c r="F19" s="98"/>
      <c r="G19" s="98"/>
      <c r="H19" s="98" t="s">
        <v>187</v>
      </c>
      <c r="I19" s="98"/>
      <c r="J19" s="98"/>
      <c r="K19" s="98"/>
      <c r="L19" s="98"/>
      <c r="M19" s="98"/>
      <c r="N19" s="98"/>
      <c r="O19" s="98"/>
      <c r="P19" s="98"/>
      <c r="Q19" s="98"/>
      <c r="R19" s="98" t="s">
        <v>187</v>
      </c>
      <c r="S19" s="98" t="s">
        <v>189</v>
      </c>
      <c r="T19" s="98"/>
      <c r="U19" s="98"/>
      <c r="V19" s="98"/>
      <c r="W19" s="98"/>
      <c r="X19" s="98"/>
      <c r="Y19" s="98" t="s">
        <v>187</v>
      </c>
      <c r="Z19" s="98"/>
      <c r="AA19" s="98" t="s">
        <v>189</v>
      </c>
      <c r="AB19" s="98"/>
      <c r="AC19" s="98"/>
      <c r="AD19" s="98" t="s">
        <v>187</v>
      </c>
      <c r="AE19" s="98"/>
      <c r="AF19" s="98" t="s">
        <v>187</v>
      </c>
      <c r="AG19" s="98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91"/>
      <c r="AW19" s="91"/>
      <c r="AX19" s="91"/>
      <c r="AY19" s="91"/>
      <c r="AZ19" s="91"/>
      <c r="BA19" s="91"/>
      <c r="BB19" s="91"/>
      <c r="BC19" s="91"/>
    </row>
    <row r="20" spans="1:55" s="96" customFormat="1" ht="12.95" customHeight="1">
      <c r="A20" s="97">
        <v>14</v>
      </c>
      <c r="B20" s="4" t="s">
        <v>24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91"/>
      <c r="AW20" s="91"/>
      <c r="AX20" s="91"/>
      <c r="AY20" s="91"/>
      <c r="AZ20" s="91"/>
      <c r="BA20" s="91"/>
      <c r="BB20" s="91"/>
      <c r="BC20" s="91"/>
    </row>
    <row r="21" spans="1:55" s="96" customFormat="1" ht="12.95" customHeight="1">
      <c r="A21" s="97">
        <v>15</v>
      </c>
      <c r="B21" s="4" t="s">
        <v>25</v>
      </c>
      <c r="C21" s="98"/>
      <c r="D21" s="98"/>
      <c r="E21" s="98"/>
      <c r="F21" s="98"/>
      <c r="G21" s="98"/>
      <c r="H21" s="98"/>
      <c r="I21" s="98"/>
      <c r="J21" s="98" t="s">
        <v>187</v>
      </c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 t="s">
        <v>187</v>
      </c>
      <c r="X21" s="98"/>
      <c r="Y21" s="98"/>
      <c r="Z21" s="98"/>
      <c r="AA21" s="98" t="s">
        <v>187</v>
      </c>
      <c r="AB21" s="98"/>
      <c r="AC21" s="98"/>
      <c r="AD21" s="98" t="s">
        <v>187</v>
      </c>
      <c r="AE21" s="98"/>
      <c r="AF21" s="98" t="s">
        <v>188</v>
      </c>
      <c r="AG21" s="98"/>
      <c r="AH21" s="99" t="s">
        <v>187</v>
      </c>
      <c r="AI21" s="100" t="s">
        <v>188</v>
      </c>
      <c r="AJ21" s="101" t="s">
        <v>189</v>
      </c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91"/>
      <c r="AW21" s="91"/>
      <c r="AX21" s="91"/>
      <c r="AY21" s="91"/>
      <c r="AZ21" s="91"/>
      <c r="BA21" s="91"/>
      <c r="BB21" s="91"/>
      <c r="BC21" s="91"/>
    </row>
    <row r="22" spans="1:55" s="96" customFormat="1" ht="12.95" customHeight="1">
      <c r="A22" s="97">
        <v>16</v>
      </c>
      <c r="B22" s="4" t="s">
        <v>26</v>
      </c>
      <c r="C22" s="98"/>
      <c r="D22" s="98" t="s">
        <v>189</v>
      </c>
      <c r="E22" s="98"/>
      <c r="F22" s="98"/>
      <c r="G22" s="98"/>
      <c r="H22" s="98"/>
      <c r="I22" s="98" t="s">
        <v>189</v>
      </c>
      <c r="J22" s="98" t="s">
        <v>187</v>
      </c>
      <c r="K22" s="98"/>
      <c r="L22" s="98"/>
      <c r="M22" s="98"/>
      <c r="N22" s="98"/>
      <c r="O22" s="98"/>
      <c r="P22" s="98" t="s">
        <v>187</v>
      </c>
      <c r="Q22" s="98"/>
      <c r="R22" s="98"/>
      <c r="S22" s="98" t="s">
        <v>189</v>
      </c>
      <c r="T22" s="98" t="s">
        <v>187</v>
      </c>
      <c r="U22" s="98"/>
      <c r="V22" s="98"/>
      <c r="W22" s="98"/>
      <c r="X22" s="98" t="s">
        <v>187</v>
      </c>
      <c r="Y22" s="98"/>
      <c r="Z22" s="98" t="s">
        <v>188</v>
      </c>
      <c r="AA22" s="98"/>
      <c r="AB22" s="98"/>
      <c r="AC22" s="98"/>
      <c r="AD22" s="98" t="s">
        <v>187</v>
      </c>
      <c r="AE22" s="98"/>
      <c r="AF22" s="98" t="s">
        <v>189</v>
      </c>
      <c r="AG22" s="98"/>
      <c r="AH22" s="102">
        <f>COUNTIF(C134:AG161,"T")</f>
        <v>25</v>
      </c>
      <c r="AI22" s="102">
        <f>COUNTIF(C134:AG161,"TB")</f>
        <v>15</v>
      </c>
      <c r="AJ22" s="102">
        <f>COUNTIF(C134:AG223,"B")</f>
        <v>30</v>
      </c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91"/>
      <c r="AW22" s="91"/>
      <c r="AX22" s="91"/>
      <c r="AY22" s="91"/>
      <c r="AZ22" s="91"/>
      <c r="BA22" s="91"/>
      <c r="BB22" s="91"/>
      <c r="BC22" s="91"/>
    </row>
    <row r="23" spans="1:55" s="96" customFormat="1" ht="12.95" customHeight="1">
      <c r="A23" s="97">
        <v>17</v>
      </c>
      <c r="B23" s="4" t="s">
        <v>27</v>
      </c>
      <c r="C23" s="98"/>
      <c r="D23" s="98" t="s">
        <v>187</v>
      </c>
      <c r="E23" s="98"/>
      <c r="F23" s="98"/>
      <c r="G23" s="98"/>
      <c r="H23" s="98" t="s">
        <v>188</v>
      </c>
      <c r="I23" s="98"/>
      <c r="J23" s="98"/>
      <c r="K23" s="98"/>
      <c r="L23" s="98"/>
      <c r="M23" s="98"/>
      <c r="N23" s="98"/>
      <c r="O23" s="98" t="s">
        <v>187</v>
      </c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 t="s">
        <v>187</v>
      </c>
      <c r="AF23" s="98"/>
      <c r="AG23" s="98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91"/>
      <c r="AW23" s="91"/>
      <c r="AX23" s="91"/>
      <c r="AY23" s="91"/>
      <c r="AZ23" s="91"/>
      <c r="BA23" s="91"/>
      <c r="BB23" s="91"/>
      <c r="BC23" s="91"/>
    </row>
    <row r="24" spans="1:55" s="96" customFormat="1" ht="12.95" customHeight="1">
      <c r="A24" s="97">
        <v>18</v>
      </c>
      <c r="B24" s="4" t="s">
        <v>28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 t="s">
        <v>187</v>
      </c>
      <c r="Q24" s="98"/>
      <c r="R24" s="98"/>
      <c r="S24" s="98" t="s">
        <v>187</v>
      </c>
      <c r="T24" s="98" t="s">
        <v>189</v>
      </c>
      <c r="U24" s="98"/>
      <c r="V24" s="98"/>
      <c r="W24" s="98" t="s">
        <v>189</v>
      </c>
      <c r="X24" s="98"/>
      <c r="Y24" s="98" t="s">
        <v>189</v>
      </c>
      <c r="Z24" s="98"/>
      <c r="AA24" s="98"/>
      <c r="AB24" s="98"/>
      <c r="AC24" s="98"/>
      <c r="AD24" s="98"/>
      <c r="AE24" s="98"/>
      <c r="AF24" s="98"/>
      <c r="AG24" s="98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91"/>
      <c r="AW24" s="91"/>
      <c r="AX24" s="91"/>
      <c r="AY24" s="91"/>
      <c r="AZ24" s="91"/>
      <c r="BA24" s="91"/>
      <c r="BB24" s="91"/>
      <c r="BC24" s="91"/>
    </row>
    <row r="25" spans="1:55" s="96" customFormat="1" ht="12.95" customHeight="1">
      <c r="A25" s="97">
        <v>19</v>
      </c>
      <c r="B25" s="4" t="s">
        <v>29</v>
      </c>
      <c r="C25" s="98"/>
      <c r="D25" s="98" t="s">
        <v>187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 t="s">
        <v>187</v>
      </c>
      <c r="Y25" s="98"/>
      <c r="Z25" s="98"/>
      <c r="AA25" s="98"/>
      <c r="AB25" s="98"/>
      <c r="AC25" s="98"/>
      <c r="AD25" s="98"/>
      <c r="AE25" s="98"/>
      <c r="AF25" s="98" t="s">
        <v>187</v>
      </c>
      <c r="AG25" s="98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91"/>
      <c r="AW25" s="91"/>
      <c r="AX25" s="91"/>
      <c r="AY25" s="91"/>
      <c r="AZ25" s="91"/>
      <c r="BA25" s="91"/>
      <c r="BB25" s="91"/>
      <c r="BC25" s="91"/>
    </row>
    <row r="26" spans="1:55" s="96" customFormat="1" ht="12.95" customHeight="1">
      <c r="A26" s="97">
        <v>20</v>
      </c>
      <c r="B26" s="4" t="s">
        <v>30</v>
      </c>
      <c r="C26" s="98" t="s">
        <v>188</v>
      </c>
      <c r="D26" s="98"/>
      <c r="E26" s="98"/>
      <c r="F26" s="98"/>
      <c r="G26" s="98"/>
      <c r="H26" s="98" t="s">
        <v>187</v>
      </c>
      <c r="I26" s="98"/>
      <c r="J26" s="98"/>
      <c r="K26" s="98"/>
      <c r="L26" s="98"/>
      <c r="M26" s="98"/>
      <c r="N26" s="98"/>
      <c r="O26" s="98" t="s">
        <v>187</v>
      </c>
      <c r="P26" s="98"/>
      <c r="Q26" s="98"/>
      <c r="R26" s="98"/>
      <c r="S26" s="98"/>
      <c r="T26" s="98" t="s">
        <v>189</v>
      </c>
      <c r="U26" s="98"/>
      <c r="V26" s="98"/>
      <c r="W26" s="98"/>
      <c r="X26" s="98"/>
      <c r="Y26" s="98"/>
      <c r="Z26" s="98"/>
      <c r="AA26" s="98"/>
      <c r="AB26" s="98"/>
      <c r="AC26" s="98" t="s">
        <v>187</v>
      </c>
      <c r="AD26" s="98"/>
      <c r="AE26" s="98"/>
      <c r="AF26" s="98"/>
      <c r="AG26" s="98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91"/>
      <c r="AW26" s="91"/>
      <c r="AX26" s="91"/>
      <c r="AY26" s="91"/>
      <c r="AZ26" s="91"/>
      <c r="BA26" s="91"/>
      <c r="BB26" s="91"/>
      <c r="BC26" s="91"/>
    </row>
    <row r="27" spans="1:55" s="96" customFormat="1" ht="12.95" customHeight="1">
      <c r="A27" s="97">
        <v>21</v>
      </c>
      <c r="B27" s="4" t="s">
        <v>31</v>
      </c>
      <c r="C27" s="98"/>
      <c r="D27" s="98" t="s">
        <v>187</v>
      </c>
      <c r="E27" s="98"/>
      <c r="F27" s="98" t="s">
        <v>187</v>
      </c>
      <c r="G27" s="98"/>
      <c r="H27" s="98" t="s">
        <v>189</v>
      </c>
      <c r="I27" s="98"/>
      <c r="J27" s="98"/>
      <c r="K27" s="98"/>
      <c r="L27" s="98" t="s">
        <v>189</v>
      </c>
      <c r="M27" s="98"/>
      <c r="N27" s="98"/>
      <c r="O27" s="98"/>
      <c r="P27" s="98" t="s">
        <v>187</v>
      </c>
      <c r="Q27" s="98"/>
      <c r="R27" s="98" t="s">
        <v>189</v>
      </c>
      <c r="S27" s="98"/>
      <c r="T27" s="98"/>
      <c r="U27" s="98"/>
      <c r="V27" s="98"/>
      <c r="W27" s="98"/>
      <c r="X27" s="98" t="s">
        <v>187</v>
      </c>
      <c r="Y27" s="98"/>
      <c r="Z27" s="98" t="s">
        <v>189</v>
      </c>
      <c r="AA27" s="98"/>
      <c r="AB27" s="98"/>
      <c r="AC27" s="98"/>
      <c r="AD27" s="98" t="s">
        <v>188</v>
      </c>
      <c r="AE27" s="98"/>
      <c r="AF27" s="98" t="s">
        <v>187</v>
      </c>
      <c r="AG27" s="98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91"/>
      <c r="AW27" s="91"/>
      <c r="AX27" s="91"/>
      <c r="AY27" s="91"/>
      <c r="AZ27" s="91"/>
      <c r="BA27" s="91"/>
      <c r="BB27" s="91"/>
      <c r="BC27" s="91"/>
    </row>
    <row r="28" spans="1:55" s="96" customFormat="1" ht="12.95" customHeight="1">
      <c r="A28" s="97">
        <v>22</v>
      </c>
      <c r="B28" s="4" t="s">
        <v>32</v>
      </c>
      <c r="C28" s="98"/>
      <c r="D28" s="98"/>
      <c r="E28" s="98"/>
      <c r="F28" s="98"/>
      <c r="G28" s="98"/>
      <c r="H28" s="98"/>
      <c r="I28" s="98"/>
      <c r="J28" s="98" t="s">
        <v>187</v>
      </c>
      <c r="K28" s="98"/>
      <c r="L28" s="98" t="s">
        <v>187</v>
      </c>
      <c r="M28" s="98"/>
      <c r="N28" s="98"/>
      <c r="O28" s="98"/>
      <c r="P28" s="98"/>
      <c r="Q28" s="98"/>
      <c r="R28" s="98"/>
      <c r="S28" s="98"/>
      <c r="T28" s="98" t="s">
        <v>187</v>
      </c>
      <c r="U28" s="98"/>
      <c r="V28" s="98"/>
      <c r="W28" s="98"/>
      <c r="X28" s="98"/>
      <c r="Y28" s="98" t="s">
        <v>187</v>
      </c>
      <c r="Z28" s="98"/>
      <c r="AA28" s="98" t="s">
        <v>189</v>
      </c>
      <c r="AB28" s="98"/>
      <c r="AC28" s="98"/>
      <c r="AD28" s="98" t="s">
        <v>187</v>
      </c>
      <c r="AE28" s="98"/>
      <c r="AF28" s="98"/>
      <c r="AG28" s="98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91"/>
      <c r="AW28" s="91"/>
      <c r="AX28" s="91"/>
      <c r="AY28" s="91"/>
      <c r="AZ28" s="91"/>
      <c r="BA28" s="91"/>
      <c r="BB28" s="91"/>
      <c r="BC28" s="91"/>
    </row>
    <row r="29" spans="1:55" s="96" customFormat="1" ht="12.95" customHeight="1">
      <c r="A29" s="97">
        <v>23</v>
      </c>
      <c r="B29" s="4" t="s">
        <v>33</v>
      </c>
      <c r="C29" s="98"/>
      <c r="D29" s="98"/>
      <c r="E29" s="98"/>
      <c r="F29" s="98"/>
      <c r="G29" s="98"/>
      <c r="H29" s="98"/>
      <c r="I29" s="98" t="s">
        <v>187</v>
      </c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 t="s">
        <v>189</v>
      </c>
      <c r="W29" s="98"/>
      <c r="X29" s="98"/>
      <c r="Y29" s="98" t="s">
        <v>187</v>
      </c>
      <c r="Z29" s="98"/>
      <c r="AA29" s="98" t="s">
        <v>189</v>
      </c>
      <c r="AB29" s="98"/>
      <c r="AC29" s="98"/>
      <c r="AD29" s="98" t="s">
        <v>187</v>
      </c>
      <c r="AE29" s="98"/>
      <c r="AF29" s="98"/>
      <c r="AG29" s="98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91"/>
      <c r="AW29" s="91"/>
      <c r="AX29" s="91"/>
      <c r="AY29" s="91"/>
      <c r="AZ29" s="91"/>
      <c r="BA29" s="91"/>
      <c r="BB29" s="91"/>
      <c r="BC29" s="91"/>
    </row>
    <row r="30" spans="1:55" s="96" customFormat="1" ht="12.95" customHeight="1">
      <c r="A30" s="97">
        <v>24</v>
      </c>
      <c r="B30" s="4" t="s">
        <v>34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 t="s">
        <v>189</v>
      </c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91"/>
      <c r="AW30" s="91"/>
      <c r="AX30" s="91"/>
      <c r="AY30" s="91"/>
      <c r="AZ30" s="91"/>
      <c r="BA30" s="91"/>
      <c r="BB30" s="91"/>
      <c r="BC30" s="91"/>
    </row>
    <row r="31" spans="1:55" s="96" customFormat="1" ht="12.95" customHeight="1">
      <c r="A31" s="97">
        <v>25</v>
      </c>
      <c r="B31" s="4" t="s">
        <v>35</v>
      </c>
      <c r="C31" s="98"/>
      <c r="D31" s="98"/>
      <c r="E31" s="98"/>
      <c r="F31" s="98"/>
      <c r="G31" s="98"/>
      <c r="H31" s="98" t="s">
        <v>187</v>
      </c>
      <c r="I31" s="98"/>
      <c r="J31" s="98"/>
      <c r="K31" s="98" t="s">
        <v>187</v>
      </c>
      <c r="L31" s="98"/>
      <c r="M31" s="98"/>
      <c r="N31" s="98"/>
      <c r="O31" s="98"/>
      <c r="P31" s="98" t="s">
        <v>189</v>
      </c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91"/>
      <c r="AW31" s="91"/>
      <c r="AX31" s="91"/>
      <c r="AY31" s="91"/>
      <c r="AZ31" s="91"/>
      <c r="BA31" s="91"/>
      <c r="BB31" s="91"/>
      <c r="BC31" s="91"/>
    </row>
    <row r="32" spans="1:55" s="96" customFormat="1" ht="12.95" customHeight="1">
      <c r="A32" s="97">
        <v>26</v>
      </c>
      <c r="B32" s="4" t="s">
        <v>36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91"/>
      <c r="AW32" s="91"/>
      <c r="AX32" s="91"/>
      <c r="AY32" s="91"/>
      <c r="AZ32" s="91"/>
      <c r="BA32" s="91"/>
      <c r="BB32" s="91"/>
      <c r="BC32" s="91"/>
    </row>
    <row r="33" spans="1:55" s="96" customFormat="1" ht="12.95" customHeight="1">
      <c r="A33" s="97">
        <v>27</v>
      </c>
      <c r="B33" s="4" t="s">
        <v>37</v>
      </c>
      <c r="C33" s="98"/>
      <c r="D33" s="98" t="s">
        <v>187</v>
      </c>
      <c r="E33" s="98"/>
      <c r="F33" s="98"/>
      <c r="G33" s="98"/>
      <c r="H33" s="98"/>
      <c r="I33" s="98"/>
      <c r="J33" s="98"/>
      <c r="K33" s="98"/>
      <c r="L33" s="98" t="s">
        <v>187</v>
      </c>
      <c r="M33" s="98"/>
      <c r="N33" s="98"/>
      <c r="O33" s="98"/>
      <c r="P33" s="98"/>
      <c r="Q33" s="98" t="s">
        <v>187</v>
      </c>
      <c r="R33" s="98" t="s">
        <v>189</v>
      </c>
      <c r="S33" s="98"/>
      <c r="T33" s="98"/>
      <c r="U33" s="98"/>
      <c r="V33" s="98" t="s">
        <v>188</v>
      </c>
      <c r="W33" s="98"/>
      <c r="X33" s="98"/>
      <c r="Y33" s="98"/>
      <c r="Z33" s="98"/>
      <c r="AA33" s="98"/>
      <c r="AB33" s="98"/>
      <c r="AC33" s="98"/>
      <c r="AD33" s="98" t="s">
        <v>189</v>
      </c>
      <c r="AE33" s="98" t="s">
        <v>189</v>
      </c>
      <c r="AF33" s="98"/>
      <c r="AG33" s="98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91"/>
      <c r="AW33" s="91"/>
      <c r="AX33" s="91"/>
      <c r="AY33" s="91"/>
      <c r="AZ33" s="91"/>
      <c r="BA33" s="91"/>
      <c r="BB33" s="91"/>
      <c r="BC33" s="91"/>
    </row>
    <row r="34" spans="1:55" s="96" customFormat="1" ht="12.95" customHeight="1">
      <c r="A34" s="97">
        <v>28</v>
      </c>
      <c r="B34" s="4" t="s">
        <v>38</v>
      </c>
      <c r="C34" s="98"/>
      <c r="D34" s="98"/>
      <c r="E34" s="98"/>
      <c r="F34" s="98"/>
      <c r="G34" s="98"/>
      <c r="H34" s="98"/>
      <c r="I34" s="98"/>
      <c r="J34" s="98"/>
      <c r="K34" s="98" t="s">
        <v>187</v>
      </c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 t="s">
        <v>187</v>
      </c>
      <c r="W34" s="98"/>
      <c r="X34" s="98"/>
      <c r="Y34" s="98"/>
      <c r="Z34" s="98"/>
      <c r="AA34" s="98"/>
      <c r="AB34" s="98"/>
      <c r="AC34" s="98" t="s">
        <v>187</v>
      </c>
      <c r="AD34" s="98"/>
      <c r="AE34" s="98"/>
      <c r="AF34" s="98"/>
      <c r="AG34" s="98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91"/>
      <c r="AW34" s="91"/>
      <c r="AX34" s="91"/>
      <c r="AY34" s="91"/>
      <c r="AZ34" s="91"/>
      <c r="BA34" s="91"/>
      <c r="BB34" s="91"/>
      <c r="BC34" s="91"/>
    </row>
    <row r="35" spans="1:55" s="96" customFormat="1" ht="12.95" customHeight="1">
      <c r="A35" s="97">
        <v>29</v>
      </c>
      <c r="B35" s="4" t="s">
        <v>39</v>
      </c>
      <c r="C35" s="98"/>
      <c r="D35" s="98" t="s">
        <v>187</v>
      </c>
      <c r="E35" s="98"/>
      <c r="F35" s="98" t="s">
        <v>189</v>
      </c>
      <c r="G35" s="98"/>
      <c r="H35" s="98" t="s">
        <v>189</v>
      </c>
      <c r="I35" s="98"/>
      <c r="J35" s="98" t="s">
        <v>187</v>
      </c>
      <c r="K35" s="98" t="s">
        <v>189</v>
      </c>
      <c r="L35" s="98"/>
      <c r="M35" s="98"/>
      <c r="N35" s="98"/>
      <c r="O35" s="98" t="s">
        <v>187</v>
      </c>
      <c r="P35" s="98"/>
      <c r="Q35" s="98" t="s">
        <v>187</v>
      </c>
      <c r="R35" s="98" t="s">
        <v>189</v>
      </c>
      <c r="S35" s="98"/>
      <c r="T35" s="98"/>
      <c r="U35" s="98"/>
      <c r="V35" s="98" t="s">
        <v>187</v>
      </c>
      <c r="W35" s="98"/>
      <c r="X35" s="98"/>
      <c r="Y35" s="98"/>
      <c r="Z35" s="98"/>
      <c r="AA35" s="98"/>
      <c r="AB35" s="98"/>
      <c r="AC35" s="98" t="s">
        <v>187</v>
      </c>
      <c r="AD35" s="98" t="s">
        <v>189</v>
      </c>
      <c r="AE35" s="98"/>
      <c r="AF35" s="98"/>
      <c r="AG35" s="98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91"/>
      <c r="AW35" s="91"/>
      <c r="AX35" s="91"/>
      <c r="AY35" s="91"/>
      <c r="AZ35" s="91"/>
      <c r="BA35" s="91"/>
      <c r="BB35" s="91"/>
      <c r="BC35" s="91"/>
    </row>
    <row r="36" spans="1:55" s="96" customFormat="1" ht="12.95" customHeight="1">
      <c r="A36" s="97">
        <v>30</v>
      </c>
      <c r="B36" s="4" t="s">
        <v>40</v>
      </c>
      <c r="C36" s="98" t="s">
        <v>188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91"/>
      <c r="AW36" s="91"/>
      <c r="AX36" s="91"/>
      <c r="AY36" s="91"/>
      <c r="AZ36" s="91"/>
      <c r="BA36" s="91"/>
      <c r="BB36" s="91"/>
      <c r="BC36" s="91"/>
    </row>
    <row r="37" spans="1:55" s="96" customFormat="1" ht="12.95" customHeight="1">
      <c r="A37" s="97">
        <v>31</v>
      </c>
      <c r="B37" s="4" t="s">
        <v>41</v>
      </c>
      <c r="C37" s="98"/>
      <c r="D37" s="98"/>
      <c r="E37" s="98"/>
      <c r="F37" s="98"/>
      <c r="G37" s="98"/>
      <c r="H37" s="98"/>
      <c r="I37" s="98"/>
      <c r="J37" s="98"/>
      <c r="K37" s="98" t="s">
        <v>189</v>
      </c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 t="s">
        <v>188</v>
      </c>
      <c r="Z37" s="98" t="s">
        <v>189</v>
      </c>
      <c r="AA37" s="98"/>
      <c r="AB37" s="98"/>
      <c r="AC37" s="98" t="s">
        <v>188</v>
      </c>
      <c r="AD37" s="98"/>
      <c r="AE37" s="98"/>
      <c r="AF37" s="98"/>
      <c r="AG37" s="98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91"/>
      <c r="AW37" s="91"/>
      <c r="AX37" s="91"/>
      <c r="AY37" s="91"/>
      <c r="AZ37" s="91"/>
      <c r="BA37" s="91"/>
      <c r="BB37" s="91"/>
      <c r="BC37" s="91"/>
    </row>
    <row r="38" spans="1:55" s="96" customFormat="1" ht="12.95" customHeight="1">
      <c r="A38" s="97">
        <v>32</v>
      </c>
      <c r="B38" s="4" t="s">
        <v>42</v>
      </c>
      <c r="C38" s="98"/>
      <c r="D38" s="98"/>
      <c r="E38" s="98"/>
      <c r="F38" s="98"/>
      <c r="G38" s="98"/>
      <c r="H38" s="98"/>
      <c r="I38" s="98"/>
      <c r="J38" s="98"/>
      <c r="K38" s="98" t="s">
        <v>187</v>
      </c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91"/>
      <c r="AW38" s="91"/>
      <c r="AX38" s="91"/>
      <c r="AY38" s="91"/>
      <c r="AZ38" s="91"/>
      <c r="BA38" s="91"/>
      <c r="BB38" s="91"/>
      <c r="BC38" s="91"/>
    </row>
    <row r="39" spans="1:55" s="96" customFormat="1" ht="12.95" customHeight="1">
      <c r="A39" s="97">
        <v>33</v>
      </c>
      <c r="B39" s="4" t="s">
        <v>43</v>
      </c>
      <c r="C39" s="98" t="s">
        <v>187</v>
      </c>
      <c r="D39" s="98" t="s">
        <v>189</v>
      </c>
      <c r="E39" s="98"/>
      <c r="F39" s="98"/>
      <c r="G39" s="98"/>
      <c r="H39" s="98" t="s">
        <v>187</v>
      </c>
      <c r="I39" s="98"/>
      <c r="J39" s="98"/>
      <c r="K39" s="98" t="s">
        <v>189</v>
      </c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 t="s">
        <v>187</v>
      </c>
      <c r="AA39" s="98"/>
      <c r="AB39" s="98"/>
      <c r="AC39" s="98"/>
      <c r="AD39" s="98" t="s">
        <v>187</v>
      </c>
      <c r="AE39" s="98"/>
      <c r="AF39" s="98" t="s">
        <v>189</v>
      </c>
      <c r="AG39" s="98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91"/>
      <c r="AW39" s="91"/>
      <c r="AX39" s="91"/>
      <c r="AY39" s="91"/>
      <c r="AZ39" s="91"/>
      <c r="BA39" s="91"/>
      <c r="BB39" s="91"/>
      <c r="BC39" s="91"/>
    </row>
    <row r="40" spans="1:55" s="96" customFormat="1" ht="12.95" customHeight="1">
      <c r="A40" s="97">
        <v>34</v>
      </c>
      <c r="B40" s="4" t="s">
        <v>44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 t="s">
        <v>187</v>
      </c>
      <c r="AF40" s="98"/>
      <c r="AG40" s="98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91"/>
      <c r="AW40" s="91"/>
      <c r="AX40" s="91"/>
      <c r="AY40" s="91"/>
      <c r="AZ40" s="91"/>
      <c r="BA40" s="91"/>
      <c r="BB40" s="91"/>
      <c r="BC40" s="91"/>
    </row>
    <row r="41" spans="1:55" s="96" customFormat="1" ht="12.95" customHeight="1">
      <c r="A41" s="97">
        <v>35</v>
      </c>
      <c r="B41" s="4" t="s">
        <v>45</v>
      </c>
      <c r="C41" s="98"/>
      <c r="D41" s="98" t="s">
        <v>189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91"/>
      <c r="AW41" s="91"/>
      <c r="AX41" s="91"/>
      <c r="AY41" s="91"/>
      <c r="AZ41" s="91"/>
      <c r="BA41" s="91"/>
      <c r="BB41" s="91"/>
      <c r="BC41" s="91"/>
    </row>
    <row r="42" spans="1:55" s="96" customFormat="1" ht="12.95" customHeight="1">
      <c r="A42" s="97">
        <v>36</v>
      </c>
      <c r="B42" s="4" t="s">
        <v>46</v>
      </c>
      <c r="C42" s="98"/>
      <c r="D42" s="98"/>
      <c r="E42" s="98"/>
      <c r="F42" s="98" t="s">
        <v>188</v>
      </c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 t="s">
        <v>187</v>
      </c>
      <c r="AE42" s="98"/>
      <c r="AF42" s="98"/>
      <c r="AG42" s="98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91"/>
      <c r="AW42" s="91"/>
      <c r="AX42" s="91"/>
      <c r="AY42" s="91"/>
      <c r="AZ42" s="91"/>
      <c r="BA42" s="91"/>
      <c r="BB42" s="91"/>
      <c r="BC42" s="91"/>
    </row>
    <row r="43" spans="1:55" s="96" customFormat="1" ht="12.95" customHeight="1">
      <c r="A43" s="97">
        <v>37</v>
      </c>
      <c r="B43" s="4" t="s">
        <v>47</v>
      </c>
      <c r="C43" s="98"/>
      <c r="D43" s="98"/>
      <c r="E43" s="98"/>
      <c r="F43" s="98"/>
      <c r="G43" s="98"/>
      <c r="H43" s="98"/>
      <c r="I43" s="98"/>
      <c r="J43" s="98"/>
      <c r="K43" s="98" t="s">
        <v>188</v>
      </c>
      <c r="L43" s="98"/>
      <c r="M43" s="98"/>
      <c r="N43" s="98"/>
      <c r="O43" s="98" t="s">
        <v>188</v>
      </c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91"/>
      <c r="AW43" s="91"/>
      <c r="AX43" s="91"/>
      <c r="AY43" s="91"/>
      <c r="AZ43" s="91"/>
      <c r="BA43" s="91"/>
      <c r="BB43" s="91"/>
      <c r="BC43" s="91"/>
    </row>
    <row r="44" spans="1:55" s="96" customFormat="1" ht="12.95" customHeight="1">
      <c r="A44" s="97">
        <v>38</v>
      </c>
      <c r="B44" s="4" t="s">
        <v>48</v>
      </c>
      <c r="C44" s="98"/>
      <c r="D44" s="98"/>
      <c r="E44" s="98"/>
      <c r="F44" s="98" t="s">
        <v>187</v>
      </c>
      <c r="G44" s="98"/>
      <c r="H44" s="98" t="s">
        <v>189</v>
      </c>
      <c r="I44" s="98"/>
      <c r="J44" s="98"/>
      <c r="K44" s="98" t="s">
        <v>187</v>
      </c>
      <c r="L44" s="98"/>
      <c r="M44" s="98"/>
      <c r="N44" s="98"/>
      <c r="O44" s="98" t="s">
        <v>189</v>
      </c>
      <c r="P44" s="98"/>
      <c r="Q44" s="98"/>
      <c r="R44" s="98" t="s">
        <v>187</v>
      </c>
      <c r="S44" s="98"/>
      <c r="T44" s="98"/>
      <c r="U44" s="98"/>
      <c r="V44" s="98" t="s">
        <v>188</v>
      </c>
      <c r="W44" s="98"/>
      <c r="X44" s="98"/>
      <c r="Y44" s="98"/>
      <c r="Z44" s="98" t="s">
        <v>187</v>
      </c>
      <c r="AA44" s="98"/>
      <c r="AB44" s="98"/>
      <c r="AC44" s="98" t="s">
        <v>189</v>
      </c>
      <c r="AD44" s="98"/>
      <c r="AE44" s="98"/>
      <c r="AF44" s="98"/>
      <c r="AG44" s="98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91"/>
      <c r="AW44" s="91"/>
      <c r="AX44" s="91"/>
      <c r="AY44" s="91"/>
      <c r="AZ44" s="91"/>
      <c r="BA44" s="91"/>
      <c r="BB44" s="91"/>
      <c r="BC44" s="91"/>
    </row>
    <row r="45" spans="1:55" s="96" customFormat="1" ht="12.95" customHeight="1">
      <c r="A45" s="97">
        <v>39</v>
      </c>
      <c r="B45" s="4" t="s">
        <v>49</v>
      </c>
      <c r="C45" s="98" t="s">
        <v>187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 t="s">
        <v>189</v>
      </c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 t="s">
        <v>188</v>
      </c>
      <c r="AD45" s="98"/>
      <c r="AE45" s="98"/>
      <c r="AF45" s="98" t="s">
        <v>187</v>
      </c>
      <c r="AG45" s="98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91"/>
      <c r="AW45" s="91"/>
      <c r="AX45" s="91"/>
      <c r="AY45" s="91"/>
      <c r="AZ45" s="91"/>
      <c r="BA45" s="91"/>
      <c r="BB45" s="91"/>
      <c r="BC45" s="91"/>
    </row>
    <row r="46" spans="1:55" s="96" customFormat="1" ht="12.95" customHeight="1">
      <c r="A46" s="97">
        <v>40</v>
      </c>
      <c r="B46" s="4" t="s">
        <v>50</v>
      </c>
      <c r="C46" s="98"/>
      <c r="D46" s="98" t="s">
        <v>187</v>
      </c>
      <c r="E46" s="98"/>
      <c r="F46" s="98"/>
      <c r="G46" s="98"/>
      <c r="H46" s="98"/>
      <c r="I46" s="98"/>
      <c r="J46" s="98" t="s">
        <v>189</v>
      </c>
      <c r="K46" s="98"/>
      <c r="L46" s="98"/>
      <c r="M46" s="98"/>
      <c r="N46" s="98"/>
      <c r="O46" s="98"/>
      <c r="P46" s="98" t="s">
        <v>188</v>
      </c>
      <c r="Q46" s="98"/>
      <c r="R46" s="98" t="s">
        <v>188</v>
      </c>
      <c r="S46" s="98"/>
      <c r="T46" s="98"/>
      <c r="U46" s="98"/>
      <c r="V46" s="98"/>
      <c r="W46" s="98" t="s">
        <v>188</v>
      </c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91"/>
      <c r="AW46" s="91"/>
      <c r="AX46" s="91"/>
      <c r="AY46" s="91"/>
      <c r="AZ46" s="91"/>
      <c r="BA46" s="91"/>
      <c r="BB46" s="91"/>
      <c r="BC46" s="91"/>
    </row>
    <row r="47" spans="1:55" s="96" customFormat="1" ht="12.95" customHeight="1">
      <c r="A47" s="97">
        <v>41</v>
      </c>
      <c r="B47" s="4" t="s">
        <v>51</v>
      </c>
      <c r="C47" s="98" t="s">
        <v>189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91"/>
      <c r="AW47" s="91"/>
      <c r="AX47" s="91"/>
      <c r="AY47" s="91"/>
      <c r="AZ47" s="91"/>
      <c r="BA47" s="91"/>
      <c r="BB47" s="91"/>
      <c r="BC47" s="91"/>
    </row>
    <row r="48" spans="1:55" s="96" customFormat="1" ht="12.95" customHeight="1">
      <c r="A48" s="97">
        <v>42</v>
      </c>
      <c r="B48" s="4" t="s">
        <v>52</v>
      </c>
      <c r="C48" s="98"/>
      <c r="D48" s="98"/>
      <c r="E48" s="98"/>
      <c r="F48" s="98"/>
      <c r="G48" s="98"/>
      <c r="H48" s="98"/>
      <c r="I48" s="98"/>
      <c r="J48" s="98"/>
      <c r="K48" s="98" t="s">
        <v>188</v>
      </c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 t="s">
        <v>188</v>
      </c>
      <c r="AD48" s="98"/>
      <c r="AE48" s="98"/>
      <c r="AF48" s="98"/>
      <c r="AG48" s="98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91"/>
      <c r="AW48" s="91"/>
      <c r="AX48" s="91"/>
      <c r="AY48" s="91"/>
      <c r="AZ48" s="91"/>
      <c r="BA48" s="91"/>
      <c r="BB48" s="91"/>
      <c r="BC48" s="91"/>
    </row>
    <row r="49" spans="1:55" s="96" customFormat="1" ht="12.95" customHeight="1">
      <c r="A49" s="97">
        <v>43</v>
      </c>
      <c r="B49" s="4" t="s">
        <v>53</v>
      </c>
      <c r="C49" s="98" t="s">
        <v>187</v>
      </c>
      <c r="D49" s="98"/>
      <c r="E49" s="98"/>
      <c r="F49" s="98" t="s">
        <v>189</v>
      </c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91"/>
      <c r="AW49" s="91"/>
      <c r="AX49" s="91"/>
      <c r="AY49" s="91"/>
      <c r="AZ49" s="91"/>
      <c r="BA49" s="91"/>
      <c r="BB49" s="91"/>
      <c r="BC49" s="91"/>
    </row>
    <row r="50" spans="1:55" s="96" customFormat="1" ht="12.95" customHeight="1">
      <c r="A50" s="97">
        <v>44</v>
      </c>
      <c r="B50" s="4" t="s">
        <v>54</v>
      </c>
      <c r="C50" s="98"/>
      <c r="D50" s="98"/>
      <c r="E50" s="98"/>
      <c r="F50" s="98"/>
      <c r="G50" s="98"/>
      <c r="H50" s="98"/>
      <c r="I50" s="98"/>
      <c r="J50" s="98" t="s">
        <v>187</v>
      </c>
      <c r="K50" s="98"/>
      <c r="L50" s="98" t="s">
        <v>189</v>
      </c>
      <c r="M50" s="98"/>
      <c r="N50" s="98"/>
      <c r="O50" s="98"/>
      <c r="P50" s="98"/>
      <c r="Q50" s="98"/>
      <c r="R50" s="98"/>
      <c r="S50" s="98"/>
      <c r="T50" s="98" t="s">
        <v>187</v>
      </c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91"/>
      <c r="AW50" s="91"/>
      <c r="AX50" s="91"/>
      <c r="AY50" s="91"/>
      <c r="AZ50" s="91"/>
      <c r="BA50" s="91"/>
      <c r="BB50" s="91"/>
      <c r="BC50" s="91"/>
    </row>
    <row r="51" spans="1:55" s="96" customFormat="1" ht="12.95" customHeight="1">
      <c r="A51" s="97">
        <v>45</v>
      </c>
      <c r="B51" s="4" t="s">
        <v>55</v>
      </c>
      <c r="C51" s="98"/>
      <c r="D51" s="98"/>
      <c r="E51" s="98"/>
      <c r="F51" s="98"/>
      <c r="G51" s="98"/>
      <c r="H51" s="98" t="s">
        <v>189</v>
      </c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 t="s">
        <v>187</v>
      </c>
      <c r="AE51" s="98"/>
      <c r="AF51" s="98"/>
      <c r="AG51" s="98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91"/>
      <c r="AW51" s="91"/>
      <c r="AX51" s="91"/>
      <c r="AY51" s="91"/>
      <c r="AZ51" s="91"/>
      <c r="BA51" s="91"/>
      <c r="BB51" s="91"/>
      <c r="BC51" s="91"/>
    </row>
    <row r="52" spans="1:55" s="96" customFormat="1" ht="12.95" customHeight="1">
      <c r="A52" s="97">
        <v>46</v>
      </c>
      <c r="B52" s="4" t="s">
        <v>56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91"/>
      <c r="AW52" s="91"/>
      <c r="AX52" s="91"/>
      <c r="AY52" s="91"/>
      <c r="AZ52" s="91"/>
      <c r="BA52" s="91"/>
      <c r="BB52" s="91"/>
      <c r="BC52" s="91"/>
    </row>
    <row r="53" spans="1:55" s="96" customFormat="1" ht="12.95" customHeight="1">
      <c r="A53" s="97">
        <v>47</v>
      </c>
      <c r="B53" s="4" t="s">
        <v>57</v>
      </c>
      <c r="C53" s="98"/>
      <c r="D53" s="98"/>
      <c r="E53" s="98"/>
      <c r="F53" s="98" t="s">
        <v>188</v>
      </c>
      <c r="G53" s="98"/>
      <c r="H53" s="98"/>
      <c r="I53" s="98"/>
      <c r="J53" s="98" t="s">
        <v>187</v>
      </c>
      <c r="K53" s="98"/>
      <c r="L53" s="98"/>
      <c r="M53" s="98"/>
      <c r="N53" s="98"/>
      <c r="O53" s="98"/>
      <c r="P53" s="98"/>
      <c r="Q53" s="98"/>
      <c r="R53" s="98"/>
      <c r="S53" s="98"/>
      <c r="T53" s="98" t="s">
        <v>187</v>
      </c>
      <c r="U53" s="98"/>
      <c r="V53" s="98"/>
      <c r="W53" s="98"/>
      <c r="X53" s="98"/>
      <c r="Y53" s="98" t="s">
        <v>187</v>
      </c>
      <c r="Z53" s="98"/>
      <c r="AA53" s="98" t="s">
        <v>188</v>
      </c>
      <c r="AB53" s="98"/>
      <c r="AC53" s="98"/>
      <c r="AD53" s="98" t="s">
        <v>187</v>
      </c>
      <c r="AE53" s="98"/>
      <c r="AF53" s="98"/>
      <c r="AG53" s="98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91"/>
      <c r="AW53" s="91"/>
      <c r="AX53" s="91"/>
      <c r="AY53" s="91"/>
      <c r="AZ53" s="91"/>
      <c r="BA53" s="91"/>
      <c r="BB53" s="91"/>
      <c r="BC53" s="91"/>
    </row>
    <row r="54" spans="1:55" s="96" customFormat="1" ht="12.95" customHeight="1">
      <c r="A54" s="97">
        <v>48</v>
      </c>
      <c r="B54" s="4" t="s">
        <v>58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 t="s">
        <v>188</v>
      </c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 t="s">
        <v>187</v>
      </c>
      <c r="AD54" s="98"/>
      <c r="AE54" s="98"/>
      <c r="AF54" s="98" t="s">
        <v>187</v>
      </c>
      <c r="AG54" s="98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91"/>
      <c r="AW54" s="91"/>
      <c r="AX54" s="91"/>
      <c r="AY54" s="91"/>
      <c r="AZ54" s="91"/>
      <c r="BA54" s="91"/>
      <c r="BB54" s="91"/>
      <c r="BC54" s="91"/>
    </row>
    <row r="55" spans="1:55" s="96" customFormat="1" ht="12.95" customHeight="1">
      <c r="A55" s="97">
        <v>49</v>
      </c>
      <c r="B55" s="4" t="s">
        <v>59</v>
      </c>
      <c r="C55" s="98"/>
      <c r="D55" s="98"/>
      <c r="E55" s="98"/>
      <c r="F55" s="98" t="s">
        <v>187</v>
      </c>
      <c r="G55" s="98"/>
      <c r="H55" s="98"/>
      <c r="I55" s="98" t="s">
        <v>189</v>
      </c>
      <c r="J55" s="98"/>
      <c r="K55" s="98"/>
      <c r="L55" s="98"/>
      <c r="M55" s="98"/>
      <c r="N55" s="98"/>
      <c r="O55" s="98"/>
      <c r="P55" s="98"/>
      <c r="Q55" s="98" t="s">
        <v>189</v>
      </c>
      <c r="R55" s="98"/>
      <c r="S55" s="98" t="s">
        <v>187</v>
      </c>
      <c r="T55" s="98"/>
      <c r="U55" s="98"/>
      <c r="V55" s="98" t="s">
        <v>189</v>
      </c>
      <c r="W55" s="98"/>
      <c r="X55" s="98"/>
      <c r="Y55" s="98"/>
      <c r="Z55" s="98"/>
      <c r="AA55" s="98"/>
      <c r="AB55" s="98"/>
      <c r="AC55" s="98"/>
      <c r="AD55" s="98"/>
      <c r="AE55" s="98" t="s">
        <v>187</v>
      </c>
      <c r="AF55" s="98"/>
      <c r="AG55" s="98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91"/>
      <c r="AW55" s="91"/>
      <c r="AX55" s="91"/>
      <c r="AY55" s="91"/>
      <c r="AZ55" s="91"/>
      <c r="BA55" s="91"/>
      <c r="BB55" s="91"/>
      <c r="BC55" s="91"/>
    </row>
    <row r="56" spans="1:55" s="96" customFormat="1" ht="12.95" customHeight="1">
      <c r="A56" s="97">
        <v>50</v>
      </c>
      <c r="B56" s="4" t="s">
        <v>60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91"/>
      <c r="AW56" s="91"/>
      <c r="AX56" s="91"/>
      <c r="AY56" s="91"/>
      <c r="AZ56" s="91"/>
      <c r="BA56" s="91"/>
      <c r="BB56" s="91"/>
      <c r="BC56" s="91"/>
    </row>
    <row r="57" spans="1:55" s="96" customFormat="1" ht="12.95" customHeight="1">
      <c r="A57" s="97">
        <v>51</v>
      </c>
      <c r="B57" s="4" t="s">
        <v>61</v>
      </c>
      <c r="C57" s="98" t="s">
        <v>188</v>
      </c>
      <c r="D57" s="98"/>
      <c r="E57" s="98"/>
      <c r="F57" s="98" t="s">
        <v>189</v>
      </c>
      <c r="G57" s="98"/>
      <c r="H57" s="98"/>
      <c r="I57" s="98" t="s">
        <v>187</v>
      </c>
      <c r="J57" s="98" t="s">
        <v>189</v>
      </c>
      <c r="K57" s="98"/>
      <c r="L57" s="98" t="s">
        <v>187</v>
      </c>
      <c r="M57" s="98"/>
      <c r="N57" s="98"/>
      <c r="O57" s="98" t="s">
        <v>189</v>
      </c>
      <c r="P57" s="98"/>
      <c r="Q57" s="98" t="s">
        <v>188</v>
      </c>
      <c r="R57" s="98"/>
      <c r="S57" s="98"/>
      <c r="T57" s="98"/>
      <c r="U57" s="98"/>
      <c r="V57" s="98" t="s">
        <v>187</v>
      </c>
      <c r="W57" s="98" t="s">
        <v>189</v>
      </c>
      <c r="X57" s="98"/>
      <c r="Y57" s="98" t="s">
        <v>187</v>
      </c>
      <c r="Z57" s="98"/>
      <c r="AA57" s="98" t="s">
        <v>189</v>
      </c>
      <c r="AB57" s="98"/>
      <c r="AC57" s="98" t="s">
        <v>188</v>
      </c>
      <c r="AD57" s="98"/>
      <c r="AE57" s="98" t="s">
        <v>187</v>
      </c>
      <c r="AF57" s="98"/>
      <c r="AG57" s="98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91"/>
      <c r="AW57" s="91"/>
      <c r="AX57" s="91"/>
      <c r="AY57" s="91"/>
      <c r="AZ57" s="91"/>
      <c r="BA57" s="91"/>
      <c r="BB57" s="91"/>
      <c r="BC57" s="91"/>
    </row>
    <row r="58" spans="1:55" s="96" customFormat="1" ht="12.95" customHeight="1">
      <c r="A58" s="97">
        <v>52</v>
      </c>
      <c r="B58" s="4" t="s">
        <v>62</v>
      </c>
      <c r="C58" s="98" t="s">
        <v>187</v>
      </c>
      <c r="D58" s="98"/>
      <c r="E58" s="98"/>
      <c r="F58" s="98" t="s">
        <v>189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91"/>
      <c r="AW58" s="91"/>
      <c r="AX58" s="91"/>
      <c r="AY58" s="91"/>
      <c r="AZ58" s="91"/>
      <c r="BA58" s="91"/>
      <c r="BB58" s="91"/>
      <c r="BC58" s="91"/>
    </row>
    <row r="59" spans="1:55" s="96" customFormat="1" ht="12.95" customHeight="1">
      <c r="A59" s="97">
        <v>53</v>
      </c>
      <c r="B59" s="4" t="s">
        <v>63</v>
      </c>
      <c r="C59" s="98"/>
      <c r="D59" s="98"/>
      <c r="E59" s="98"/>
      <c r="F59" s="98" t="s">
        <v>187</v>
      </c>
      <c r="G59" s="98"/>
      <c r="H59" s="98"/>
      <c r="I59" s="98" t="s">
        <v>187</v>
      </c>
      <c r="J59" s="98"/>
      <c r="K59" s="98"/>
      <c r="L59" s="98" t="s">
        <v>189</v>
      </c>
      <c r="M59" s="98"/>
      <c r="N59" s="98"/>
      <c r="O59" s="98"/>
      <c r="P59" s="98"/>
      <c r="Q59" s="98" t="s">
        <v>189</v>
      </c>
      <c r="R59" s="98"/>
      <c r="S59" s="98"/>
      <c r="T59" s="98"/>
      <c r="U59" s="98"/>
      <c r="V59" s="98" t="s">
        <v>187</v>
      </c>
      <c r="W59" s="98"/>
      <c r="X59" s="98" t="s">
        <v>187</v>
      </c>
      <c r="Y59" s="98"/>
      <c r="Z59" s="98" t="s">
        <v>189</v>
      </c>
      <c r="AA59" s="98"/>
      <c r="AB59" s="98"/>
      <c r="AC59" s="98"/>
      <c r="AD59" s="98"/>
      <c r="AE59" s="98" t="s">
        <v>188</v>
      </c>
      <c r="AF59" s="98"/>
      <c r="AG59" s="98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91"/>
      <c r="AW59" s="91"/>
      <c r="AX59" s="91"/>
      <c r="AY59" s="91"/>
      <c r="AZ59" s="91"/>
      <c r="BA59" s="91"/>
      <c r="BB59" s="91"/>
      <c r="BC59" s="91"/>
    </row>
    <row r="60" spans="1:55" s="96" customFormat="1" ht="12.95" customHeight="1">
      <c r="A60" s="97">
        <v>54</v>
      </c>
      <c r="B60" s="4" t="s">
        <v>64</v>
      </c>
      <c r="C60" s="98"/>
      <c r="D60" s="98"/>
      <c r="E60" s="98"/>
      <c r="F60" s="98" t="s">
        <v>187</v>
      </c>
      <c r="G60" s="98"/>
      <c r="H60" s="98"/>
      <c r="I60" s="98"/>
      <c r="J60" s="98" t="s">
        <v>187</v>
      </c>
      <c r="K60" s="98"/>
      <c r="L60" s="98" t="s">
        <v>189</v>
      </c>
      <c r="M60" s="98"/>
      <c r="N60" s="98"/>
      <c r="O60" s="98"/>
      <c r="P60" s="98"/>
      <c r="Q60" s="98"/>
      <c r="R60" s="98"/>
      <c r="S60" s="98" t="s">
        <v>187</v>
      </c>
      <c r="T60" s="98"/>
      <c r="U60" s="98"/>
      <c r="V60" s="98"/>
      <c r="W60" s="98" t="s">
        <v>188</v>
      </c>
      <c r="X60" s="98" t="s">
        <v>189</v>
      </c>
      <c r="Y60" s="98"/>
      <c r="Z60" s="98"/>
      <c r="AA60" s="98"/>
      <c r="AB60" s="98"/>
      <c r="AC60" s="98" t="s">
        <v>189</v>
      </c>
      <c r="AD60" s="98"/>
      <c r="AE60" s="98"/>
      <c r="AF60" s="98"/>
      <c r="AG60" s="98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91"/>
      <c r="AW60" s="91"/>
      <c r="AX60" s="91"/>
      <c r="AY60" s="91"/>
      <c r="AZ60" s="91"/>
      <c r="BA60" s="91"/>
      <c r="BB60" s="91"/>
      <c r="BC60" s="91"/>
    </row>
    <row r="61" spans="1:55" s="96" customFormat="1" ht="12.95" customHeight="1">
      <c r="A61" s="97">
        <v>55</v>
      </c>
      <c r="B61" s="4" t="s">
        <v>65</v>
      </c>
      <c r="C61" s="98" t="s">
        <v>187</v>
      </c>
      <c r="D61" s="98"/>
      <c r="E61" s="98"/>
      <c r="F61" s="98" t="s">
        <v>189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 t="s">
        <v>187</v>
      </c>
      <c r="Y61" s="98"/>
      <c r="Z61" s="98"/>
      <c r="AA61" s="98"/>
      <c r="AB61" s="98"/>
      <c r="AC61" s="98" t="s">
        <v>187</v>
      </c>
      <c r="AD61" s="98"/>
      <c r="AE61" s="98" t="s">
        <v>189</v>
      </c>
      <c r="AF61" s="98"/>
      <c r="AG61" s="98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91"/>
      <c r="AW61" s="91"/>
      <c r="AX61" s="91"/>
      <c r="AY61" s="91"/>
      <c r="AZ61" s="91"/>
      <c r="BA61" s="91"/>
      <c r="BB61" s="91"/>
      <c r="BC61" s="91"/>
    </row>
    <row r="62" spans="1:55" s="96" customFormat="1" ht="12.95" customHeight="1">
      <c r="A62" s="97">
        <v>56</v>
      </c>
      <c r="B62" s="4" t="s">
        <v>66</v>
      </c>
      <c r="C62" s="98" t="s">
        <v>187</v>
      </c>
      <c r="D62" s="98"/>
      <c r="E62" s="98"/>
      <c r="F62" s="98"/>
      <c r="G62" s="98"/>
      <c r="H62" s="98"/>
      <c r="I62" s="98" t="s">
        <v>189</v>
      </c>
      <c r="J62" s="98"/>
      <c r="K62" s="98"/>
      <c r="L62" s="98" t="s">
        <v>187</v>
      </c>
      <c r="M62" s="98"/>
      <c r="N62" s="98"/>
      <c r="O62" s="98"/>
      <c r="P62" s="98" t="s">
        <v>187</v>
      </c>
      <c r="Q62" s="98"/>
      <c r="R62" s="98" t="s">
        <v>189</v>
      </c>
      <c r="S62" s="98"/>
      <c r="T62" s="98"/>
      <c r="U62" s="98"/>
      <c r="V62" s="98" t="s">
        <v>187</v>
      </c>
      <c r="W62" s="98"/>
      <c r="X62" s="98"/>
      <c r="Y62" s="98" t="s">
        <v>187</v>
      </c>
      <c r="Z62" s="98"/>
      <c r="AA62" s="98"/>
      <c r="AB62" s="98"/>
      <c r="AC62" s="98"/>
      <c r="AD62" s="98"/>
      <c r="AE62" s="98" t="s">
        <v>187</v>
      </c>
      <c r="AF62" s="98"/>
      <c r="AG62" s="98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91"/>
      <c r="AW62" s="91"/>
      <c r="AX62" s="91"/>
      <c r="AY62" s="91"/>
      <c r="AZ62" s="91"/>
      <c r="BA62" s="91"/>
      <c r="BB62" s="91"/>
      <c r="BC62" s="91"/>
    </row>
    <row r="63" spans="1:55" s="96" customFormat="1" ht="12.95" customHeight="1">
      <c r="A63" s="97">
        <v>57</v>
      </c>
      <c r="B63" s="4" t="s">
        <v>67</v>
      </c>
      <c r="C63" s="98"/>
      <c r="D63" s="98" t="s">
        <v>187</v>
      </c>
      <c r="E63" s="98"/>
      <c r="F63" s="98"/>
      <c r="G63" s="98"/>
      <c r="H63" s="98" t="s">
        <v>189</v>
      </c>
      <c r="I63" s="98"/>
      <c r="J63" s="98"/>
      <c r="K63" s="98"/>
      <c r="L63" s="98"/>
      <c r="M63" s="98"/>
      <c r="N63" s="98"/>
      <c r="O63" s="98"/>
      <c r="P63" s="98"/>
      <c r="Q63" s="98"/>
      <c r="R63" s="98" t="s">
        <v>187</v>
      </c>
      <c r="S63" s="98"/>
      <c r="T63" s="98"/>
      <c r="U63" s="98"/>
      <c r="V63" s="98" t="s">
        <v>189</v>
      </c>
      <c r="W63" s="98"/>
      <c r="X63" s="98"/>
      <c r="Y63" s="98"/>
      <c r="Z63" s="98"/>
      <c r="AA63" s="98" t="s">
        <v>189</v>
      </c>
      <c r="AB63" s="98"/>
      <c r="AC63" s="98" t="s">
        <v>189</v>
      </c>
      <c r="AD63" s="98"/>
      <c r="AE63" s="98" t="s">
        <v>187</v>
      </c>
      <c r="AF63" s="98"/>
      <c r="AG63" s="98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91"/>
      <c r="AW63" s="91"/>
      <c r="AX63" s="91"/>
      <c r="AY63" s="91"/>
      <c r="AZ63" s="91"/>
      <c r="BA63" s="91"/>
      <c r="BB63" s="91"/>
      <c r="BC63" s="91"/>
    </row>
    <row r="64" spans="1:55" s="96" customFormat="1" ht="12.95" customHeight="1">
      <c r="A64" s="97">
        <v>58</v>
      </c>
      <c r="B64" s="4" t="s">
        <v>68</v>
      </c>
      <c r="C64" s="98"/>
      <c r="D64" s="98"/>
      <c r="E64" s="98"/>
      <c r="F64" s="98"/>
      <c r="G64" s="98"/>
      <c r="H64" s="98"/>
      <c r="I64" s="98"/>
      <c r="J64" s="98"/>
      <c r="K64" s="98"/>
      <c r="L64" s="98" t="s">
        <v>188</v>
      </c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91"/>
      <c r="AW64" s="91"/>
      <c r="AX64" s="91"/>
      <c r="AY64" s="91"/>
      <c r="AZ64" s="91"/>
      <c r="BA64" s="91"/>
      <c r="BB64" s="91"/>
      <c r="BC64" s="91"/>
    </row>
    <row r="65" spans="1:55" s="96" customFormat="1" ht="12.95" customHeight="1">
      <c r="A65" s="97">
        <v>59</v>
      </c>
      <c r="B65" s="4" t="s">
        <v>69</v>
      </c>
      <c r="C65" s="98" t="s">
        <v>187</v>
      </c>
      <c r="D65" s="98"/>
      <c r="E65" s="98"/>
      <c r="F65" s="98"/>
      <c r="G65" s="98"/>
      <c r="H65" s="98" t="s">
        <v>189</v>
      </c>
      <c r="I65" s="98"/>
      <c r="J65" s="98"/>
      <c r="K65" s="98"/>
      <c r="L65" s="98"/>
      <c r="M65" s="98"/>
      <c r="N65" s="98"/>
      <c r="O65" s="98"/>
      <c r="P65" s="98" t="s">
        <v>187</v>
      </c>
      <c r="Q65" s="98"/>
      <c r="R65" s="98"/>
      <c r="S65" s="98"/>
      <c r="T65" s="98"/>
      <c r="U65" s="98"/>
      <c r="V65" s="98" t="s">
        <v>189</v>
      </c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91"/>
      <c r="AW65" s="91"/>
      <c r="AX65" s="91"/>
      <c r="AY65" s="91"/>
      <c r="AZ65" s="91"/>
      <c r="BA65" s="91"/>
      <c r="BB65" s="91"/>
      <c r="BC65" s="91"/>
    </row>
    <row r="66" spans="1:55" s="96" customFormat="1" ht="12.95" customHeight="1">
      <c r="A66" s="97">
        <v>60</v>
      </c>
      <c r="B66" s="4" t="s">
        <v>70</v>
      </c>
      <c r="C66" s="98"/>
      <c r="D66" s="98"/>
      <c r="E66" s="98"/>
      <c r="F66" s="98"/>
      <c r="G66" s="98"/>
      <c r="H66" s="98" t="s">
        <v>187</v>
      </c>
      <c r="I66" s="98"/>
      <c r="J66" s="98"/>
      <c r="K66" s="98"/>
      <c r="L66" s="98"/>
      <c r="M66" s="98"/>
      <c r="N66" s="98"/>
      <c r="O66" s="98" t="s">
        <v>189</v>
      </c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91"/>
      <c r="AW66" s="91"/>
      <c r="AX66" s="91"/>
      <c r="AY66" s="91"/>
      <c r="AZ66" s="91"/>
      <c r="BA66" s="91"/>
      <c r="BB66" s="91"/>
      <c r="BC66" s="91"/>
    </row>
    <row r="67" spans="1:55" s="96" customFormat="1" ht="12.95" customHeight="1">
      <c r="A67" s="97">
        <v>61</v>
      </c>
      <c r="B67" s="4" t="s">
        <v>71</v>
      </c>
      <c r="C67" s="98"/>
      <c r="D67" s="98"/>
      <c r="E67" s="98"/>
      <c r="F67" s="98"/>
      <c r="G67" s="98"/>
      <c r="H67" s="98"/>
      <c r="I67" s="98"/>
      <c r="J67" s="98"/>
      <c r="K67" s="98" t="s">
        <v>187</v>
      </c>
      <c r="L67" s="98" t="s">
        <v>189</v>
      </c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91"/>
      <c r="AW67" s="91"/>
      <c r="AX67" s="91"/>
      <c r="AY67" s="91"/>
      <c r="AZ67" s="91"/>
      <c r="BA67" s="91"/>
      <c r="BB67" s="91"/>
      <c r="BC67" s="91"/>
    </row>
    <row r="68" spans="1:55" s="96" customFormat="1" ht="12.95" customHeight="1">
      <c r="A68" s="97">
        <v>62</v>
      </c>
      <c r="B68" s="4" t="s">
        <v>72</v>
      </c>
      <c r="C68" s="98" t="s">
        <v>188</v>
      </c>
      <c r="D68" s="98"/>
      <c r="E68" s="98"/>
      <c r="F68" s="98"/>
      <c r="G68" s="98"/>
      <c r="H68" s="98" t="s">
        <v>188</v>
      </c>
      <c r="I68" s="98"/>
      <c r="J68" s="98"/>
      <c r="K68" s="98"/>
      <c r="L68" s="98"/>
      <c r="M68" s="98"/>
      <c r="N68" s="98"/>
      <c r="O68" s="98"/>
      <c r="P68" s="98"/>
      <c r="Q68" s="98"/>
      <c r="R68" s="98" t="s">
        <v>188</v>
      </c>
      <c r="S68" s="98"/>
      <c r="T68" s="98"/>
      <c r="U68" s="98"/>
      <c r="V68" s="98"/>
      <c r="W68" s="98"/>
      <c r="X68" s="98"/>
      <c r="Y68" s="98"/>
      <c r="Z68" s="98"/>
      <c r="AA68" s="98" t="s">
        <v>188</v>
      </c>
      <c r="AB68" s="98"/>
      <c r="AC68" s="98"/>
      <c r="AD68" s="98"/>
      <c r="AE68" s="98"/>
      <c r="AF68" s="98"/>
      <c r="AG68" s="98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91"/>
      <c r="AW68" s="91"/>
      <c r="AX68" s="91"/>
      <c r="AY68" s="91"/>
      <c r="AZ68" s="91"/>
      <c r="BA68" s="91"/>
      <c r="BB68" s="91"/>
      <c r="BC68" s="91"/>
    </row>
    <row r="69" spans="1:55" s="96" customFormat="1" ht="12.95" customHeight="1">
      <c r="A69" s="97">
        <v>63</v>
      </c>
      <c r="B69" s="4" t="s">
        <v>73</v>
      </c>
      <c r="C69" s="98" t="s">
        <v>187</v>
      </c>
      <c r="D69" s="98"/>
      <c r="E69" s="98"/>
      <c r="F69" s="98" t="s">
        <v>187</v>
      </c>
      <c r="G69" s="98"/>
      <c r="H69" s="98" t="s">
        <v>189</v>
      </c>
      <c r="I69" s="98"/>
      <c r="J69" s="98"/>
      <c r="K69" s="98" t="s">
        <v>187</v>
      </c>
      <c r="L69" s="98"/>
      <c r="M69" s="98"/>
      <c r="N69" s="98"/>
      <c r="O69" s="98" t="s">
        <v>189</v>
      </c>
      <c r="P69" s="98"/>
      <c r="Q69" s="98" t="s">
        <v>189</v>
      </c>
      <c r="R69" s="98"/>
      <c r="S69" s="98"/>
      <c r="T69" s="98"/>
      <c r="U69" s="98"/>
      <c r="V69" s="98" t="s">
        <v>187</v>
      </c>
      <c r="W69" s="98" t="s">
        <v>189</v>
      </c>
      <c r="X69" s="98"/>
      <c r="Y69" s="98" t="s">
        <v>187</v>
      </c>
      <c r="Z69" s="98"/>
      <c r="AA69" s="98"/>
      <c r="AB69" s="98"/>
      <c r="AC69" s="98" t="s">
        <v>189</v>
      </c>
      <c r="AD69" s="98"/>
      <c r="AE69" s="98" t="s">
        <v>188</v>
      </c>
      <c r="AF69" s="98"/>
      <c r="AG69" s="98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91"/>
      <c r="AW69" s="91"/>
      <c r="AX69" s="91"/>
      <c r="AY69" s="91"/>
      <c r="AZ69" s="91"/>
      <c r="BA69" s="91"/>
      <c r="BB69" s="91"/>
      <c r="BC69" s="91"/>
    </row>
    <row r="70" spans="1:55" s="96" customFormat="1" ht="12.95" customHeight="1">
      <c r="A70" s="97">
        <v>64</v>
      </c>
      <c r="B70" s="4" t="s">
        <v>74</v>
      </c>
      <c r="C70" s="98"/>
      <c r="D70" s="98"/>
      <c r="E70" s="98"/>
      <c r="F70" s="98"/>
      <c r="G70" s="98"/>
      <c r="H70" s="98" t="s">
        <v>189</v>
      </c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 t="s">
        <v>187</v>
      </c>
      <c r="AG70" s="98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91"/>
      <c r="AW70" s="91"/>
      <c r="AX70" s="91"/>
      <c r="AY70" s="91"/>
      <c r="AZ70" s="91"/>
      <c r="BA70" s="91"/>
      <c r="BB70" s="91"/>
      <c r="BC70" s="91"/>
    </row>
    <row r="71" spans="1:55" s="96" customFormat="1" ht="12.95" customHeight="1">
      <c r="A71" s="97">
        <v>65</v>
      </c>
      <c r="B71" s="4" t="s">
        <v>75</v>
      </c>
      <c r="C71" s="98"/>
      <c r="D71" s="98" t="s">
        <v>189</v>
      </c>
      <c r="E71" s="98"/>
      <c r="F71" s="98"/>
      <c r="G71" s="98"/>
      <c r="H71" s="98" t="s">
        <v>187</v>
      </c>
      <c r="I71" s="98"/>
      <c r="J71" s="98"/>
      <c r="K71" s="98" t="s">
        <v>188</v>
      </c>
      <c r="L71" s="98"/>
      <c r="M71" s="98"/>
      <c r="N71" s="98"/>
      <c r="O71" s="98" t="s">
        <v>187</v>
      </c>
      <c r="P71" s="98"/>
      <c r="Q71" s="98" t="s">
        <v>189</v>
      </c>
      <c r="R71" s="98"/>
      <c r="S71" s="98"/>
      <c r="T71" s="98"/>
      <c r="U71" s="98"/>
      <c r="V71" s="98" t="s">
        <v>187</v>
      </c>
      <c r="W71" s="98"/>
      <c r="X71" s="98"/>
      <c r="Y71" s="98"/>
      <c r="Z71" s="98" t="s">
        <v>189</v>
      </c>
      <c r="AA71" s="98"/>
      <c r="AB71" s="98"/>
      <c r="AC71" s="98"/>
      <c r="AD71" s="98"/>
      <c r="AE71" s="98"/>
      <c r="AF71" s="98" t="s">
        <v>187</v>
      </c>
      <c r="AG71" s="98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91"/>
      <c r="AW71" s="91"/>
      <c r="AX71" s="91"/>
      <c r="AY71" s="91"/>
      <c r="AZ71" s="91"/>
      <c r="BA71" s="91"/>
      <c r="BB71" s="91"/>
      <c r="BC71" s="91"/>
    </row>
    <row r="72" spans="1:55" s="96" customFormat="1" ht="12.95" customHeight="1">
      <c r="A72" s="97">
        <v>66</v>
      </c>
      <c r="B72" s="4" t="s">
        <v>76</v>
      </c>
      <c r="C72" s="98" t="s">
        <v>187</v>
      </c>
      <c r="D72" s="98"/>
      <c r="E72" s="98"/>
      <c r="F72" s="98"/>
      <c r="G72" s="98"/>
      <c r="H72" s="98"/>
      <c r="I72" s="98" t="s">
        <v>189</v>
      </c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91"/>
      <c r="AW72" s="91"/>
      <c r="AX72" s="91"/>
      <c r="AY72" s="91"/>
      <c r="AZ72" s="91"/>
      <c r="BA72" s="91"/>
      <c r="BB72" s="91"/>
      <c r="BC72" s="91"/>
    </row>
    <row r="73" spans="1:55" s="96" customFormat="1" ht="12.95" customHeight="1">
      <c r="A73" s="97">
        <v>67</v>
      </c>
      <c r="B73" s="4" t="s">
        <v>77</v>
      </c>
      <c r="C73" s="98" t="s">
        <v>189</v>
      </c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91"/>
      <c r="AW73" s="91"/>
      <c r="AX73" s="91"/>
      <c r="AY73" s="91"/>
      <c r="AZ73" s="91"/>
      <c r="BA73" s="91"/>
      <c r="BB73" s="91"/>
      <c r="BC73" s="91"/>
    </row>
    <row r="74" spans="1:55" s="96" customFormat="1" ht="12.95" customHeight="1">
      <c r="A74" s="97">
        <v>68</v>
      </c>
      <c r="B74" s="4" t="s">
        <v>78</v>
      </c>
      <c r="C74" s="98"/>
      <c r="D74" s="98"/>
      <c r="E74" s="98"/>
      <c r="F74" s="98" t="s">
        <v>189</v>
      </c>
      <c r="G74" s="98"/>
      <c r="H74" s="98"/>
      <c r="I74" s="98" t="s">
        <v>187</v>
      </c>
      <c r="J74" s="98"/>
      <c r="K74" s="98" t="s">
        <v>189</v>
      </c>
      <c r="L74" s="98"/>
      <c r="M74" s="98"/>
      <c r="N74" s="98"/>
      <c r="O74" s="98" t="s">
        <v>188</v>
      </c>
      <c r="P74" s="98"/>
      <c r="Q74" s="98"/>
      <c r="R74" s="98"/>
      <c r="S74" s="98" t="s">
        <v>187</v>
      </c>
      <c r="T74" s="98"/>
      <c r="U74" s="98"/>
      <c r="V74" s="98"/>
      <c r="W74" s="98"/>
      <c r="X74" s="98"/>
      <c r="Y74" s="98" t="s">
        <v>188</v>
      </c>
      <c r="Z74" s="98"/>
      <c r="AA74" s="98"/>
      <c r="AB74" s="98"/>
      <c r="AC74" s="98" t="s">
        <v>188</v>
      </c>
      <c r="AD74" s="98"/>
      <c r="AE74" s="98" t="s">
        <v>187</v>
      </c>
      <c r="AF74" s="98"/>
      <c r="AG74" s="98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91"/>
      <c r="AW74" s="91"/>
      <c r="AX74" s="91"/>
      <c r="AY74" s="91"/>
      <c r="AZ74" s="91"/>
      <c r="BA74" s="91"/>
      <c r="BB74" s="91"/>
      <c r="BC74" s="91"/>
    </row>
    <row r="75" spans="1:55" s="96" customFormat="1" ht="12.95" customHeight="1">
      <c r="A75" s="97">
        <v>69</v>
      </c>
      <c r="B75" s="4" t="s">
        <v>79</v>
      </c>
      <c r="C75" s="98"/>
      <c r="D75" s="98"/>
      <c r="E75" s="98"/>
      <c r="F75" s="98"/>
      <c r="G75" s="98"/>
      <c r="H75" s="98"/>
      <c r="I75" s="98" t="s">
        <v>189</v>
      </c>
      <c r="J75" s="98"/>
      <c r="K75" s="98"/>
      <c r="L75" s="98"/>
      <c r="M75" s="98"/>
      <c r="N75" s="98"/>
      <c r="O75" s="98"/>
      <c r="P75" s="98" t="s">
        <v>187</v>
      </c>
      <c r="Q75" s="98"/>
      <c r="R75" s="98"/>
      <c r="S75" s="98"/>
      <c r="T75" s="98"/>
      <c r="U75" s="98"/>
      <c r="V75" s="98"/>
      <c r="W75" s="98"/>
      <c r="X75" s="98"/>
      <c r="Y75" s="98" t="s">
        <v>187</v>
      </c>
      <c r="Z75" s="98"/>
      <c r="AA75" s="98"/>
      <c r="AB75" s="98"/>
      <c r="AC75" s="98"/>
      <c r="AD75" s="98"/>
      <c r="AE75" s="98"/>
      <c r="AF75" s="98"/>
      <c r="AG75" s="98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91"/>
      <c r="AW75" s="91"/>
      <c r="AX75" s="91"/>
      <c r="AY75" s="91"/>
      <c r="AZ75" s="91"/>
      <c r="BA75" s="91"/>
      <c r="BB75" s="91"/>
      <c r="BC75" s="91"/>
    </row>
    <row r="76" spans="1:55" s="96" customFormat="1" ht="12.95" customHeight="1">
      <c r="A76" s="97">
        <v>70</v>
      </c>
      <c r="B76" s="4" t="s">
        <v>80</v>
      </c>
      <c r="C76" s="98" t="s">
        <v>189</v>
      </c>
      <c r="D76" s="98"/>
      <c r="E76" s="98"/>
      <c r="F76" s="98"/>
      <c r="G76" s="98"/>
      <c r="H76" s="98"/>
      <c r="I76" s="98" t="s">
        <v>188</v>
      </c>
      <c r="J76" s="98"/>
      <c r="K76" s="98"/>
      <c r="L76" s="98" t="s">
        <v>187</v>
      </c>
      <c r="M76" s="98"/>
      <c r="N76" s="98"/>
      <c r="O76" s="98"/>
      <c r="P76" s="98"/>
      <c r="Q76" s="98"/>
      <c r="R76" s="98"/>
      <c r="S76" s="98" t="s">
        <v>187</v>
      </c>
      <c r="T76" s="98"/>
      <c r="U76" s="98"/>
      <c r="V76" s="98" t="s">
        <v>189</v>
      </c>
      <c r="W76" s="98"/>
      <c r="X76" s="98"/>
      <c r="Y76" s="98" t="s">
        <v>187</v>
      </c>
      <c r="Z76" s="98"/>
      <c r="AA76" s="98"/>
      <c r="AB76" s="98"/>
      <c r="AC76" s="98" t="s">
        <v>187</v>
      </c>
      <c r="AD76" s="98"/>
      <c r="AE76" s="98" t="s">
        <v>189</v>
      </c>
      <c r="AF76" s="98"/>
      <c r="AG76" s="98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91"/>
      <c r="AW76" s="91"/>
      <c r="AX76" s="91"/>
      <c r="AY76" s="91"/>
      <c r="AZ76" s="91"/>
      <c r="BA76" s="91"/>
      <c r="BB76" s="91"/>
      <c r="BC76" s="91"/>
    </row>
    <row r="77" spans="1:55" s="96" customFormat="1" ht="12.95" customHeight="1">
      <c r="A77" s="97">
        <v>71</v>
      </c>
      <c r="B77" s="4" t="s">
        <v>81</v>
      </c>
      <c r="C77" s="98"/>
      <c r="D77" s="98"/>
      <c r="E77" s="98"/>
      <c r="F77" s="98" t="s">
        <v>188</v>
      </c>
      <c r="G77" s="98"/>
      <c r="H77" s="98"/>
      <c r="I77" s="98"/>
      <c r="J77" s="98" t="s">
        <v>187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 t="s">
        <v>188</v>
      </c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91"/>
      <c r="AW77" s="91"/>
      <c r="AX77" s="91"/>
      <c r="AY77" s="91"/>
      <c r="AZ77" s="91"/>
      <c r="BA77" s="91"/>
      <c r="BB77" s="91"/>
      <c r="BC77" s="91"/>
    </row>
    <row r="78" spans="1:55" s="96" customFormat="1" ht="12.95" customHeight="1">
      <c r="A78" s="97">
        <v>72</v>
      </c>
      <c r="B78" s="4" t="s">
        <v>82</v>
      </c>
      <c r="C78" s="98" t="s">
        <v>189</v>
      </c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 t="s">
        <v>188</v>
      </c>
      <c r="R78" s="98"/>
      <c r="S78" s="98"/>
      <c r="T78" s="98"/>
      <c r="U78" s="98"/>
      <c r="V78" s="98"/>
      <c r="W78" s="98"/>
      <c r="X78" s="98"/>
      <c r="Y78" s="98" t="s">
        <v>187</v>
      </c>
      <c r="Z78" s="98"/>
      <c r="AA78" s="98"/>
      <c r="AB78" s="98"/>
      <c r="AC78" s="98"/>
      <c r="AD78" s="98"/>
      <c r="AE78" s="98"/>
      <c r="AF78" s="98"/>
      <c r="AG78" s="98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91"/>
      <c r="AW78" s="91"/>
      <c r="AX78" s="91"/>
      <c r="AY78" s="91"/>
      <c r="AZ78" s="91"/>
      <c r="BA78" s="91"/>
      <c r="BB78" s="91"/>
      <c r="BC78" s="91"/>
    </row>
    <row r="79" spans="1:55" s="96" customFormat="1" ht="12.95" customHeight="1">
      <c r="A79" s="97">
        <v>73</v>
      </c>
      <c r="B79" s="4" t="s">
        <v>83</v>
      </c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 t="s">
        <v>187</v>
      </c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91"/>
      <c r="AW79" s="91"/>
      <c r="AX79" s="91"/>
      <c r="AY79" s="91"/>
      <c r="AZ79" s="91"/>
      <c r="BA79" s="91"/>
      <c r="BB79" s="91"/>
      <c r="BC79" s="91"/>
    </row>
    <row r="80" spans="1:55" s="96" customFormat="1" ht="12.95" customHeight="1">
      <c r="A80" s="97">
        <v>74</v>
      </c>
      <c r="B80" s="4" t="s">
        <v>84</v>
      </c>
      <c r="C80" s="98"/>
      <c r="D80" s="98"/>
      <c r="E80" s="98"/>
      <c r="F80" s="98"/>
      <c r="G80" s="98"/>
      <c r="H80" s="98"/>
      <c r="I80" s="98" t="s">
        <v>189</v>
      </c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91"/>
      <c r="AW80" s="91"/>
      <c r="AX80" s="91"/>
      <c r="AY80" s="91"/>
      <c r="AZ80" s="91"/>
      <c r="BA80" s="91"/>
      <c r="BB80" s="91"/>
      <c r="BC80" s="91"/>
    </row>
    <row r="81" spans="1:55" s="96" customFormat="1" ht="12.95" customHeight="1">
      <c r="A81" s="97">
        <v>76</v>
      </c>
      <c r="B81" s="4" t="s">
        <v>85</v>
      </c>
      <c r="C81" s="98" t="s">
        <v>187</v>
      </c>
      <c r="D81" s="98"/>
      <c r="E81" s="98"/>
      <c r="F81" s="98" t="s">
        <v>187</v>
      </c>
      <c r="G81" s="98"/>
      <c r="H81" s="98"/>
      <c r="I81" s="98"/>
      <c r="J81" s="98" t="s">
        <v>189</v>
      </c>
      <c r="K81" s="98"/>
      <c r="L81" s="98"/>
      <c r="M81" s="98"/>
      <c r="N81" s="98"/>
      <c r="O81" s="98"/>
      <c r="P81" s="98" t="s">
        <v>187</v>
      </c>
      <c r="Q81" s="98"/>
      <c r="R81" s="98"/>
      <c r="S81" s="98"/>
      <c r="T81" s="98"/>
      <c r="U81" s="98"/>
      <c r="V81" s="98"/>
      <c r="W81" s="98"/>
      <c r="X81" s="98" t="s">
        <v>189</v>
      </c>
      <c r="Y81" s="98"/>
      <c r="Z81" s="98"/>
      <c r="AA81" s="98"/>
      <c r="AB81" s="98"/>
      <c r="AC81" s="98"/>
      <c r="AD81" s="98"/>
      <c r="AE81" s="98"/>
      <c r="AF81" s="98" t="s">
        <v>187</v>
      </c>
      <c r="AG81" s="98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91"/>
      <c r="AW81" s="91"/>
      <c r="AX81" s="91"/>
      <c r="AY81" s="91"/>
      <c r="AZ81" s="91"/>
      <c r="BA81" s="91"/>
      <c r="BB81" s="91"/>
      <c r="BC81" s="91"/>
    </row>
    <row r="82" spans="1:55" s="96" customFormat="1" ht="12.95" customHeight="1">
      <c r="A82" s="97">
        <v>77</v>
      </c>
      <c r="B82" s="4" t="s">
        <v>86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 t="s">
        <v>187</v>
      </c>
      <c r="S82" s="98"/>
      <c r="T82" s="98" t="s">
        <v>189</v>
      </c>
      <c r="U82" s="98"/>
      <c r="V82" s="98"/>
      <c r="W82" s="98" t="s">
        <v>187</v>
      </c>
      <c r="X82" s="98"/>
      <c r="Y82" s="98" t="s">
        <v>188</v>
      </c>
      <c r="Z82" s="98"/>
      <c r="AA82" s="98"/>
      <c r="AB82" s="98"/>
      <c r="AC82" s="98"/>
      <c r="AD82" s="98"/>
      <c r="AE82" s="98"/>
      <c r="AF82" s="98"/>
      <c r="AG82" s="98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91"/>
      <c r="AW82" s="91"/>
      <c r="AX82" s="91"/>
      <c r="AY82" s="91"/>
      <c r="AZ82" s="91"/>
      <c r="BA82" s="91"/>
      <c r="BB82" s="91"/>
      <c r="BC82" s="91"/>
    </row>
    <row r="83" spans="1:55" s="96" customFormat="1" ht="12.95" customHeight="1">
      <c r="A83" s="97">
        <v>78</v>
      </c>
      <c r="B83" s="4" t="s">
        <v>87</v>
      </c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 t="s">
        <v>187</v>
      </c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91"/>
      <c r="AW83" s="91"/>
      <c r="AX83" s="91"/>
      <c r="AY83" s="91"/>
      <c r="AZ83" s="91"/>
      <c r="BA83" s="91"/>
      <c r="BB83" s="91"/>
      <c r="BC83" s="91"/>
    </row>
    <row r="84" spans="1:55" s="96" customFormat="1" ht="12.95" customHeight="1">
      <c r="A84" s="97">
        <v>79</v>
      </c>
      <c r="B84" s="4" t="s">
        <v>88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91"/>
      <c r="AW84" s="91"/>
      <c r="AX84" s="91"/>
      <c r="AY84" s="91"/>
      <c r="AZ84" s="91"/>
      <c r="BA84" s="91"/>
      <c r="BB84" s="91"/>
      <c r="BC84" s="91"/>
    </row>
    <row r="85" spans="1:55" s="96" customFormat="1" ht="12.95" customHeight="1">
      <c r="A85" s="97">
        <v>80</v>
      </c>
      <c r="B85" s="4" t="s">
        <v>89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 t="s">
        <v>188</v>
      </c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91"/>
      <c r="AW85" s="91"/>
      <c r="AX85" s="91"/>
      <c r="AY85" s="91"/>
      <c r="AZ85" s="91"/>
      <c r="BA85" s="91"/>
      <c r="BB85" s="91"/>
      <c r="BC85" s="91"/>
    </row>
    <row r="86" spans="1:55" s="96" customFormat="1" ht="12.95" customHeight="1">
      <c r="A86" s="97">
        <v>81</v>
      </c>
      <c r="B86" s="4" t="s">
        <v>90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91"/>
      <c r="AW86" s="91"/>
      <c r="AX86" s="91"/>
      <c r="AY86" s="91"/>
      <c r="AZ86" s="91"/>
      <c r="BA86" s="91"/>
      <c r="BB86" s="91"/>
      <c r="BC86" s="91"/>
    </row>
    <row r="87" spans="1:55" s="96" customFormat="1" ht="12.95" customHeight="1">
      <c r="A87" s="97">
        <v>82</v>
      </c>
      <c r="B87" s="4" t="s">
        <v>91</v>
      </c>
      <c r="C87" s="98"/>
      <c r="D87" s="98"/>
      <c r="E87" s="98"/>
      <c r="F87" s="98" t="s">
        <v>187</v>
      </c>
      <c r="G87" s="98"/>
      <c r="H87" s="98"/>
      <c r="I87" s="98" t="s">
        <v>187</v>
      </c>
      <c r="J87" s="98"/>
      <c r="K87" s="98"/>
      <c r="L87" s="98" t="s">
        <v>189</v>
      </c>
      <c r="M87" s="98"/>
      <c r="N87" s="98"/>
      <c r="O87" s="98"/>
      <c r="P87" s="98" t="s">
        <v>187</v>
      </c>
      <c r="Q87" s="98"/>
      <c r="R87" s="98"/>
      <c r="S87" s="98" t="s">
        <v>187</v>
      </c>
      <c r="T87" s="98"/>
      <c r="U87" s="98"/>
      <c r="V87" s="98"/>
      <c r="W87" s="98" t="s">
        <v>189</v>
      </c>
      <c r="X87" s="98"/>
      <c r="Y87" s="98"/>
      <c r="Z87" s="98"/>
      <c r="AA87" s="98"/>
      <c r="AB87" s="98"/>
      <c r="AC87" s="98"/>
      <c r="AD87" s="98"/>
      <c r="AE87" s="98"/>
      <c r="AF87" s="98" t="s">
        <v>187</v>
      </c>
      <c r="AG87" s="98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91"/>
      <c r="AW87" s="91"/>
      <c r="AX87" s="91"/>
      <c r="AY87" s="91"/>
      <c r="AZ87" s="91"/>
      <c r="BA87" s="91"/>
      <c r="BB87" s="91"/>
      <c r="BC87" s="91"/>
    </row>
    <row r="88" spans="1:55" s="96" customFormat="1" ht="12.95" customHeight="1">
      <c r="A88" s="97">
        <v>83</v>
      </c>
      <c r="B88" s="4" t="s">
        <v>92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 t="s">
        <v>187</v>
      </c>
      <c r="Q88" s="98"/>
      <c r="R88" s="98" t="s">
        <v>189</v>
      </c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91"/>
      <c r="AW88" s="91"/>
      <c r="AX88" s="91"/>
      <c r="AY88" s="91"/>
      <c r="AZ88" s="91"/>
      <c r="BA88" s="91"/>
      <c r="BB88" s="91"/>
      <c r="BC88" s="91"/>
    </row>
    <row r="89" spans="1:55" s="96" customFormat="1" ht="12.95" customHeight="1">
      <c r="A89" s="97">
        <v>84</v>
      </c>
      <c r="B89" s="4" t="s">
        <v>93</v>
      </c>
      <c r="C89" s="98" t="s">
        <v>187</v>
      </c>
      <c r="D89" s="98"/>
      <c r="E89" s="98"/>
      <c r="F89" s="98" t="s">
        <v>189</v>
      </c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 t="s">
        <v>187</v>
      </c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 t="s">
        <v>188</v>
      </c>
      <c r="AE89" s="98"/>
      <c r="AF89" s="98"/>
      <c r="AG89" s="98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91"/>
      <c r="AW89" s="91"/>
      <c r="AX89" s="91"/>
      <c r="AY89" s="91"/>
      <c r="AZ89" s="91"/>
      <c r="BA89" s="91"/>
      <c r="BB89" s="91"/>
      <c r="BC89" s="91"/>
    </row>
    <row r="90" spans="1:55" s="96" customFormat="1" ht="12.95" customHeight="1">
      <c r="A90" s="97">
        <v>85</v>
      </c>
      <c r="B90" s="4" t="s">
        <v>94</v>
      </c>
      <c r="C90" s="98" t="s">
        <v>187</v>
      </c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 t="s">
        <v>187</v>
      </c>
      <c r="Q90" s="98"/>
      <c r="R90" s="98"/>
      <c r="S90" s="98"/>
      <c r="T90" s="98"/>
      <c r="U90" s="98"/>
      <c r="V90" s="98" t="s">
        <v>187</v>
      </c>
      <c r="W90" s="98" t="s">
        <v>189</v>
      </c>
      <c r="X90" s="98"/>
      <c r="Y90" s="98"/>
      <c r="Z90" s="98"/>
      <c r="AA90" s="98"/>
      <c r="AB90" s="98"/>
      <c r="AC90" s="98"/>
      <c r="AD90" s="98"/>
      <c r="AE90" s="98"/>
      <c r="AF90" s="98" t="s">
        <v>187</v>
      </c>
      <c r="AG90" s="98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91"/>
      <c r="AW90" s="91"/>
      <c r="AX90" s="91"/>
      <c r="AY90" s="91"/>
      <c r="AZ90" s="91"/>
      <c r="BA90" s="91"/>
      <c r="BB90" s="91"/>
      <c r="BC90" s="91"/>
    </row>
    <row r="91" spans="1:55" s="96" customFormat="1" ht="12.95" customHeight="1">
      <c r="A91" s="97">
        <v>86</v>
      </c>
      <c r="B91" s="4" t="s">
        <v>95</v>
      </c>
      <c r="C91" s="98"/>
      <c r="D91" s="98"/>
      <c r="E91" s="98"/>
      <c r="F91" s="98" t="s">
        <v>187</v>
      </c>
      <c r="G91" s="98"/>
      <c r="H91" s="98"/>
      <c r="I91" s="98"/>
      <c r="J91" s="98" t="s">
        <v>187</v>
      </c>
      <c r="K91" s="98"/>
      <c r="L91" s="98"/>
      <c r="M91" s="98"/>
      <c r="N91" s="98"/>
      <c r="O91" s="98" t="s">
        <v>188</v>
      </c>
      <c r="P91" s="98"/>
      <c r="Q91" s="98"/>
      <c r="R91" s="98"/>
      <c r="S91" s="98"/>
      <c r="T91" s="98"/>
      <c r="U91" s="98"/>
      <c r="V91" s="98" t="s">
        <v>187</v>
      </c>
      <c r="W91" s="98"/>
      <c r="X91" s="98" t="s">
        <v>189</v>
      </c>
      <c r="Y91" s="98"/>
      <c r="Z91" s="98"/>
      <c r="AA91" s="98"/>
      <c r="AB91" s="98"/>
      <c r="AC91" s="98" t="s">
        <v>188</v>
      </c>
      <c r="AD91" s="98" t="s">
        <v>189</v>
      </c>
      <c r="AE91" s="98"/>
      <c r="AF91" s="98"/>
      <c r="AG91" s="98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91"/>
      <c r="AW91" s="91"/>
      <c r="AX91" s="91"/>
      <c r="AY91" s="91"/>
      <c r="AZ91" s="91"/>
      <c r="BA91" s="91"/>
      <c r="BB91" s="91"/>
      <c r="BC91" s="91"/>
    </row>
    <row r="92" spans="1:55" s="96" customFormat="1" ht="12.95" customHeight="1">
      <c r="A92" s="97">
        <v>87</v>
      </c>
      <c r="B92" s="4" t="s">
        <v>96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91"/>
      <c r="AW92" s="91"/>
      <c r="AX92" s="91"/>
      <c r="AY92" s="91"/>
      <c r="AZ92" s="91"/>
      <c r="BA92" s="91"/>
      <c r="BB92" s="91"/>
      <c r="BC92" s="91"/>
    </row>
    <row r="93" spans="1:55" s="96" customFormat="1" ht="12.95" customHeight="1">
      <c r="A93" s="97">
        <v>88</v>
      </c>
      <c r="B93" s="4" t="s">
        <v>97</v>
      </c>
      <c r="C93" s="98" t="s">
        <v>188</v>
      </c>
      <c r="D93" s="98"/>
      <c r="E93" s="98"/>
      <c r="F93" s="98" t="s">
        <v>188</v>
      </c>
      <c r="G93" s="98"/>
      <c r="H93" s="98" t="s">
        <v>189</v>
      </c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91"/>
      <c r="AW93" s="91"/>
      <c r="AX93" s="91"/>
      <c r="AY93" s="91"/>
      <c r="AZ93" s="91"/>
      <c r="BA93" s="91"/>
      <c r="BB93" s="91"/>
      <c r="BC93" s="91"/>
    </row>
    <row r="94" spans="1:55" s="96" customFormat="1" ht="12.95" customHeight="1">
      <c r="A94" s="97">
        <v>89</v>
      </c>
      <c r="B94" s="4" t="s">
        <v>98</v>
      </c>
      <c r="C94" s="98"/>
      <c r="D94" s="98"/>
      <c r="E94" s="98"/>
      <c r="F94" s="98"/>
      <c r="G94" s="98"/>
      <c r="H94" s="98"/>
      <c r="I94" s="98"/>
      <c r="J94" s="98" t="s">
        <v>189</v>
      </c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 t="s">
        <v>187</v>
      </c>
      <c r="Y94" s="98"/>
      <c r="Z94" s="98" t="s">
        <v>189</v>
      </c>
      <c r="AA94" s="98"/>
      <c r="AB94" s="98"/>
      <c r="AC94" s="98"/>
      <c r="AD94" s="98"/>
      <c r="AE94" s="98"/>
      <c r="AF94" s="98"/>
      <c r="AG94" s="98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91"/>
      <c r="AW94" s="91"/>
      <c r="AX94" s="91"/>
      <c r="AY94" s="91"/>
      <c r="AZ94" s="91"/>
      <c r="BA94" s="91"/>
      <c r="BB94" s="91"/>
      <c r="BC94" s="91"/>
    </row>
    <row r="95" spans="1:55" s="96" customFormat="1" ht="12.95" customHeight="1">
      <c r="A95" s="97">
        <v>90</v>
      </c>
      <c r="B95" s="4" t="s">
        <v>99</v>
      </c>
      <c r="C95" s="98" t="s">
        <v>187</v>
      </c>
      <c r="D95" s="98"/>
      <c r="E95" s="98"/>
      <c r="F95" s="98" t="s">
        <v>187</v>
      </c>
      <c r="G95" s="98"/>
      <c r="H95" s="98"/>
      <c r="I95" s="98" t="s">
        <v>189</v>
      </c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 t="s">
        <v>187</v>
      </c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91"/>
      <c r="AW95" s="91"/>
      <c r="AX95" s="91"/>
      <c r="AY95" s="91"/>
      <c r="AZ95" s="91"/>
      <c r="BA95" s="91"/>
      <c r="BB95" s="91"/>
      <c r="BC95" s="91"/>
    </row>
    <row r="96" spans="1:55" s="96" customFormat="1" ht="12.95" customHeight="1">
      <c r="A96" s="97">
        <v>91</v>
      </c>
      <c r="B96" s="4" t="s">
        <v>100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91"/>
      <c r="AW96" s="91"/>
      <c r="AX96" s="91"/>
      <c r="AY96" s="91"/>
      <c r="AZ96" s="91"/>
      <c r="BA96" s="91"/>
      <c r="BB96" s="91"/>
      <c r="BC96" s="91"/>
    </row>
    <row r="97" spans="1:55" s="96" customFormat="1" ht="12.95" customHeight="1">
      <c r="A97" s="97">
        <v>92</v>
      </c>
      <c r="B97" s="4" t="s">
        <v>101</v>
      </c>
      <c r="C97" s="98" t="s">
        <v>187</v>
      </c>
      <c r="D97" s="98" t="s">
        <v>189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91"/>
      <c r="AW97" s="91"/>
      <c r="AX97" s="91"/>
      <c r="AY97" s="91"/>
      <c r="AZ97" s="91"/>
      <c r="BA97" s="91"/>
      <c r="BB97" s="91"/>
      <c r="BC97" s="91"/>
    </row>
    <row r="98" spans="1:55" s="96" customFormat="1" ht="12.95" customHeight="1">
      <c r="A98" s="97">
        <v>93</v>
      </c>
      <c r="B98" s="4" t="s">
        <v>102</v>
      </c>
      <c r="C98" s="98" t="s">
        <v>187</v>
      </c>
      <c r="D98" s="98" t="s">
        <v>189</v>
      </c>
      <c r="E98" s="98"/>
      <c r="F98" s="98"/>
      <c r="G98" s="98"/>
      <c r="H98" s="98" t="s">
        <v>189</v>
      </c>
      <c r="I98" s="98"/>
      <c r="J98" s="98"/>
      <c r="K98" s="98"/>
      <c r="L98" s="98"/>
      <c r="M98" s="98"/>
      <c r="N98" s="98"/>
      <c r="O98" s="98"/>
      <c r="P98" s="98"/>
      <c r="Q98" s="98" t="s">
        <v>189</v>
      </c>
      <c r="R98" s="98"/>
      <c r="S98" s="98"/>
      <c r="T98" s="98"/>
      <c r="U98" s="98"/>
      <c r="V98" s="98"/>
      <c r="W98" s="98" t="s">
        <v>187</v>
      </c>
      <c r="X98" s="98"/>
      <c r="Y98" s="98"/>
      <c r="Z98" s="98" t="s">
        <v>189</v>
      </c>
      <c r="AA98" s="98"/>
      <c r="AB98" s="98"/>
      <c r="AC98" s="98"/>
      <c r="AD98" s="98" t="s">
        <v>188</v>
      </c>
      <c r="AE98" s="98" t="s">
        <v>189</v>
      </c>
      <c r="AF98" s="98"/>
      <c r="AG98" s="98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91"/>
      <c r="AW98" s="91"/>
      <c r="AX98" s="91"/>
      <c r="AY98" s="91"/>
      <c r="AZ98" s="91"/>
      <c r="BA98" s="91"/>
      <c r="BB98" s="91"/>
      <c r="BC98" s="91"/>
    </row>
    <row r="99" spans="1:55" s="96" customFormat="1" ht="12.95" customHeight="1">
      <c r="A99" s="97">
        <v>94</v>
      </c>
      <c r="B99" s="4" t="s">
        <v>103</v>
      </c>
      <c r="C99" s="98" t="s">
        <v>187</v>
      </c>
      <c r="D99" s="98"/>
      <c r="E99" s="98"/>
      <c r="F99" s="98" t="s">
        <v>189</v>
      </c>
      <c r="G99" s="98"/>
      <c r="H99" s="98"/>
      <c r="I99" s="98" t="s">
        <v>187</v>
      </c>
      <c r="J99" s="98"/>
      <c r="K99" s="98"/>
      <c r="L99" s="98"/>
      <c r="M99" s="98"/>
      <c r="N99" s="98"/>
      <c r="O99" s="98" t="s">
        <v>187</v>
      </c>
      <c r="P99" s="98"/>
      <c r="Q99" s="98"/>
      <c r="R99" s="98"/>
      <c r="S99" s="98" t="s">
        <v>187</v>
      </c>
      <c r="T99" s="98"/>
      <c r="U99" s="98"/>
      <c r="V99" s="98" t="s">
        <v>188</v>
      </c>
      <c r="W99" s="98"/>
      <c r="X99" s="98"/>
      <c r="Y99" s="98"/>
      <c r="Z99" s="98"/>
      <c r="AA99" s="98"/>
      <c r="AB99" s="98"/>
      <c r="AC99" s="98"/>
      <c r="AD99" s="98"/>
      <c r="AE99" s="98"/>
      <c r="AF99" s="98" t="s">
        <v>187</v>
      </c>
      <c r="AG99" s="98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91"/>
      <c r="AW99" s="91"/>
      <c r="AX99" s="91"/>
      <c r="AY99" s="91"/>
      <c r="AZ99" s="91"/>
      <c r="BA99" s="91"/>
      <c r="BB99" s="91"/>
      <c r="BC99" s="91"/>
    </row>
    <row r="100" spans="1:55" s="96" customFormat="1" ht="12.95" customHeight="1">
      <c r="A100" s="97">
        <v>95</v>
      </c>
      <c r="B100" s="4" t="s">
        <v>104</v>
      </c>
      <c r="C100" s="98" t="s">
        <v>188</v>
      </c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 t="s">
        <v>189</v>
      </c>
      <c r="R100" s="98"/>
      <c r="S100" s="98"/>
      <c r="T100" s="98"/>
      <c r="U100" s="98"/>
      <c r="V100" s="98" t="s">
        <v>189</v>
      </c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91"/>
      <c r="AW100" s="91"/>
      <c r="AX100" s="91"/>
      <c r="AY100" s="91"/>
      <c r="AZ100" s="91"/>
      <c r="BA100" s="91"/>
      <c r="BB100" s="91"/>
      <c r="BC100" s="91"/>
    </row>
    <row r="101" spans="1:55" s="96" customFormat="1" ht="12.95" customHeight="1">
      <c r="A101" s="97">
        <v>96</v>
      </c>
      <c r="B101" s="4" t="s">
        <v>105</v>
      </c>
      <c r="C101" s="98" t="s">
        <v>187</v>
      </c>
      <c r="D101" s="98"/>
      <c r="E101" s="98"/>
      <c r="F101" s="98" t="s">
        <v>187</v>
      </c>
      <c r="G101" s="98"/>
      <c r="H101" s="98"/>
      <c r="I101" s="98"/>
      <c r="J101" s="98"/>
      <c r="K101" s="98"/>
      <c r="L101" s="98"/>
      <c r="M101" s="98"/>
      <c r="N101" s="98"/>
      <c r="O101" s="98" t="s">
        <v>187</v>
      </c>
      <c r="P101" s="98"/>
      <c r="Q101" s="98" t="s">
        <v>189</v>
      </c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91"/>
      <c r="AW101" s="91"/>
      <c r="AX101" s="91"/>
      <c r="AY101" s="91"/>
      <c r="AZ101" s="91"/>
      <c r="BA101" s="91"/>
      <c r="BB101" s="91"/>
      <c r="BC101" s="91"/>
    </row>
    <row r="102" spans="1:55" s="96" customFormat="1" ht="12.95" customHeight="1">
      <c r="A102" s="97">
        <v>97</v>
      </c>
      <c r="B102" s="4" t="s">
        <v>106</v>
      </c>
      <c r="C102" s="98" t="s">
        <v>189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91"/>
      <c r="AW102" s="91"/>
      <c r="AX102" s="91"/>
      <c r="AY102" s="91"/>
      <c r="AZ102" s="91"/>
      <c r="BA102" s="91"/>
      <c r="BB102" s="91"/>
      <c r="BC102" s="91"/>
    </row>
    <row r="103" spans="1:55" s="96" customFormat="1" ht="12.95" customHeight="1">
      <c r="A103" s="97">
        <v>98</v>
      </c>
      <c r="B103" s="4" t="s">
        <v>107</v>
      </c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91"/>
      <c r="AW103" s="91"/>
      <c r="AX103" s="91"/>
      <c r="AY103" s="91"/>
      <c r="AZ103" s="91"/>
      <c r="BA103" s="91"/>
      <c r="BB103" s="91"/>
      <c r="BC103" s="91"/>
    </row>
    <row r="104" spans="1:55" s="96" customFormat="1" ht="12.95" customHeight="1">
      <c r="A104" s="97">
        <v>99</v>
      </c>
      <c r="B104" s="4" t="s">
        <v>108</v>
      </c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91"/>
      <c r="AW104" s="91"/>
      <c r="AX104" s="91"/>
      <c r="AY104" s="91"/>
      <c r="AZ104" s="91"/>
      <c r="BA104" s="91"/>
      <c r="BB104" s="91"/>
      <c r="BC104" s="91"/>
    </row>
    <row r="105" spans="1:55" s="96" customFormat="1" ht="12.95" customHeight="1">
      <c r="A105" s="97">
        <v>100</v>
      </c>
      <c r="B105" s="4" t="s">
        <v>109</v>
      </c>
      <c r="C105" s="98" t="s">
        <v>187</v>
      </c>
      <c r="D105" s="98"/>
      <c r="E105" s="98"/>
      <c r="F105" s="98"/>
      <c r="G105" s="98"/>
      <c r="H105" s="98"/>
      <c r="I105" s="98"/>
      <c r="J105" s="98"/>
      <c r="K105" s="98" t="s">
        <v>187</v>
      </c>
      <c r="L105" s="98"/>
      <c r="M105" s="98"/>
      <c r="N105" s="98"/>
      <c r="O105" s="98" t="s">
        <v>188</v>
      </c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91"/>
      <c r="AW105" s="91"/>
      <c r="AX105" s="91"/>
      <c r="AY105" s="91"/>
      <c r="AZ105" s="91"/>
      <c r="BA105" s="91"/>
      <c r="BB105" s="91"/>
      <c r="BC105" s="91"/>
    </row>
    <row r="106" spans="1:55" s="96" customFormat="1" ht="12.95" customHeight="1">
      <c r="A106" s="97">
        <v>101</v>
      </c>
      <c r="B106" s="4" t="s">
        <v>110</v>
      </c>
      <c r="C106" s="98" t="s">
        <v>187</v>
      </c>
      <c r="D106" s="98"/>
      <c r="E106" s="98"/>
      <c r="F106" s="98" t="s">
        <v>189</v>
      </c>
      <c r="G106" s="98"/>
      <c r="H106" s="98"/>
      <c r="I106" s="98"/>
      <c r="J106" s="98"/>
      <c r="K106" s="98"/>
      <c r="L106" s="98"/>
      <c r="M106" s="98"/>
      <c r="N106" s="98"/>
      <c r="O106" s="98"/>
      <c r="P106" s="98" t="s">
        <v>187</v>
      </c>
      <c r="Q106" s="98"/>
      <c r="R106" s="98" t="s">
        <v>189</v>
      </c>
      <c r="S106" s="98"/>
      <c r="T106" s="98"/>
      <c r="U106" s="98"/>
      <c r="V106" s="98"/>
      <c r="W106" s="98" t="s">
        <v>187</v>
      </c>
      <c r="X106" s="98"/>
      <c r="Y106" s="98"/>
      <c r="Z106" s="98"/>
      <c r="AA106" s="98" t="s">
        <v>189</v>
      </c>
      <c r="AB106" s="98"/>
      <c r="AC106" s="98"/>
      <c r="AD106" s="98"/>
      <c r="AE106" s="98"/>
      <c r="AF106" s="98"/>
      <c r="AG106" s="98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91"/>
      <c r="AW106" s="91"/>
      <c r="AX106" s="91"/>
      <c r="AY106" s="91"/>
      <c r="AZ106" s="91"/>
      <c r="BA106" s="91"/>
      <c r="BB106" s="91"/>
      <c r="BC106" s="91"/>
    </row>
    <row r="107" spans="1:55" s="96" customFormat="1" ht="12.95" customHeight="1">
      <c r="A107" s="97">
        <v>102</v>
      </c>
      <c r="B107" s="4" t="s">
        <v>111</v>
      </c>
      <c r="C107" s="98" t="s">
        <v>187</v>
      </c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91"/>
      <c r="AW107" s="91"/>
      <c r="AX107" s="91"/>
      <c r="AY107" s="91"/>
      <c r="AZ107" s="91"/>
      <c r="BA107" s="91"/>
      <c r="BB107" s="91"/>
      <c r="BC107" s="91"/>
    </row>
    <row r="108" spans="1:55" s="96" customFormat="1" ht="12.95" customHeight="1">
      <c r="A108" s="97">
        <v>103</v>
      </c>
      <c r="B108" s="4" t="s">
        <v>112</v>
      </c>
      <c r="C108" s="98"/>
      <c r="D108" s="98" t="s">
        <v>187</v>
      </c>
      <c r="E108" s="98"/>
      <c r="F108" s="98"/>
      <c r="G108" s="98"/>
      <c r="H108" s="98" t="s">
        <v>189</v>
      </c>
      <c r="I108" s="98"/>
      <c r="J108" s="98"/>
      <c r="K108" s="98"/>
      <c r="L108" s="98" t="s">
        <v>187</v>
      </c>
      <c r="M108" s="98"/>
      <c r="N108" s="98"/>
      <c r="O108" s="98" t="s">
        <v>189</v>
      </c>
      <c r="P108" s="98"/>
      <c r="Q108" s="98"/>
      <c r="R108" s="98"/>
      <c r="S108" s="98" t="s">
        <v>187</v>
      </c>
      <c r="T108" s="98"/>
      <c r="U108" s="98"/>
      <c r="V108" s="98" t="s">
        <v>189</v>
      </c>
      <c r="W108" s="98"/>
      <c r="X108" s="98"/>
      <c r="Y108" s="98"/>
      <c r="Z108" s="98" t="s">
        <v>187</v>
      </c>
      <c r="AA108" s="98"/>
      <c r="AB108" s="98"/>
      <c r="AC108" s="98" t="s">
        <v>189</v>
      </c>
      <c r="AD108" s="98"/>
      <c r="AE108" s="98" t="s">
        <v>187</v>
      </c>
      <c r="AF108" s="98"/>
      <c r="AG108" s="98"/>
      <c r="AH108" s="102" t="s">
        <v>179</v>
      </c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91"/>
      <c r="AW108" s="91"/>
      <c r="AX108" s="91"/>
      <c r="AY108" s="91"/>
      <c r="AZ108" s="91"/>
      <c r="BA108" s="91"/>
      <c r="BB108" s="91"/>
      <c r="BC108" s="91"/>
    </row>
    <row r="109" spans="1:55" s="96" customFormat="1" ht="12.95" customHeight="1">
      <c r="A109" s="97">
        <v>104</v>
      </c>
      <c r="B109" s="4" t="s">
        <v>113</v>
      </c>
      <c r="C109" s="98" t="s">
        <v>189</v>
      </c>
      <c r="D109" s="98" t="s">
        <v>189</v>
      </c>
      <c r="E109" s="98"/>
      <c r="F109" s="98" t="s">
        <v>189</v>
      </c>
      <c r="G109" s="98"/>
      <c r="H109" s="98"/>
      <c r="I109" s="98" t="s">
        <v>189</v>
      </c>
      <c r="J109" s="98"/>
      <c r="K109" s="98"/>
      <c r="L109" s="98"/>
      <c r="M109" s="98"/>
      <c r="N109" s="98"/>
      <c r="O109" s="98"/>
      <c r="P109" s="98"/>
      <c r="Q109" s="98"/>
      <c r="R109" s="98"/>
      <c r="S109" s="98" t="s">
        <v>189</v>
      </c>
      <c r="T109" s="98"/>
      <c r="U109" s="98"/>
      <c r="V109" s="98"/>
      <c r="W109" s="98"/>
      <c r="X109" s="98"/>
      <c r="Y109" s="98"/>
      <c r="Z109" s="98"/>
      <c r="AA109" s="98"/>
      <c r="AB109" s="98"/>
      <c r="AC109" s="98" t="s">
        <v>189</v>
      </c>
      <c r="AD109" s="98"/>
      <c r="AE109" s="98"/>
      <c r="AF109" s="98"/>
      <c r="AG109" s="98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91"/>
      <c r="AW109" s="91"/>
      <c r="AX109" s="91"/>
      <c r="AY109" s="91"/>
      <c r="AZ109" s="91"/>
      <c r="BA109" s="91"/>
      <c r="BB109" s="91"/>
      <c r="BC109" s="91"/>
    </row>
    <row r="110" spans="1:55" s="96" customFormat="1" ht="12.95" hidden="1" customHeight="1">
      <c r="A110" s="97">
        <v>105</v>
      </c>
      <c r="B110" s="104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91"/>
      <c r="AW110" s="91"/>
      <c r="AX110" s="91"/>
      <c r="AY110" s="91"/>
      <c r="AZ110" s="91"/>
      <c r="BA110" s="91"/>
      <c r="BB110" s="91"/>
      <c r="BC110" s="91"/>
    </row>
    <row r="111" spans="1:55" s="96" customFormat="1" ht="12.95" hidden="1" customHeight="1">
      <c r="A111" s="97">
        <v>106</v>
      </c>
      <c r="B111" s="104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91"/>
      <c r="AW111" s="91"/>
      <c r="AX111" s="91"/>
      <c r="AY111" s="91"/>
      <c r="AZ111" s="91"/>
      <c r="BA111" s="91"/>
      <c r="BB111" s="91"/>
      <c r="BC111" s="91"/>
    </row>
    <row r="112" spans="1:55" s="96" customFormat="1" ht="12.95" hidden="1" customHeight="1">
      <c r="A112" s="97">
        <v>107</v>
      </c>
      <c r="B112" s="104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91"/>
      <c r="AW112" s="91"/>
      <c r="AX112" s="91"/>
      <c r="AY112" s="91"/>
      <c r="AZ112" s="91"/>
      <c r="BA112" s="91"/>
      <c r="BB112" s="91"/>
      <c r="BC112" s="91"/>
    </row>
    <row r="113" spans="1:55" s="96" customFormat="1" ht="12.95" hidden="1" customHeight="1">
      <c r="A113" s="97">
        <v>108</v>
      </c>
      <c r="B113" s="104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91"/>
      <c r="AW113" s="91"/>
      <c r="AX113" s="91"/>
      <c r="AY113" s="91"/>
      <c r="AZ113" s="91"/>
      <c r="BA113" s="91"/>
      <c r="BB113" s="91"/>
      <c r="BC113" s="91"/>
    </row>
    <row r="114" spans="1:55" s="96" customFormat="1" ht="12.95" hidden="1" customHeight="1">
      <c r="A114" s="97">
        <v>109</v>
      </c>
      <c r="B114" s="104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91"/>
      <c r="AW114" s="91"/>
      <c r="AX114" s="91"/>
      <c r="AY114" s="91"/>
      <c r="AZ114" s="91"/>
      <c r="BA114" s="91"/>
      <c r="BB114" s="91"/>
      <c r="BC114" s="91"/>
    </row>
    <row r="115" spans="1:55" s="96" customFormat="1" ht="12.95" hidden="1" customHeight="1">
      <c r="A115" s="97">
        <v>110</v>
      </c>
      <c r="B115" s="104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91"/>
      <c r="AW115" s="91"/>
      <c r="AX115" s="91"/>
      <c r="AY115" s="91"/>
      <c r="AZ115" s="91"/>
      <c r="BA115" s="91"/>
      <c r="BB115" s="91"/>
      <c r="BC115" s="91"/>
    </row>
    <row r="116" spans="1:55" s="96" customFormat="1" ht="12.95" hidden="1" customHeight="1">
      <c r="A116" s="97">
        <v>111</v>
      </c>
      <c r="B116" s="104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91"/>
      <c r="AW116" s="91"/>
      <c r="AX116" s="91"/>
      <c r="AY116" s="91"/>
      <c r="AZ116" s="91"/>
      <c r="BA116" s="91"/>
      <c r="BB116" s="91"/>
      <c r="BC116" s="91"/>
    </row>
    <row r="117" spans="1:55" s="96" customFormat="1" ht="12.95" hidden="1" customHeight="1">
      <c r="A117" s="97">
        <v>112</v>
      </c>
      <c r="B117" s="104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91"/>
      <c r="AW117" s="91"/>
      <c r="AX117" s="91"/>
      <c r="AY117" s="91"/>
      <c r="AZ117" s="91"/>
      <c r="BA117" s="91"/>
      <c r="BB117" s="91"/>
      <c r="BC117" s="91"/>
    </row>
    <row r="118" spans="1:55" s="96" customFormat="1" ht="12.95" hidden="1" customHeight="1">
      <c r="A118" s="97">
        <v>113</v>
      </c>
      <c r="B118" s="104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91"/>
      <c r="AW118" s="91"/>
      <c r="AX118" s="91"/>
      <c r="AY118" s="91"/>
      <c r="AZ118" s="91"/>
      <c r="BA118" s="91"/>
      <c r="BB118" s="91"/>
      <c r="BC118" s="91"/>
    </row>
    <row r="119" spans="1:55" s="96" customFormat="1" ht="12.95" hidden="1" customHeight="1">
      <c r="A119" s="97">
        <v>114</v>
      </c>
      <c r="B119" s="104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91"/>
      <c r="AW119" s="91"/>
      <c r="AX119" s="91"/>
      <c r="AY119" s="91"/>
      <c r="AZ119" s="91"/>
      <c r="BA119" s="91"/>
      <c r="BB119" s="91"/>
      <c r="BC119" s="91"/>
    </row>
    <row r="120" spans="1:55" s="96" customFormat="1" ht="12.95" hidden="1" customHeight="1">
      <c r="A120" s="97">
        <v>115</v>
      </c>
      <c r="B120" s="104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91"/>
      <c r="AW120" s="91"/>
      <c r="AX120" s="91"/>
      <c r="AY120" s="91"/>
      <c r="AZ120" s="91"/>
      <c r="BA120" s="91"/>
      <c r="BB120" s="91"/>
      <c r="BC120" s="91"/>
    </row>
    <row r="121" spans="1:55" s="96" customFormat="1" ht="12.95" customHeight="1">
      <c r="A121" s="97"/>
      <c r="B121" s="104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91"/>
      <c r="AW121" s="91"/>
      <c r="AX121" s="91"/>
      <c r="AY121" s="91"/>
      <c r="AZ121" s="91"/>
      <c r="BA121" s="91"/>
      <c r="BB121" s="91"/>
      <c r="BC121" s="91"/>
    </row>
    <row r="122" spans="1:55" s="96" customFormat="1" ht="15" customHeight="1">
      <c r="A122" s="105"/>
      <c r="B122" s="106" t="s">
        <v>168</v>
      </c>
      <c r="C122" s="98">
        <f>COUNTA(C7:C121)</f>
        <v>35</v>
      </c>
      <c r="D122" s="98">
        <f>COUNTA(D7:D121)</f>
        <v>17</v>
      </c>
      <c r="E122" s="98">
        <f t="shared" ref="E122:AG122" si="0">COUNTA(E7:E121)</f>
        <v>0</v>
      </c>
      <c r="F122" s="98">
        <f t="shared" si="0"/>
        <v>30</v>
      </c>
      <c r="G122" s="98">
        <f t="shared" si="0"/>
        <v>0</v>
      </c>
      <c r="H122" s="98">
        <f t="shared" si="0"/>
        <v>21</v>
      </c>
      <c r="I122" s="98">
        <f t="shared" si="0"/>
        <v>19</v>
      </c>
      <c r="J122" s="98">
        <f t="shared" si="0"/>
        <v>15</v>
      </c>
      <c r="K122" s="98">
        <f t="shared" si="0"/>
        <v>16</v>
      </c>
      <c r="L122" s="98">
        <f t="shared" si="0"/>
        <v>17</v>
      </c>
      <c r="M122" s="98">
        <f t="shared" si="0"/>
        <v>0</v>
      </c>
      <c r="N122" s="98">
        <f t="shared" si="0"/>
        <v>0</v>
      </c>
      <c r="O122" s="98">
        <f t="shared" si="0"/>
        <v>20</v>
      </c>
      <c r="P122" s="98">
        <f t="shared" si="0"/>
        <v>20</v>
      </c>
      <c r="Q122" s="98">
        <f t="shared" si="0"/>
        <v>13</v>
      </c>
      <c r="R122" s="98">
        <f t="shared" si="0"/>
        <v>16</v>
      </c>
      <c r="S122" s="98">
        <f t="shared" si="0"/>
        <v>13</v>
      </c>
      <c r="T122" s="98">
        <f t="shared" si="0"/>
        <v>10</v>
      </c>
      <c r="U122" s="98">
        <f t="shared" si="0"/>
        <v>0</v>
      </c>
      <c r="V122" s="98">
        <f t="shared" si="0"/>
        <v>25</v>
      </c>
      <c r="W122" s="98">
        <f t="shared" si="0"/>
        <v>14</v>
      </c>
      <c r="X122" s="98">
        <f t="shared" si="0"/>
        <v>15</v>
      </c>
      <c r="Y122" s="98">
        <f t="shared" si="0"/>
        <v>15</v>
      </c>
      <c r="Z122" s="98">
        <f t="shared" si="0"/>
        <v>16</v>
      </c>
      <c r="AA122" s="98">
        <f t="shared" si="0"/>
        <v>9</v>
      </c>
      <c r="AB122" s="98">
        <f t="shared" si="0"/>
        <v>0</v>
      </c>
      <c r="AC122" s="98">
        <f t="shared" si="0"/>
        <v>22</v>
      </c>
      <c r="AD122" s="98">
        <f t="shared" si="0"/>
        <v>16</v>
      </c>
      <c r="AE122" s="98">
        <f t="shared" si="0"/>
        <v>17</v>
      </c>
      <c r="AF122" s="98">
        <f t="shared" si="0"/>
        <v>15</v>
      </c>
      <c r="AG122" s="98">
        <f t="shared" si="0"/>
        <v>0</v>
      </c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91"/>
      <c r="AW122" s="91"/>
      <c r="AX122" s="91"/>
      <c r="AY122" s="91"/>
      <c r="AZ122" s="91"/>
      <c r="BA122" s="91"/>
      <c r="BB122" s="91"/>
      <c r="BC122" s="91"/>
    </row>
    <row r="123" spans="1:5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</row>
    <row r="124" spans="1:55">
      <c r="A124" s="107" t="s">
        <v>188</v>
      </c>
      <c r="B124" s="108" t="s">
        <v>200</v>
      </c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 t="s">
        <v>179</v>
      </c>
      <c r="X124" s="90"/>
      <c r="Y124" s="90"/>
      <c r="Z124" s="90" t="s">
        <v>179</v>
      </c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</row>
    <row r="125" spans="1:55">
      <c r="A125" s="107" t="s">
        <v>187</v>
      </c>
      <c r="B125" s="108" t="s">
        <v>201</v>
      </c>
      <c r="C125" s="90"/>
      <c r="D125" s="90"/>
      <c r="E125" s="90"/>
      <c r="F125" s="90"/>
      <c r="G125" s="90"/>
      <c r="H125" s="90"/>
      <c r="I125" s="90"/>
      <c r="J125" s="90"/>
      <c r="K125" s="90"/>
      <c r="L125" s="90" t="s">
        <v>179</v>
      </c>
      <c r="M125" s="90"/>
      <c r="N125" s="90"/>
      <c r="O125" s="90" t="s">
        <v>179</v>
      </c>
      <c r="P125" s="90"/>
      <c r="Q125" s="90" t="s">
        <v>179</v>
      </c>
      <c r="R125" s="90"/>
      <c r="S125" s="90"/>
      <c r="T125" s="90"/>
      <c r="U125" s="90"/>
      <c r="V125" s="90"/>
      <c r="W125" s="90"/>
      <c r="X125" s="90" t="s">
        <v>179</v>
      </c>
      <c r="Y125" s="90"/>
      <c r="Z125" s="90"/>
      <c r="AA125" s="90" t="s">
        <v>179</v>
      </c>
      <c r="AB125" s="90"/>
      <c r="AC125" s="90"/>
      <c r="AD125" s="90"/>
      <c r="AE125" s="90"/>
      <c r="AF125" s="90"/>
      <c r="AG125" s="90"/>
      <c r="AH125" s="90"/>
      <c r="AI125" s="90" t="s">
        <v>179</v>
      </c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</row>
    <row r="126" spans="1:55">
      <c r="A126" s="107" t="s">
        <v>189</v>
      </c>
      <c r="B126" s="108" t="s">
        <v>202</v>
      </c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 t="s">
        <v>179</v>
      </c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</row>
    <row r="127" spans="1:5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 t="s">
        <v>179</v>
      </c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 t="s">
        <v>179</v>
      </c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</row>
    <row r="128" spans="1:55" ht="15.75">
      <c r="A128" s="125" t="s">
        <v>178</v>
      </c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</row>
    <row r="129" spans="1:55">
      <c r="A129" s="126" t="s">
        <v>232</v>
      </c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</row>
    <row r="130" spans="1:55">
      <c r="A130" s="91"/>
      <c r="B130" s="92" t="s">
        <v>180</v>
      </c>
      <c r="C130" s="90" t="s">
        <v>181</v>
      </c>
      <c r="D130" s="93" t="s">
        <v>182</v>
      </c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</row>
    <row r="131" spans="1:55">
      <c r="A131" s="92"/>
      <c r="B131" s="92" t="s">
        <v>183</v>
      </c>
      <c r="C131" s="90" t="s">
        <v>181</v>
      </c>
      <c r="D131" s="93" t="s">
        <v>184</v>
      </c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 t="s">
        <v>179</v>
      </c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</row>
    <row r="132" spans="1:55">
      <c r="A132" s="92"/>
      <c r="B132" s="92" t="s">
        <v>185</v>
      </c>
      <c r="C132" s="90" t="s">
        <v>181</v>
      </c>
      <c r="D132" s="93" t="s">
        <v>122</v>
      </c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</row>
    <row r="133" spans="1:55">
      <c r="A133" s="94" t="s">
        <v>2</v>
      </c>
      <c r="B133" s="94" t="s">
        <v>3</v>
      </c>
      <c r="C133" s="109">
        <v>1</v>
      </c>
      <c r="D133" s="94">
        <v>2</v>
      </c>
      <c r="E133" s="95">
        <v>3</v>
      </c>
      <c r="F133" s="94">
        <v>4</v>
      </c>
      <c r="G133" s="95">
        <v>5</v>
      </c>
      <c r="H133" s="94">
        <v>6</v>
      </c>
      <c r="I133" s="94">
        <v>7</v>
      </c>
      <c r="J133" s="109">
        <v>8</v>
      </c>
      <c r="K133" s="94">
        <v>9</v>
      </c>
      <c r="L133" s="94">
        <v>10</v>
      </c>
      <c r="M133" s="94">
        <v>11</v>
      </c>
      <c r="N133" s="95">
        <v>12</v>
      </c>
      <c r="O133" s="94">
        <v>13</v>
      </c>
      <c r="P133" s="94">
        <v>14</v>
      </c>
      <c r="Q133" s="109">
        <v>15</v>
      </c>
      <c r="R133" s="94">
        <v>16</v>
      </c>
      <c r="S133" s="109">
        <v>17</v>
      </c>
      <c r="T133" s="94">
        <v>18</v>
      </c>
      <c r="U133" s="95">
        <v>19</v>
      </c>
      <c r="V133" s="94">
        <v>20</v>
      </c>
      <c r="W133" s="109">
        <v>21</v>
      </c>
      <c r="X133" s="109">
        <v>22</v>
      </c>
      <c r="Y133" s="94">
        <v>23</v>
      </c>
      <c r="Z133" s="94">
        <v>24</v>
      </c>
      <c r="AA133" s="94">
        <v>25</v>
      </c>
      <c r="AB133" s="95">
        <v>26</v>
      </c>
      <c r="AC133" s="94">
        <v>27</v>
      </c>
      <c r="AD133" s="94">
        <v>28</v>
      </c>
      <c r="AE133" s="109">
        <v>29</v>
      </c>
      <c r="AF133" s="94">
        <v>30</v>
      </c>
      <c r="AG133" s="94">
        <v>31</v>
      </c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</row>
    <row r="134" spans="1:55">
      <c r="A134" s="97">
        <v>1</v>
      </c>
      <c r="B134" s="4" t="s">
        <v>214</v>
      </c>
      <c r="C134" s="98"/>
      <c r="D134" s="98"/>
      <c r="E134" s="98"/>
      <c r="F134" s="98"/>
      <c r="G134" s="98"/>
      <c r="H134" s="98" t="s">
        <v>188</v>
      </c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 t="s">
        <v>187</v>
      </c>
      <c r="X134" s="98" t="s">
        <v>189</v>
      </c>
      <c r="Y134" s="98"/>
      <c r="Z134" s="98"/>
      <c r="AA134" s="98"/>
      <c r="AB134" s="98"/>
      <c r="AC134" s="98" t="s">
        <v>187</v>
      </c>
      <c r="AD134" s="98"/>
      <c r="AE134" s="98"/>
      <c r="AF134" s="98" t="s">
        <v>189</v>
      </c>
      <c r="AG134" s="98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</row>
    <row r="135" spans="1:55">
      <c r="A135" s="97">
        <v>2</v>
      </c>
      <c r="B135" s="4" t="s">
        <v>207</v>
      </c>
      <c r="C135" s="98"/>
      <c r="D135" s="98"/>
      <c r="E135" s="98"/>
      <c r="F135" s="98"/>
      <c r="G135" s="98"/>
      <c r="H135" s="98" t="s">
        <v>187</v>
      </c>
      <c r="I135" s="98"/>
      <c r="J135" s="98"/>
      <c r="K135" s="98" t="s">
        <v>189</v>
      </c>
      <c r="L135" s="98"/>
      <c r="M135" s="98"/>
      <c r="N135" s="98"/>
      <c r="O135" s="98" t="s">
        <v>188</v>
      </c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</row>
    <row r="136" spans="1:55">
      <c r="A136" s="97">
        <v>3</v>
      </c>
      <c r="B136" s="4" t="s">
        <v>192</v>
      </c>
      <c r="C136" s="98"/>
      <c r="D136" s="98"/>
      <c r="E136" s="98"/>
      <c r="F136" s="98"/>
      <c r="G136" s="98"/>
      <c r="H136" s="98" t="s">
        <v>187</v>
      </c>
      <c r="I136" s="98" t="s">
        <v>189</v>
      </c>
      <c r="J136" s="98" t="s">
        <v>189</v>
      </c>
      <c r="K136" s="98"/>
      <c r="L136" s="98"/>
      <c r="M136" s="98"/>
      <c r="N136" s="98"/>
      <c r="O136" s="98" t="s">
        <v>188</v>
      </c>
      <c r="P136" s="98"/>
      <c r="Q136" s="98"/>
      <c r="R136" s="98"/>
      <c r="S136" s="98" t="s">
        <v>187</v>
      </c>
      <c r="T136" s="98" t="s">
        <v>189</v>
      </c>
      <c r="U136" s="98"/>
      <c r="V136" s="98"/>
      <c r="W136" s="98"/>
      <c r="X136" s="98" t="s">
        <v>189</v>
      </c>
      <c r="Y136" s="98"/>
      <c r="Z136" s="98"/>
      <c r="AA136" s="98"/>
      <c r="AB136" s="98"/>
      <c r="AC136" s="98"/>
      <c r="AD136" s="98"/>
      <c r="AE136" s="98"/>
      <c r="AF136" s="98"/>
      <c r="AG136" s="98"/>
      <c r="AH136" s="90"/>
      <c r="AI136" s="90" t="s">
        <v>179</v>
      </c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</row>
    <row r="137" spans="1:55">
      <c r="A137" s="97">
        <v>4</v>
      </c>
      <c r="B137" s="4" t="s">
        <v>204</v>
      </c>
      <c r="C137" s="98"/>
      <c r="D137" s="98"/>
      <c r="E137" s="98"/>
      <c r="F137" s="98"/>
      <c r="G137" s="98"/>
      <c r="H137" s="98" t="s">
        <v>187</v>
      </c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 t="s">
        <v>188</v>
      </c>
      <c r="AF137" s="98"/>
      <c r="AG137" s="98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</row>
    <row r="138" spans="1:55">
      <c r="A138" s="97">
        <v>5</v>
      </c>
      <c r="B138" s="4" t="s">
        <v>213</v>
      </c>
      <c r="C138" s="98"/>
      <c r="D138" s="98"/>
      <c r="E138" s="98"/>
      <c r="F138" s="98"/>
      <c r="G138" s="98"/>
      <c r="H138" s="98" t="s">
        <v>187</v>
      </c>
      <c r="I138" s="98"/>
      <c r="J138" s="98"/>
      <c r="K138" s="98"/>
      <c r="L138" s="98"/>
      <c r="M138" s="98"/>
      <c r="N138" s="98"/>
      <c r="O138" s="98"/>
      <c r="P138" s="98" t="s">
        <v>188</v>
      </c>
      <c r="Q138" s="98"/>
      <c r="R138" s="98"/>
      <c r="S138" s="98"/>
      <c r="T138" s="98"/>
      <c r="U138" s="98"/>
      <c r="V138" s="98" t="s">
        <v>187</v>
      </c>
      <c r="W138" s="98"/>
      <c r="X138" s="98"/>
      <c r="Y138" s="98"/>
      <c r="Z138" s="98"/>
      <c r="AA138" s="98" t="s">
        <v>189</v>
      </c>
      <c r="AB138" s="98"/>
      <c r="AC138" s="98"/>
      <c r="AD138" s="98"/>
      <c r="AE138" s="98"/>
      <c r="AF138" s="98"/>
      <c r="AG138" s="98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</row>
    <row r="139" spans="1:55">
      <c r="A139" s="97">
        <v>6</v>
      </c>
      <c r="B139" s="4" t="s">
        <v>195</v>
      </c>
      <c r="C139" s="98"/>
      <c r="D139" s="98"/>
      <c r="E139" s="98"/>
      <c r="F139" s="98"/>
      <c r="G139" s="98"/>
      <c r="H139" s="98" t="s">
        <v>188</v>
      </c>
      <c r="I139" s="98"/>
      <c r="J139" s="98"/>
      <c r="K139" s="98"/>
      <c r="L139" s="98"/>
      <c r="M139" s="98"/>
      <c r="N139" s="98"/>
      <c r="O139" s="98"/>
      <c r="P139" s="98" t="s">
        <v>188</v>
      </c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</row>
    <row r="140" spans="1:55">
      <c r="A140" s="97">
        <v>7</v>
      </c>
      <c r="B140" s="4" t="s">
        <v>197</v>
      </c>
      <c r="C140" s="98"/>
      <c r="D140" s="98"/>
      <c r="E140" s="98"/>
      <c r="F140" s="98"/>
      <c r="G140" s="98"/>
      <c r="H140" s="98" t="s">
        <v>187</v>
      </c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</row>
    <row r="141" spans="1:55">
      <c r="A141" s="97">
        <v>8</v>
      </c>
      <c r="B141" s="4" t="s">
        <v>215</v>
      </c>
      <c r="C141" s="98"/>
      <c r="D141" s="98"/>
      <c r="E141" s="98"/>
      <c r="F141" s="98"/>
      <c r="G141" s="98"/>
      <c r="H141" s="98" t="s">
        <v>187</v>
      </c>
      <c r="I141" s="98"/>
      <c r="J141" s="98"/>
      <c r="K141" s="98"/>
      <c r="L141" s="98"/>
      <c r="M141" s="98"/>
      <c r="N141" s="98"/>
      <c r="O141" s="98"/>
      <c r="P141" s="98" t="s">
        <v>187</v>
      </c>
      <c r="Q141" s="98" t="s">
        <v>189</v>
      </c>
      <c r="R141" s="98"/>
      <c r="S141" s="98"/>
      <c r="T141" s="98"/>
      <c r="U141" s="98"/>
      <c r="V141" s="98"/>
      <c r="W141" s="98" t="s">
        <v>187</v>
      </c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</row>
    <row r="142" spans="1:55">
      <c r="A142" s="97">
        <v>9</v>
      </c>
      <c r="B142" s="4" t="s">
        <v>230</v>
      </c>
      <c r="C142" s="98"/>
      <c r="D142" s="98"/>
      <c r="E142" s="98"/>
      <c r="F142" s="98"/>
      <c r="G142" s="98"/>
      <c r="H142" s="98" t="s">
        <v>187</v>
      </c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 t="s">
        <v>189</v>
      </c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0"/>
      <c r="AI142" s="90"/>
      <c r="AJ142" s="90"/>
      <c r="AK142" s="90"/>
      <c r="AL142" s="90"/>
      <c r="AM142" s="90"/>
      <c r="AN142" s="90" t="s">
        <v>179</v>
      </c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</row>
    <row r="143" spans="1:55">
      <c r="A143" s="97">
        <v>10</v>
      </c>
      <c r="B143" s="4" t="s">
        <v>206</v>
      </c>
      <c r="C143" s="98"/>
      <c r="D143" s="98"/>
      <c r="E143" s="98"/>
      <c r="F143" s="98"/>
      <c r="G143" s="98"/>
      <c r="H143" s="98"/>
      <c r="I143" s="98"/>
      <c r="J143" s="98" t="s">
        <v>189</v>
      </c>
      <c r="K143" s="98"/>
      <c r="L143" s="98"/>
      <c r="M143" s="98"/>
      <c r="N143" s="98"/>
      <c r="O143" s="98"/>
      <c r="P143" s="98" t="s">
        <v>189</v>
      </c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</row>
    <row r="144" spans="1:55">
      <c r="A144" s="97">
        <v>11</v>
      </c>
      <c r="B144" s="4" t="s">
        <v>196</v>
      </c>
      <c r="C144" s="98"/>
      <c r="D144" s="98"/>
      <c r="E144" s="98"/>
      <c r="F144" s="98"/>
      <c r="G144" s="98"/>
      <c r="H144" s="98"/>
      <c r="I144" s="98"/>
      <c r="J144" s="98" t="s">
        <v>187</v>
      </c>
      <c r="K144" s="98"/>
      <c r="L144" s="98"/>
      <c r="M144" s="98"/>
      <c r="N144" s="98"/>
      <c r="O144" s="98"/>
      <c r="P144" s="98" t="s">
        <v>187</v>
      </c>
      <c r="Q144" s="98"/>
      <c r="R144" s="98" t="s">
        <v>189</v>
      </c>
      <c r="S144" s="98"/>
      <c r="T144" s="98"/>
      <c r="U144" s="98"/>
      <c r="V144" s="98"/>
      <c r="W144" s="98" t="s">
        <v>187</v>
      </c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</row>
    <row r="145" spans="1:55">
      <c r="A145" s="97">
        <v>12</v>
      </c>
      <c r="B145" s="4" t="s">
        <v>227</v>
      </c>
      <c r="C145" s="98"/>
      <c r="D145" s="98"/>
      <c r="E145" s="98"/>
      <c r="F145" s="98"/>
      <c r="G145" s="98"/>
      <c r="H145" s="98"/>
      <c r="I145" s="98"/>
      <c r="J145" s="98" t="s">
        <v>188</v>
      </c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</row>
    <row r="146" spans="1:55">
      <c r="A146" s="97">
        <v>13</v>
      </c>
      <c r="B146" s="4" t="s">
        <v>217</v>
      </c>
      <c r="C146" s="98"/>
      <c r="D146" s="98"/>
      <c r="E146" s="98"/>
      <c r="F146" s="98"/>
      <c r="G146" s="98"/>
      <c r="H146" s="98"/>
      <c r="I146" s="98"/>
      <c r="J146" s="98" t="s">
        <v>189</v>
      </c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 t="s">
        <v>189</v>
      </c>
      <c r="AD146" s="98"/>
      <c r="AE146" s="98"/>
      <c r="AF146" s="98"/>
      <c r="AG146" s="98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</row>
    <row r="147" spans="1:55">
      <c r="A147" s="97">
        <v>14</v>
      </c>
      <c r="B147" s="4" t="s">
        <v>216</v>
      </c>
      <c r="C147" s="98"/>
      <c r="D147" s="98"/>
      <c r="E147" s="98"/>
      <c r="F147" s="98"/>
      <c r="G147" s="98"/>
      <c r="H147" s="98"/>
      <c r="I147" s="98"/>
      <c r="J147" s="98" t="s">
        <v>189</v>
      </c>
      <c r="K147" s="98"/>
      <c r="L147" s="98"/>
      <c r="M147" s="98"/>
      <c r="N147" s="98"/>
      <c r="O147" s="98"/>
      <c r="P147" s="98"/>
      <c r="Q147" s="98"/>
      <c r="R147" s="98"/>
      <c r="S147" s="98" t="s">
        <v>187</v>
      </c>
      <c r="T147" s="98" t="s">
        <v>189</v>
      </c>
      <c r="U147" s="98"/>
      <c r="V147" s="98"/>
      <c r="W147" s="98"/>
      <c r="X147" s="98"/>
      <c r="Y147" s="98"/>
      <c r="Z147" s="98" t="s">
        <v>189</v>
      </c>
      <c r="AA147" s="98"/>
      <c r="AB147" s="98"/>
      <c r="AC147" s="98"/>
      <c r="AD147" s="98"/>
      <c r="AE147" s="98"/>
      <c r="AF147" s="98"/>
      <c r="AG147" s="98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</row>
    <row r="148" spans="1:55">
      <c r="A148" s="97">
        <v>15</v>
      </c>
      <c r="B148" s="4" t="s">
        <v>203</v>
      </c>
      <c r="C148" s="98"/>
      <c r="D148" s="98"/>
      <c r="E148" s="98"/>
      <c r="F148" s="98"/>
      <c r="G148" s="98"/>
      <c r="H148" s="98"/>
      <c r="I148" s="98"/>
      <c r="J148" s="98" t="s">
        <v>189</v>
      </c>
      <c r="K148" s="98"/>
      <c r="L148" s="98"/>
      <c r="M148" s="98"/>
      <c r="N148" s="98"/>
      <c r="O148" s="98"/>
      <c r="P148" s="98"/>
      <c r="Q148" s="98"/>
      <c r="R148" s="98"/>
      <c r="S148" s="98"/>
      <c r="T148" s="98" t="s">
        <v>189</v>
      </c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</row>
    <row r="149" spans="1:55">
      <c r="A149" s="97">
        <v>16</v>
      </c>
      <c r="B149" s="4" t="s">
        <v>211</v>
      </c>
      <c r="C149" s="98"/>
      <c r="D149" s="98"/>
      <c r="E149" s="98"/>
      <c r="F149" s="98"/>
      <c r="G149" s="98"/>
      <c r="H149" s="98"/>
      <c r="I149" s="98"/>
      <c r="J149" s="98"/>
      <c r="K149" s="98" t="s">
        <v>189</v>
      </c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 t="s">
        <v>189</v>
      </c>
      <c r="Z149" s="98"/>
      <c r="AA149" s="98"/>
      <c r="AB149" s="98"/>
      <c r="AC149" s="98"/>
      <c r="AD149" s="98"/>
      <c r="AE149" s="98"/>
      <c r="AF149" s="98"/>
      <c r="AG149" s="98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</row>
    <row r="150" spans="1:55">
      <c r="A150" s="97">
        <v>17</v>
      </c>
      <c r="B150" s="4" t="s">
        <v>210</v>
      </c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 t="s">
        <v>189</v>
      </c>
      <c r="P150" s="98"/>
      <c r="Q150" s="98"/>
      <c r="R150" s="98" t="s">
        <v>188</v>
      </c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 t="s">
        <v>189</v>
      </c>
      <c r="AF150" s="98"/>
      <c r="AG150" s="98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</row>
    <row r="151" spans="1:55">
      <c r="A151" s="97">
        <v>18</v>
      </c>
      <c r="B151" s="4" t="s">
        <v>190</v>
      </c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 t="s">
        <v>188</v>
      </c>
      <c r="P151" s="98"/>
      <c r="Q151" s="98"/>
      <c r="R151" s="98" t="s">
        <v>189</v>
      </c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 t="s">
        <v>189</v>
      </c>
      <c r="AD151" s="98"/>
      <c r="AE151" s="98" t="s">
        <v>189</v>
      </c>
      <c r="AF151" s="98"/>
      <c r="AG151" s="98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</row>
    <row r="152" spans="1:55">
      <c r="A152" s="97">
        <v>19</v>
      </c>
      <c r="B152" s="4" t="s">
        <v>205</v>
      </c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 t="s">
        <v>188</v>
      </c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 t="s">
        <v>188</v>
      </c>
      <c r="AE152" s="98"/>
      <c r="AF152" s="98"/>
      <c r="AG152" s="98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</row>
    <row r="153" spans="1:55">
      <c r="A153" s="97">
        <v>20</v>
      </c>
      <c r="B153" s="4" t="s">
        <v>191</v>
      </c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 t="s">
        <v>188</v>
      </c>
      <c r="P153" s="98"/>
      <c r="Q153" s="98"/>
      <c r="R153" s="98" t="s">
        <v>187</v>
      </c>
      <c r="S153" s="98"/>
      <c r="T153" s="98"/>
      <c r="U153" s="98"/>
      <c r="V153" s="98" t="s">
        <v>187</v>
      </c>
      <c r="W153" s="98"/>
      <c r="X153" s="98"/>
      <c r="Y153" s="98" t="s">
        <v>187</v>
      </c>
      <c r="Z153" s="98" t="s">
        <v>189</v>
      </c>
      <c r="AA153" s="98"/>
      <c r="AB153" s="98"/>
      <c r="AC153" s="98"/>
      <c r="AD153" s="98" t="s">
        <v>187</v>
      </c>
      <c r="AE153" s="98"/>
      <c r="AF153" s="98"/>
      <c r="AG153" s="98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</row>
    <row r="154" spans="1:55">
      <c r="A154" s="97">
        <v>21</v>
      </c>
      <c r="B154" s="4" t="s">
        <v>233</v>
      </c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 t="s">
        <v>188</v>
      </c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</row>
    <row r="155" spans="1:55">
      <c r="A155" s="97">
        <v>22</v>
      </c>
      <c r="B155" s="4" t="s">
        <v>198</v>
      </c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 t="s">
        <v>187</v>
      </c>
      <c r="T155" s="98"/>
      <c r="U155" s="98"/>
      <c r="V155" s="98"/>
      <c r="W155" s="98"/>
      <c r="X155" s="98"/>
      <c r="Y155" s="98"/>
      <c r="Z155" s="98"/>
      <c r="AA155" s="98" t="s">
        <v>189</v>
      </c>
      <c r="AB155" s="98"/>
      <c r="AC155" s="98"/>
      <c r="AD155" s="98"/>
      <c r="AE155" s="98"/>
      <c r="AF155" s="98"/>
      <c r="AG155" s="98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</row>
    <row r="156" spans="1:55">
      <c r="A156" s="97">
        <v>23</v>
      </c>
      <c r="B156" s="4" t="s">
        <v>228</v>
      </c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 t="s">
        <v>188</v>
      </c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</row>
    <row r="157" spans="1:55">
      <c r="A157" s="97">
        <v>24</v>
      </c>
      <c r="B157" s="4" t="s">
        <v>199</v>
      </c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 t="s">
        <v>187</v>
      </c>
      <c r="X157" s="98"/>
      <c r="Y157" s="98"/>
      <c r="Z157" s="98" t="s">
        <v>189</v>
      </c>
      <c r="AA157" s="98"/>
      <c r="AB157" s="98"/>
      <c r="AC157" s="98"/>
      <c r="AD157" s="98"/>
      <c r="AE157" s="98"/>
      <c r="AF157" s="98"/>
      <c r="AG157" s="98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</row>
    <row r="158" spans="1:55">
      <c r="A158" s="97">
        <v>25</v>
      </c>
      <c r="B158" s="4" t="s">
        <v>234</v>
      </c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 t="s">
        <v>187</v>
      </c>
      <c r="AA158" s="98"/>
      <c r="AB158" s="98"/>
      <c r="AC158" s="98"/>
      <c r="AD158" s="98"/>
      <c r="AE158" s="98"/>
      <c r="AF158" s="98"/>
      <c r="AG158" s="98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</row>
    <row r="159" spans="1:55">
      <c r="A159" s="97">
        <v>26</v>
      </c>
      <c r="B159" s="4" t="s">
        <v>225</v>
      </c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 t="s">
        <v>187</v>
      </c>
      <c r="AD159" s="98"/>
      <c r="AE159" s="98"/>
      <c r="AF159" s="98"/>
      <c r="AG159" s="98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</row>
    <row r="160" spans="1:55">
      <c r="A160" s="97">
        <v>27</v>
      </c>
      <c r="B160" s="4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</row>
    <row r="161" spans="1:55">
      <c r="A161" s="97">
        <v>28</v>
      </c>
      <c r="B161" s="4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</row>
    <row r="162" spans="1:55">
      <c r="A162" s="97">
        <v>29</v>
      </c>
      <c r="B162" s="4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</row>
    <row r="163" spans="1:55">
      <c r="A163" s="97">
        <v>30</v>
      </c>
      <c r="B163" s="4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</row>
    <row r="164" spans="1:55">
      <c r="A164" s="97">
        <v>31</v>
      </c>
      <c r="B164" s="4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</row>
    <row r="165" spans="1:55">
      <c r="A165" s="97">
        <v>32</v>
      </c>
      <c r="B165" s="4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</row>
    <row r="166" spans="1:55">
      <c r="A166" s="97">
        <v>33</v>
      </c>
      <c r="B166" s="4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</row>
    <row r="167" spans="1:55">
      <c r="A167" s="97">
        <v>34</v>
      </c>
      <c r="B167" s="4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</row>
    <row r="168" spans="1:55">
      <c r="A168" s="97">
        <v>35</v>
      </c>
      <c r="B168" s="4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</row>
    <row r="169" spans="1:55">
      <c r="A169" s="97">
        <v>36</v>
      </c>
      <c r="B169" s="4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</row>
    <row r="170" spans="1:55">
      <c r="A170" s="97">
        <v>37</v>
      </c>
      <c r="B170" s="4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</row>
    <row r="171" spans="1:55">
      <c r="A171" s="97">
        <v>38</v>
      </c>
      <c r="B171" s="4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</row>
    <row r="172" spans="1:55">
      <c r="A172" s="97">
        <v>39</v>
      </c>
      <c r="B172" s="4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</row>
    <row r="173" spans="1:55">
      <c r="A173" s="97">
        <v>40</v>
      </c>
      <c r="B173" s="4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</row>
    <row r="174" spans="1:55" hidden="1">
      <c r="A174" s="97">
        <v>41</v>
      </c>
      <c r="B174" s="4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</row>
    <row r="175" spans="1:55" hidden="1">
      <c r="A175" s="97">
        <v>42</v>
      </c>
      <c r="B175" s="4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</row>
    <row r="176" spans="1:55" hidden="1">
      <c r="A176" s="97">
        <v>43</v>
      </c>
      <c r="B176" s="4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</row>
    <row r="177" spans="1:55" hidden="1">
      <c r="A177" s="97">
        <v>44</v>
      </c>
      <c r="B177" s="4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</row>
    <row r="178" spans="1:55" hidden="1">
      <c r="A178" s="97">
        <v>45</v>
      </c>
      <c r="B178" s="4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</row>
    <row r="179" spans="1:55" hidden="1">
      <c r="A179" s="97">
        <v>46</v>
      </c>
      <c r="B179" s="104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</row>
    <row r="180" spans="1:55" hidden="1">
      <c r="A180" s="97">
        <v>47</v>
      </c>
      <c r="B180" s="104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</row>
    <row r="181" spans="1:55" hidden="1">
      <c r="A181" s="97">
        <v>48</v>
      </c>
      <c r="B181" s="104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</row>
    <row r="182" spans="1:55" hidden="1">
      <c r="A182" s="97">
        <v>49</v>
      </c>
      <c r="B182" s="104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</row>
    <row r="183" spans="1:55" hidden="1">
      <c r="A183" s="97">
        <v>50</v>
      </c>
      <c r="B183" s="104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</row>
    <row r="184" spans="1:55" hidden="1">
      <c r="A184" s="97">
        <v>51</v>
      </c>
      <c r="B184" s="104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</row>
    <row r="185" spans="1:55" hidden="1">
      <c r="A185" s="97">
        <v>52</v>
      </c>
      <c r="B185" s="104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</row>
    <row r="186" spans="1:55" hidden="1">
      <c r="A186" s="97">
        <v>53</v>
      </c>
      <c r="B186" s="104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</row>
    <row r="187" spans="1:55" hidden="1">
      <c r="A187" s="97">
        <v>54</v>
      </c>
      <c r="B187" s="104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</row>
    <row r="188" spans="1:55" hidden="1">
      <c r="A188" s="97">
        <v>55</v>
      </c>
      <c r="B188" s="104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</row>
    <row r="189" spans="1:55" hidden="1">
      <c r="A189" s="97">
        <v>56</v>
      </c>
      <c r="B189" s="104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</row>
    <row r="190" spans="1:55" hidden="1">
      <c r="A190" s="97">
        <v>57</v>
      </c>
      <c r="B190" s="104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</row>
    <row r="191" spans="1:55" hidden="1">
      <c r="A191" s="97">
        <v>58</v>
      </c>
      <c r="B191" s="104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</row>
    <row r="192" spans="1:55" hidden="1">
      <c r="A192" s="97">
        <v>59</v>
      </c>
      <c r="B192" s="104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</row>
    <row r="193" spans="1:55" hidden="1">
      <c r="A193" s="97">
        <v>60</v>
      </c>
      <c r="B193" s="104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</row>
    <row r="194" spans="1:55" hidden="1">
      <c r="A194" s="97">
        <v>61</v>
      </c>
      <c r="B194" s="104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</row>
    <row r="195" spans="1:55" hidden="1">
      <c r="A195" s="97">
        <v>62</v>
      </c>
      <c r="B195" s="104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</row>
    <row r="196" spans="1:55" hidden="1">
      <c r="A196" s="97">
        <v>63</v>
      </c>
      <c r="B196" s="104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</row>
    <row r="197" spans="1:55" hidden="1">
      <c r="A197" s="97">
        <v>64</v>
      </c>
      <c r="B197" s="104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</row>
    <row r="198" spans="1:55" hidden="1">
      <c r="A198" s="97">
        <v>65</v>
      </c>
      <c r="B198" s="104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</row>
    <row r="199" spans="1:55" hidden="1">
      <c r="A199" s="97">
        <v>66</v>
      </c>
      <c r="B199" s="104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</row>
    <row r="200" spans="1:55" hidden="1">
      <c r="A200" s="97">
        <v>67</v>
      </c>
      <c r="B200" s="104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</row>
    <row r="201" spans="1:55" hidden="1">
      <c r="A201" s="97">
        <v>68</v>
      </c>
      <c r="B201" s="104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</row>
    <row r="202" spans="1:55" hidden="1">
      <c r="A202" s="97">
        <v>69</v>
      </c>
      <c r="B202" s="104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</row>
    <row r="203" spans="1:55" hidden="1">
      <c r="A203" s="97">
        <v>70</v>
      </c>
      <c r="B203" s="104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</row>
    <row r="204" spans="1:55" hidden="1">
      <c r="A204" s="97">
        <v>71</v>
      </c>
      <c r="B204" s="104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</row>
    <row r="205" spans="1:55" hidden="1">
      <c r="A205" s="97">
        <v>72</v>
      </c>
      <c r="B205" s="104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</row>
    <row r="206" spans="1:55" hidden="1">
      <c r="A206" s="97">
        <v>73</v>
      </c>
      <c r="B206" s="104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</row>
    <row r="207" spans="1:55" hidden="1">
      <c r="A207" s="97">
        <v>74</v>
      </c>
      <c r="B207" s="104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</row>
    <row r="208" spans="1:55" hidden="1">
      <c r="A208" s="97">
        <v>75</v>
      </c>
      <c r="B208" s="104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</row>
    <row r="209" spans="1:55" hidden="1">
      <c r="A209" s="97">
        <v>76</v>
      </c>
      <c r="B209" s="104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</row>
    <row r="210" spans="1:55" hidden="1">
      <c r="A210" s="97">
        <v>77</v>
      </c>
      <c r="B210" s="104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</row>
    <row r="211" spans="1:55" hidden="1">
      <c r="A211" s="97">
        <v>78</v>
      </c>
      <c r="B211" s="104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</row>
    <row r="212" spans="1:55" hidden="1">
      <c r="A212" s="97">
        <v>79</v>
      </c>
      <c r="B212" s="104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</row>
    <row r="213" spans="1:55" hidden="1">
      <c r="A213" s="97">
        <v>80</v>
      </c>
      <c r="B213" s="104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</row>
    <row r="214" spans="1:55" hidden="1">
      <c r="A214" s="97">
        <v>81</v>
      </c>
      <c r="B214" s="104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</row>
    <row r="215" spans="1:55" hidden="1">
      <c r="A215" s="97">
        <v>82</v>
      </c>
      <c r="B215" s="104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</row>
    <row r="216" spans="1:55" hidden="1">
      <c r="A216" s="97">
        <v>83</v>
      </c>
      <c r="B216" s="104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</row>
    <row r="217" spans="1:55" hidden="1">
      <c r="A217" s="97">
        <v>84</v>
      </c>
      <c r="B217" s="104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</row>
    <row r="218" spans="1:55" hidden="1">
      <c r="A218" s="97">
        <v>85</v>
      </c>
      <c r="B218" s="104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</row>
    <row r="219" spans="1:55" hidden="1">
      <c r="A219" s="97">
        <v>86</v>
      </c>
      <c r="B219" s="104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</row>
    <row r="220" spans="1:55" hidden="1">
      <c r="A220" s="97">
        <v>87</v>
      </c>
      <c r="B220" s="104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</row>
    <row r="221" spans="1:55" hidden="1">
      <c r="A221" s="97">
        <v>88</v>
      </c>
      <c r="B221" s="104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</row>
    <row r="222" spans="1:55" hidden="1">
      <c r="A222" s="97">
        <v>89</v>
      </c>
      <c r="B222" s="104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</row>
    <row r="223" spans="1:55" hidden="1">
      <c r="A223" s="97">
        <v>90</v>
      </c>
      <c r="B223" s="104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</row>
    <row r="224" spans="1:55">
      <c r="A224" s="97"/>
      <c r="B224" s="110"/>
      <c r="C224" s="98">
        <f>COUNTA(C134:C223)</f>
        <v>0</v>
      </c>
      <c r="D224" s="98">
        <f>COUNTA(D134:D223)</f>
        <v>0</v>
      </c>
      <c r="E224" s="98">
        <f>COUNTA(E134:E223)</f>
        <v>0</v>
      </c>
      <c r="F224" s="98">
        <f t="shared" ref="F224:AG224" si="1">COUNTA(F134:F223)</f>
        <v>0</v>
      </c>
      <c r="G224" s="98">
        <f t="shared" si="1"/>
        <v>0</v>
      </c>
      <c r="H224" s="98">
        <f t="shared" si="1"/>
        <v>9</v>
      </c>
      <c r="I224" s="98">
        <f t="shared" si="1"/>
        <v>1</v>
      </c>
      <c r="J224" s="98">
        <f t="shared" si="1"/>
        <v>7</v>
      </c>
      <c r="K224" s="98">
        <f t="shared" si="1"/>
        <v>2</v>
      </c>
      <c r="L224" s="98">
        <f t="shared" si="1"/>
        <v>0</v>
      </c>
      <c r="M224" s="98">
        <f t="shared" si="1"/>
        <v>0</v>
      </c>
      <c r="N224" s="98">
        <f t="shared" si="1"/>
        <v>0</v>
      </c>
      <c r="O224" s="98">
        <f t="shared" si="1"/>
        <v>7</v>
      </c>
      <c r="P224" s="98">
        <f t="shared" si="1"/>
        <v>5</v>
      </c>
      <c r="Q224" s="98">
        <f t="shared" si="1"/>
        <v>1</v>
      </c>
      <c r="R224" s="98">
        <f t="shared" si="1"/>
        <v>4</v>
      </c>
      <c r="S224" s="98">
        <f t="shared" si="1"/>
        <v>3</v>
      </c>
      <c r="T224" s="98">
        <f t="shared" si="1"/>
        <v>3</v>
      </c>
      <c r="U224" s="98">
        <f t="shared" si="1"/>
        <v>0</v>
      </c>
      <c r="V224" s="98">
        <f t="shared" si="1"/>
        <v>3</v>
      </c>
      <c r="W224" s="98">
        <f t="shared" si="1"/>
        <v>5</v>
      </c>
      <c r="X224" s="98">
        <f t="shared" si="1"/>
        <v>2</v>
      </c>
      <c r="Y224" s="98">
        <f t="shared" si="1"/>
        <v>2</v>
      </c>
      <c r="Z224" s="98">
        <f t="shared" si="1"/>
        <v>4</v>
      </c>
      <c r="AA224" s="98">
        <f t="shared" si="1"/>
        <v>2</v>
      </c>
      <c r="AB224" s="98">
        <f t="shared" si="1"/>
        <v>0</v>
      </c>
      <c r="AC224" s="98">
        <f t="shared" si="1"/>
        <v>4</v>
      </c>
      <c r="AD224" s="98">
        <f t="shared" si="1"/>
        <v>2</v>
      </c>
      <c r="AE224" s="98">
        <f t="shared" si="1"/>
        <v>3</v>
      </c>
      <c r="AF224" s="98">
        <f t="shared" si="1"/>
        <v>1</v>
      </c>
      <c r="AG224" s="98">
        <f t="shared" si="1"/>
        <v>0</v>
      </c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</row>
    <row r="225" spans="1:5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</row>
    <row r="226" spans="1:55">
      <c r="A226" s="107" t="s">
        <v>188</v>
      </c>
      <c r="B226" s="108" t="s">
        <v>200</v>
      </c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 t="s">
        <v>179</v>
      </c>
      <c r="N226" s="90"/>
      <c r="O226" s="90"/>
      <c r="P226" s="90"/>
      <c r="Q226" s="90"/>
      <c r="R226" s="90"/>
      <c r="S226" s="90"/>
      <c r="T226" s="90"/>
      <c r="U226" s="90"/>
      <c r="V226" s="90" t="s">
        <v>179</v>
      </c>
      <c r="W226" s="90"/>
      <c r="X226" s="90"/>
      <c r="Y226" s="90" t="s">
        <v>179</v>
      </c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</row>
    <row r="227" spans="1:55">
      <c r="A227" s="107" t="s">
        <v>187</v>
      </c>
      <c r="B227" s="108" t="s">
        <v>201</v>
      </c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 t="s">
        <v>179</v>
      </c>
      <c r="Q227" s="90"/>
      <c r="R227" s="90"/>
      <c r="S227" s="90"/>
      <c r="T227" s="90"/>
      <c r="U227" s="90"/>
      <c r="V227" s="90"/>
      <c r="W227" s="90"/>
      <c r="X227" s="90" t="s">
        <v>179</v>
      </c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</row>
    <row r="228" spans="1:55">
      <c r="A228" s="107" t="s">
        <v>189</v>
      </c>
      <c r="B228" s="108" t="s">
        <v>202</v>
      </c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 t="s">
        <v>179</v>
      </c>
      <c r="P228" s="90"/>
      <c r="Q228" s="90"/>
      <c r="R228" s="90" t="s">
        <v>179</v>
      </c>
      <c r="S228" s="90"/>
      <c r="T228" s="90" t="s">
        <v>179</v>
      </c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</row>
    <row r="229" spans="1:5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 t="s">
        <v>179</v>
      </c>
      <c r="O229" s="90"/>
      <c r="P229" s="90" t="s">
        <v>179</v>
      </c>
      <c r="Q229" s="90"/>
      <c r="R229" s="90"/>
      <c r="S229" s="90" t="s">
        <v>179</v>
      </c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</row>
    <row r="230" spans="1:5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 t="s">
        <v>179</v>
      </c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</row>
    <row r="231" spans="1:5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 t="s">
        <v>179</v>
      </c>
      <c r="T231" s="90"/>
      <c r="U231" s="90"/>
      <c r="V231" s="90"/>
      <c r="W231" s="90" t="s">
        <v>179</v>
      </c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</row>
    <row r="232" spans="1:5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</row>
    <row r="233" spans="1:5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 t="s">
        <v>179</v>
      </c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</row>
    <row r="234" spans="1:5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</row>
    <row r="235" spans="1:5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 t="s">
        <v>179</v>
      </c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111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</row>
    <row r="236" spans="1:5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 t="s">
        <v>179</v>
      </c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</row>
    <row r="237" spans="1:5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</row>
    <row r="238" spans="1:5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</row>
    <row r="239" spans="1:5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</row>
    <row r="240" spans="1:5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 t="s">
        <v>179</v>
      </c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</row>
    <row r="241" spans="1:5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</row>
    <row r="242" spans="1:5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</row>
    <row r="243" spans="1:5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</row>
    <row r="244" spans="1:5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</row>
    <row r="245" spans="1:5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</row>
    <row r="246" spans="1:5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</row>
    <row r="247" spans="1:5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</row>
    <row r="248" spans="1:5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</row>
    <row r="249" spans="1:5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</row>
    <row r="250" spans="1:5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</row>
    <row r="251" spans="1:5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</row>
    <row r="252" spans="1:5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</row>
    <row r="253" spans="1:5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</row>
    <row r="254" spans="1:5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</row>
    <row r="255" spans="1: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</row>
    <row r="256" spans="1:5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</row>
    <row r="257" spans="1:5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</row>
    <row r="258" spans="1:5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</row>
    <row r="259" spans="1:5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</row>
    <row r="260" spans="1:5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</row>
    <row r="261" spans="1:5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</row>
    <row r="262" spans="1:5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</row>
    <row r="263" spans="1:5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</row>
    <row r="264" spans="1:5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</row>
    <row r="265" spans="1:5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</row>
    <row r="266" spans="1:5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</row>
    <row r="267" spans="1:5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</row>
    <row r="268" spans="1:5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</row>
    <row r="269" spans="1:5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</row>
    <row r="270" spans="1:5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</row>
    <row r="271" spans="1:5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</row>
    <row r="272" spans="1:5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</row>
    <row r="273" spans="1:5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</row>
    <row r="274" spans="1:5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</row>
    <row r="275" spans="1:5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</row>
    <row r="276" spans="1:5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</row>
    <row r="277" spans="1:5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</row>
    <row r="278" spans="1:5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</row>
    <row r="279" spans="1:5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</row>
    <row r="280" spans="1:5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</row>
    <row r="281" spans="1:5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</row>
    <row r="282" spans="1:5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</row>
    <row r="283" spans="1:5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</row>
    <row r="284" spans="1:5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</row>
    <row r="285" spans="1:5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</row>
    <row r="286" spans="1:5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</row>
    <row r="287" spans="1:5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</row>
    <row r="288" spans="1:5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</row>
    <row r="289" spans="1:5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</row>
    <row r="290" spans="1:5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</row>
    <row r="291" spans="1:5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</row>
    <row r="292" spans="1:5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</row>
    <row r="293" spans="1:5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</row>
    <row r="294" spans="1:5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</row>
    <row r="295" spans="1:5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</row>
    <row r="296" spans="1:5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</row>
    <row r="297" spans="1:5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</row>
    <row r="298" spans="1:5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</row>
    <row r="299" spans="1:5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</row>
    <row r="300" spans="1:5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</row>
    <row r="301" spans="1:5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</row>
    <row r="302" spans="1:5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</row>
    <row r="303" spans="1:5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</row>
    <row r="304" spans="1:5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</row>
    <row r="305" spans="1:5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</row>
    <row r="306" spans="1:5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</row>
    <row r="307" spans="1:5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</row>
    <row r="308" spans="1:5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</row>
    <row r="309" spans="1:5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</row>
    <row r="310" spans="1:5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</row>
    <row r="311" spans="1:5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</row>
    <row r="312" spans="1:5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</row>
    <row r="313" spans="1:5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</row>
    <row r="314" spans="1:5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</row>
    <row r="315" spans="1:5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</row>
    <row r="316" spans="1:5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</row>
    <row r="317" spans="1:5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</row>
    <row r="318" spans="1:5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</row>
    <row r="319" spans="1:5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</row>
    <row r="320" spans="1:5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</row>
    <row r="321" spans="1:5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</row>
    <row r="322" spans="1:5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</row>
    <row r="323" spans="1:5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</row>
    <row r="324" spans="1:5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</row>
  </sheetData>
  <mergeCells count="4">
    <mergeCell ref="A1:AG1"/>
    <mergeCell ref="A2:AG2"/>
    <mergeCell ref="A128:AG128"/>
    <mergeCell ref="A129:AG129"/>
  </mergeCells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21:AG121 C109:C120 E109:AG120 E73:AG74 E104:AG107 E101:AG102 E98:AG98 E93:AG93 E88:AG88 E81:AG82 E68:AG68 E64:AG65 E62:AG62 E59:AG59 E46:AG47 E40:AG42 E35:AG37 E29:AG31 E27:AG27 C134:AG149">
    <cfRule type="containsText" dxfId="705" priority="467" operator="containsText" text="B">
      <formula>NOT(ISERROR(SEARCH("B",C7)))</formula>
    </cfRule>
    <cfRule type="containsText" dxfId="704" priority="468" operator="containsText" text="TB">
      <formula>NOT(ISERROR(SEARCH("TB",C7)))</formula>
    </cfRule>
    <cfRule type="containsText" dxfId="703" priority="469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AG65 E62:AG62 E59:AG59 E46:AG47 E40:AG42 E35:AG37 E29:AG31 E27:AG27 C121:AG121 C134:AG149">
    <cfRule type="containsText" dxfId="702" priority="466" operator="containsText" text="TB">
      <formula>NOT(ISERROR(SEARCH("TB",C7)))</formula>
    </cfRule>
  </conditionalFormatting>
  <conditionalFormatting sqref="A124:A126">
    <cfRule type="containsText" dxfId="701" priority="463" operator="containsText" text="B">
      <formula>NOT(ISERROR(SEARCH("B",A124)))</formula>
    </cfRule>
    <cfRule type="containsText" dxfId="700" priority="464" operator="containsText" text="TB">
      <formula>NOT(ISERROR(SEARCH("TB",A124)))</formula>
    </cfRule>
    <cfRule type="containsText" dxfId="699" priority="465" operator="containsText" text="T">
      <formula>NOT(ISERROR(SEARCH("T",A124)))</formula>
    </cfRule>
  </conditionalFormatting>
  <conditionalFormatting sqref="A124:A126">
    <cfRule type="containsText" dxfId="698" priority="462" operator="containsText" text="TB">
      <formula>NOT(ISERROR(SEARCH("TB",A124)))</formula>
    </cfRule>
  </conditionalFormatting>
  <conditionalFormatting sqref="C165:AG223 N150:AG164">
    <cfRule type="containsText" dxfId="697" priority="459" operator="containsText" text="B">
      <formula>NOT(ISERROR(SEARCH("B",C150)))</formula>
    </cfRule>
    <cfRule type="containsText" dxfId="696" priority="460" operator="containsText" text="TB">
      <formula>NOT(ISERROR(SEARCH("TB",C150)))</formula>
    </cfRule>
    <cfRule type="containsText" dxfId="695" priority="461" operator="containsText" text="T">
      <formula>NOT(ISERROR(SEARCH("T",C150)))</formula>
    </cfRule>
  </conditionalFormatting>
  <conditionalFormatting sqref="N150:AG164 C165:AG224">
    <cfRule type="containsText" dxfId="694" priority="458" operator="containsText" text="TB">
      <formula>NOT(ISERROR(SEARCH("TB",C150)))</formula>
    </cfRule>
  </conditionalFormatting>
  <conditionalFormatting sqref="A226:A228">
    <cfRule type="containsText" dxfId="693" priority="455" operator="containsText" text="B">
      <formula>NOT(ISERROR(SEARCH("B",A226)))</formula>
    </cfRule>
    <cfRule type="containsText" dxfId="692" priority="456" operator="containsText" text="TB">
      <formula>NOT(ISERROR(SEARCH("TB",A226)))</formula>
    </cfRule>
    <cfRule type="containsText" dxfId="691" priority="457" operator="containsText" text="T">
      <formula>NOT(ISERROR(SEARCH("T",A226)))</formula>
    </cfRule>
  </conditionalFormatting>
  <conditionalFormatting sqref="A226:A228">
    <cfRule type="containsText" dxfId="690" priority="454" operator="containsText" text="TB">
      <formula>NOT(ISERROR(SEARCH("TB",A226)))</formula>
    </cfRule>
  </conditionalFormatting>
  <conditionalFormatting sqref="C8:C12 C15:C19 L13:AG14 C21 L20:AG20 C24 N22:AG23 C26 N25:AG25 E26:AG26 E24:AG24 E21:AG21 E15:AG19 E8:AG12">
    <cfRule type="containsText" dxfId="689" priority="451" operator="containsText" text="B">
      <formula>NOT(ISERROR(SEARCH("B",C8)))</formula>
    </cfRule>
    <cfRule type="containsText" dxfId="688" priority="452" operator="containsText" text="TB">
      <formula>NOT(ISERROR(SEARCH("TB",C8)))</formula>
    </cfRule>
    <cfRule type="containsText" dxfId="687" priority="453" operator="containsText" text="T">
      <formula>NOT(ISERROR(SEARCH("T",C8)))</formula>
    </cfRule>
  </conditionalFormatting>
  <conditionalFormatting sqref="C8:C12 C15:C19 L13:AG14 C21 L20:AG20 C24 N22:AG23 C26 N25:AG25 E26:AG26 E24:AG24 E21:AG21 E15:AG19 E8:AG12">
    <cfRule type="containsText" dxfId="686" priority="450" operator="containsText" text="TB">
      <formula>NOT(ISERROR(SEARCH("TB",C8)))</formula>
    </cfRule>
  </conditionalFormatting>
  <conditionalFormatting sqref="C7 E7:K7">
    <cfRule type="containsText" dxfId="685" priority="447" operator="containsText" text="B">
      <formula>NOT(ISERROR(SEARCH("B",C7)))</formula>
    </cfRule>
    <cfRule type="containsText" dxfId="684" priority="448" operator="containsText" text="TB">
      <formula>NOT(ISERROR(SEARCH("TB",C7)))</formula>
    </cfRule>
    <cfRule type="containsText" dxfId="683" priority="449" operator="containsText" text="T">
      <formula>NOT(ISERROR(SEARCH("T",C7)))</formula>
    </cfRule>
  </conditionalFormatting>
  <conditionalFormatting sqref="C7 E7:K7">
    <cfRule type="containsText" dxfId="682" priority="446" operator="containsText" text="TB">
      <formula>NOT(ISERROR(SEARCH("TB",C7)))</formula>
    </cfRule>
  </conditionalFormatting>
  <conditionalFormatting sqref="C13:C14 E13:K14">
    <cfRule type="containsText" dxfId="681" priority="443" operator="containsText" text="B">
      <formula>NOT(ISERROR(SEARCH("B",C13)))</formula>
    </cfRule>
    <cfRule type="containsText" dxfId="680" priority="444" operator="containsText" text="TB">
      <formula>NOT(ISERROR(SEARCH("TB",C13)))</formula>
    </cfRule>
    <cfRule type="containsText" dxfId="679" priority="445" operator="containsText" text="T">
      <formula>NOT(ISERROR(SEARCH("T",C13)))</formula>
    </cfRule>
  </conditionalFormatting>
  <conditionalFormatting sqref="C13:C14 E13:K14">
    <cfRule type="containsText" dxfId="678" priority="442" operator="containsText" text="TB">
      <formula>NOT(ISERROR(SEARCH("TB",C13)))</formula>
    </cfRule>
  </conditionalFormatting>
  <conditionalFormatting sqref="C20 E20:K20">
    <cfRule type="containsText" dxfId="677" priority="439" operator="containsText" text="B">
      <formula>NOT(ISERROR(SEARCH("B",C20)))</formula>
    </cfRule>
    <cfRule type="containsText" dxfId="676" priority="440" operator="containsText" text="TB">
      <formula>NOT(ISERROR(SEARCH("TB",C20)))</formula>
    </cfRule>
    <cfRule type="containsText" dxfId="675" priority="441" operator="containsText" text="T">
      <formula>NOT(ISERROR(SEARCH("T",C20)))</formula>
    </cfRule>
  </conditionalFormatting>
  <conditionalFormatting sqref="C20 E20:K20">
    <cfRule type="containsText" dxfId="674" priority="438" operator="containsText" text="TB">
      <formula>NOT(ISERROR(SEARCH("TB",C20)))</formula>
    </cfRule>
  </conditionalFormatting>
  <conditionalFormatting sqref="C22:C23 E22:M23">
    <cfRule type="containsText" dxfId="673" priority="435" operator="containsText" text="B">
      <formula>NOT(ISERROR(SEARCH("B",C22)))</formula>
    </cfRule>
    <cfRule type="containsText" dxfId="672" priority="436" operator="containsText" text="TB">
      <formula>NOT(ISERROR(SEARCH("TB",C22)))</formula>
    </cfRule>
    <cfRule type="containsText" dxfId="671" priority="437" operator="containsText" text="T">
      <formula>NOT(ISERROR(SEARCH("T",C22)))</formula>
    </cfRule>
  </conditionalFormatting>
  <conditionalFormatting sqref="C22:C23 E22:M23">
    <cfRule type="containsText" dxfId="670" priority="434" operator="containsText" text="TB">
      <formula>NOT(ISERROR(SEARCH("TB",C22)))</formula>
    </cfRule>
  </conditionalFormatting>
  <conditionalFormatting sqref="C25 E25:M25">
    <cfRule type="containsText" dxfId="669" priority="431" operator="containsText" text="B">
      <formula>NOT(ISERROR(SEARCH("B",C25)))</formula>
    </cfRule>
    <cfRule type="containsText" dxfId="668" priority="432" operator="containsText" text="TB">
      <formula>NOT(ISERROR(SEARCH("TB",C25)))</formula>
    </cfRule>
    <cfRule type="containsText" dxfId="667" priority="433" operator="containsText" text="T">
      <formula>NOT(ISERROR(SEARCH("T",C25)))</formula>
    </cfRule>
  </conditionalFormatting>
  <conditionalFormatting sqref="C25 E25:M25">
    <cfRule type="containsText" dxfId="666" priority="430" operator="containsText" text="TB">
      <formula>NOT(ISERROR(SEARCH("TB",C25)))</formula>
    </cfRule>
  </conditionalFormatting>
  <conditionalFormatting sqref="C28 E28:M28">
    <cfRule type="containsText" dxfId="665" priority="427" operator="containsText" text="B">
      <formula>NOT(ISERROR(SEARCH("B",C28)))</formula>
    </cfRule>
    <cfRule type="containsText" dxfId="664" priority="428" operator="containsText" text="TB">
      <formula>NOT(ISERROR(SEARCH("TB",C28)))</formula>
    </cfRule>
    <cfRule type="containsText" dxfId="663" priority="429" operator="containsText" text="T">
      <formula>NOT(ISERROR(SEARCH("T",C28)))</formula>
    </cfRule>
  </conditionalFormatting>
  <conditionalFormatting sqref="C28 E28:M28">
    <cfRule type="containsText" dxfId="662" priority="426" operator="containsText" text="TB">
      <formula>NOT(ISERROR(SEARCH("TB",C28)))</formula>
    </cfRule>
  </conditionalFormatting>
  <conditionalFormatting sqref="C32:C34 E32:M34">
    <cfRule type="containsText" dxfId="661" priority="423" operator="containsText" text="B">
      <formula>NOT(ISERROR(SEARCH("B",C32)))</formula>
    </cfRule>
    <cfRule type="containsText" dxfId="660" priority="424" operator="containsText" text="TB">
      <formula>NOT(ISERROR(SEARCH("TB",C32)))</formula>
    </cfRule>
    <cfRule type="containsText" dxfId="659" priority="425" operator="containsText" text="T">
      <formula>NOT(ISERROR(SEARCH("T",C32)))</formula>
    </cfRule>
  </conditionalFormatting>
  <conditionalFormatting sqref="C32:C34 E32:M34">
    <cfRule type="containsText" dxfId="658" priority="422" operator="containsText" text="TB">
      <formula>NOT(ISERROR(SEARCH("TB",C32)))</formula>
    </cfRule>
  </conditionalFormatting>
  <conditionalFormatting sqref="C38:C39 E38:M39">
    <cfRule type="containsText" dxfId="657" priority="419" operator="containsText" text="B">
      <formula>NOT(ISERROR(SEARCH("B",C38)))</formula>
    </cfRule>
    <cfRule type="containsText" dxfId="656" priority="420" operator="containsText" text="TB">
      <formula>NOT(ISERROR(SEARCH("TB",C38)))</formula>
    </cfRule>
    <cfRule type="containsText" dxfId="655" priority="421" operator="containsText" text="T">
      <formula>NOT(ISERROR(SEARCH("T",C38)))</formula>
    </cfRule>
  </conditionalFormatting>
  <conditionalFormatting sqref="C38:C39 E38:M39">
    <cfRule type="containsText" dxfId="654" priority="418" operator="containsText" text="TB">
      <formula>NOT(ISERROR(SEARCH("TB",C38)))</formula>
    </cfRule>
  </conditionalFormatting>
  <conditionalFormatting sqref="C43:C45 E43:M45">
    <cfRule type="containsText" dxfId="653" priority="415" operator="containsText" text="B">
      <formula>NOT(ISERROR(SEARCH("B",C43)))</formula>
    </cfRule>
    <cfRule type="containsText" dxfId="652" priority="416" operator="containsText" text="TB">
      <formula>NOT(ISERROR(SEARCH("TB",C43)))</formula>
    </cfRule>
    <cfRule type="containsText" dxfId="651" priority="417" operator="containsText" text="T">
      <formula>NOT(ISERROR(SEARCH("T",C43)))</formula>
    </cfRule>
  </conditionalFormatting>
  <conditionalFormatting sqref="C43:C45 E43:M45">
    <cfRule type="containsText" dxfId="650" priority="414" operator="containsText" text="TB">
      <formula>NOT(ISERROR(SEARCH("TB",C43)))</formula>
    </cfRule>
  </conditionalFormatting>
  <conditionalFormatting sqref="C48:C50 E48:M50">
    <cfRule type="containsText" dxfId="649" priority="411" operator="containsText" text="B">
      <formula>NOT(ISERROR(SEARCH("B",C48)))</formula>
    </cfRule>
    <cfRule type="containsText" dxfId="648" priority="412" operator="containsText" text="TB">
      <formula>NOT(ISERROR(SEARCH("TB",C48)))</formula>
    </cfRule>
    <cfRule type="containsText" dxfId="647" priority="413" operator="containsText" text="T">
      <formula>NOT(ISERROR(SEARCH("T",C48)))</formula>
    </cfRule>
  </conditionalFormatting>
  <conditionalFormatting sqref="C48:C50 E48:M50">
    <cfRule type="containsText" dxfId="646" priority="410" operator="containsText" text="TB">
      <formula>NOT(ISERROR(SEARCH("TB",C48)))</formula>
    </cfRule>
  </conditionalFormatting>
  <conditionalFormatting sqref="C51:C53 E51:M53">
    <cfRule type="containsText" dxfId="645" priority="407" operator="containsText" text="B">
      <formula>NOT(ISERROR(SEARCH("B",C51)))</formula>
    </cfRule>
    <cfRule type="containsText" dxfId="644" priority="408" operator="containsText" text="TB">
      <formula>NOT(ISERROR(SEARCH("TB",C51)))</formula>
    </cfRule>
    <cfRule type="containsText" dxfId="643" priority="409" operator="containsText" text="T">
      <formula>NOT(ISERROR(SEARCH("T",C51)))</formula>
    </cfRule>
  </conditionalFormatting>
  <conditionalFormatting sqref="C51:C53 E51:M53">
    <cfRule type="containsText" dxfId="642" priority="406" operator="containsText" text="TB">
      <formula>NOT(ISERROR(SEARCH("TB",C51)))</formula>
    </cfRule>
  </conditionalFormatting>
  <conditionalFormatting sqref="C54:C55 E54:M55">
    <cfRule type="containsText" dxfId="641" priority="403" operator="containsText" text="B">
      <formula>NOT(ISERROR(SEARCH("B",C54)))</formula>
    </cfRule>
    <cfRule type="containsText" dxfId="640" priority="404" operator="containsText" text="TB">
      <formula>NOT(ISERROR(SEARCH("TB",C54)))</formula>
    </cfRule>
    <cfRule type="containsText" dxfId="639" priority="405" operator="containsText" text="T">
      <formula>NOT(ISERROR(SEARCH("T",C54)))</formula>
    </cfRule>
  </conditionalFormatting>
  <conditionalFormatting sqref="C54:C55 E54:M55">
    <cfRule type="containsText" dxfId="638" priority="402" operator="containsText" text="TB">
      <formula>NOT(ISERROR(SEARCH("TB",C54)))</formula>
    </cfRule>
  </conditionalFormatting>
  <conditionalFormatting sqref="C56:C58 E56:M58">
    <cfRule type="containsText" dxfId="637" priority="399" operator="containsText" text="B">
      <formula>NOT(ISERROR(SEARCH("B",C56)))</formula>
    </cfRule>
    <cfRule type="containsText" dxfId="636" priority="400" operator="containsText" text="TB">
      <formula>NOT(ISERROR(SEARCH("TB",C56)))</formula>
    </cfRule>
    <cfRule type="containsText" dxfId="635" priority="401" operator="containsText" text="T">
      <formula>NOT(ISERROR(SEARCH("T",C56)))</formula>
    </cfRule>
  </conditionalFormatting>
  <conditionalFormatting sqref="C56:C58 E56:M58">
    <cfRule type="containsText" dxfId="634" priority="398" operator="containsText" text="TB">
      <formula>NOT(ISERROR(SEARCH("TB",C56)))</formula>
    </cfRule>
  </conditionalFormatting>
  <conditionalFormatting sqref="C60:C61 E60:M61">
    <cfRule type="containsText" dxfId="633" priority="395" operator="containsText" text="B">
      <formula>NOT(ISERROR(SEARCH("B",C60)))</formula>
    </cfRule>
    <cfRule type="containsText" dxfId="632" priority="396" operator="containsText" text="TB">
      <formula>NOT(ISERROR(SEARCH("TB",C60)))</formula>
    </cfRule>
    <cfRule type="containsText" dxfId="631" priority="397" operator="containsText" text="T">
      <formula>NOT(ISERROR(SEARCH("T",C60)))</formula>
    </cfRule>
  </conditionalFormatting>
  <conditionalFormatting sqref="C60:C61 E60:M61">
    <cfRule type="containsText" dxfId="630" priority="394" operator="containsText" text="TB">
      <formula>NOT(ISERROR(SEARCH("TB",C60)))</formula>
    </cfRule>
  </conditionalFormatting>
  <conditionalFormatting sqref="C63 E63:M63">
    <cfRule type="containsText" dxfId="629" priority="391" operator="containsText" text="B">
      <formula>NOT(ISERROR(SEARCH("B",C63)))</formula>
    </cfRule>
    <cfRule type="containsText" dxfId="628" priority="392" operator="containsText" text="TB">
      <formula>NOT(ISERROR(SEARCH("TB",C63)))</formula>
    </cfRule>
    <cfRule type="containsText" dxfId="627" priority="393" operator="containsText" text="T">
      <formula>NOT(ISERROR(SEARCH("T",C63)))</formula>
    </cfRule>
  </conditionalFormatting>
  <conditionalFormatting sqref="C63 E63:M63">
    <cfRule type="containsText" dxfId="626" priority="390" operator="containsText" text="TB">
      <formula>NOT(ISERROR(SEARCH("TB",C63)))</formula>
    </cfRule>
  </conditionalFormatting>
  <conditionalFormatting sqref="C66 E66:M66">
    <cfRule type="containsText" dxfId="625" priority="387" operator="containsText" text="B">
      <formula>NOT(ISERROR(SEARCH("B",C66)))</formula>
    </cfRule>
    <cfRule type="containsText" dxfId="624" priority="388" operator="containsText" text="TB">
      <formula>NOT(ISERROR(SEARCH("TB",C66)))</formula>
    </cfRule>
    <cfRule type="containsText" dxfId="623" priority="389" operator="containsText" text="T">
      <formula>NOT(ISERROR(SEARCH("T",C66)))</formula>
    </cfRule>
  </conditionalFormatting>
  <conditionalFormatting sqref="C66 E66:M66">
    <cfRule type="containsText" dxfId="622" priority="386" operator="containsText" text="TB">
      <formula>NOT(ISERROR(SEARCH("TB",C66)))</formula>
    </cfRule>
  </conditionalFormatting>
  <conditionalFormatting sqref="C67 E67:M67">
    <cfRule type="containsText" dxfId="621" priority="383" operator="containsText" text="B">
      <formula>NOT(ISERROR(SEARCH("B",C67)))</formula>
    </cfRule>
    <cfRule type="containsText" dxfId="620" priority="384" operator="containsText" text="TB">
      <formula>NOT(ISERROR(SEARCH("TB",C67)))</formula>
    </cfRule>
    <cfRule type="containsText" dxfId="619" priority="385" operator="containsText" text="T">
      <formula>NOT(ISERROR(SEARCH("T",C67)))</formula>
    </cfRule>
  </conditionalFormatting>
  <conditionalFormatting sqref="C67 E67:M67">
    <cfRule type="containsText" dxfId="618" priority="382" operator="containsText" text="TB">
      <formula>NOT(ISERROR(SEARCH("TB",C67)))</formula>
    </cfRule>
  </conditionalFormatting>
  <conditionalFormatting sqref="C69:C70 E69:M70">
    <cfRule type="containsText" dxfId="617" priority="379" operator="containsText" text="B">
      <formula>NOT(ISERROR(SEARCH("B",C69)))</formula>
    </cfRule>
    <cfRule type="containsText" dxfId="616" priority="380" operator="containsText" text="TB">
      <formula>NOT(ISERROR(SEARCH("TB",C69)))</formula>
    </cfRule>
    <cfRule type="containsText" dxfId="615" priority="381" operator="containsText" text="T">
      <formula>NOT(ISERROR(SEARCH("T",C69)))</formula>
    </cfRule>
  </conditionalFormatting>
  <conditionalFormatting sqref="C69:C70 E69:M70">
    <cfRule type="containsText" dxfId="614" priority="378" operator="containsText" text="TB">
      <formula>NOT(ISERROR(SEARCH("TB",C69)))</formula>
    </cfRule>
  </conditionalFormatting>
  <conditionalFormatting sqref="C75 E75:M75">
    <cfRule type="containsText" dxfId="613" priority="375" operator="containsText" text="B">
      <formula>NOT(ISERROR(SEARCH("B",C75)))</formula>
    </cfRule>
    <cfRule type="containsText" dxfId="612" priority="376" operator="containsText" text="TB">
      <formula>NOT(ISERROR(SEARCH("TB",C75)))</formula>
    </cfRule>
    <cfRule type="containsText" dxfId="611" priority="377" operator="containsText" text="T">
      <formula>NOT(ISERROR(SEARCH("T",C75)))</formula>
    </cfRule>
  </conditionalFormatting>
  <conditionalFormatting sqref="C75 E75:M75">
    <cfRule type="containsText" dxfId="610" priority="374" operator="containsText" text="TB">
      <formula>NOT(ISERROR(SEARCH("TB",C75)))</formula>
    </cfRule>
  </conditionalFormatting>
  <conditionalFormatting sqref="C77">
    <cfRule type="containsText" dxfId="609" priority="371" operator="containsText" text="B">
      <formula>NOT(ISERROR(SEARCH("B",C77)))</formula>
    </cfRule>
    <cfRule type="containsText" dxfId="608" priority="372" operator="containsText" text="TB">
      <formula>NOT(ISERROR(SEARCH("TB",C77)))</formula>
    </cfRule>
    <cfRule type="containsText" dxfId="607" priority="373" operator="containsText" text="T">
      <formula>NOT(ISERROR(SEARCH("T",C77)))</formula>
    </cfRule>
  </conditionalFormatting>
  <conditionalFormatting sqref="C77">
    <cfRule type="containsText" dxfId="606" priority="370" operator="containsText" text="TB">
      <formula>NOT(ISERROR(SEARCH("TB",C77)))</formula>
    </cfRule>
  </conditionalFormatting>
  <conditionalFormatting sqref="E77:N77">
    <cfRule type="containsText" dxfId="605" priority="367" operator="containsText" text="B">
      <formula>NOT(ISERROR(SEARCH("B",E77)))</formula>
    </cfRule>
    <cfRule type="containsText" dxfId="604" priority="368" operator="containsText" text="TB">
      <formula>NOT(ISERROR(SEARCH("TB",E77)))</formula>
    </cfRule>
    <cfRule type="containsText" dxfId="603" priority="369" operator="containsText" text="T">
      <formula>NOT(ISERROR(SEARCH("T",E77)))</formula>
    </cfRule>
  </conditionalFormatting>
  <conditionalFormatting sqref="E77:N77">
    <cfRule type="containsText" dxfId="602" priority="366" operator="containsText" text="TB">
      <formula>NOT(ISERROR(SEARCH("TB",E77)))</formula>
    </cfRule>
  </conditionalFormatting>
  <conditionalFormatting sqref="C80 E80:M80">
    <cfRule type="containsText" dxfId="601" priority="363" operator="containsText" text="B">
      <formula>NOT(ISERROR(SEARCH("B",C80)))</formula>
    </cfRule>
    <cfRule type="containsText" dxfId="600" priority="364" operator="containsText" text="TB">
      <formula>NOT(ISERROR(SEARCH("TB",C80)))</formula>
    </cfRule>
    <cfRule type="containsText" dxfId="599" priority="365" operator="containsText" text="T">
      <formula>NOT(ISERROR(SEARCH("T",C80)))</formula>
    </cfRule>
  </conditionalFormatting>
  <conditionalFormatting sqref="C80 E80:M80">
    <cfRule type="containsText" dxfId="598" priority="362" operator="containsText" text="TB">
      <formula>NOT(ISERROR(SEARCH("TB",C80)))</formula>
    </cfRule>
  </conditionalFormatting>
  <conditionalFormatting sqref="C83:C84 E83:M84">
    <cfRule type="containsText" dxfId="597" priority="359" operator="containsText" text="B">
      <formula>NOT(ISERROR(SEARCH("B",C83)))</formula>
    </cfRule>
    <cfRule type="containsText" dxfId="596" priority="360" operator="containsText" text="TB">
      <formula>NOT(ISERROR(SEARCH("TB",C83)))</formula>
    </cfRule>
    <cfRule type="containsText" dxfId="595" priority="361" operator="containsText" text="T">
      <formula>NOT(ISERROR(SEARCH("T",C83)))</formula>
    </cfRule>
  </conditionalFormatting>
  <conditionalFormatting sqref="C83:C84 E83:M84">
    <cfRule type="containsText" dxfId="594" priority="358" operator="containsText" text="TB">
      <formula>NOT(ISERROR(SEARCH("TB",C83)))</formula>
    </cfRule>
  </conditionalFormatting>
  <conditionalFormatting sqref="C85:C87 E85:M87">
    <cfRule type="containsText" dxfId="593" priority="355" operator="containsText" text="B">
      <formula>NOT(ISERROR(SEARCH("B",C85)))</formula>
    </cfRule>
    <cfRule type="containsText" dxfId="592" priority="356" operator="containsText" text="TB">
      <formula>NOT(ISERROR(SEARCH("TB",C85)))</formula>
    </cfRule>
    <cfRule type="containsText" dxfId="591" priority="357" operator="containsText" text="T">
      <formula>NOT(ISERROR(SEARCH("T",C85)))</formula>
    </cfRule>
  </conditionalFormatting>
  <conditionalFormatting sqref="C85:C87 E85:M87">
    <cfRule type="containsText" dxfId="590" priority="354" operator="containsText" text="TB">
      <formula>NOT(ISERROR(SEARCH("TB",C85)))</formula>
    </cfRule>
  </conditionalFormatting>
  <conditionalFormatting sqref="C89:C90 E89:M90">
    <cfRule type="containsText" dxfId="589" priority="351" operator="containsText" text="B">
      <formula>NOT(ISERROR(SEARCH("B",C89)))</formula>
    </cfRule>
    <cfRule type="containsText" dxfId="588" priority="352" operator="containsText" text="TB">
      <formula>NOT(ISERROR(SEARCH("TB",C89)))</formula>
    </cfRule>
    <cfRule type="containsText" dxfId="587" priority="353" operator="containsText" text="T">
      <formula>NOT(ISERROR(SEARCH("T",C89)))</formula>
    </cfRule>
  </conditionalFormatting>
  <conditionalFormatting sqref="C89:C90 E89:M90">
    <cfRule type="containsText" dxfId="586" priority="350" operator="containsText" text="TB">
      <formula>NOT(ISERROR(SEARCH("TB",C89)))</formula>
    </cfRule>
  </conditionalFormatting>
  <conditionalFormatting sqref="C94 E94:M94">
    <cfRule type="containsText" dxfId="585" priority="347" operator="containsText" text="B">
      <formula>NOT(ISERROR(SEARCH("B",C94)))</formula>
    </cfRule>
    <cfRule type="containsText" dxfId="584" priority="348" operator="containsText" text="TB">
      <formula>NOT(ISERROR(SEARCH("TB",C94)))</formula>
    </cfRule>
    <cfRule type="containsText" dxfId="583" priority="349" operator="containsText" text="T">
      <formula>NOT(ISERROR(SEARCH("T",C94)))</formula>
    </cfRule>
  </conditionalFormatting>
  <conditionalFormatting sqref="C94 E94:M94">
    <cfRule type="containsText" dxfId="582" priority="346" operator="containsText" text="TB">
      <formula>NOT(ISERROR(SEARCH("TB",C94)))</formula>
    </cfRule>
  </conditionalFormatting>
  <conditionalFormatting sqref="C95 E95:M95">
    <cfRule type="containsText" dxfId="581" priority="343" operator="containsText" text="B">
      <formula>NOT(ISERROR(SEARCH("B",C95)))</formula>
    </cfRule>
    <cfRule type="containsText" dxfId="580" priority="344" operator="containsText" text="TB">
      <formula>NOT(ISERROR(SEARCH("TB",C95)))</formula>
    </cfRule>
    <cfRule type="containsText" dxfId="579" priority="345" operator="containsText" text="T">
      <formula>NOT(ISERROR(SEARCH("T",C95)))</formula>
    </cfRule>
  </conditionalFormatting>
  <conditionalFormatting sqref="C95 E95:M95">
    <cfRule type="containsText" dxfId="578" priority="342" operator="containsText" text="TB">
      <formula>NOT(ISERROR(SEARCH("TB",C95)))</formula>
    </cfRule>
  </conditionalFormatting>
  <conditionalFormatting sqref="E96:N97">
    <cfRule type="containsText" dxfId="577" priority="339" operator="containsText" text="B">
      <formula>NOT(ISERROR(SEARCH("B",E96)))</formula>
    </cfRule>
    <cfRule type="containsText" dxfId="576" priority="340" operator="containsText" text="TB">
      <formula>NOT(ISERROR(SEARCH("TB",E96)))</formula>
    </cfRule>
    <cfRule type="containsText" dxfId="575" priority="341" operator="containsText" text="T">
      <formula>NOT(ISERROR(SEARCH("T",E96)))</formula>
    </cfRule>
  </conditionalFormatting>
  <conditionalFormatting sqref="E96:N97">
    <cfRule type="containsText" dxfId="574" priority="338" operator="containsText" text="TB">
      <formula>NOT(ISERROR(SEARCH("TB",E96)))</formula>
    </cfRule>
  </conditionalFormatting>
  <conditionalFormatting sqref="C99:C100 E99:M100">
    <cfRule type="containsText" dxfId="573" priority="335" operator="containsText" text="B">
      <formula>NOT(ISERROR(SEARCH("B",C99)))</formula>
    </cfRule>
    <cfRule type="containsText" dxfId="572" priority="336" operator="containsText" text="TB">
      <formula>NOT(ISERROR(SEARCH("TB",C99)))</formula>
    </cfRule>
    <cfRule type="containsText" dxfId="571" priority="337" operator="containsText" text="T">
      <formula>NOT(ISERROR(SEARCH("T",C99)))</formula>
    </cfRule>
  </conditionalFormatting>
  <conditionalFormatting sqref="C99:C100 E99:M100">
    <cfRule type="containsText" dxfId="570" priority="334" operator="containsText" text="TB">
      <formula>NOT(ISERROR(SEARCH("TB",C99)))</formula>
    </cfRule>
  </conditionalFormatting>
  <conditionalFormatting sqref="C103 E103:M103">
    <cfRule type="containsText" dxfId="569" priority="331" operator="containsText" text="B">
      <formula>NOT(ISERROR(SEARCH("B",C103)))</formula>
    </cfRule>
    <cfRule type="containsText" dxfId="568" priority="332" operator="containsText" text="TB">
      <formula>NOT(ISERROR(SEARCH("TB",C103)))</formula>
    </cfRule>
    <cfRule type="containsText" dxfId="567" priority="333" operator="containsText" text="T">
      <formula>NOT(ISERROR(SEARCH("T",C103)))</formula>
    </cfRule>
  </conditionalFormatting>
  <conditionalFormatting sqref="C103 E103:M103">
    <cfRule type="containsText" dxfId="566" priority="330" operator="containsText" text="TB">
      <formula>NOT(ISERROR(SEARCH("TB",C103)))</formula>
    </cfRule>
  </conditionalFormatting>
  <conditionalFormatting sqref="C71:C72 E71:J72">
    <cfRule type="containsText" dxfId="565" priority="327" operator="containsText" text="B">
      <formula>NOT(ISERROR(SEARCH("B",C71)))</formula>
    </cfRule>
    <cfRule type="containsText" dxfId="564" priority="328" operator="containsText" text="TB">
      <formula>NOT(ISERROR(SEARCH("TB",C71)))</formula>
    </cfRule>
    <cfRule type="containsText" dxfId="563" priority="329" operator="containsText" text="T">
      <formula>NOT(ISERROR(SEARCH("T",C71)))</formula>
    </cfRule>
  </conditionalFormatting>
  <conditionalFormatting sqref="C71:C72 E71:J72">
    <cfRule type="containsText" dxfId="562" priority="326" operator="containsText" text="TB">
      <formula>NOT(ISERROR(SEARCH("TB",C71)))</formula>
    </cfRule>
  </conditionalFormatting>
  <conditionalFormatting sqref="C76 E76:J76">
    <cfRule type="containsText" dxfId="561" priority="323" operator="containsText" text="B">
      <formula>NOT(ISERROR(SEARCH("B",C76)))</formula>
    </cfRule>
    <cfRule type="containsText" dxfId="560" priority="324" operator="containsText" text="TB">
      <formula>NOT(ISERROR(SEARCH("TB",C76)))</formula>
    </cfRule>
    <cfRule type="containsText" dxfId="559" priority="325" operator="containsText" text="T">
      <formula>NOT(ISERROR(SEARCH("T",C76)))</formula>
    </cfRule>
  </conditionalFormatting>
  <conditionalFormatting sqref="C76 E76:J76">
    <cfRule type="containsText" dxfId="558" priority="322" operator="containsText" text="TB">
      <formula>NOT(ISERROR(SEARCH("TB",C76)))</formula>
    </cfRule>
  </conditionalFormatting>
  <conditionalFormatting sqref="C78 E78:M78">
    <cfRule type="containsText" dxfId="557" priority="319" operator="containsText" text="B">
      <formula>NOT(ISERROR(SEARCH("B",C78)))</formula>
    </cfRule>
    <cfRule type="containsText" dxfId="556" priority="320" operator="containsText" text="TB">
      <formula>NOT(ISERROR(SEARCH("TB",C78)))</formula>
    </cfRule>
    <cfRule type="containsText" dxfId="555" priority="321" operator="containsText" text="T">
      <formula>NOT(ISERROR(SEARCH("T",C78)))</formula>
    </cfRule>
  </conditionalFormatting>
  <conditionalFormatting sqref="C78 E78:M78">
    <cfRule type="containsText" dxfId="554" priority="318" operator="containsText" text="TB">
      <formula>NOT(ISERROR(SEARCH("TB",C78)))</formula>
    </cfRule>
  </conditionalFormatting>
  <conditionalFormatting sqref="C79 E79:J79">
    <cfRule type="containsText" dxfId="553" priority="315" operator="containsText" text="B">
      <formula>NOT(ISERROR(SEARCH("B",C79)))</formula>
    </cfRule>
    <cfRule type="containsText" dxfId="552" priority="316" operator="containsText" text="TB">
      <formula>NOT(ISERROR(SEARCH("TB",C79)))</formula>
    </cfRule>
    <cfRule type="containsText" dxfId="551" priority="317" operator="containsText" text="T">
      <formula>NOT(ISERROR(SEARCH("T",C79)))</formula>
    </cfRule>
  </conditionalFormatting>
  <conditionalFormatting sqref="C79 E79:J79">
    <cfRule type="containsText" dxfId="550" priority="314" operator="containsText" text="TB">
      <formula>NOT(ISERROR(SEARCH("TB",C79)))</formula>
    </cfRule>
  </conditionalFormatting>
  <conditionalFormatting sqref="C91:C92 E91:J92">
    <cfRule type="containsText" dxfId="549" priority="311" operator="containsText" text="B">
      <formula>NOT(ISERROR(SEARCH("B",C91)))</formula>
    </cfRule>
    <cfRule type="containsText" dxfId="548" priority="312" operator="containsText" text="TB">
      <formula>NOT(ISERROR(SEARCH("TB",C91)))</formula>
    </cfRule>
    <cfRule type="containsText" dxfId="547" priority="313" operator="containsText" text="T">
      <formula>NOT(ISERROR(SEARCH("T",C91)))</formula>
    </cfRule>
  </conditionalFormatting>
  <conditionalFormatting sqref="C91:C92 E91:J92">
    <cfRule type="containsText" dxfId="546" priority="310" operator="containsText" text="TB">
      <formula>NOT(ISERROR(SEARCH("TB",C91)))</formula>
    </cfRule>
  </conditionalFormatting>
  <conditionalFormatting sqref="C150:I151 K150:M151 C154:J154 L154:M154 C152:M153 C155:M164">
    <cfRule type="containsText" dxfId="545" priority="307" operator="containsText" text="B">
      <formula>NOT(ISERROR(SEARCH("B",C150)))</formula>
    </cfRule>
    <cfRule type="containsText" dxfId="544" priority="308" operator="containsText" text="TB">
      <formula>NOT(ISERROR(SEARCH("TB",C150)))</formula>
    </cfRule>
    <cfRule type="containsText" dxfId="543" priority="309" operator="containsText" text="T">
      <formula>NOT(ISERROR(SEARCH("T",C150)))</formula>
    </cfRule>
  </conditionalFormatting>
  <conditionalFormatting sqref="C150:I151 K150:M151 C154:J154 L154:M154 C152:M153 C155:M164">
    <cfRule type="containsText" dxfId="542" priority="306" operator="containsText" text="TB">
      <formula>NOT(ISERROR(SEARCH("TB",C150)))</formula>
    </cfRule>
  </conditionalFormatting>
  <conditionalFormatting sqref="J151">
    <cfRule type="containsText" dxfId="541" priority="303" operator="containsText" text="B">
      <formula>NOT(ISERROR(SEARCH("B",J151)))</formula>
    </cfRule>
    <cfRule type="containsText" dxfId="540" priority="304" operator="containsText" text="TB">
      <formula>NOT(ISERROR(SEARCH("TB",J151)))</formula>
    </cfRule>
    <cfRule type="containsText" dxfId="539" priority="305" operator="containsText" text="T">
      <formula>NOT(ISERROR(SEARCH("T",J151)))</formula>
    </cfRule>
  </conditionalFormatting>
  <conditionalFormatting sqref="J151">
    <cfRule type="containsText" dxfId="538" priority="302" operator="containsText" text="TB">
      <formula>NOT(ISERROR(SEARCH("TB",J151)))</formula>
    </cfRule>
  </conditionalFormatting>
  <conditionalFormatting sqref="J150">
    <cfRule type="containsText" dxfId="537" priority="299" operator="containsText" text="B">
      <formula>NOT(ISERROR(SEARCH("B",J150)))</formula>
    </cfRule>
    <cfRule type="containsText" dxfId="536" priority="300" operator="containsText" text="TB">
      <formula>NOT(ISERROR(SEARCH("TB",J150)))</formula>
    </cfRule>
    <cfRule type="containsText" dxfId="535" priority="301" operator="containsText" text="T">
      <formula>NOT(ISERROR(SEARCH("T",J150)))</formula>
    </cfRule>
  </conditionalFormatting>
  <conditionalFormatting sqref="J150">
    <cfRule type="containsText" dxfId="534" priority="298" operator="containsText" text="TB">
      <formula>NOT(ISERROR(SEARCH("TB",J150)))</formula>
    </cfRule>
  </conditionalFormatting>
  <conditionalFormatting sqref="K154">
    <cfRule type="containsText" dxfId="533" priority="295" operator="containsText" text="B">
      <formula>NOT(ISERROR(SEARCH("B",K154)))</formula>
    </cfRule>
    <cfRule type="containsText" dxfId="532" priority="296" operator="containsText" text="TB">
      <formula>NOT(ISERROR(SEARCH("TB",K154)))</formula>
    </cfRule>
    <cfRule type="containsText" dxfId="531" priority="297" operator="containsText" text="T">
      <formula>NOT(ISERROR(SEARCH("T",K154)))</formula>
    </cfRule>
  </conditionalFormatting>
  <conditionalFormatting sqref="K154">
    <cfRule type="containsText" dxfId="530" priority="294" operator="containsText" text="TB">
      <formula>NOT(ISERROR(SEARCH("TB",K154)))</formula>
    </cfRule>
  </conditionalFormatting>
  <conditionalFormatting sqref="C108 E108:AG108">
    <cfRule type="containsText" dxfId="529" priority="291" operator="containsText" text="B">
      <formula>NOT(ISERROR(SEARCH("B",C108)))</formula>
    </cfRule>
    <cfRule type="containsText" dxfId="528" priority="292" operator="containsText" text="TB">
      <formula>NOT(ISERROR(SEARCH("TB",C108)))</formula>
    </cfRule>
    <cfRule type="containsText" dxfId="527" priority="293" operator="containsText" text="T">
      <formula>NOT(ISERROR(SEARCH("T",C108)))</formula>
    </cfRule>
  </conditionalFormatting>
  <conditionalFormatting sqref="C108 E108:AG108">
    <cfRule type="containsText" dxfId="526" priority="290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20">
    <cfRule type="containsText" dxfId="525" priority="287" operator="containsText" text="B">
      <formula>NOT(ISERROR(SEARCH("B",D27)))</formula>
    </cfRule>
    <cfRule type="containsText" dxfId="524" priority="288" operator="containsText" text="TB">
      <formula>NOT(ISERROR(SEARCH("TB",D27)))</formula>
    </cfRule>
    <cfRule type="containsText" dxfId="523" priority="289" operator="containsText" text="T">
      <formula>NOT(ISERROR(SEARCH("T",D27)))</formula>
    </cfRule>
  </conditionalFormatting>
  <conditionalFormatting sqref="D27 D29:D31 D35:D37 D40:D42 D46:D47 D59 D62 D64:D65 D68 D81:D82 D88 D93 D96:D98 D101:D102 D104:D107 D73:D74 D109:D120">
    <cfRule type="containsText" dxfId="522" priority="286" operator="containsText" text="TB">
      <formula>NOT(ISERROR(SEARCH("TB",D27)))</formula>
    </cfRule>
  </conditionalFormatting>
  <conditionalFormatting sqref="D8:D12 D15:D19 D21 D24 D26">
    <cfRule type="containsText" dxfId="521" priority="283" operator="containsText" text="B">
      <formula>NOT(ISERROR(SEARCH("B",D8)))</formula>
    </cfRule>
    <cfRule type="containsText" dxfId="520" priority="284" operator="containsText" text="TB">
      <formula>NOT(ISERROR(SEARCH("TB",D8)))</formula>
    </cfRule>
    <cfRule type="containsText" dxfId="519" priority="285" operator="containsText" text="T">
      <formula>NOT(ISERROR(SEARCH("T",D8)))</formula>
    </cfRule>
  </conditionalFormatting>
  <conditionalFormatting sqref="D8:D12 D15:D19 D21 D24 D26">
    <cfRule type="containsText" dxfId="518" priority="282" operator="containsText" text="TB">
      <formula>NOT(ISERROR(SEARCH("TB",D8)))</formula>
    </cfRule>
  </conditionalFormatting>
  <conditionalFormatting sqref="D7">
    <cfRule type="containsText" dxfId="517" priority="279" operator="containsText" text="B">
      <formula>NOT(ISERROR(SEARCH("B",D7)))</formula>
    </cfRule>
    <cfRule type="containsText" dxfId="516" priority="280" operator="containsText" text="TB">
      <formula>NOT(ISERROR(SEARCH("TB",D7)))</formula>
    </cfRule>
    <cfRule type="containsText" dxfId="515" priority="281" operator="containsText" text="T">
      <formula>NOT(ISERROR(SEARCH("T",D7)))</formula>
    </cfRule>
  </conditionalFormatting>
  <conditionalFormatting sqref="D7">
    <cfRule type="containsText" dxfId="514" priority="278" operator="containsText" text="TB">
      <formula>NOT(ISERROR(SEARCH("TB",D7)))</formula>
    </cfRule>
  </conditionalFormatting>
  <conditionalFormatting sqref="D13:D14">
    <cfRule type="containsText" dxfId="513" priority="275" operator="containsText" text="B">
      <formula>NOT(ISERROR(SEARCH("B",D13)))</formula>
    </cfRule>
    <cfRule type="containsText" dxfId="512" priority="276" operator="containsText" text="TB">
      <formula>NOT(ISERROR(SEARCH("TB",D13)))</formula>
    </cfRule>
    <cfRule type="containsText" dxfId="511" priority="277" operator="containsText" text="T">
      <formula>NOT(ISERROR(SEARCH("T",D13)))</formula>
    </cfRule>
  </conditionalFormatting>
  <conditionalFormatting sqref="D13:D14">
    <cfRule type="containsText" dxfId="510" priority="274" operator="containsText" text="TB">
      <formula>NOT(ISERROR(SEARCH("TB",D13)))</formula>
    </cfRule>
  </conditionalFormatting>
  <conditionalFormatting sqref="D20">
    <cfRule type="containsText" dxfId="509" priority="271" operator="containsText" text="B">
      <formula>NOT(ISERROR(SEARCH("B",D20)))</formula>
    </cfRule>
    <cfRule type="containsText" dxfId="508" priority="272" operator="containsText" text="TB">
      <formula>NOT(ISERROR(SEARCH("TB",D20)))</formula>
    </cfRule>
    <cfRule type="containsText" dxfId="507" priority="273" operator="containsText" text="T">
      <formula>NOT(ISERROR(SEARCH("T",D20)))</formula>
    </cfRule>
  </conditionalFormatting>
  <conditionalFormatting sqref="D20">
    <cfRule type="containsText" dxfId="506" priority="270" operator="containsText" text="TB">
      <formula>NOT(ISERROR(SEARCH("TB",D20)))</formula>
    </cfRule>
  </conditionalFormatting>
  <conditionalFormatting sqref="D22:D23">
    <cfRule type="containsText" dxfId="505" priority="267" operator="containsText" text="B">
      <formula>NOT(ISERROR(SEARCH("B",D22)))</formula>
    </cfRule>
    <cfRule type="containsText" dxfId="504" priority="268" operator="containsText" text="TB">
      <formula>NOT(ISERROR(SEARCH("TB",D22)))</formula>
    </cfRule>
    <cfRule type="containsText" dxfId="503" priority="269" operator="containsText" text="T">
      <formula>NOT(ISERROR(SEARCH("T",D22)))</formula>
    </cfRule>
  </conditionalFormatting>
  <conditionalFormatting sqref="D22:D23">
    <cfRule type="containsText" dxfId="502" priority="266" operator="containsText" text="TB">
      <formula>NOT(ISERROR(SEARCH("TB",D22)))</formula>
    </cfRule>
  </conditionalFormatting>
  <conditionalFormatting sqref="D25">
    <cfRule type="containsText" dxfId="501" priority="263" operator="containsText" text="B">
      <formula>NOT(ISERROR(SEARCH("B",D25)))</formula>
    </cfRule>
    <cfRule type="containsText" dxfId="500" priority="264" operator="containsText" text="TB">
      <formula>NOT(ISERROR(SEARCH("TB",D25)))</formula>
    </cfRule>
    <cfRule type="containsText" dxfId="499" priority="265" operator="containsText" text="T">
      <formula>NOT(ISERROR(SEARCH("T",D25)))</formula>
    </cfRule>
  </conditionalFormatting>
  <conditionalFormatting sqref="D25">
    <cfRule type="containsText" dxfId="498" priority="262" operator="containsText" text="TB">
      <formula>NOT(ISERROR(SEARCH("TB",D25)))</formula>
    </cfRule>
  </conditionalFormatting>
  <conditionalFormatting sqref="D28">
    <cfRule type="containsText" dxfId="497" priority="259" operator="containsText" text="B">
      <formula>NOT(ISERROR(SEARCH("B",D28)))</formula>
    </cfRule>
    <cfRule type="containsText" dxfId="496" priority="260" operator="containsText" text="TB">
      <formula>NOT(ISERROR(SEARCH("TB",D28)))</formula>
    </cfRule>
    <cfRule type="containsText" dxfId="495" priority="261" operator="containsText" text="T">
      <formula>NOT(ISERROR(SEARCH("T",D28)))</formula>
    </cfRule>
  </conditionalFormatting>
  <conditionalFormatting sqref="D28">
    <cfRule type="containsText" dxfId="494" priority="258" operator="containsText" text="TB">
      <formula>NOT(ISERROR(SEARCH("TB",D28)))</formula>
    </cfRule>
  </conditionalFormatting>
  <conditionalFormatting sqref="D32:D34">
    <cfRule type="containsText" dxfId="493" priority="255" operator="containsText" text="B">
      <formula>NOT(ISERROR(SEARCH("B",D32)))</formula>
    </cfRule>
    <cfRule type="containsText" dxfId="492" priority="256" operator="containsText" text="TB">
      <formula>NOT(ISERROR(SEARCH("TB",D32)))</formula>
    </cfRule>
    <cfRule type="containsText" dxfId="491" priority="257" operator="containsText" text="T">
      <formula>NOT(ISERROR(SEARCH("T",D32)))</formula>
    </cfRule>
  </conditionalFormatting>
  <conditionalFormatting sqref="D32:D34">
    <cfRule type="containsText" dxfId="490" priority="254" operator="containsText" text="TB">
      <formula>NOT(ISERROR(SEARCH("TB",D32)))</formula>
    </cfRule>
  </conditionalFormatting>
  <conditionalFormatting sqref="D38:D39">
    <cfRule type="containsText" dxfId="489" priority="251" operator="containsText" text="B">
      <formula>NOT(ISERROR(SEARCH("B",D38)))</formula>
    </cfRule>
    <cfRule type="containsText" dxfId="488" priority="252" operator="containsText" text="TB">
      <formula>NOT(ISERROR(SEARCH("TB",D38)))</formula>
    </cfRule>
    <cfRule type="containsText" dxfId="487" priority="253" operator="containsText" text="T">
      <formula>NOT(ISERROR(SEARCH("T",D38)))</formula>
    </cfRule>
  </conditionalFormatting>
  <conditionalFormatting sqref="D38:D39">
    <cfRule type="containsText" dxfId="486" priority="250" operator="containsText" text="TB">
      <formula>NOT(ISERROR(SEARCH("TB",D38)))</formula>
    </cfRule>
  </conditionalFormatting>
  <conditionalFormatting sqref="D43:D45">
    <cfRule type="containsText" dxfId="485" priority="247" operator="containsText" text="B">
      <formula>NOT(ISERROR(SEARCH("B",D43)))</formula>
    </cfRule>
    <cfRule type="containsText" dxfId="484" priority="248" operator="containsText" text="TB">
      <formula>NOT(ISERROR(SEARCH("TB",D43)))</formula>
    </cfRule>
    <cfRule type="containsText" dxfId="483" priority="249" operator="containsText" text="T">
      <formula>NOT(ISERROR(SEARCH("T",D43)))</formula>
    </cfRule>
  </conditionalFormatting>
  <conditionalFormatting sqref="D43:D45">
    <cfRule type="containsText" dxfId="482" priority="246" operator="containsText" text="TB">
      <formula>NOT(ISERROR(SEARCH("TB",D43)))</formula>
    </cfRule>
  </conditionalFormatting>
  <conditionalFormatting sqref="D48:D50">
    <cfRule type="containsText" dxfId="481" priority="243" operator="containsText" text="B">
      <formula>NOT(ISERROR(SEARCH("B",D48)))</formula>
    </cfRule>
    <cfRule type="containsText" dxfId="480" priority="244" operator="containsText" text="TB">
      <formula>NOT(ISERROR(SEARCH("TB",D48)))</formula>
    </cfRule>
    <cfRule type="containsText" dxfId="479" priority="245" operator="containsText" text="T">
      <formula>NOT(ISERROR(SEARCH("T",D48)))</formula>
    </cfRule>
  </conditionalFormatting>
  <conditionalFormatting sqref="D48:D50">
    <cfRule type="containsText" dxfId="478" priority="242" operator="containsText" text="TB">
      <formula>NOT(ISERROR(SEARCH("TB",D48)))</formula>
    </cfRule>
  </conditionalFormatting>
  <conditionalFormatting sqref="D51:D53">
    <cfRule type="containsText" dxfId="477" priority="239" operator="containsText" text="B">
      <formula>NOT(ISERROR(SEARCH("B",D51)))</formula>
    </cfRule>
    <cfRule type="containsText" dxfId="476" priority="240" operator="containsText" text="TB">
      <formula>NOT(ISERROR(SEARCH("TB",D51)))</formula>
    </cfRule>
    <cfRule type="containsText" dxfId="475" priority="241" operator="containsText" text="T">
      <formula>NOT(ISERROR(SEARCH("T",D51)))</formula>
    </cfRule>
  </conditionalFormatting>
  <conditionalFormatting sqref="D51:D53">
    <cfRule type="containsText" dxfId="474" priority="238" operator="containsText" text="TB">
      <formula>NOT(ISERROR(SEARCH("TB",D51)))</formula>
    </cfRule>
  </conditionalFormatting>
  <conditionalFormatting sqref="D54:D55">
    <cfRule type="containsText" dxfId="473" priority="235" operator="containsText" text="B">
      <formula>NOT(ISERROR(SEARCH("B",D54)))</formula>
    </cfRule>
    <cfRule type="containsText" dxfId="472" priority="236" operator="containsText" text="TB">
      <formula>NOT(ISERROR(SEARCH("TB",D54)))</formula>
    </cfRule>
    <cfRule type="containsText" dxfId="471" priority="237" operator="containsText" text="T">
      <formula>NOT(ISERROR(SEARCH("T",D54)))</formula>
    </cfRule>
  </conditionalFormatting>
  <conditionalFormatting sqref="D54:D55">
    <cfRule type="containsText" dxfId="470" priority="234" operator="containsText" text="TB">
      <formula>NOT(ISERROR(SEARCH("TB",D54)))</formula>
    </cfRule>
  </conditionalFormatting>
  <conditionalFormatting sqref="D56:D58">
    <cfRule type="containsText" dxfId="469" priority="231" operator="containsText" text="B">
      <formula>NOT(ISERROR(SEARCH("B",D56)))</formula>
    </cfRule>
    <cfRule type="containsText" dxfId="468" priority="232" operator="containsText" text="TB">
      <formula>NOT(ISERROR(SEARCH("TB",D56)))</formula>
    </cfRule>
    <cfRule type="containsText" dxfId="467" priority="233" operator="containsText" text="T">
      <formula>NOT(ISERROR(SEARCH("T",D56)))</formula>
    </cfRule>
  </conditionalFormatting>
  <conditionalFormatting sqref="D56:D58">
    <cfRule type="containsText" dxfId="466" priority="230" operator="containsText" text="TB">
      <formula>NOT(ISERROR(SEARCH("TB",D56)))</formula>
    </cfRule>
  </conditionalFormatting>
  <conditionalFormatting sqref="D60:D61">
    <cfRule type="containsText" dxfId="465" priority="227" operator="containsText" text="B">
      <formula>NOT(ISERROR(SEARCH("B",D60)))</formula>
    </cfRule>
    <cfRule type="containsText" dxfId="464" priority="228" operator="containsText" text="TB">
      <formula>NOT(ISERROR(SEARCH("TB",D60)))</formula>
    </cfRule>
    <cfRule type="containsText" dxfId="463" priority="229" operator="containsText" text="T">
      <formula>NOT(ISERROR(SEARCH("T",D60)))</formula>
    </cfRule>
  </conditionalFormatting>
  <conditionalFormatting sqref="D60:D61">
    <cfRule type="containsText" dxfId="462" priority="226" operator="containsText" text="TB">
      <formula>NOT(ISERROR(SEARCH("TB",D60)))</formula>
    </cfRule>
  </conditionalFormatting>
  <conditionalFormatting sqref="D63">
    <cfRule type="containsText" dxfId="461" priority="223" operator="containsText" text="B">
      <formula>NOT(ISERROR(SEARCH("B",D63)))</formula>
    </cfRule>
    <cfRule type="containsText" dxfId="460" priority="224" operator="containsText" text="TB">
      <formula>NOT(ISERROR(SEARCH("TB",D63)))</formula>
    </cfRule>
    <cfRule type="containsText" dxfId="459" priority="225" operator="containsText" text="T">
      <formula>NOT(ISERROR(SEARCH("T",D63)))</formula>
    </cfRule>
  </conditionalFormatting>
  <conditionalFormatting sqref="D63">
    <cfRule type="containsText" dxfId="458" priority="222" operator="containsText" text="TB">
      <formula>NOT(ISERROR(SEARCH("TB",D63)))</formula>
    </cfRule>
  </conditionalFormatting>
  <conditionalFormatting sqref="D66">
    <cfRule type="containsText" dxfId="457" priority="219" operator="containsText" text="B">
      <formula>NOT(ISERROR(SEARCH("B",D66)))</formula>
    </cfRule>
    <cfRule type="containsText" dxfId="456" priority="220" operator="containsText" text="TB">
      <formula>NOT(ISERROR(SEARCH("TB",D66)))</formula>
    </cfRule>
    <cfRule type="containsText" dxfId="455" priority="221" operator="containsText" text="T">
      <formula>NOT(ISERROR(SEARCH("T",D66)))</formula>
    </cfRule>
  </conditionalFormatting>
  <conditionalFormatting sqref="D66">
    <cfRule type="containsText" dxfId="454" priority="218" operator="containsText" text="TB">
      <formula>NOT(ISERROR(SEARCH("TB",D66)))</formula>
    </cfRule>
  </conditionalFormatting>
  <conditionalFormatting sqref="D67">
    <cfRule type="containsText" dxfId="453" priority="215" operator="containsText" text="B">
      <formula>NOT(ISERROR(SEARCH("B",D67)))</formula>
    </cfRule>
    <cfRule type="containsText" dxfId="452" priority="216" operator="containsText" text="TB">
      <formula>NOT(ISERROR(SEARCH("TB",D67)))</formula>
    </cfRule>
    <cfRule type="containsText" dxfId="451" priority="217" operator="containsText" text="T">
      <formula>NOT(ISERROR(SEARCH("T",D67)))</formula>
    </cfRule>
  </conditionalFormatting>
  <conditionalFormatting sqref="D67">
    <cfRule type="containsText" dxfId="450" priority="214" operator="containsText" text="TB">
      <formula>NOT(ISERROR(SEARCH("TB",D67)))</formula>
    </cfRule>
  </conditionalFormatting>
  <conditionalFormatting sqref="D69:D70">
    <cfRule type="containsText" dxfId="449" priority="211" operator="containsText" text="B">
      <formula>NOT(ISERROR(SEARCH("B",D69)))</formula>
    </cfRule>
    <cfRule type="containsText" dxfId="448" priority="212" operator="containsText" text="TB">
      <formula>NOT(ISERROR(SEARCH("TB",D69)))</formula>
    </cfRule>
    <cfRule type="containsText" dxfId="447" priority="213" operator="containsText" text="T">
      <formula>NOT(ISERROR(SEARCH("T",D69)))</formula>
    </cfRule>
  </conditionalFormatting>
  <conditionalFormatting sqref="D69:D70">
    <cfRule type="containsText" dxfId="446" priority="210" operator="containsText" text="TB">
      <formula>NOT(ISERROR(SEARCH("TB",D69)))</formula>
    </cfRule>
  </conditionalFormatting>
  <conditionalFormatting sqref="D75">
    <cfRule type="containsText" dxfId="445" priority="207" operator="containsText" text="B">
      <formula>NOT(ISERROR(SEARCH("B",D75)))</formula>
    </cfRule>
    <cfRule type="containsText" dxfId="444" priority="208" operator="containsText" text="TB">
      <formula>NOT(ISERROR(SEARCH("TB",D75)))</formula>
    </cfRule>
    <cfRule type="containsText" dxfId="443" priority="209" operator="containsText" text="T">
      <formula>NOT(ISERROR(SEARCH("T",D75)))</formula>
    </cfRule>
  </conditionalFormatting>
  <conditionalFormatting sqref="D75">
    <cfRule type="containsText" dxfId="442" priority="206" operator="containsText" text="TB">
      <formula>NOT(ISERROR(SEARCH("TB",D75)))</formula>
    </cfRule>
  </conditionalFormatting>
  <conditionalFormatting sqref="D77">
    <cfRule type="containsText" dxfId="441" priority="203" operator="containsText" text="B">
      <formula>NOT(ISERROR(SEARCH("B",D77)))</formula>
    </cfRule>
    <cfRule type="containsText" dxfId="440" priority="204" operator="containsText" text="TB">
      <formula>NOT(ISERROR(SEARCH("TB",D77)))</formula>
    </cfRule>
    <cfRule type="containsText" dxfId="439" priority="205" operator="containsText" text="T">
      <formula>NOT(ISERROR(SEARCH("T",D77)))</formula>
    </cfRule>
  </conditionalFormatting>
  <conditionalFormatting sqref="D77">
    <cfRule type="containsText" dxfId="438" priority="202" operator="containsText" text="TB">
      <formula>NOT(ISERROR(SEARCH("TB",D77)))</formula>
    </cfRule>
  </conditionalFormatting>
  <conditionalFormatting sqref="D80">
    <cfRule type="containsText" dxfId="437" priority="199" operator="containsText" text="B">
      <formula>NOT(ISERROR(SEARCH("B",D80)))</formula>
    </cfRule>
    <cfRule type="containsText" dxfId="436" priority="200" operator="containsText" text="TB">
      <formula>NOT(ISERROR(SEARCH("TB",D80)))</formula>
    </cfRule>
    <cfRule type="containsText" dxfId="435" priority="201" operator="containsText" text="T">
      <formula>NOT(ISERROR(SEARCH("T",D80)))</formula>
    </cfRule>
  </conditionalFormatting>
  <conditionalFormatting sqref="D80">
    <cfRule type="containsText" dxfId="434" priority="198" operator="containsText" text="TB">
      <formula>NOT(ISERROR(SEARCH("TB",D80)))</formula>
    </cfRule>
  </conditionalFormatting>
  <conditionalFormatting sqref="D83:D84">
    <cfRule type="containsText" dxfId="433" priority="195" operator="containsText" text="B">
      <formula>NOT(ISERROR(SEARCH("B",D83)))</formula>
    </cfRule>
    <cfRule type="containsText" dxfId="432" priority="196" operator="containsText" text="TB">
      <formula>NOT(ISERROR(SEARCH("TB",D83)))</formula>
    </cfRule>
    <cfRule type="containsText" dxfId="431" priority="197" operator="containsText" text="T">
      <formula>NOT(ISERROR(SEARCH("T",D83)))</formula>
    </cfRule>
  </conditionalFormatting>
  <conditionalFormatting sqref="D83:D84">
    <cfRule type="containsText" dxfId="430" priority="194" operator="containsText" text="TB">
      <formula>NOT(ISERROR(SEARCH("TB",D83)))</formula>
    </cfRule>
  </conditionalFormatting>
  <conditionalFormatting sqref="D85:D87">
    <cfRule type="containsText" dxfId="429" priority="191" operator="containsText" text="B">
      <formula>NOT(ISERROR(SEARCH("B",D85)))</formula>
    </cfRule>
    <cfRule type="containsText" dxfId="428" priority="192" operator="containsText" text="TB">
      <formula>NOT(ISERROR(SEARCH("TB",D85)))</formula>
    </cfRule>
    <cfRule type="containsText" dxfId="427" priority="193" operator="containsText" text="T">
      <formula>NOT(ISERROR(SEARCH("T",D85)))</formula>
    </cfRule>
  </conditionalFormatting>
  <conditionalFormatting sqref="D85:D87">
    <cfRule type="containsText" dxfId="426" priority="190" operator="containsText" text="TB">
      <formula>NOT(ISERROR(SEARCH("TB",D85)))</formula>
    </cfRule>
  </conditionalFormatting>
  <conditionalFormatting sqref="D89:D90">
    <cfRule type="containsText" dxfId="425" priority="187" operator="containsText" text="B">
      <formula>NOT(ISERROR(SEARCH("B",D89)))</formula>
    </cfRule>
    <cfRule type="containsText" dxfId="424" priority="188" operator="containsText" text="TB">
      <formula>NOT(ISERROR(SEARCH("TB",D89)))</formula>
    </cfRule>
    <cfRule type="containsText" dxfId="423" priority="189" operator="containsText" text="T">
      <formula>NOT(ISERROR(SEARCH("T",D89)))</formula>
    </cfRule>
  </conditionalFormatting>
  <conditionalFormatting sqref="D89:D90">
    <cfRule type="containsText" dxfId="422" priority="186" operator="containsText" text="TB">
      <formula>NOT(ISERROR(SEARCH("TB",D89)))</formula>
    </cfRule>
  </conditionalFormatting>
  <conditionalFormatting sqref="D94">
    <cfRule type="containsText" dxfId="421" priority="183" operator="containsText" text="B">
      <formula>NOT(ISERROR(SEARCH("B",D94)))</formula>
    </cfRule>
    <cfRule type="containsText" dxfId="420" priority="184" operator="containsText" text="TB">
      <formula>NOT(ISERROR(SEARCH("TB",D94)))</formula>
    </cfRule>
    <cfRule type="containsText" dxfId="419" priority="185" operator="containsText" text="T">
      <formula>NOT(ISERROR(SEARCH("T",D94)))</formula>
    </cfRule>
  </conditionalFormatting>
  <conditionalFormatting sqref="D94">
    <cfRule type="containsText" dxfId="418" priority="182" operator="containsText" text="TB">
      <formula>NOT(ISERROR(SEARCH("TB",D94)))</formula>
    </cfRule>
  </conditionalFormatting>
  <conditionalFormatting sqref="D95">
    <cfRule type="containsText" dxfId="417" priority="179" operator="containsText" text="B">
      <formula>NOT(ISERROR(SEARCH("B",D95)))</formula>
    </cfRule>
    <cfRule type="containsText" dxfId="416" priority="180" operator="containsText" text="TB">
      <formula>NOT(ISERROR(SEARCH("TB",D95)))</formula>
    </cfRule>
    <cfRule type="containsText" dxfId="415" priority="181" operator="containsText" text="T">
      <formula>NOT(ISERROR(SEARCH("T",D95)))</formula>
    </cfRule>
  </conditionalFormatting>
  <conditionalFormatting sqref="D95">
    <cfRule type="containsText" dxfId="414" priority="178" operator="containsText" text="TB">
      <formula>NOT(ISERROR(SEARCH("TB",D95)))</formula>
    </cfRule>
  </conditionalFormatting>
  <conditionalFormatting sqref="D99:D100">
    <cfRule type="containsText" dxfId="413" priority="175" operator="containsText" text="B">
      <formula>NOT(ISERROR(SEARCH("B",D99)))</formula>
    </cfRule>
    <cfRule type="containsText" dxfId="412" priority="176" operator="containsText" text="TB">
      <formula>NOT(ISERROR(SEARCH("TB",D99)))</formula>
    </cfRule>
    <cfRule type="containsText" dxfId="411" priority="177" operator="containsText" text="T">
      <formula>NOT(ISERROR(SEARCH("T",D99)))</formula>
    </cfRule>
  </conditionalFormatting>
  <conditionalFormatting sqref="D99:D100">
    <cfRule type="containsText" dxfId="410" priority="174" operator="containsText" text="TB">
      <formula>NOT(ISERROR(SEARCH("TB",D99)))</formula>
    </cfRule>
  </conditionalFormatting>
  <conditionalFormatting sqref="D103">
    <cfRule type="containsText" dxfId="409" priority="171" operator="containsText" text="B">
      <formula>NOT(ISERROR(SEARCH("B",D103)))</formula>
    </cfRule>
    <cfRule type="containsText" dxfId="408" priority="172" operator="containsText" text="TB">
      <formula>NOT(ISERROR(SEARCH("TB",D103)))</formula>
    </cfRule>
    <cfRule type="containsText" dxfId="407" priority="173" operator="containsText" text="T">
      <formula>NOT(ISERROR(SEARCH("T",D103)))</formula>
    </cfRule>
  </conditionalFormatting>
  <conditionalFormatting sqref="D103">
    <cfRule type="containsText" dxfId="406" priority="170" operator="containsText" text="TB">
      <formula>NOT(ISERROR(SEARCH("TB",D103)))</formula>
    </cfRule>
  </conditionalFormatting>
  <conditionalFormatting sqref="D71:D72">
    <cfRule type="containsText" dxfId="405" priority="167" operator="containsText" text="B">
      <formula>NOT(ISERROR(SEARCH("B",D71)))</formula>
    </cfRule>
    <cfRule type="containsText" dxfId="404" priority="168" operator="containsText" text="TB">
      <formula>NOT(ISERROR(SEARCH("TB",D71)))</formula>
    </cfRule>
    <cfRule type="containsText" dxfId="403" priority="169" operator="containsText" text="T">
      <formula>NOT(ISERROR(SEARCH("T",D71)))</formula>
    </cfRule>
  </conditionalFormatting>
  <conditionalFormatting sqref="D71:D72">
    <cfRule type="containsText" dxfId="402" priority="166" operator="containsText" text="TB">
      <formula>NOT(ISERROR(SEARCH("TB",D71)))</formula>
    </cfRule>
  </conditionalFormatting>
  <conditionalFormatting sqref="D76">
    <cfRule type="containsText" dxfId="401" priority="163" operator="containsText" text="B">
      <formula>NOT(ISERROR(SEARCH("B",D76)))</formula>
    </cfRule>
    <cfRule type="containsText" dxfId="400" priority="164" operator="containsText" text="TB">
      <formula>NOT(ISERROR(SEARCH("TB",D76)))</formula>
    </cfRule>
    <cfRule type="containsText" dxfId="399" priority="165" operator="containsText" text="T">
      <formula>NOT(ISERROR(SEARCH("T",D76)))</formula>
    </cfRule>
  </conditionalFormatting>
  <conditionalFormatting sqref="D76">
    <cfRule type="containsText" dxfId="398" priority="162" operator="containsText" text="TB">
      <formula>NOT(ISERROR(SEARCH("TB",D76)))</formula>
    </cfRule>
  </conditionalFormatting>
  <conditionalFormatting sqref="D78">
    <cfRule type="containsText" dxfId="397" priority="159" operator="containsText" text="B">
      <formula>NOT(ISERROR(SEARCH("B",D78)))</formula>
    </cfRule>
    <cfRule type="containsText" dxfId="396" priority="160" operator="containsText" text="TB">
      <formula>NOT(ISERROR(SEARCH("TB",D78)))</formula>
    </cfRule>
    <cfRule type="containsText" dxfId="395" priority="161" operator="containsText" text="T">
      <formula>NOT(ISERROR(SEARCH("T",D78)))</formula>
    </cfRule>
  </conditionalFormatting>
  <conditionalFormatting sqref="D78">
    <cfRule type="containsText" dxfId="394" priority="158" operator="containsText" text="TB">
      <formula>NOT(ISERROR(SEARCH("TB",D78)))</formula>
    </cfRule>
  </conditionalFormatting>
  <conditionalFormatting sqref="D79">
    <cfRule type="containsText" dxfId="393" priority="155" operator="containsText" text="B">
      <formula>NOT(ISERROR(SEARCH("B",D79)))</formula>
    </cfRule>
    <cfRule type="containsText" dxfId="392" priority="156" operator="containsText" text="TB">
      <formula>NOT(ISERROR(SEARCH("TB",D79)))</formula>
    </cfRule>
    <cfRule type="containsText" dxfId="391" priority="157" operator="containsText" text="T">
      <formula>NOT(ISERROR(SEARCH("T",D79)))</formula>
    </cfRule>
  </conditionalFormatting>
  <conditionalFormatting sqref="D79">
    <cfRule type="containsText" dxfId="390" priority="154" operator="containsText" text="TB">
      <formula>NOT(ISERROR(SEARCH("TB",D79)))</formula>
    </cfRule>
  </conditionalFormatting>
  <conditionalFormatting sqref="D91:D92">
    <cfRule type="containsText" dxfId="389" priority="151" operator="containsText" text="B">
      <formula>NOT(ISERROR(SEARCH("B",D91)))</formula>
    </cfRule>
    <cfRule type="containsText" dxfId="388" priority="152" operator="containsText" text="TB">
      <formula>NOT(ISERROR(SEARCH("TB",D91)))</formula>
    </cfRule>
    <cfRule type="containsText" dxfId="387" priority="153" operator="containsText" text="T">
      <formula>NOT(ISERROR(SEARCH("T",D91)))</formula>
    </cfRule>
  </conditionalFormatting>
  <conditionalFormatting sqref="D91:D92">
    <cfRule type="containsText" dxfId="386" priority="150" operator="containsText" text="TB">
      <formula>NOT(ISERROR(SEARCH("TB",D91)))</formula>
    </cfRule>
  </conditionalFormatting>
  <conditionalFormatting sqref="D108">
    <cfRule type="containsText" dxfId="385" priority="147" operator="containsText" text="B">
      <formula>NOT(ISERROR(SEARCH("B",D108)))</formula>
    </cfRule>
    <cfRule type="containsText" dxfId="384" priority="148" operator="containsText" text="TB">
      <formula>NOT(ISERROR(SEARCH("TB",D108)))</formula>
    </cfRule>
    <cfRule type="containsText" dxfId="383" priority="149" operator="containsText" text="T">
      <formula>NOT(ISERROR(SEARCH("T",D108)))</formula>
    </cfRule>
  </conditionalFormatting>
  <conditionalFormatting sqref="D108">
    <cfRule type="containsText" dxfId="382" priority="146" operator="containsText" text="TB">
      <formula>NOT(ISERROR(SEARCH("TB",D108)))</formula>
    </cfRule>
  </conditionalFormatting>
  <conditionalFormatting sqref="C122:AG122">
    <cfRule type="containsText" dxfId="381" priority="145" operator="containsText" text="TB">
      <formula>NOT(ISERROR(SEARCH("TB",C122)))</formula>
    </cfRule>
  </conditionalFormatting>
  <conditionalFormatting sqref="B174">
    <cfRule type="expression" dxfId="380" priority="142">
      <formula>AND($AK174&gt;0,$W174&gt;89)</formula>
    </cfRule>
    <cfRule type="expression" dxfId="379" priority="143">
      <formula>AND($AK174&gt;0,$W174&gt;59)</formula>
    </cfRule>
    <cfRule type="expression" dxfId="378" priority="144">
      <formula>AND($AK174&gt;0,$W174&gt;44)</formula>
    </cfRule>
  </conditionalFormatting>
  <conditionalFormatting sqref="B175">
    <cfRule type="expression" dxfId="377" priority="139">
      <formula>AND($AK175&gt;0,$W175&gt;89)</formula>
    </cfRule>
    <cfRule type="expression" dxfId="376" priority="140">
      <formula>AND($AK175&gt;0,$W175&gt;59)</formula>
    </cfRule>
    <cfRule type="expression" dxfId="375" priority="141">
      <formula>AND($AK175&gt;0,$W175&gt;44)</formula>
    </cfRule>
  </conditionalFormatting>
  <conditionalFormatting sqref="B176">
    <cfRule type="expression" dxfId="374" priority="136">
      <formula>AND($AK176&gt;0,$W176&gt;89)</formula>
    </cfRule>
    <cfRule type="expression" dxfId="373" priority="137">
      <formula>AND($AK176&gt;0,$W176&gt;59)</formula>
    </cfRule>
    <cfRule type="expression" dxfId="372" priority="138">
      <formula>AND($AK176&gt;0,$W176&gt;44)</formula>
    </cfRule>
  </conditionalFormatting>
  <conditionalFormatting sqref="B177">
    <cfRule type="expression" dxfId="371" priority="133">
      <formula>AND($AK177&gt;0,$W177&gt;89)</formula>
    </cfRule>
    <cfRule type="expression" dxfId="370" priority="134">
      <formula>AND($AK177&gt;0,$W177&gt;59)</formula>
    </cfRule>
    <cfRule type="expression" dxfId="369" priority="135">
      <formula>AND($AK177&gt;0,$W177&gt;44)</formula>
    </cfRule>
  </conditionalFormatting>
  <conditionalFormatting sqref="B178">
    <cfRule type="expression" dxfId="368" priority="130">
      <formula>AND($AK178&gt;0,$W178&gt;89)</formula>
    </cfRule>
    <cfRule type="expression" dxfId="367" priority="131">
      <formula>AND($AK178&gt;0,$W178&gt;59)</formula>
    </cfRule>
    <cfRule type="expression" dxfId="366" priority="132">
      <formula>AND($AK178&gt;0,$W178&gt;44)</formula>
    </cfRule>
  </conditionalFormatting>
  <conditionalFormatting sqref="B160">
    <cfRule type="expression" dxfId="365" priority="127">
      <formula>AND($AK160&gt;0,$W160&gt;89)</formula>
    </cfRule>
    <cfRule type="expression" dxfId="364" priority="128">
      <formula>AND($AK160&gt;0,$W160&gt;59)</formula>
    </cfRule>
    <cfRule type="expression" dxfId="363" priority="129">
      <formula>AND($AK160&gt;0,$W160&gt;44)</formula>
    </cfRule>
  </conditionalFormatting>
  <conditionalFormatting sqref="B161">
    <cfRule type="expression" dxfId="362" priority="124">
      <formula>AND($AK161&gt;0,$W161&gt;89)</formula>
    </cfRule>
    <cfRule type="expression" dxfId="361" priority="125">
      <formula>AND($AK161&gt;0,$W161&gt;59)</formula>
    </cfRule>
    <cfRule type="expression" dxfId="360" priority="126">
      <formula>AND($AK161&gt;0,$W161&gt;44)</formula>
    </cfRule>
  </conditionalFormatting>
  <conditionalFormatting sqref="B162">
    <cfRule type="expression" dxfId="359" priority="121">
      <formula>AND($AK162&gt;0,$W162&gt;89)</formula>
    </cfRule>
    <cfRule type="expression" dxfId="358" priority="122">
      <formula>AND($AK162&gt;0,$W162&gt;59)</formula>
    </cfRule>
    <cfRule type="expression" dxfId="357" priority="123">
      <formula>AND($AK162&gt;0,$W162&gt;44)</formula>
    </cfRule>
  </conditionalFormatting>
  <conditionalFormatting sqref="B163">
    <cfRule type="expression" dxfId="356" priority="118">
      <formula>AND($AK163&gt;0,$W163&gt;89)</formula>
    </cfRule>
    <cfRule type="expression" dxfId="355" priority="119">
      <formula>AND($AK163&gt;0,$W163&gt;59)</formula>
    </cfRule>
    <cfRule type="expression" dxfId="354" priority="120">
      <formula>AND($AK163&gt;0,$W163&gt;44)</formula>
    </cfRule>
  </conditionalFormatting>
  <conditionalFormatting sqref="B164">
    <cfRule type="expression" dxfId="353" priority="115">
      <formula>AND($AK164&gt;0,$W164&gt;89)</formula>
    </cfRule>
    <cfRule type="expression" dxfId="352" priority="116">
      <formula>AND($AK164&gt;0,$W164&gt;59)</formula>
    </cfRule>
    <cfRule type="expression" dxfId="351" priority="117">
      <formula>AND($AK164&gt;0,$W164&gt;44)</formula>
    </cfRule>
  </conditionalFormatting>
  <conditionalFormatting sqref="B165">
    <cfRule type="expression" dxfId="350" priority="112">
      <formula>AND($AK165&gt;0,$W165&gt;89)</formula>
    </cfRule>
    <cfRule type="expression" dxfId="349" priority="113">
      <formula>AND($AK165&gt;0,$W165&gt;59)</formula>
    </cfRule>
    <cfRule type="expression" dxfId="348" priority="114">
      <formula>AND($AK165&gt;0,$W165&gt;44)</formula>
    </cfRule>
  </conditionalFormatting>
  <conditionalFormatting sqref="B166">
    <cfRule type="expression" dxfId="347" priority="109">
      <formula>AND($AK166&gt;0,$W166&gt;89)</formula>
    </cfRule>
    <cfRule type="expression" dxfId="346" priority="110">
      <formula>AND($AK166&gt;0,$W166&gt;59)</formula>
    </cfRule>
    <cfRule type="expression" dxfId="345" priority="111">
      <formula>AND($AK166&gt;0,$W166&gt;44)</formula>
    </cfRule>
  </conditionalFormatting>
  <conditionalFormatting sqref="B167">
    <cfRule type="expression" dxfId="344" priority="106">
      <formula>AND($AK167&gt;0,$W167&gt;89)</formula>
    </cfRule>
    <cfRule type="expression" dxfId="343" priority="107">
      <formula>AND($AK167&gt;0,$W167&gt;59)</formula>
    </cfRule>
    <cfRule type="expression" dxfId="342" priority="108">
      <formula>AND($AK167&gt;0,$W167&gt;44)</formula>
    </cfRule>
  </conditionalFormatting>
  <conditionalFormatting sqref="B168">
    <cfRule type="expression" dxfId="341" priority="103">
      <formula>AND($AK168&gt;0,$W168&gt;89)</formula>
    </cfRule>
    <cfRule type="expression" dxfId="340" priority="104">
      <formula>AND($AK168&gt;0,$W168&gt;59)</formula>
    </cfRule>
    <cfRule type="expression" dxfId="339" priority="105">
      <formula>AND($AK168&gt;0,$W168&gt;44)</formula>
    </cfRule>
  </conditionalFormatting>
  <conditionalFormatting sqref="B169">
    <cfRule type="expression" dxfId="338" priority="100">
      <formula>AND($AK169&gt;0,$W169&gt;89)</formula>
    </cfRule>
    <cfRule type="expression" dxfId="337" priority="101">
      <formula>AND($AK169&gt;0,$W169&gt;59)</formula>
    </cfRule>
    <cfRule type="expression" dxfId="336" priority="102">
      <formula>AND($AK169&gt;0,$W169&gt;44)</formula>
    </cfRule>
  </conditionalFormatting>
  <conditionalFormatting sqref="B170">
    <cfRule type="expression" dxfId="335" priority="97">
      <formula>AND($AK170&gt;0,$W170&gt;89)</formula>
    </cfRule>
    <cfRule type="expression" dxfId="334" priority="98">
      <formula>AND($AK170&gt;0,$W170&gt;59)</formula>
    </cfRule>
    <cfRule type="expression" dxfId="333" priority="99">
      <formula>AND($AK170&gt;0,$W170&gt;44)</formula>
    </cfRule>
  </conditionalFormatting>
  <conditionalFormatting sqref="B171">
    <cfRule type="expression" dxfId="332" priority="94">
      <formula>AND($AK171&gt;0,$W171&gt;89)</formula>
    </cfRule>
    <cfRule type="expression" dxfId="331" priority="95">
      <formula>AND($AK171&gt;0,$W171&gt;59)</formula>
    </cfRule>
    <cfRule type="expression" dxfId="330" priority="96">
      <formula>AND($AK171&gt;0,$W171&gt;44)</formula>
    </cfRule>
  </conditionalFormatting>
  <conditionalFormatting sqref="B172">
    <cfRule type="expression" dxfId="329" priority="91">
      <formula>AND($AK172&gt;0,$W172&gt;89)</formula>
    </cfRule>
    <cfRule type="expression" dxfId="328" priority="92">
      <formula>AND($AK172&gt;0,$W172&gt;59)</formula>
    </cfRule>
    <cfRule type="expression" dxfId="327" priority="93">
      <formula>AND($AK172&gt;0,$W172&gt;44)</formula>
    </cfRule>
  </conditionalFormatting>
  <conditionalFormatting sqref="B173">
    <cfRule type="expression" dxfId="326" priority="88">
      <formula>AND($AK173&gt;0,$W173&gt;89)</formula>
    </cfRule>
    <cfRule type="expression" dxfId="325" priority="89">
      <formula>AND($AK173&gt;0,$W173&gt;59)</formula>
    </cfRule>
    <cfRule type="expression" dxfId="324" priority="90">
      <formula>AND($AK173&gt;0,$W173&gt;44)</formula>
    </cfRule>
  </conditionalFormatting>
  <conditionalFormatting sqref="B7:B21">
    <cfRule type="expression" dxfId="323" priority="85">
      <formula>AND($AK7&gt;0,$W7&gt;89)</formula>
    </cfRule>
    <cfRule type="expression" dxfId="322" priority="86">
      <formula>AND($AK7&gt;0,$W7&gt;59)</formula>
    </cfRule>
    <cfRule type="expression" dxfId="321" priority="87">
      <formula>AND($AK7&gt;0,$W7&gt;44)</formula>
    </cfRule>
  </conditionalFormatting>
  <conditionalFormatting sqref="B22:B73">
    <cfRule type="expression" dxfId="320" priority="82">
      <formula>AND($AK22&gt;0,$W22&gt;89)</formula>
    </cfRule>
    <cfRule type="expression" dxfId="319" priority="83">
      <formula>AND($AK22&gt;0,$W22&gt;59)</formula>
    </cfRule>
    <cfRule type="expression" dxfId="318" priority="84">
      <formula>AND($AK22&gt;0,$W22&gt;44)</formula>
    </cfRule>
  </conditionalFormatting>
  <conditionalFormatting sqref="B74:B109">
    <cfRule type="expression" dxfId="317" priority="79">
      <formula>AND($AK74&gt;0,$W74&gt;89)</formula>
    </cfRule>
    <cfRule type="expression" dxfId="316" priority="80">
      <formula>AND($AK74&gt;0,$W74&gt;59)</formula>
    </cfRule>
    <cfRule type="expression" dxfId="315" priority="81">
      <formula>AND($AK74&gt;0,$W74&gt;44)</formula>
    </cfRule>
  </conditionalFormatting>
  <conditionalFormatting sqref="B134">
    <cfRule type="expression" dxfId="314" priority="76">
      <formula>AND($AK134&gt;0,$W134&gt;89)</formula>
    </cfRule>
    <cfRule type="expression" dxfId="313" priority="77">
      <formula>AND($AK134&gt;0,$W134&gt;59)</formula>
    </cfRule>
    <cfRule type="expression" dxfId="312" priority="78">
      <formula>AND($AK134&gt;0,$W134&gt;44)</formula>
    </cfRule>
  </conditionalFormatting>
  <conditionalFormatting sqref="B135">
    <cfRule type="expression" dxfId="311" priority="73">
      <formula>AND($AK135&gt;0,$W135&gt;89)</formula>
    </cfRule>
    <cfRule type="expression" dxfId="310" priority="74">
      <formula>AND($AK135&gt;0,$W135&gt;59)</formula>
    </cfRule>
    <cfRule type="expression" dxfId="309" priority="75">
      <formula>AND($AK135&gt;0,$W135&gt;44)</formula>
    </cfRule>
  </conditionalFormatting>
  <conditionalFormatting sqref="B136">
    <cfRule type="expression" dxfId="308" priority="70">
      <formula>AND($AK136&gt;0,$W136&gt;89)</formula>
    </cfRule>
    <cfRule type="expression" dxfId="307" priority="71">
      <formula>AND($AK136&gt;0,$W136&gt;59)</formula>
    </cfRule>
    <cfRule type="expression" dxfId="306" priority="72">
      <formula>AND($AK136&gt;0,$W136&gt;44)</formula>
    </cfRule>
  </conditionalFormatting>
  <conditionalFormatting sqref="B137">
    <cfRule type="expression" dxfId="305" priority="67">
      <formula>AND($AK137&gt;0,$W137&gt;89)</formula>
    </cfRule>
    <cfRule type="expression" dxfId="304" priority="68">
      <formula>AND($AK137&gt;0,$W137&gt;59)</formula>
    </cfRule>
    <cfRule type="expression" dxfId="303" priority="69">
      <formula>AND($AK137&gt;0,$W137&gt;44)</formula>
    </cfRule>
  </conditionalFormatting>
  <conditionalFormatting sqref="B138">
    <cfRule type="expression" dxfId="302" priority="64">
      <formula>AND($AK138&gt;0,$W138&gt;89)</formula>
    </cfRule>
    <cfRule type="expression" dxfId="301" priority="65">
      <formula>AND($AK138&gt;0,$W138&gt;59)</formula>
    </cfRule>
    <cfRule type="expression" dxfId="300" priority="66">
      <formula>AND($AK138&gt;0,$W138&gt;44)</formula>
    </cfRule>
  </conditionalFormatting>
  <conditionalFormatting sqref="B139">
    <cfRule type="expression" dxfId="299" priority="61">
      <formula>AND($AK139&gt;0,$W139&gt;89)</formula>
    </cfRule>
    <cfRule type="expression" dxfId="298" priority="62">
      <formula>AND($AK139&gt;0,$W139&gt;59)</formula>
    </cfRule>
    <cfRule type="expression" dxfId="297" priority="63">
      <formula>AND($AK139&gt;0,$W139&gt;44)</formula>
    </cfRule>
  </conditionalFormatting>
  <conditionalFormatting sqref="B140">
    <cfRule type="expression" dxfId="296" priority="58">
      <formula>AND($AK140&gt;0,$W140&gt;89)</formula>
    </cfRule>
    <cfRule type="expression" dxfId="295" priority="59">
      <formula>AND($AK140&gt;0,$W140&gt;59)</formula>
    </cfRule>
    <cfRule type="expression" dxfId="294" priority="60">
      <formula>AND($AK140&gt;0,$W140&gt;44)</formula>
    </cfRule>
  </conditionalFormatting>
  <conditionalFormatting sqref="B141">
    <cfRule type="expression" dxfId="293" priority="55">
      <formula>AND($AK141&gt;0,$W141&gt;89)</formula>
    </cfRule>
    <cfRule type="expression" dxfId="292" priority="56">
      <formula>AND($AK141&gt;0,$W141&gt;59)</formula>
    </cfRule>
    <cfRule type="expression" dxfId="291" priority="57">
      <formula>AND($AK141&gt;0,$W141&gt;44)</formula>
    </cfRule>
  </conditionalFormatting>
  <conditionalFormatting sqref="B142">
    <cfRule type="expression" dxfId="290" priority="52">
      <formula>AND($AK142&gt;0,$W142&gt;89)</formula>
    </cfRule>
    <cfRule type="expression" dxfId="289" priority="53">
      <formula>AND($AK142&gt;0,$W142&gt;59)</formula>
    </cfRule>
    <cfRule type="expression" dxfId="288" priority="54">
      <formula>AND($AK142&gt;0,$W142&gt;44)</formula>
    </cfRule>
  </conditionalFormatting>
  <conditionalFormatting sqref="B143">
    <cfRule type="expression" dxfId="287" priority="49">
      <formula>AND($AK143&gt;0,$W143&gt;89)</formula>
    </cfRule>
    <cfRule type="expression" dxfId="286" priority="50">
      <formula>AND($AK143&gt;0,$W143&gt;59)</formula>
    </cfRule>
    <cfRule type="expression" dxfId="285" priority="51">
      <formula>AND($AK143&gt;0,$W143&gt;44)</formula>
    </cfRule>
  </conditionalFormatting>
  <conditionalFormatting sqref="B144">
    <cfRule type="expression" dxfId="284" priority="46">
      <formula>AND($AK144&gt;0,$W144&gt;89)</formula>
    </cfRule>
    <cfRule type="expression" dxfId="283" priority="47">
      <formula>AND($AK144&gt;0,$W144&gt;59)</formula>
    </cfRule>
    <cfRule type="expression" dxfId="282" priority="48">
      <formula>AND($AK144&gt;0,$W144&gt;44)</formula>
    </cfRule>
  </conditionalFormatting>
  <conditionalFormatting sqref="B145">
    <cfRule type="expression" dxfId="281" priority="43">
      <formula>AND($AK145&gt;0,$W145&gt;89)</formula>
    </cfRule>
    <cfRule type="expression" dxfId="280" priority="44">
      <formula>AND($AK145&gt;0,$W145&gt;59)</formula>
    </cfRule>
    <cfRule type="expression" dxfId="279" priority="45">
      <formula>AND($AK145&gt;0,$W145&gt;44)</formula>
    </cfRule>
  </conditionalFormatting>
  <conditionalFormatting sqref="B146">
    <cfRule type="expression" dxfId="278" priority="40">
      <formula>AND($AK146&gt;0,$W146&gt;89)</formula>
    </cfRule>
    <cfRule type="expression" dxfId="277" priority="41">
      <formula>AND($AK146&gt;0,$W146&gt;59)</formula>
    </cfRule>
    <cfRule type="expression" dxfId="276" priority="42">
      <formula>AND($AK146&gt;0,$W146&gt;44)</formula>
    </cfRule>
  </conditionalFormatting>
  <conditionalFormatting sqref="B147">
    <cfRule type="expression" dxfId="275" priority="37">
      <formula>AND($AK147&gt;0,$W147&gt;89)</formula>
    </cfRule>
    <cfRule type="expression" dxfId="274" priority="38">
      <formula>AND($AK147&gt;0,$W147&gt;59)</formula>
    </cfRule>
    <cfRule type="expression" dxfId="273" priority="39">
      <formula>AND($AK147&gt;0,$W147&gt;44)</formula>
    </cfRule>
  </conditionalFormatting>
  <conditionalFormatting sqref="B148">
    <cfRule type="expression" dxfId="272" priority="34">
      <formula>AND($AK148&gt;0,$W148&gt;89)</formula>
    </cfRule>
    <cfRule type="expression" dxfId="271" priority="35">
      <formula>AND($AK148&gt;0,$W148&gt;59)</formula>
    </cfRule>
    <cfRule type="expression" dxfId="270" priority="36">
      <formula>AND($AK148&gt;0,$W148&gt;44)</formula>
    </cfRule>
  </conditionalFormatting>
  <conditionalFormatting sqref="B149">
    <cfRule type="expression" dxfId="269" priority="31">
      <formula>AND($AK149&gt;0,$W149&gt;89)</formula>
    </cfRule>
    <cfRule type="expression" dxfId="268" priority="32">
      <formula>AND($AK149&gt;0,$W149&gt;59)</formula>
    </cfRule>
    <cfRule type="expression" dxfId="267" priority="33">
      <formula>AND($AK149&gt;0,$W149&gt;44)</formula>
    </cfRule>
  </conditionalFormatting>
  <conditionalFormatting sqref="B150">
    <cfRule type="expression" dxfId="266" priority="28">
      <formula>AND($AK150&gt;0,$W150&gt;89)</formula>
    </cfRule>
    <cfRule type="expression" dxfId="265" priority="29">
      <formula>AND($AK150&gt;0,$W150&gt;59)</formula>
    </cfRule>
    <cfRule type="expression" dxfId="264" priority="30">
      <formula>AND($AK150&gt;0,$W150&gt;44)</formula>
    </cfRule>
  </conditionalFormatting>
  <conditionalFormatting sqref="B151">
    <cfRule type="expression" dxfId="263" priority="25">
      <formula>AND($AK151&gt;0,$W151&gt;89)</formula>
    </cfRule>
    <cfRule type="expression" dxfId="262" priority="26">
      <formula>AND($AK151&gt;0,$W151&gt;59)</formula>
    </cfRule>
    <cfRule type="expression" dxfId="261" priority="27">
      <formula>AND($AK151&gt;0,$W151&gt;44)</formula>
    </cfRule>
  </conditionalFormatting>
  <conditionalFormatting sqref="B152">
    <cfRule type="expression" dxfId="260" priority="22">
      <formula>AND($AK152&gt;0,$W152&gt;89)</formula>
    </cfRule>
    <cfRule type="expression" dxfId="259" priority="23">
      <formula>AND($AK152&gt;0,$W152&gt;59)</formula>
    </cfRule>
    <cfRule type="expression" dxfId="258" priority="24">
      <formula>AND($AK152&gt;0,$W152&gt;44)</formula>
    </cfRule>
  </conditionalFormatting>
  <conditionalFormatting sqref="B153">
    <cfRule type="expression" dxfId="257" priority="19">
      <formula>AND($AK153&gt;0,$W153&gt;89)</formula>
    </cfRule>
    <cfRule type="expression" dxfId="256" priority="20">
      <formula>AND($AK153&gt;0,$W153&gt;59)</formula>
    </cfRule>
    <cfRule type="expression" dxfId="255" priority="21">
      <formula>AND($AK153&gt;0,$W153&gt;44)</formula>
    </cfRule>
  </conditionalFormatting>
  <conditionalFormatting sqref="B154">
    <cfRule type="expression" dxfId="254" priority="16">
      <formula>AND($AK154&gt;0,$W154&gt;89)</formula>
    </cfRule>
    <cfRule type="expression" dxfId="253" priority="17">
      <formula>AND($AK154&gt;0,$W154&gt;59)</formula>
    </cfRule>
    <cfRule type="expression" dxfId="252" priority="18">
      <formula>AND($AK154&gt;0,$W154&gt;44)</formula>
    </cfRule>
  </conditionalFormatting>
  <conditionalFormatting sqref="B155">
    <cfRule type="expression" dxfId="251" priority="13">
      <formula>AND($AK155&gt;0,$W155&gt;89)</formula>
    </cfRule>
    <cfRule type="expression" dxfId="250" priority="14">
      <formula>AND($AK155&gt;0,$W155&gt;59)</formula>
    </cfRule>
    <cfRule type="expression" dxfId="249" priority="15">
      <formula>AND($AK155&gt;0,$W155&gt;44)</formula>
    </cfRule>
  </conditionalFormatting>
  <conditionalFormatting sqref="B156">
    <cfRule type="expression" dxfId="248" priority="10">
      <formula>AND($AK156&gt;0,$W156&gt;89)</formula>
    </cfRule>
    <cfRule type="expression" dxfId="247" priority="11">
      <formula>AND($AK156&gt;0,$W156&gt;59)</formula>
    </cfRule>
    <cfRule type="expression" dxfId="246" priority="12">
      <formula>AND($AK156&gt;0,$W156&gt;44)</formula>
    </cfRule>
  </conditionalFormatting>
  <conditionalFormatting sqref="B157">
    <cfRule type="expression" dxfId="245" priority="7">
      <formula>AND($AK157&gt;0,$W157&gt;89)</formula>
    </cfRule>
    <cfRule type="expression" dxfId="244" priority="8">
      <formula>AND($AK157&gt;0,$W157&gt;59)</formula>
    </cfRule>
    <cfRule type="expression" dxfId="243" priority="9">
      <formula>AND($AK157&gt;0,$W157&gt;44)</formula>
    </cfRule>
  </conditionalFormatting>
  <conditionalFormatting sqref="B158">
    <cfRule type="expression" dxfId="242" priority="4">
      <formula>AND($AK158&gt;0,$W158&gt;89)</formula>
    </cfRule>
    <cfRule type="expression" dxfId="241" priority="5">
      <formula>AND($AK158&gt;0,$W158&gt;59)</formula>
    </cfRule>
    <cfRule type="expression" dxfId="240" priority="6">
      <formula>AND($AK158&gt;0,$W158&gt;44)</formula>
    </cfRule>
  </conditionalFormatting>
  <conditionalFormatting sqref="B159">
    <cfRule type="expression" dxfId="239" priority="1">
      <formula>AND($AK159&gt;0,$W159&gt;89)</formula>
    </cfRule>
    <cfRule type="expression" dxfId="238" priority="2">
      <formula>AND($AK159&gt;0,$W159&gt;59)</formula>
    </cfRule>
    <cfRule type="expression" dxfId="237" priority="3">
      <formula>AND($AK159&gt;0,$W159&gt;44)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tabSelected="1" zoomScale="90" zoomScaleNormal="90" workbookViewId="0">
      <pane xSplit="1" ySplit="3" topLeftCell="B37" activePane="bottomRight" state="frozen"/>
      <selection pane="topRight" activeCell="B1" sqref="B1"/>
      <selection pane="bottomLeft" activeCell="A4" sqref="A4"/>
      <selection pane="bottomRight" activeCell="F74" sqref="F74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</cols>
  <sheetData>
    <row r="1" spans="1:13" ht="20.25" thickTop="1" thickBo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"/>
      <c r="K1" s="1"/>
      <c r="L1" s="1"/>
      <c r="M1" s="1"/>
    </row>
    <row r="2" spans="1:13" ht="20.25" thickTop="1" thickBot="1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"/>
      <c r="K2" s="1"/>
      <c r="L2" s="1"/>
      <c r="M2" s="1"/>
    </row>
    <row r="3" spans="1:13" ht="16.5" thickTop="1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1"/>
      <c r="K3" s="1"/>
      <c r="L3" s="1"/>
      <c r="M3" s="1"/>
    </row>
    <row r="4" spans="1:13" ht="15.75" thickTop="1">
      <c r="A4" s="3">
        <v>1</v>
      </c>
      <c r="B4" s="4" t="s">
        <v>11</v>
      </c>
      <c r="C4" s="5">
        <v>10196500</v>
      </c>
      <c r="D4" s="6">
        <v>10196500</v>
      </c>
      <c r="E4" s="7">
        <f>C4-D4</f>
        <v>0</v>
      </c>
      <c r="F4" s="8"/>
      <c r="G4" s="7"/>
      <c r="H4" s="7">
        <f t="shared" ref="H4:H51" si="0">E4-G4</f>
        <v>0</v>
      </c>
      <c r="I4" s="9"/>
      <c r="J4" s="1"/>
      <c r="K4" s="1"/>
      <c r="L4" s="1"/>
      <c r="M4" s="1"/>
    </row>
    <row r="5" spans="1:13">
      <c r="A5" s="10">
        <f>1+A4</f>
        <v>2</v>
      </c>
      <c r="B5" s="4" t="s">
        <v>36</v>
      </c>
      <c r="C5" s="5">
        <v>8055000</v>
      </c>
      <c r="D5" s="6">
        <v>8055000</v>
      </c>
      <c r="E5" s="7">
        <f t="shared" ref="E5:E68" si="1">C5-D5</f>
        <v>0</v>
      </c>
      <c r="F5" s="11"/>
      <c r="G5" s="7"/>
      <c r="H5" s="7">
        <f>E5-G5</f>
        <v>0</v>
      </c>
      <c r="I5" s="12"/>
      <c r="J5" s="1"/>
      <c r="K5" s="1"/>
      <c r="L5" s="1"/>
      <c r="M5" s="1"/>
    </row>
    <row r="6" spans="1:13">
      <c r="A6" s="10">
        <f t="shared" ref="A6:A69" si="2">1+A5</f>
        <v>3</v>
      </c>
      <c r="B6" s="4" t="s">
        <v>19</v>
      </c>
      <c r="C6" s="5">
        <v>13665000</v>
      </c>
      <c r="D6" s="6">
        <v>13665000</v>
      </c>
      <c r="E6" s="7">
        <f t="shared" si="1"/>
        <v>0</v>
      </c>
      <c r="F6" s="11"/>
      <c r="G6" s="7"/>
      <c r="H6" s="7">
        <f t="shared" si="0"/>
        <v>0</v>
      </c>
      <c r="I6" s="12"/>
      <c r="J6" s="1"/>
      <c r="K6" s="1"/>
      <c r="L6" s="1"/>
      <c r="M6" s="1"/>
    </row>
    <row r="7" spans="1:13">
      <c r="A7" s="10">
        <f t="shared" si="2"/>
        <v>4</v>
      </c>
      <c r="B7" s="4" t="s">
        <v>38</v>
      </c>
      <c r="C7" s="5">
        <v>6255000</v>
      </c>
      <c r="D7" s="6">
        <v>6255000</v>
      </c>
      <c r="E7" s="7">
        <f t="shared" si="1"/>
        <v>0</v>
      </c>
      <c r="F7" s="11"/>
      <c r="G7" s="7"/>
      <c r="H7" s="7">
        <f t="shared" si="0"/>
        <v>0</v>
      </c>
      <c r="I7" s="12"/>
      <c r="J7" s="1"/>
      <c r="K7" s="1"/>
      <c r="L7" s="1"/>
      <c r="M7" s="1"/>
    </row>
    <row r="8" spans="1:13">
      <c r="A8" s="10">
        <f t="shared" si="2"/>
        <v>5</v>
      </c>
      <c r="B8" s="4" t="s">
        <v>34</v>
      </c>
      <c r="C8" s="5">
        <v>247062500</v>
      </c>
      <c r="D8" s="13">
        <v>115330000</v>
      </c>
      <c r="E8" s="7">
        <f t="shared" si="1"/>
        <v>131732500</v>
      </c>
      <c r="F8" s="11"/>
      <c r="G8" s="7"/>
      <c r="H8" s="7">
        <f t="shared" si="0"/>
        <v>131732500</v>
      </c>
      <c r="I8" s="12"/>
      <c r="J8" s="1"/>
      <c r="K8" s="1"/>
      <c r="L8" s="1"/>
      <c r="M8" s="1"/>
    </row>
    <row r="9" spans="1:13">
      <c r="A9" s="10">
        <f t="shared" si="2"/>
        <v>6</v>
      </c>
      <c r="B9" s="4" t="s">
        <v>29</v>
      </c>
      <c r="C9" s="5">
        <v>15490000</v>
      </c>
      <c r="D9" s="6">
        <v>7440000</v>
      </c>
      <c r="E9" s="7">
        <f t="shared" si="1"/>
        <v>8050000</v>
      </c>
      <c r="F9" s="11"/>
      <c r="G9" s="7"/>
      <c r="H9" s="7">
        <f t="shared" si="0"/>
        <v>8050000</v>
      </c>
      <c r="I9" s="12"/>
      <c r="J9" s="1"/>
      <c r="K9" s="1"/>
      <c r="L9" s="1"/>
      <c r="M9" s="1"/>
    </row>
    <row r="10" spans="1:13">
      <c r="A10" s="10">
        <f t="shared" si="2"/>
        <v>7</v>
      </c>
      <c r="B10" s="4" t="s">
        <v>16</v>
      </c>
      <c r="C10" s="5">
        <v>108660000</v>
      </c>
      <c r="D10" s="13">
        <v>63937500</v>
      </c>
      <c r="E10" s="7">
        <f t="shared" si="1"/>
        <v>44722500</v>
      </c>
      <c r="F10" s="11"/>
      <c r="G10" s="7"/>
      <c r="H10" s="7">
        <f t="shared" si="0"/>
        <v>44722500</v>
      </c>
      <c r="I10" s="12"/>
      <c r="J10" s="1"/>
      <c r="K10" s="1"/>
      <c r="L10" s="1"/>
      <c r="M10" s="1"/>
    </row>
    <row r="11" spans="1:13">
      <c r="A11" s="10">
        <f t="shared" si="2"/>
        <v>8</v>
      </c>
      <c r="B11" s="4" t="s">
        <v>17</v>
      </c>
      <c r="C11" s="5">
        <v>153167500</v>
      </c>
      <c r="D11" s="6">
        <v>153167500</v>
      </c>
      <c r="E11" s="7">
        <f t="shared" si="1"/>
        <v>0</v>
      </c>
      <c r="F11" s="11"/>
      <c r="G11" s="7"/>
      <c r="H11" s="7">
        <f t="shared" si="0"/>
        <v>0</v>
      </c>
      <c r="I11" s="12"/>
      <c r="J11" s="1"/>
      <c r="K11" s="1"/>
      <c r="L11" s="1"/>
      <c r="M11" s="1"/>
    </row>
    <row r="12" spans="1:13">
      <c r="A12" s="10">
        <f t="shared" si="2"/>
        <v>9</v>
      </c>
      <c r="B12" s="4" t="s">
        <v>12</v>
      </c>
      <c r="C12" s="5">
        <v>170301800</v>
      </c>
      <c r="D12" s="13">
        <v>124379300</v>
      </c>
      <c r="E12" s="7">
        <f t="shared" si="1"/>
        <v>45922500</v>
      </c>
      <c r="F12" s="14"/>
      <c r="G12" s="15"/>
      <c r="H12" s="15">
        <f t="shared" si="0"/>
        <v>45922500</v>
      </c>
      <c r="I12" s="12"/>
      <c r="J12" s="1"/>
      <c r="K12" s="1"/>
      <c r="L12" s="1"/>
      <c r="M12" s="1"/>
    </row>
    <row r="13" spans="1:13">
      <c r="A13" s="10">
        <f t="shared" si="2"/>
        <v>10</v>
      </c>
      <c r="B13" s="4" t="s">
        <v>33</v>
      </c>
      <c r="C13" s="5">
        <v>3940000</v>
      </c>
      <c r="D13" s="6">
        <v>3940000</v>
      </c>
      <c r="E13" s="7">
        <f t="shared" si="1"/>
        <v>0</v>
      </c>
      <c r="F13" s="14"/>
      <c r="G13" s="15"/>
      <c r="H13" s="15">
        <f t="shared" si="0"/>
        <v>0</v>
      </c>
      <c r="I13" s="12"/>
      <c r="J13" s="1"/>
      <c r="K13" s="1"/>
      <c r="L13" s="1"/>
      <c r="M13" s="1"/>
    </row>
    <row r="14" spans="1:13">
      <c r="A14" s="10">
        <f t="shared" si="2"/>
        <v>11</v>
      </c>
      <c r="B14" s="4" t="s">
        <v>18</v>
      </c>
      <c r="C14" s="6">
        <v>18337500</v>
      </c>
      <c r="D14" s="6">
        <v>18337500</v>
      </c>
      <c r="E14" s="7">
        <f t="shared" si="1"/>
        <v>0</v>
      </c>
      <c r="F14" s="14"/>
      <c r="G14" s="15"/>
      <c r="H14" s="15">
        <f t="shared" si="0"/>
        <v>0</v>
      </c>
      <c r="I14" s="12"/>
      <c r="J14" s="1"/>
      <c r="K14" s="1"/>
      <c r="L14" s="1"/>
      <c r="M14" s="1"/>
    </row>
    <row r="15" spans="1:13">
      <c r="A15" s="10">
        <f t="shared" si="2"/>
        <v>12</v>
      </c>
      <c r="B15" s="4" t="s">
        <v>57</v>
      </c>
      <c r="C15" s="6">
        <v>27600000</v>
      </c>
      <c r="D15" s="6">
        <v>27600000</v>
      </c>
      <c r="E15" s="7">
        <f t="shared" si="1"/>
        <v>0</v>
      </c>
      <c r="F15" s="14"/>
      <c r="G15" s="15"/>
      <c r="H15" s="15">
        <f t="shared" si="0"/>
        <v>0</v>
      </c>
      <c r="I15" s="12"/>
      <c r="J15" s="1"/>
      <c r="K15" s="1"/>
      <c r="L15" s="1"/>
      <c r="M15" s="1"/>
    </row>
    <row r="16" spans="1:13">
      <c r="A16" s="10">
        <f t="shared" si="2"/>
        <v>13</v>
      </c>
      <c r="B16" s="4" t="s">
        <v>78</v>
      </c>
      <c r="C16" s="6">
        <v>12420000</v>
      </c>
      <c r="D16" s="13">
        <v>12420000</v>
      </c>
      <c r="E16" s="7">
        <f t="shared" si="1"/>
        <v>0</v>
      </c>
      <c r="F16" s="14"/>
      <c r="G16" s="15"/>
      <c r="H16" s="15">
        <f t="shared" si="0"/>
        <v>0</v>
      </c>
      <c r="I16" s="12"/>
      <c r="J16" s="1"/>
      <c r="K16" s="1"/>
      <c r="L16" s="1"/>
      <c r="M16" s="1"/>
    </row>
    <row r="17" spans="1:13">
      <c r="A17" s="10">
        <f t="shared" si="2"/>
        <v>14</v>
      </c>
      <c r="B17" s="4" t="s">
        <v>58</v>
      </c>
      <c r="C17" s="6">
        <v>6610000</v>
      </c>
      <c r="D17" s="6">
        <v>6610000</v>
      </c>
      <c r="E17" s="7">
        <f t="shared" si="1"/>
        <v>0</v>
      </c>
      <c r="F17" s="14"/>
      <c r="G17" s="15"/>
      <c r="H17" s="15">
        <f t="shared" si="0"/>
        <v>0</v>
      </c>
      <c r="I17" s="12"/>
      <c r="J17" s="1"/>
      <c r="K17" s="1"/>
      <c r="L17" s="1"/>
      <c r="M17" s="1"/>
    </row>
    <row r="18" spans="1:13">
      <c r="A18" s="10">
        <f t="shared" si="2"/>
        <v>15</v>
      </c>
      <c r="B18" s="4" t="s">
        <v>30</v>
      </c>
      <c r="C18" s="6">
        <v>78750000</v>
      </c>
      <c r="D18" s="6">
        <v>78750000</v>
      </c>
      <c r="E18" s="7">
        <f t="shared" si="1"/>
        <v>0</v>
      </c>
      <c r="F18" s="14"/>
      <c r="G18" s="15"/>
      <c r="H18" s="15">
        <f t="shared" si="0"/>
        <v>0</v>
      </c>
      <c r="I18" s="12"/>
      <c r="J18" s="1"/>
      <c r="K18" s="1"/>
      <c r="L18" s="1"/>
      <c r="M18" s="1"/>
    </row>
    <row r="19" spans="1:13">
      <c r="A19" s="10">
        <f t="shared" si="2"/>
        <v>16</v>
      </c>
      <c r="B19" s="4" t="s">
        <v>26</v>
      </c>
      <c r="C19" s="6">
        <v>325801500</v>
      </c>
      <c r="D19" s="6">
        <v>200000000</v>
      </c>
      <c r="E19" s="7">
        <f t="shared" si="1"/>
        <v>125801500</v>
      </c>
      <c r="F19" s="14"/>
      <c r="G19" s="15"/>
      <c r="H19" s="15">
        <f t="shared" si="0"/>
        <v>125801500</v>
      </c>
      <c r="I19" s="12"/>
      <c r="J19" s="1"/>
      <c r="K19" s="1"/>
      <c r="L19" s="1"/>
      <c r="M19" s="1"/>
    </row>
    <row r="20" spans="1:13">
      <c r="A20" s="10">
        <f t="shared" si="2"/>
        <v>17</v>
      </c>
      <c r="B20" s="4" t="s">
        <v>20</v>
      </c>
      <c r="C20" s="6">
        <v>218396000</v>
      </c>
      <c r="D20" s="13">
        <v>146326000</v>
      </c>
      <c r="E20" s="7">
        <f t="shared" si="1"/>
        <v>72070000</v>
      </c>
      <c r="F20" s="14"/>
      <c r="G20" s="15"/>
      <c r="H20" s="15">
        <f t="shared" si="0"/>
        <v>72070000</v>
      </c>
      <c r="I20" s="12"/>
      <c r="J20" s="1"/>
      <c r="K20" s="1"/>
      <c r="L20" s="1"/>
      <c r="M20" s="1"/>
    </row>
    <row r="21" spans="1:13">
      <c r="A21" s="10">
        <f t="shared" si="2"/>
        <v>18</v>
      </c>
      <c r="B21" s="4" t="s">
        <v>98</v>
      </c>
      <c r="C21" s="6">
        <v>83049000</v>
      </c>
      <c r="D21" s="6">
        <v>83049000</v>
      </c>
      <c r="E21" s="7">
        <f t="shared" si="1"/>
        <v>0</v>
      </c>
      <c r="F21" s="14"/>
      <c r="G21" s="15"/>
      <c r="H21" s="15">
        <f t="shared" si="0"/>
        <v>0</v>
      </c>
      <c r="I21" s="12"/>
      <c r="J21" s="1"/>
      <c r="K21" s="1"/>
      <c r="L21" s="1"/>
      <c r="M21" s="1"/>
    </row>
    <row r="22" spans="1:13">
      <c r="A22" s="10">
        <f t="shared" si="2"/>
        <v>19</v>
      </c>
      <c r="B22" s="4" t="s">
        <v>79</v>
      </c>
      <c r="C22" s="6">
        <v>39887500</v>
      </c>
      <c r="D22" s="6">
        <v>39887500</v>
      </c>
      <c r="E22" s="7">
        <f t="shared" si="1"/>
        <v>0</v>
      </c>
      <c r="F22" s="14"/>
      <c r="G22" s="15"/>
      <c r="H22" s="15">
        <f t="shared" si="0"/>
        <v>0</v>
      </c>
      <c r="I22" s="12"/>
      <c r="J22" s="1"/>
      <c r="K22" s="1"/>
      <c r="L22" s="1"/>
      <c r="M22" s="1"/>
    </row>
    <row r="23" spans="1:13">
      <c r="A23" s="10">
        <f t="shared" si="2"/>
        <v>20</v>
      </c>
      <c r="B23" s="4" t="s">
        <v>80</v>
      </c>
      <c r="C23" s="6">
        <v>231007500</v>
      </c>
      <c r="D23" s="6">
        <v>231007500</v>
      </c>
      <c r="E23" s="7">
        <f t="shared" si="1"/>
        <v>0</v>
      </c>
      <c r="F23" s="14"/>
      <c r="G23" s="15"/>
      <c r="H23" s="15">
        <f t="shared" si="0"/>
        <v>0</v>
      </c>
      <c r="I23" s="12"/>
      <c r="J23" s="1"/>
      <c r="K23" s="1"/>
      <c r="L23" s="1"/>
      <c r="M23" s="1"/>
    </row>
    <row r="24" spans="1:13">
      <c r="A24" s="10">
        <f t="shared" si="2"/>
        <v>21</v>
      </c>
      <c r="B24" s="4" t="s">
        <v>25</v>
      </c>
      <c r="C24" s="6">
        <v>6195000</v>
      </c>
      <c r="D24" s="6">
        <v>6195000</v>
      </c>
      <c r="E24" s="7">
        <f t="shared" si="1"/>
        <v>0</v>
      </c>
      <c r="F24" s="14"/>
      <c r="G24" s="15"/>
      <c r="H24" s="15">
        <f t="shared" si="0"/>
        <v>0</v>
      </c>
      <c r="I24" s="12"/>
      <c r="J24" s="1"/>
      <c r="K24" s="1"/>
      <c r="L24" s="1"/>
      <c r="M24" s="1"/>
    </row>
    <row r="25" spans="1:13">
      <c r="A25" s="10">
        <f t="shared" si="2"/>
        <v>22</v>
      </c>
      <c r="B25" s="4" t="s">
        <v>31</v>
      </c>
      <c r="C25" s="6">
        <v>140835000</v>
      </c>
      <c r="D25" s="6">
        <v>140835000</v>
      </c>
      <c r="E25" s="7">
        <f t="shared" si="1"/>
        <v>0</v>
      </c>
      <c r="F25" s="14"/>
      <c r="G25" s="15"/>
      <c r="H25" s="15">
        <f t="shared" si="0"/>
        <v>0</v>
      </c>
      <c r="I25" s="12"/>
      <c r="J25" s="1"/>
      <c r="K25" s="1"/>
      <c r="L25" s="1"/>
      <c r="M25" s="1"/>
    </row>
    <row r="26" spans="1:13">
      <c r="A26" s="10">
        <f t="shared" si="2"/>
        <v>23</v>
      </c>
      <c r="B26" s="4" t="s">
        <v>32</v>
      </c>
      <c r="C26" s="6">
        <v>11000000</v>
      </c>
      <c r="D26" s="6"/>
      <c r="E26" s="7">
        <f t="shared" si="1"/>
        <v>11000000</v>
      </c>
      <c r="F26" s="14"/>
      <c r="G26" s="15"/>
      <c r="H26" s="15">
        <f t="shared" si="0"/>
        <v>11000000</v>
      </c>
      <c r="I26" s="12"/>
      <c r="J26" s="1"/>
      <c r="K26" s="1"/>
      <c r="L26" s="1"/>
      <c r="M26" s="1"/>
    </row>
    <row r="27" spans="1:13">
      <c r="A27" s="10">
        <f t="shared" si="2"/>
        <v>24</v>
      </c>
      <c r="B27" s="4" t="s">
        <v>23</v>
      </c>
      <c r="C27" s="6">
        <v>13895000</v>
      </c>
      <c r="D27" s="6">
        <v>13895000</v>
      </c>
      <c r="E27" s="7">
        <f t="shared" si="1"/>
        <v>0</v>
      </c>
      <c r="F27" s="14"/>
      <c r="G27" s="15"/>
      <c r="H27" s="15">
        <f t="shared" si="0"/>
        <v>0</v>
      </c>
      <c r="I27" s="12"/>
      <c r="J27" s="1"/>
      <c r="K27" s="1"/>
      <c r="L27" s="1"/>
      <c r="M27" s="1"/>
    </row>
    <row r="28" spans="1:13">
      <c r="A28" s="10">
        <f t="shared" si="2"/>
        <v>25</v>
      </c>
      <c r="B28" s="4" t="s">
        <v>44</v>
      </c>
      <c r="C28" s="6">
        <v>84958750</v>
      </c>
      <c r="D28" s="13">
        <v>84958750</v>
      </c>
      <c r="E28" s="7">
        <f t="shared" si="1"/>
        <v>0</v>
      </c>
      <c r="F28" s="14"/>
      <c r="G28" s="15"/>
      <c r="H28" s="15">
        <f t="shared" si="0"/>
        <v>0</v>
      </c>
      <c r="I28" s="12"/>
      <c r="J28" s="1"/>
      <c r="K28" s="1"/>
      <c r="L28" s="1"/>
      <c r="M28" s="1"/>
    </row>
    <row r="29" spans="1:13">
      <c r="A29" s="10">
        <f t="shared" si="2"/>
        <v>26</v>
      </c>
      <c r="B29" s="4" t="s">
        <v>63</v>
      </c>
      <c r="C29" s="6">
        <v>21355000</v>
      </c>
      <c r="D29" s="6">
        <v>21355000</v>
      </c>
      <c r="E29" s="7">
        <f t="shared" si="1"/>
        <v>0</v>
      </c>
      <c r="F29" s="14"/>
      <c r="G29" s="15"/>
      <c r="H29" s="15">
        <f t="shared" si="0"/>
        <v>0</v>
      </c>
      <c r="I29" s="12"/>
      <c r="J29" s="1"/>
      <c r="K29" s="1"/>
      <c r="L29" s="1"/>
      <c r="M29" s="1"/>
    </row>
    <row r="30" spans="1:13">
      <c r="A30" s="10">
        <f t="shared" si="2"/>
        <v>27</v>
      </c>
      <c r="B30" s="4" t="s">
        <v>50</v>
      </c>
      <c r="C30" s="6">
        <v>1079153500</v>
      </c>
      <c r="D30" s="6">
        <v>1079153500</v>
      </c>
      <c r="E30" s="7">
        <f t="shared" si="1"/>
        <v>0</v>
      </c>
      <c r="F30" s="14"/>
      <c r="G30" s="15"/>
      <c r="H30" s="15">
        <f t="shared" si="0"/>
        <v>0</v>
      </c>
      <c r="I30" s="12"/>
      <c r="J30" s="1"/>
      <c r="K30" s="1"/>
      <c r="L30" s="1"/>
      <c r="M30" s="1"/>
    </row>
    <row r="31" spans="1:13">
      <c r="A31" s="10">
        <f t="shared" si="2"/>
        <v>28</v>
      </c>
      <c r="B31" s="4" t="s">
        <v>190</v>
      </c>
      <c r="C31" s="6">
        <v>583394400</v>
      </c>
      <c r="D31" s="6">
        <v>583394400</v>
      </c>
      <c r="E31" s="7">
        <f t="shared" si="1"/>
        <v>0</v>
      </c>
      <c r="F31" s="14"/>
      <c r="G31" s="15"/>
      <c r="H31" s="15">
        <f t="shared" si="0"/>
        <v>0</v>
      </c>
      <c r="I31" s="12"/>
      <c r="J31" s="1"/>
      <c r="K31" s="1"/>
      <c r="L31" s="1"/>
      <c r="M31" s="1"/>
    </row>
    <row r="32" spans="1:13">
      <c r="A32" s="10">
        <f t="shared" si="2"/>
        <v>29</v>
      </c>
      <c r="B32" s="4" t="s">
        <v>39</v>
      </c>
      <c r="C32" s="6">
        <v>40750000</v>
      </c>
      <c r="D32" s="6">
        <v>40750000</v>
      </c>
      <c r="E32" s="7">
        <f t="shared" si="1"/>
        <v>0</v>
      </c>
      <c r="F32" s="14"/>
      <c r="G32" s="15"/>
      <c r="H32" s="15">
        <f t="shared" si="0"/>
        <v>0</v>
      </c>
      <c r="I32" s="12"/>
      <c r="J32" s="1"/>
      <c r="K32" s="1"/>
      <c r="L32" s="1"/>
      <c r="M32" s="1"/>
    </row>
    <row r="33" spans="1:13">
      <c r="A33" s="10">
        <f t="shared" si="2"/>
        <v>30</v>
      </c>
      <c r="B33" s="4" t="s">
        <v>15</v>
      </c>
      <c r="C33" s="6">
        <v>1052532500</v>
      </c>
      <c r="D33" s="6">
        <v>1052532500</v>
      </c>
      <c r="E33" s="7">
        <f t="shared" si="1"/>
        <v>0</v>
      </c>
      <c r="F33" s="14"/>
      <c r="G33" s="15"/>
      <c r="H33" s="15">
        <f t="shared" si="0"/>
        <v>0</v>
      </c>
      <c r="I33" s="12"/>
      <c r="J33" s="1"/>
      <c r="K33" s="1"/>
      <c r="L33" s="1"/>
      <c r="M33" s="1"/>
    </row>
    <row r="34" spans="1:13">
      <c r="A34" s="10">
        <f t="shared" si="2"/>
        <v>31</v>
      </c>
      <c r="B34" s="4" t="s">
        <v>109</v>
      </c>
      <c r="C34" s="6">
        <v>323260000</v>
      </c>
      <c r="D34" s="13">
        <v>323260000</v>
      </c>
      <c r="E34" s="7">
        <f t="shared" si="1"/>
        <v>0</v>
      </c>
      <c r="F34" s="14"/>
      <c r="G34" s="15"/>
      <c r="H34" s="15">
        <f t="shared" si="0"/>
        <v>0</v>
      </c>
      <c r="I34" s="12"/>
      <c r="J34" s="1"/>
      <c r="K34" s="1"/>
      <c r="L34" s="1"/>
      <c r="M34" s="1"/>
    </row>
    <row r="35" spans="1:13">
      <c r="A35" s="10">
        <f t="shared" si="2"/>
        <v>32</v>
      </c>
      <c r="B35" s="4" t="s">
        <v>65</v>
      </c>
      <c r="C35" s="6">
        <v>17909800</v>
      </c>
      <c r="D35" s="6">
        <v>17909800</v>
      </c>
      <c r="E35" s="7">
        <f t="shared" si="1"/>
        <v>0</v>
      </c>
      <c r="F35" s="16"/>
      <c r="G35" s="15"/>
      <c r="H35" s="15">
        <f t="shared" si="0"/>
        <v>0</v>
      </c>
      <c r="I35" s="12"/>
      <c r="J35" s="1"/>
      <c r="K35" s="1"/>
      <c r="L35" s="1"/>
      <c r="M35" s="1"/>
    </row>
    <row r="36" spans="1:13">
      <c r="A36" s="10">
        <f t="shared" si="2"/>
        <v>33</v>
      </c>
      <c r="B36" s="4" t="s">
        <v>112</v>
      </c>
      <c r="C36" s="6">
        <v>59450000</v>
      </c>
      <c r="D36" s="6">
        <v>59450000</v>
      </c>
      <c r="E36" s="7">
        <f t="shared" si="1"/>
        <v>0</v>
      </c>
      <c r="F36" s="16"/>
      <c r="G36" s="15"/>
      <c r="H36" s="15">
        <f t="shared" si="0"/>
        <v>0</v>
      </c>
      <c r="I36" s="12"/>
      <c r="J36" s="1"/>
      <c r="K36" s="1"/>
      <c r="L36" s="1"/>
      <c r="M36" s="1"/>
    </row>
    <row r="37" spans="1:13">
      <c r="A37" s="10">
        <f t="shared" si="2"/>
        <v>34</v>
      </c>
      <c r="B37" s="4" t="s">
        <v>41</v>
      </c>
      <c r="C37" s="6">
        <v>1175092000</v>
      </c>
      <c r="D37" s="6">
        <v>1175092000</v>
      </c>
      <c r="E37" s="7">
        <f t="shared" si="1"/>
        <v>0</v>
      </c>
      <c r="F37" s="16"/>
      <c r="G37" s="15"/>
      <c r="H37" s="15">
        <f t="shared" si="0"/>
        <v>0</v>
      </c>
      <c r="I37" s="12"/>
      <c r="J37" s="1"/>
      <c r="K37" s="1"/>
      <c r="L37" s="1"/>
      <c r="M37" s="1"/>
    </row>
    <row r="38" spans="1:13">
      <c r="A38" s="10">
        <f t="shared" si="2"/>
        <v>35</v>
      </c>
      <c r="B38" s="4" t="s">
        <v>48</v>
      </c>
      <c r="C38" s="6">
        <v>18285000</v>
      </c>
      <c r="D38" s="6">
        <v>18285000</v>
      </c>
      <c r="E38" s="7">
        <f t="shared" si="1"/>
        <v>0</v>
      </c>
      <c r="F38" s="16"/>
      <c r="G38" s="15"/>
      <c r="H38" s="15">
        <f t="shared" si="0"/>
        <v>0</v>
      </c>
      <c r="I38" s="12"/>
      <c r="J38" s="1"/>
      <c r="K38" s="1"/>
      <c r="L38" s="1"/>
      <c r="M38" s="1"/>
    </row>
    <row r="39" spans="1:13">
      <c r="A39" s="10">
        <f t="shared" si="2"/>
        <v>36</v>
      </c>
      <c r="B39" s="4" t="s">
        <v>222</v>
      </c>
      <c r="C39" s="6">
        <v>2130000</v>
      </c>
      <c r="D39" s="6"/>
      <c r="E39" s="7">
        <f t="shared" si="1"/>
        <v>2130000</v>
      </c>
      <c r="F39" s="16"/>
      <c r="G39" s="15"/>
      <c r="H39" s="15">
        <f t="shared" si="0"/>
        <v>2130000</v>
      </c>
      <c r="I39" s="12"/>
      <c r="J39" s="1"/>
      <c r="K39" s="1"/>
      <c r="L39" s="1"/>
      <c r="M39" s="1"/>
    </row>
    <row r="40" spans="1:13">
      <c r="A40" s="10">
        <f t="shared" si="2"/>
        <v>37</v>
      </c>
      <c r="B40" s="4" t="s">
        <v>54</v>
      </c>
      <c r="C40" s="6">
        <v>1430000</v>
      </c>
      <c r="D40" s="6">
        <v>1430000</v>
      </c>
      <c r="E40" s="7">
        <f t="shared" si="1"/>
        <v>0</v>
      </c>
      <c r="F40" s="16"/>
      <c r="G40" s="15"/>
      <c r="H40" s="15">
        <f t="shared" si="0"/>
        <v>0</v>
      </c>
      <c r="I40" s="12"/>
      <c r="J40" s="1"/>
      <c r="K40" s="1"/>
      <c r="L40" s="1"/>
      <c r="M40" s="1"/>
    </row>
    <row r="41" spans="1:13">
      <c r="A41" s="10">
        <f t="shared" si="2"/>
        <v>38</v>
      </c>
      <c r="B41" s="4" t="s">
        <v>66</v>
      </c>
      <c r="C41" s="6">
        <v>57595000</v>
      </c>
      <c r="D41" s="6">
        <v>57595000</v>
      </c>
      <c r="E41" s="7">
        <f t="shared" si="1"/>
        <v>0</v>
      </c>
      <c r="F41" s="16"/>
      <c r="G41" s="15"/>
      <c r="H41" s="15">
        <f t="shared" si="0"/>
        <v>0</v>
      </c>
      <c r="I41" s="12"/>
      <c r="J41" s="1"/>
      <c r="K41" s="1"/>
      <c r="L41" s="1"/>
      <c r="M41" s="1"/>
    </row>
    <row r="42" spans="1:13">
      <c r="A42" s="10">
        <f t="shared" si="2"/>
        <v>39</v>
      </c>
      <c r="B42" s="4" t="s">
        <v>61</v>
      </c>
      <c r="C42" s="6">
        <v>196900000</v>
      </c>
      <c r="D42" s="6">
        <v>196900000</v>
      </c>
      <c r="E42" s="7">
        <f t="shared" si="1"/>
        <v>0</v>
      </c>
      <c r="F42" s="16"/>
      <c r="G42" s="15"/>
      <c r="H42" s="15">
        <f t="shared" si="0"/>
        <v>0</v>
      </c>
      <c r="I42" s="12"/>
      <c r="J42" s="1"/>
      <c r="K42" s="1"/>
      <c r="L42" s="1"/>
      <c r="M42" s="1"/>
    </row>
    <row r="43" spans="1:13">
      <c r="A43" s="10">
        <f t="shared" si="2"/>
        <v>40</v>
      </c>
      <c r="B43" s="4" t="s">
        <v>191</v>
      </c>
      <c r="C43" s="6">
        <v>21155000</v>
      </c>
      <c r="D43" s="6">
        <v>21155000</v>
      </c>
      <c r="E43" s="7">
        <f t="shared" si="1"/>
        <v>0</v>
      </c>
      <c r="F43" s="16"/>
      <c r="G43" s="15"/>
      <c r="H43" s="15">
        <f t="shared" si="0"/>
        <v>0</v>
      </c>
      <c r="I43" s="12"/>
      <c r="J43" s="1"/>
      <c r="K43" s="1"/>
      <c r="L43" s="1"/>
      <c r="M43" s="1"/>
    </row>
    <row r="44" spans="1:13">
      <c r="A44" s="10">
        <f t="shared" si="2"/>
        <v>41</v>
      </c>
      <c r="B44" s="4" t="s">
        <v>75</v>
      </c>
      <c r="C44" s="6">
        <v>19715000</v>
      </c>
      <c r="D44" s="13">
        <v>19715000</v>
      </c>
      <c r="E44" s="7">
        <f t="shared" si="1"/>
        <v>0</v>
      </c>
      <c r="F44" s="16"/>
      <c r="G44" s="15"/>
      <c r="H44" s="15">
        <f t="shared" si="0"/>
        <v>0</v>
      </c>
      <c r="I44" s="12"/>
      <c r="J44" s="1"/>
      <c r="K44" s="1"/>
      <c r="L44" s="1"/>
      <c r="M44" s="1"/>
    </row>
    <row r="45" spans="1:13">
      <c r="A45" s="10">
        <f t="shared" si="2"/>
        <v>42</v>
      </c>
      <c r="B45" s="4" t="s">
        <v>103</v>
      </c>
      <c r="C45" s="6">
        <v>8600000</v>
      </c>
      <c r="D45" s="6">
        <v>8600000</v>
      </c>
      <c r="E45" s="7">
        <f t="shared" si="1"/>
        <v>0</v>
      </c>
      <c r="F45" s="16"/>
      <c r="G45" s="15"/>
      <c r="H45" s="15">
        <f t="shared" si="0"/>
        <v>0</v>
      </c>
      <c r="I45" s="12"/>
      <c r="J45" s="1"/>
      <c r="K45" s="1"/>
      <c r="L45" s="1"/>
      <c r="M45" s="1"/>
    </row>
    <row r="46" spans="1:13">
      <c r="A46" s="10">
        <f t="shared" si="2"/>
        <v>43</v>
      </c>
      <c r="B46" s="4" t="s">
        <v>69</v>
      </c>
      <c r="C46" s="6">
        <v>30470000</v>
      </c>
      <c r="D46" s="6">
        <v>30470000</v>
      </c>
      <c r="E46" s="7">
        <f t="shared" si="1"/>
        <v>0</v>
      </c>
      <c r="F46" s="16"/>
      <c r="G46" s="15"/>
      <c r="H46" s="15">
        <f t="shared" si="0"/>
        <v>0</v>
      </c>
      <c r="I46" s="12"/>
      <c r="J46" s="1"/>
      <c r="K46" s="1"/>
      <c r="L46" s="1"/>
      <c r="M46" s="1"/>
    </row>
    <row r="47" spans="1:13">
      <c r="A47" s="10">
        <f t="shared" si="2"/>
        <v>44</v>
      </c>
      <c r="B47" s="4" t="s">
        <v>21</v>
      </c>
      <c r="C47" s="6">
        <v>54283500</v>
      </c>
      <c r="D47" s="6">
        <v>40108500</v>
      </c>
      <c r="E47" s="7">
        <f t="shared" si="1"/>
        <v>14175000</v>
      </c>
      <c r="F47" s="16"/>
      <c r="G47" s="15"/>
      <c r="H47" s="15">
        <f t="shared" si="0"/>
        <v>14175000</v>
      </c>
      <c r="I47" s="12"/>
      <c r="J47" s="1"/>
      <c r="K47" s="1"/>
      <c r="L47" s="1"/>
      <c r="M47" s="1"/>
    </row>
    <row r="48" spans="1:13">
      <c r="A48" s="10">
        <f t="shared" si="2"/>
        <v>45</v>
      </c>
      <c r="B48" s="4" t="s">
        <v>223</v>
      </c>
      <c r="C48" s="6">
        <v>3100000</v>
      </c>
      <c r="D48" s="6">
        <v>3100000</v>
      </c>
      <c r="E48" s="7">
        <f t="shared" si="1"/>
        <v>0</v>
      </c>
      <c r="F48" s="16"/>
      <c r="G48" s="15"/>
      <c r="H48" s="15">
        <f t="shared" si="0"/>
        <v>0</v>
      </c>
      <c r="I48" s="12"/>
      <c r="J48" s="1"/>
      <c r="K48" s="1"/>
      <c r="L48" s="1"/>
      <c r="M48" s="1"/>
    </row>
    <row r="49" spans="1:13">
      <c r="A49" s="10">
        <f t="shared" si="2"/>
        <v>46</v>
      </c>
      <c r="B49" s="4" t="s">
        <v>213</v>
      </c>
      <c r="C49" s="6">
        <v>98340000</v>
      </c>
      <c r="D49" s="6">
        <v>98340000</v>
      </c>
      <c r="E49" s="7">
        <f t="shared" si="1"/>
        <v>0</v>
      </c>
      <c r="F49" s="16"/>
      <c r="G49" s="15"/>
      <c r="H49" s="15">
        <f t="shared" si="0"/>
        <v>0</v>
      </c>
      <c r="I49" s="12"/>
      <c r="J49" s="1"/>
      <c r="K49" s="1"/>
      <c r="L49" s="1"/>
      <c r="M49" s="1"/>
    </row>
    <row r="50" spans="1:13">
      <c r="A50" s="10">
        <f t="shared" si="2"/>
        <v>47</v>
      </c>
      <c r="B50" s="4" t="s">
        <v>93</v>
      </c>
      <c r="C50" s="6">
        <v>2780000</v>
      </c>
      <c r="D50" s="6">
        <v>2780000</v>
      </c>
      <c r="E50" s="7">
        <f t="shared" si="1"/>
        <v>0</v>
      </c>
      <c r="F50" s="16"/>
      <c r="G50" s="15"/>
      <c r="H50" s="15">
        <f t="shared" si="0"/>
        <v>0</v>
      </c>
      <c r="I50" s="12"/>
      <c r="J50" s="1"/>
      <c r="K50" s="1"/>
      <c r="L50" s="1"/>
      <c r="M50" s="1"/>
    </row>
    <row r="51" spans="1:13">
      <c r="A51" s="10">
        <f t="shared" si="2"/>
        <v>48</v>
      </c>
      <c r="B51" s="4" t="s">
        <v>14</v>
      </c>
      <c r="C51" s="6">
        <v>41985800</v>
      </c>
      <c r="D51" s="6">
        <v>41985800</v>
      </c>
      <c r="E51" s="7">
        <f t="shared" si="1"/>
        <v>0</v>
      </c>
      <c r="F51" s="16"/>
      <c r="G51" s="15"/>
      <c r="H51" s="15">
        <f t="shared" si="0"/>
        <v>0</v>
      </c>
      <c r="I51" s="12"/>
      <c r="J51" s="1"/>
      <c r="K51" s="1"/>
      <c r="L51" s="1"/>
      <c r="M51" s="1"/>
    </row>
    <row r="52" spans="1:13">
      <c r="A52" s="10">
        <f t="shared" si="2"/>
        <v>49</v>
      </c>
      <c r="B52" s="4" t="s">
        <v>55</v>
      </c>
      <c r="C52" s="6">
        <v>18000000</v>
      </c>
      <c r="D52" s="6">
        <v>18000000</v>
      </c>
      <c r="E52" s="7">
        <f t="shared" si="1"/>
        <v>0</v>
      </c>
      <c r="F52" s="16"/>
      <c r="G52" s="15"/>
      <c r="H52" s="15">
        <f t="shared" ref="H52:H103" si="3">G52-D52</f>
        <v>-18000000</v>
      </c>
      <c r="I52" s="12"/>
      <c r="J52" s="1"/>
      <c r="K52" s="1"/>
      <c r="L52" s="1"/>
      <c r="M52" s="1"/>
    </row>
    <row r="53" spans="1:13">
      <c r="A53" s="10">
        <f t="shared" si="2"/>
        <v>50</v>
      </c>
      <c r="B53" s="4" t="s">
        <v>52</v>
      </c>
      <c r="C53" s="6">
        <v>428811500</v>
      </c>
      <c r="D53" s="6">
        <v>428811500</v>
      </c>
      <c r="E53" s="7">
        <f t="shared" si="1"/>
        <v>0</v>
      </c>
      <c r="F53" s="16"/>
      <c r="G53" s="15"/>
      <c r="H53" s="15">
        <f t="shared" si="3"/>
        <v>-428811500</v>
      </c>
      <c r="I53" s="16"/>
      <c r="J53" s="1"/>
      <c r="K53" s="1"/>
      <c r="L53" s="1"/>
      <c r="M53" s="1"/>
    </row>
    <row r="54" spans="1:13">
      <c r="A54" s="10">
        <f t="shared" si="2"/>
        <v>51</v>
      </c>
      <c r="B54" s="4" t="s">
        <v>64</v>
      </c>
      <c r="C54" s="6">
        <v>14975000</v>
      </c>
      <c r="D54" s="6">
        <v>14975000</v>
      </c>
      <c r="E54" s="7">
        <f t="shared" si="1"/>
        <v>0</v>
      </c>
      <c r="F54" s="16"/>
      <c r="G54" s="15"/>
      <c r="H54" s="15">
        <f t="shared" si="3"/>
        <v>-14975000</v>
      </c>
      <c r="I54" s="16"/>
      <c r="J54" s="1"/>
      <c r="K54" s="1"/>
      <c r="L54" s="1"/>
      <c r="M54" s="1"/>
    </row>
    <row r="55" spans="1:13">
      <c r="A55" s="10">
        <f t="shared" si="2"/>
        <v>52</v>
      </c>
      <c r="B55" s="4" t="s">
        <v>224</v>
      </c>
      <c r="C55" s="6">
        <v>2200000</v>
      </c>
      <c r="D55" s="6">
        <v>2200000</v>
      </c>
      <c r="E55" s="7">
        <f t="shared" si="1"/>
        <v>0</v>
      </c>
      <c r="F55" s="16"/>
      <c r="G55" s="15"/>
      <c r="H55" s="15">
        <f t="shared" si="3"/>
        <v>-2200000</v>
      </c>
      <c r="I55" s="16"/>
      <c r="J55" s="1"/>
      <c r="K55" s="1"/>
      <c r="L55" s="1"/>
      <c r="M55" s="1"/>
    </row>
    <row r="56" spans="1:13">
      <c r="A56" s="10">
        <f t="shared" si="2"/>
        <v>53</v>
      </c>
      <c r="B56" s="4" t="s">
        <v>209</v>
      </c>
      <c r="C56" s="6">
        <v>12439000</v>
      </c>
      <c r="D56" s="6">
        <v>12439000</v>
      </c>
      <c r="E56" s="7">
        <f t="shared" si="1"/>
        <v>0</v>
      </c>
      <c r="F56" s="16"/>
      <c r="G56" s="15"/>
      <c r="H56" s="15">
        <f t="shared" si="3"/>
        <v>-12439000</v>
      </c>
      <c r="I56" s="16"/>
      <c r="J56" s="1"/>
      <c r="K56" s="1"/>
      <c r="L56" s="1"/>
      <c r="M56" s="1"/>
    </row>
    <row r="57" spans="1:13">
      <c r="A57" s="10">
        <f t="shared" si="2"/>
        <v>54</v>
      </c>
      <c r="B57" s="4" t="s">
        <v>74</v>
      </c>
      <c r="C57" s="6">
        <v>181522000</v>
      </c>
      <c r="D57" s="6">
        <v>181522000</v>
      </c>
      <c r="E57" s="7">
        <f t="shared" si="1"/>
        <v>0</v>
      </c>
      <c r="F57" s="16"/>
      <c r="G57" s="15"/>
      <c r="H57" s="15">
        <f t="shared" si="3"/>
        <v>-181522000</v>
      </c>
      <c r="I57" s="16"/>
      <c r="J57" s="1"/>
      <c r="K57" s="1"/>
      <c r="L57" s="1"/>
      <c r="M57" s="1"/>
    </row>
    <row r="58" spans="1:13">
      <c r="A58" s="10">
        <f t="shared" si="2"/>
        <v>55</v>
      </c>
      <c r="B58" s="4" t="s">
        <v>91</v>
      </c>
      <c r="C58" s="6">
        <v>560000</v>
      </c>
      <c r="D58" s="6">
        <v>560000</v>
      </c>
      <c r="E58" s="7">
        <f t="shared" si="1"/>
        <v>0</v>
      </c>
      <c r="F58" s="16"/>
      <c r="G58" s="15"/>
      <c r="H58" s="15">
        <f t="shared" si="3"/>
        <v>-560000</v>
      </c>
      <c r="I58" s="16"/>
      <c r="J58" s="1"/>
      <c r="K58" s="1"/>
      <c r="L58" s="1"/>
      <c r="M58" s="1"/>
    </row>
    <row r="59" spans="1:13">
      <c r="A59" s="10">
        <f t="shared" si="2"/>
        <v>56</v>
      </c>
      <c r="B59" s="4" t="s">
        <v>59</v>
      </c>
      <c r="C59" s="6">
        <v>10575000</v>
      </c>
      <c r="D59" s="6">
        <v>10575000</v>
      </c>
      <c r="E59" s="7">
        <f t="shared" si="1"/>
        <v>0</v>
      </c>
      <c r="F59" s="16"/>
      <c r="G59" s="15"/>
      <c r="H59" s="15">
        <f t="shared" si="3"/>
        <v>-10575000</v>
      </c>
      <c r="I59" s="16"/>
      <c r="J59" s="1"/>
      <c r="K59" s="1"/>
      <c r="L59" s="1"/>
      <c r="M59" s="1"/>
    </row>
    <row r="60" spans="1:13">
      <c r="A60" s="10">
        <f t="shared" si="2"/>
        <v>57</v>
      </c>
      <c r="B60" s="4" t="s">
        <v>40</v>
      </c>
      <c r="C60" s="6">
        <v>70745000</v>
      </c>
      <c r="D60" s="6">
        <v>70745000</v>
      </c>
      <c r="E60" s="7">
        <f t="shared" si="1"/>
        <v>0</v>
      </c>
      <c r="F60" s="16"/>
      <c r="G60" s="15"/>
      <c r="H60" s="15">
        <f t="shared" si="3"/>
        <v>-70745000</v>
      </c>
      <c r="I60" s="16"/>
      <c r="J60" s="1"/>
      <c r="K60" s="1"/>
      <c r="L60" s="1"/>
      <c r="M60" s="1"/>
    </row>
    <row r="61" spans="1:13">
      <c r="A61" s="10">
        <f t="shared" si="2"/>
        <v>58</v>
      </c>
      <c r="B61" s="4" t="s">
        <v>49</v>
      </c>
      <c r="C61" s="6">
        <v>8400000</v>
      </c>
      <c r="D61" s="6">
        <v>8400000</v>
      </c>
      <c r="E61" s="7">
        <f t="shared" si="1"/>
        <v>0</v>
      </c>
      <c r="F61" s="16"/>
      <c r="G61" s="15"/>
      <c r="H61" s="15">
        <f t="shared" si="3"/>
        <v>-8400000</v>
      </c>
      <c r="I61" s="16"/>
      <c r="J61" s="1"/>
      <c r="K61" s="1"/>
      <c r="L61" s="1"/>
      <c r="M61" s="1"/>
    </row>
    <row r="62" spans="1:13">
      <c r="A62" s="10">
        <f t="shared" si="2"/>
        <v>59</v>
      </c>
      <c r="B62" s="4" t="s">
        <v>225</v>
      </c>
      <c r="C62" s="6">
        <v>11440000</v>
      </c>
      <c r="D62" s="6">
        <v>11440000</v>
      </c>
      <c r="E62" s="7">
        <f t="shared" si="1"/>
        <v>0</v>
      </c>
      <c r="F62" s="16"/>
      <c r="G62" s="15"/>
      <c r="H62" s="15">
        <f t="shared" si="3"/>
        <v>-11440000</v>
      </c>
      <c r="I62" s="16"/>
      <c r="J62" s="1"/>
      <c r="K62" s="1"/>
      <c r="L62" s="1"/>
      <c r="M62" s="1"/>
    </row>
    <row r="63" spans="1:13">
      <c r="A63" s="10">
        <f t="shared" si="2"/>
        <v>60</v>
      </c>
      <c r="B63" s="4" t="s">
        <v>67</v>
      </c>
      <c r="C63" s="6">
        <v>30149050</v>
      </c>
      <c r="D63" s="6">
        <v>30149050</v>
      </c>
      <c r="E63" s="7">
        <f t="shared" si="1"/>
        <v>0</v>
      </c>
      <c r="F63" s="16"/>
      <c r="G63" s="15"/>
      <c r="H63" s="15">
        <f t="shared" si="3"/>
        <v>-30149050</v>
      </c>
      <c r="I63" s="16"/>
      <c r="J63" s="1"/>
      <c r="K63" s="1"/>
      <c r="L63" s="1"/>
      <c r="M63" s="1"/>
    </row>
    <row r="64" spans="1:13">
      <c r="A64" s="10">
        <f t="shared" si="2"/>
        <v>61</v>
      </c>
      <c r="B64" s="4" t="s">
        <v>85</v>
      </c>
      <c r="C64" s="6">
        <v>2750000</v>
      </c>
      <c r="D64" s="13">
        <v>2750000</v>
      </c>
      <c r="E64" s="7">
        <f t="shared" si="1"/>
        <v>0</v>
      </c>
      <c r="F64" s="16"/>
      <c r="G64" s="15"/>
      <c r="H64" s="15">
        <f t="shared" si="3"/>
        <v>-2750000</v>
      </c>
      <c r="I64" s="16"/>
      <c r="J64" s="1"/>
      <c r="K64" s="1"/>
      <c r="L64" s="1"/>
      <c r="M64" s="1"/>
    </row>
    <row r="65" spans="1:13">
      <c r="A65" s="10">
        <f t="shared" si="2"/>
        <v>62</v>
      </c>
      <c r="B65" s="4" t="s">
        <v>94</v>
      </c>
      <c r="C65" s="6">
        <v>3216000</v>
      </c>
      <c r="D65" s="6">
        <v>3216000</v>
      </c>
      <c r="E65" s="7">
        <f t="shared" si="1"/>
        <v>0</v>
      </c>
      <c r="F65" s="16"/>
      <c r="G65" s="15"/>
      <c r="H65" s="15">
        <f t="shared" si="3"/>
        <v>-3216000</v>
      </c>
      <c r="I65" s="16"/>
      <c r="J65" s="1"/>
      <c r="K65" s="1"/>
      <c r="L65" s="1"/>
      <c r="M65" s="1"/>
    </row>
    <row r="66" spans="1:13">
      <c r="A66" s="10">
        <f t="shared" si="2"/>
        <v>63</v>
      </c>
      <c r="B66" s="4" t="s">
        <v>100</v>
      </c>
      <c r="C66" s="6">
        <v>5420000</v>
      </c>
      <c r="D66" s="6">
        <v>5420000</v>
      </c>
      <c r="E66" s="7">
        <f t="shared" si="1"/>
        <v>0</v>
      </c>
      <c r="F66" s="16"/>
      <c r="G66" s="15"/>
      <c r="H66" s="15">
        <f t="shared" si="3"/>
        <v>-5420000</v>
      </c>
      <c r="I66" s="16"/>
      <c r="J66" s="1"/>
      <c r="K66" s="1"/>
      <c r="L66" s="1"/>
      <c r="M66" s="1"/>
    </row>
    <row r="67" spans="1:13">
      <c r="A67" s="10">
        <f t="shared" si="2"/>
        <v>64</v>
      </c>
      <c r="B67" s="4" t="s">
        <v>198</v>
      </c>
      <c r="C67" s="6">
        <v>7220000</v>
      </c>
      <c r="D67" s="6">
        <v>7220000</v>
      </c>
      <c r="E67" s="7">
        <f t="shared" si="1"/>
        <v>0</v>
      </c>
      <c r="F67" s="16"/>
      <c r="G67" s="15"/>
      <c r="H67" s="15">
        <f t="shared" si="3"/>
        <v>-7220000</v>
      </c>
      <c r="I67" s="16"/>
      <c r="J67" s="1"/>
      <c r="K67" s="1"/>
      <c r="L67" s="1"/>
      <c r="M67" s="1"/>
    </row>
    <row r="68" spans="1:13">
      <c r="A68" s="10">
        <f t="shared" si="2"/>
        <v>65</v>
      </c>
      <c r="B68" s="4" t="s">
        <v>226</v>
      </c>
      <c r="C68" s="6">
        <v>11500000</v>
      </c>
      <c r="D68" s="13">
        <v>11500000</v>
      </c>
      <c r="E68" s="7">
        <f t="shared" si="1"/>
        <v>0</v>
      </c>
      <c r="F68" s="16"/>
      <c r="G68" s="15"/>
      <c r="H68" s="15">
        <f t="shared" si="3"/>
        <v>-11500000</v>
      </c>
      <c r="I68" s="16"/>
      <c r="J68" s="1"/>
      <c r="K68" s="1"/>
      <c r="L68" s="1"/>
      <c r="M68" s="1"/>
    </row>
    <row r="69" spans="1:13">
      <c r="A69" s="10">
        <f t="shared" si="2"/>
        <v>66</v>
      </c>
      <c r="B69" s="4" t="s">
        <v>60</v>
      </c>
      <c r="C69" s="6">
        <v>1170000</v>
      </c>
      <c r="D69" s="6">
        <v>1170000</v>
      </c>
      <c r="E69" s="7">
        <f t="shared" ref="E69:E79" si="4">C69-D69</f>
        <v>0</v>
      </c>
      <c r="F69" s="16"/>
      <c r="G69" s="15"/>
      <c r="H69" s="15">
        <f t="shared" si="3"/>
        <v>-1170000</v>
      </c>
      <c r="I69" s="16"/>
      <c r="J69" s="1"/>
      <c r="K69" s="1"/>
      <c r="L69" s="1"/>
      <c r="M69" s="1"/>
    </row>
    <row r="70" spans="1:13">
      <c r="A70" s="10">
        <f t="shared" ref="A70:A133" si="5">1+A69</f>
        <v>67</v>
      </c>
      <c r="B70" s="4" t="s">
        <v>62</v>
      </c>
      <c r="C70" s="6">
        <v>40600000</v>
      </c>
      <c r="D70" s="6">
        <v>40600000</v>
      </c>
      <c r="E70" s="7">
        <f t="shared" si="4"/>
        <v>0</v>
      </c>
      <c r="F70" s="16"/>
      <c r="G70" s="15"/>
      <c r="H70" s="15">
        <f t="shared" si="3"/>
        <v>-40600000</v>
      </c>
      <c r="I70" s="16"/>
      <c r="J70" s="1"/>
      <c r="K70" s="1"/>
      <c r="L70" s="1"/>
      <c r="M70" s="1"/>
    </row>
    <row r="71" spans="1:13">
      <c r="A71" s="10">
        <f t="shared" si="5"/>
        <v>68</v>
      </c>
      <c r="B71" s="4" t="s">
        <v>99</v>
      </c>
      <c r="C71" s="6">
        <v>4540000</v>
      </c>
      <c r="D71" s="6">
        <v>4540000</v>
      </c>
      <c r="E71" s="7">
        <f t="shared" si="4"/>
        <v>0</v>
      </c>
      <c r="F71" s="16"/>
      <c r="G71" s="15"/>
      <c r="H71" s="15">
        <f t="shared" si="3"/>
        <v>-4540000</v>
      </c>
      <c r="I71" s="16"/>
      <c r="J71" s="1"/>
      <c r="K71" s="1"/>
      <c r="L71" s="1"/>
      <c r="M71" s="1"/>
    </row>
    <row r="72" spans="1:13">
      <c r="A72" s="10">
        <f t="shared" si="5"/>
        <v>69</v>
      </c>
      <c r="B72" s="4" t="s">
        <v>110</v>
      </c>
      <c r="C72" s="6">
        <v>630000</v>
      </c>
      <c r="D72" s="6">
        <v>630000</v>
      </c>
      <c r="E72" s="7">
        <f t="shared" si="4"/>
        <v>0</v>
      </c>
      <c r="F72" s="16"/>
      <c r="G72" s="15"/>
      <c r="H72" s="15">
        <f t="shared" si="3"/>
        <v>-630000</v>
      </c>
      <c r="I72" s="16"/>
      <c r="J72" s="1"/>
      <c r="K72" s="1"/>
      <c r="L72" s="1"/>
      <c r="M72" s="1"/>
    </row>
    <row r="73" spans="1:13">
      <c r="A73" s="10">
        <f t="shared" si="5"/>
        <v>70</v>
      </c>
      <c r="B73" s="4" t="s">
        <v>113</v>
      </c>
      <c r="C73" s="6">
        <v>12480000</v>
      </c>
      <c r="D73" s="6">
        <v>12480000</v>
      </c>
      <c r="E73" s="7">
        <f t="shared" si="4"/>
        <v>0</v>
      </c>
      <c r="F73" s="16"/>
      <c r="G73" s="15"/>
      <c r="H73" s="15">
        <f t="shared" si="3"/>
        <v>-12480000</v>
      </c>
      <c r="I73" s="16"/>
      <c r="J73" s="1"/>
      <c r="K73" s="1"/>
      <c r="L73" s="1"/>
      <c r="M73" s="1"/>
    </row>
    <row r="74" spans="1:13">
      <c r="A74" s="10">
        <f t="shared" si="5"/>
        <v>71</v>
      </c>
      <c r="B74" s="4" t="s">
        <v>212</v>
      </c>
      <c r="C74" s="6">
        <v>3600000</v>
      </c>
      <c r="D74" s="6">
        <v>3600000</v>
      </c>
      <c r="E74" s="7">
        <f t="shared" si="4"/>
        <v>0</v>
      </c>
      <c r="F74" s="16"/>
      <c r="G74" s="15"/>
      <c r="H74" s="15">
        <f t="shared" si="3"/>
        <v>-3600000</v>
      </c>
      <c r="I74" s="16"/>
      <c r="J74" s="1"/>
      <c r="K74" s="1"/>
      <c r="L74" s="1"/>
      <c r="M74" s="1"/>
    </row>
    <row r="75" spans="1:13">
      <c r="A75" s="10">
        <f t="shared" si="5"/>
        <v>72</v>
      </c>
      <c r="B75" s="4" t="s">
        <v>207</v>
      </c>
      <c r="C75" s="6">
        <v>41180000</v>
      </c>
      <c r="D75" s="6">
        <v>41180000</v>
      </c>
      <c r="E75" s="7">
        <f t="shared" si="4"/>
        <v>0</v>
      </c>
      <c r="F75" s="16"/>
      <c r="G75" s="15"/>
      <c r="H75" s="15">
        <f t="shared" si="3"/>
        <v>-41180000</v>
      </c>
      <c r="I75" s="16"/>
      <c r="J75" s="1"/>
      <c r="K75" s="1"/>
      <c r="L75" s="1"/>
      <c r="M75" s="1"/>
    </row>
    <row r="76" spans="1:13">
      <c r="A76" s="10">
        <f t="shared" si="5"/>
        <v>73</v>
      </c>
      <c r="B76" s="4" t="s">
        <v>192</v>
      </c>
      <c r="C76" s="6">
        <v>8550000</v>
      </c>
      <c r="D76" s="6">
        <v>8550000</v>
      </c>
      <c r="E76" s="7">
        <f t="shared" si="4"/>
        <v>0</v>
      </c>
      <c r="F76" s="16"/>
      <c r="G76" s="15"/>
      <c r="H76" s="15">
        <f t="shared" si="3"/>
        <v>-8550000</v>
      </c>
      <c r="I76" s="16"/>
      <c r="J76" s="1"/>
      <c r="K76" s="1"/>
      <c r="L76" s="1"/>
      <c r="M76" s="1"/>
    </row>
    <row r="77" spans="1:13">
      <c r="A77" s="10">
        <f t="shared" si="5"/>
        <v>74</v>
      </c>
      <c r="B77" s="4" t="s">
        <v>194</v>
      </c>
      <c r="C77" s="6">
        <v>1900000</v>
      </c>
      <c r="D77" s="6">
        <v>1900000</v>
      </c>
      <c r="E77" s="7">
        <f t="shared" si="4"/>
        <v>0</v>
      </c>
      <c r="F77" s="16"/>
      <c r="G77" s="15"/>
      <c r="H77" s="15">
        <f t="shared" si="3"/>
        <v>-1900000</v>
      </c>
      <c r="I77" s="16"/>
      <c r="J77" s="1"/>
      <c r="K77" s="1"/>
      <c r="L77" s="1"/>
      <c r="M77" s="1"/>
    </row>
    <row r="78" spans="1:13">
      <c r="A78" s="10">
        <f t="shared" si="5"/>
        <v>75</v>
      </c>
      <c r="B78" s="4" t="s">
        <v>210</v>
      </c>
      <c r="C78" s="6">
        <v>1200000</v>
      </c>
      <c r="D78" s="6">
        <v>1200000</v>
      </c>
      <c r="E78" s="7">
        <f t="shared" si="4"/>
        <v>0</v>
      </c>
      <c r="F78" s="16"/>
      <c r="G78" s="15"/>
      <c r="H78" s="15">
        <f>G78-D78</f>
        <v>-1200000</v>
      </c>
      <c r="I78" s="16"/>
      <c r="J78" s="1"/>
      <c r="K78" s="1"/>
      <c r="L78" s="1"/>
      <c r="M78" s="1"/>
    </row>
    <row r="79" spans="1:13">
      <c r="A79" s="10">
        <f t="shared" si="5"/>
        <v>76</v>
      </c>
      <c r="B79" s="4" t="s">
        <v>208</v>
      </c>
      <c r="C79" s="6">
        <v>2004000</v>
      </c>
      <c r="D79" s="6">
        <v>2004000</v>
      </c>
      <c r="E79" s="15">
        <f>C79-D79</f>
        <v>0</v>
      </c>
      <c r="F79" s="16"/>
      <c r="G79" s="15"/>
      <c r="H79" s="15">
        <f>G79-D79</f>
        <v>-2004000</v>
      </c>
      <c r="I79" s="16"/>
      <c r="J79" s="1"/>
      <c r="K79" s="1"/>
      <c r="L79" s="1"/>
      <c r="M79" s="1"/>
    </row>
    <row r="80" spans="1:13">
      <c r="A80" s="10">
        <f t="shared" si="5"/>
        <v>77</v>
      </c>
      <c r="B80" s="4" t="s">
        <v>87</v>
      </c>
      <c r="C80" s="6">
        <v>3650000</v>
      </c>
      <c r="D80" s="6">
        <v>3650000</v>
      </c>
      <c r="E80" s="7">
        <f>C80-D80</f>
        <v>0</v>
      </c>
      <c r="F80" s="16"/>
      <c r="G80" s="15"/>
      <c r="H80" s="15">
        <f>G80-D80</f>
        <v>-3650000</v>
      </c>
      <c r="I80" s="16"/>
      <c r="J80" s="1"/>
      <c r="K80" s="1"/>
      <c r="L80" s="1"/>
      <c r="M80" s="1"/>
    </row>
    <row r="81" spans="1:13">
      <c r="A81" s="10">
        <f t="shared" si="5"/>
        <v>78</v>
      </c>
      <c r="B81" s="4" t="s">
        <v>102</v>
      </c>
      <c r="C81" s="6">
        <v>5560000</v>
      </c>
      <c r="D81" s="6">
        <v>5560000</v>
      </c>
      <c r="E81" s="7">
        <f t="shared" ref="E81:E103" si="6">C81-D81</f>
        <v>0</v>
      </c>
      <c r="F81" s="16"/>
      <c r="G81" s="15"/>
      <c r="H81" s="15">
        <f t="shared" ref="H81:H87" si="7">G81-D81</f>
        <v>-5560000</v>
      </c>
      <c r="I81" s="16"/>
      <c r="J81" s="1"/>
      <c r="K81" s="1"/>
      <c r="L81" s="1"/>
      <c r="M81" s="1"/>
    </row>
    <row r="82" spans="1:13">
      <c r="A82" s="10">
        <f t="shared" si="5"/>
        <v>79</v>
      </c>
      <c r="B82" s="4" t="s">
        <v>107</v>
      </c>
      <c r="C82" s="6">
        <v>4250000</v>
      </c>
      <c r="D82" s="6">
        <v>4250000</v>
      </c>
      <c r="E82" s="7">
        <f t="shared" si="6"/>
        <v>0</v>
      </c>
      <c r="F82" s="16"/>
      <c r="G82" s="15"/>
      <c r="H82" s="15">
        <f t="shared" si="7"/>
        <v>-4250000</v>
      </c>
      <c r="I82" s="16"/>
      <c r="J82" s="1"/>
      <c r="K82" s="1"/>
      <c r="L82" s="1"/>
      <c r="M82" s="1"/>
    </row>
    <row r="83" spans="1:13">
      <c r="A83" s="10">
        <f t="shared" si="5"/>
        <v>80</v>
      </c>
      <c r="B83" s="4" t="s">
        <v>227</v>
      </c>
      <c r="C83" s="6">
        <v>565000</v>
      </c>
      <c r="D83" s="6">
        <v>565000</v>
      </c>
      <c r="E83" s="7">
        <f t="shared" si="6"/>
        <v>0</v>
      </c>
      <c r="F83" s="16"/>
      <c r="G83" s="15"/>
      <c r="H83" s="15">
        <f t="shared" si="7"/>
        <v>-565000</v>
      </c>
      <c r="I83" s="16"/>
      <c r="J83" s="1"/>
      <c r="K83" s="1"/>
      <c r="L83" s="1"/>
      <c r="M83" s="1"/>
    </row>
    <row r="84" spans="1:13">
      <c r="A84" s="10">
        <f t="shared" si="5"/>
        <v>81</v>
      </c>
      <c r="B84" s="4" t="s">
        <v>228</v>
      </c>
      <c r="C84" s="6">
        <v>1900000</v>
      </c>
      <c r="D84" s="6">
        <v>1900000</v>
      </c>
      <c r="E84" s="7">
        <f t="shared" si="6"/>
        <v>0</v>
      </c>
      <c r="F84" s="16"/>
      <c r="G84" s="15"/>
      <c r="H84" s="15">
        <f t="shared" si="7"/>
        <v>-1900000</v>
      </c>
      <c r="I84" s="16"/>
      <c r="J84" s="1"/>
      <c r="K84" s="1"/>
      <c r="L84" s="1"/>
      <c r="M84" s="1"/>
    </row>
    <row r="85" spans="1:13">
      <c r="A85" s="10">
        <f t="shared" si="5"/>
        <v>82</v>
      </c>
      <c r="B85" s="4" t="s">
        <v>193</v>
      </c>
      <c r="C85" s="6">
        <v>4700000</v>
      </c>
      <c r="D85" s="6">
        <v>4700000</v>
      </c>
      <c r="E85" s="7">
        <f t="shared" si="6"/>
        <v>0</v>
      </c>
      <c r="F85" s="16"/>
      <c r="G85" s="15"/>
      <c r="H85" s="15">
        <f t="shared" si="7"/>
        <v>-4700000</v>
      </c>
      <c r="I85" s="16"/>
      <c r="J85" s="1"/>
      <c r="K85" s="1"/>
      <c r="L85" s="1"/>
      <c r="M85" s="1"/>
    </row>
    <row r="86" spans="1:13">
      <c r="A86" s="10">
        <f t="shared" si="5"/>
        <v>83</v>
      </c>
      <c r="B86" s="4" t="s">
        <v>68</v>
      </c>
      <c r="C86" s="6">
        <v>1220000</v>
      </c>
      <c r="D86" s="6">
        <v>1220000</v>
      </c>
      <c r="E86" s="7">
        <f t="shared" si="6"/>
        <v>0</v>
      </c>
      <c r="F86" s="16"/>
      <c r="G86" s="15"/>
      <c r="H86" s="15">
        <f t="shared" si="7"/>
        <v>-1220000</v>
      </c>
      <c r="I86" s="16"/>
      <c r="J86" s="1"/>
      <c r="K86" s="1"/>
      <c r="L86" s="1"/>
      <c r="M86" s="1"/>
    </row>
    <row r="87" spans="1:13">
      <c r="A87" s="10">
        <f t="shared" si="5"/>
        <v>84</v>
      </c>
      <c r="B87" s="4" t="s">
        <v>216</v>
      </c>
      <c r="C87" s="6">
        <v>1900000</v>
      </c>
      <c r="D87" s="6">
        <v>1900000</v>
      </c>
      <c r="E87" s="7">
        <f t="shared" si="6"/>
        <v>0</v>
      </c>
      <c r="F87" s="16"/>
      <c r="G87" s="15"/>
      <c r="H87" s="15">
        <f t="shared" si="7"/>
        <v>-1900000</v>
      </c>
      <c r="I87" s="16"/>
      <c r="J87" s="1"/>
      <c r="K87" s="1"/>
      <c r="L87" s="1"/>
      <c r="M87" s="1"/>
    </row>
    <row r="88" spans="1:13">
      <c r="A88" s="10">
        <f t="shared" si="5"/>
        <v>85</v>
      </c>
      <c r="B88" s="4" t="s">
        <v>45</v>
      </c>
      <c r="C88" s="6">
        <v>15630000</v>
      </c>
      <c r="D88" s="6">
        <v>15630000</v>
      </c>
      <c r="E88" s="7">
        <f t="shared" si="6"/>
        <v>0</v>
      </c>
      <c r="F88" s="16"/>
      <c r="G88" s="15"/>
      <c r="H88" s="15">
        <f>E88-G88</f>
        <v>0</v>
      </c>
      <c r="I88" s="16"/>
      <c r="J88" s="1"/>
      <c r="K88" s="1"/>
      <c r="L88" s="1"/>
      <c r="M88" s="1"/>
    </row>
    <row r="89" spans="1:13">
      <c r="A89" s="10">
        <f t="shared" si="5"/>
        <v>86</v>
      </c>
      <c r="B89" s="4" t="s">
        <v>53</v>
      </c>
      <c r="C89" s="6">
        <v>2102400</v>
      </c>
      <c r="D89" s="6">
        <v>2102400</v>
      </c>
      <c r="E89" s="15">
        <f t="shared" si="6"/>
        <v>0</v>
      </c>
      <c r="F89" s="16"/>
      <c r="G89" s="15"/>
      <c r="H89" s="15">
        <f>E89-G89</f>
        <v>0</v>
      </c>
      <c r="I89" s="12"/>
      <c r="J89" s="1"/>
      <c r="K89" s="1"/>
      <c r="L89" s="1"/>
      <c r="M89" s="1"/>
    </row>
    <row r="90" spans="1:13">
      <c r="A90" s="10">
        <f t="shared" si="5"/>
        <v>87</v>
      </c>
      <c r="B90" s="4" t="s">
        <v>229</v>
      </c>
      <c r="C90" s="6">
        <v>2732500</v>
      </c>
      <c r="D90" s="6">
        <v>2732500</v>
      </c>
      <c r="E90" s="15">
        <f t="shared" si="6"/>
        <v>0</v>
      </c>
      <c r="F90" s="16"/>
      <c r="G90" s="15"/>
      <c r="H90" s="15">
        <f t="shared" ref="H90:H101" si="8">G90-D90</f>
        <v>-2732500</v>
      </c>
      <c r="I90" s="12"/>
      <c r="J90" s="1"/>
      <c r="K90" s="1"/>
      <c r="L90" s="1"/>
      <c r="M90" s="1"/>
    </row>
    <row r="91" spans="1:13">
      <c r="A91" s="10">
        <f t="shared" si="5"/>
        <v>88</v>
      </c>
      <c r="B91" s="4" t="s">
        <v>230</v>
      </c>
      <c r="C91" s="6">
        <v>4000000</v>
      </c>
      <c r="D91" s="6">
        <v>4000000</v>
      </c>
      <c r="E91" s="15">
        <f t="shared" si="6"/>
        <v>0</v>
      </c>
      <c r="F91" s="16"/>
      <c r="G91" s="15"/>
      <c r="H91" s="15">
        <f t="shared" si="8"/>
        <v>-4000000</v>
      </c>
      <c r="I91" s="16"/>
      <c r="J91" s="1"/>
      <c r="K91" s="1"/>
      <c r="L91" s="1"/>
      <c r="M91" s="1"/>
    </row>
    <row r="92" spans="1:13">
      <c r="A92" s="10">
        <f t="shared" si="5"/>
        <v>89</v>
      </c>
      <c r="B92" s="4" t="s">
        <v>104</v>
      </c>
      <c r="C92" s="6">
        <v>3650000</v>
      </c>
      <c r="D92" s="6">
        <v>3650000</v>
      </c>
      <c r="E92" s="15">
        <f t="shared" si="6"/>
        <v>0</v>
      </c>
      <c r="F92" s="16"/>
      <c r="G92" s="15"/>
      <c r="H92" s="15">
        <f t="shared" si="8"/>
        <v>-3650000</v>
      </c>
      <c r="I92" s="16"/>
      <c r="J92" s="1"/>
      <c r="K92" s="1"/>
      <c r="L92" s="1"/>
      <c r="M92" s="1"/>
    </row>
    <row r="93" spans="1:13">
      <c r="A93" s="10">
        <f t="shared" si="5"/>
        <v>90</v>
      </c>
      <c r="B93" s="4"/>
      <c r="C93" s="6"/>
      <c r="D93" s="6"/>
      <c r="E93" s="15">
        <f t="shared" si="6"/>
        <v>0</v>
      </c>
      <c r="F93" s="16"/>
      <c r="G93" s="15"/>
      <c r="H93" s="15">
        <f t="shared" si="8"/>
        <v>0</v>
      </c>
      <c r="I93" s="16"/>
      <c r="J93" s="1"/>
      <c r="K93" s="1"/>
      <c r="L93" s="1"/>
      <c r="M93" s="1"/>
    </row>
    <row r="94" spans="1:13" hidden="1">
      <c r="A94" s="10">
        <f t="shared" si="5"/>
        <v>91</v>
      </c>
      <c r="B94" s="4"/>
      <c r="C94" s="6"/>
      <c r="D94" s="6"/>
      <c r="E94" s="15">
        <f t="shared" si="6"/>
        <v>0</v>
      </c>
      <c r="F94" s="16"/>
      <c r="G94" s="15"/>
      <c r="H94" s="15">
        <f t="shared" si="8"/>
        <v>0</v>
      </c>
      <c r="I94" s="16"/>
      <c r="J94" s="1"/>
      <c r="K94" s="1"/>
      <c r="L94" s="1"/>
      <c r="M94" s="1"/>
    </row>
    <row r="95" spans="1:13" hidden="1">
      <c r="A95" s="10">
        <f t="shared" si="5"/>
        <v>92</v>
      </c>
      <c r="B95" s="4"/>
      <c r="C95" s="6"/>
      <c r="D95" s="6"/>
      <c r="E95" s="15">
        <f t="shared" si="6"/>
        <v>0</v>
      </c>
      <c r="F95" s="16"/>
      <c r="G95" s="15"/>
      <c r="H95" s="15">
        <f t="shared" si="8"/>
        <v>0</v>
      </c>
      <c r="I95" s="16"/>
      <c r="J95" s="1"/>
      <c r="K95" s="1"/>
      <c r="L95" s="1"/>
      <c r="M95" s="1"/>
    </row>
    <row r="96" spans="1:13" hidden="1">
      <c r="A96" s="10">
        <f t="shared" si="5"/>
        <v>93</v>
      </c>
      <c r="B96" s="4"/>
      <c r="C96" s="6"/>
      <c r="D96" s="6"/>
      <c r="E96" s="15">
        <f t="shared" si="6"/>
        <v>0</v>
      </c>
      <c r="F96" s="16"/>
      <c r="G96" s="15"/>
      <c r="H96" s="15">
        <f t="shared" si="8"/>
        <v>0</v>
      </c>
      <c r="I96" s="16"/>
      <c r="J96" s="1"/>
      <c r="K96" s="1"/>
      <c r="L96" s="1"/>
      <c r="M96" s="1"/>
    </row>
    <row r="97" spans="1:13" hidden="1">
      <c r="A97" s="10">
        <f t="shared" si="5"/>
        <v>94</v>
      </c>
      <c r="B97" s="4"/>
      <c r="C97" s="6"/>
      <c r="D97" s="13"/>
      <c r="E97" s="15">
        <f t="shared" si="6"/>
        <v>0</v>
      </c>
      <c r="F97" s="16"/>
      <c r="G97" s="15"/>
      <c r="H97" s="15">
        <f t="shared" si="8"/>
        <v>0</v>
      </c>
      <c r="I97" s="16"/>
      <c r="J97" s="1"/>
      <c r="K97" s="1"/>
      <c r="L97" s="1"/>
      <c r="M97" s="1"/>
    </row>
    <row r="98" spans="1:13" hidden="1">
      <c r="A98" s="10">
        <f t="shared" si="5"/>
        <v>95</v>
      </c>
      <c r="B98" s="4"/>
      <c r="C98" s="6"/>
      <c r="D98" s="6"/>
      <c r="E98" s="15">
        <f t="shared" si="6"/>
        <v>0</v>
      </c>
      <c r="F98" s="16"/>
      <c r="G98" s="15"/>
      <c r="H98" s="15">
        <f t="shared" si="8"/>
        <v>0</v>
      </c>
      <c r="I98" s="16"/>
      <c r="J98" s="1"/>
      <c r="K98" s="1"/>
      <c r="L98" s="1"/>
      <c r="M98" s="1"/>
    </row>
    <row r="99" spans="1:13" hidden="1">
      <c r="A99" s="10">
        <f t="shared" si="5"/>
        <v>96</v>
      </c>
      <c r="B99" s="4"/>
      <c r="C99" s="6"/>
      <c r="D99" s="6"/>
      <c r="E99" s="15">
        <f t="shared" si="6"/>
        <v>0</v>
      </c>
      <c r="F99" s="16"/>
      <c r="G99" s="15"/>
      <c r="H99" s="15">
        <f t="shared" si="8"/>
        <v>0</v>
      </c>
      <c r="I99" s="16"/>
      <c r="J99" s="1"/>
      <c r="K99" s="1"/>
      <c r="L99" s="1"/>
      <c r="M99" s="1"/>
    </row>
    <row r="100" spans="1:13" hidden="1">
      <c r="A100" s="10">
        <f t="shared" si="5"/>
        <v>97</v>
      </c>
      <c r="B100" s="4"/>
      <c r="C100" s="6"/>
      <c r="D100" s="6"/>
      <c r="E100" s="15">
        <f t="shared" si="6"/>
        <v>0</v>
      </c>
      <c r="F100" s="16"/>
      <c r="G100" s="15"/>
      <c r="H100" s="15">
        <f t="shared" si="8"/>
        <v>0</v>
      </c>
      <c r="I100" s="16"/>
      <c r="J100" s="1"/>
      <c r="K100" s="1"/>
      <c r="L100" s="1"/>
      <c r="M100" s="1"/>
    </row>
    <row r="101" spans="1:13" hidden="1">
      <c r="A101" s="10">
        <f t="shared" si="5"/>
        <v>98</v>
      </c>
      <c r="B101" s="4"/>
      <c r="C101" s="6"/>
      <c r="D101" s="6"/>
      <c r="E101" s="15">
        <f t="shared" si="6"/>
        <v>0</v>
      </c>
      <c r="F101" s="16"/>
      <c r="G101" s="15"/>
      <c r="H101" s="15">
        <f t="shared" si="8"/>
        <v>0</v>
      </c>
      <c r="I101" s="16"/>
      <c r="J101" s="1"/>
      <c r="K101" s="1"/>
      <c r="L101" s="1"/>
      <c r="M101" s="1"/>
    </row>
    <row r="102" spans="1:13" hidden="1">
      <c r="A102" s="10">
        <f t="shared" si="5"/>
        <v>99</v>
      </c>
      <c r="B102" s="4"/>
      <c r="C102" s="6"/>
      <c r="D102" s="6"/>
      <c r="E102" s="15">
        <f t="shared" si="6"/>
        <v>0</v>
      </c>
      <c r="F102" s="16"/>
      <c r="G102" s="15"/>
      <c r="H102" s="15">
        <f t="shared" si="3"/>
        <v>0</v>
      </c>
      <c r="I102" s="16"/>
      <c r="J102" s="1"/>
      <c r="K102" s="1"/>
      <c r="L102" s="1"/>
      <c r="M102" s="1"/>
    </row>
    <row r="103" spans="1:13" hidden="1">
      <c r="A103" s="10">
        <f t="shared" si="5"/>
        <v>100</v>
      </c>
      <c r="B103" s="4"/>
      <c r="C103" s="6"/>
      <c r="D103" s="6"/>
      <c r="E103" s="15">
        <f t="shared" si="6"/>
        <v>0</v>
      </c>
      <c r="F103" s="16"/>
      <c r="G103" s="15"/>
      <c r="H103" s="15">
        <f t="shared" si="3"/>
        <v>0</v>
      </c>
      <c r="I103" s="16"/>
      <c r="J103" s="1"/>
      <c r="K103" s="1"/>
      <c r="L103" s="1"/>
      <c r="M103" s="1"/>
    </row>
    <row r="104" spans="1:13" hidden="1">
      <c r="A104" s="10">
        <f t="shared" si="5"/>
        <v>101</v>
      </c>
      <c r="B104" s="4"/>
      <c r="C104" s="6"/>
      <c r="D104" s="6"/>
      <c r="E104" s="15">
        <f>C104-D104</f>
        <v>0</v>
      </c>
      <c r="F104" s="16"/>
      <c r="G104" s="15"/>
      <c r="H104" s="15">
        <f>G104-D104</f>
        <v>0</v>
      </c>
      <c r="I104" s="16"/>
      <c r="J104" s="1"/>
      <c r="K104" s="1"/>
      <c r="L104" s="1"/>
      <c r="M104" s="1"/>
    </row>
    <row r="105" spans="1:13" hidden="1">
      <c r="A105" s="10">
        <f t="shared" si="5"/>
        <v>102</v>
      </c>
      <c r="B105" s="4"/>
      <c r="C105" s="6"/>
      <c r="D105" s="6"/>
      <c r="E105" s="15">
        <f t="shared" ref="E105:E141" si="9">C105-D105</f>
        <v>0</v>
      </c>
      <c r="F105" s="16"/>
      <c r="G105" s="15"/>
      <c r="H105" s="15">
        <f t="shared" ref="H105:H111" si="10">G105-D105</f>
        <v>0</v>
      </c>
      <c r="I105" s="16"/>
      <c r="J105" s="1"/>
      <c r="K105" s="1"/>
      <c r="L105" s="1"/>
      <c r="M105" s="1"/>
    </row>
    <row r="106" spans="1:13" hidden="1">
      <c r="A106" s="10">
        <f t="shared" si="5"/>
        <v>103</v>
      </c>
      <c r="B106" s="4"/>
      <c r="C106" s="6"/>
      <c r="D106" s="6"/>
      <c r="E106" s="15">
        <f t="shared" si="9"/>
        <v>0</v>
      </c>
      <c r="F106" s="16"/>
      <c r="G106" s="15"/>
      <c r="H106" s="15">
        <f t="shared" si="10"/>
        <v>0</v>
      </c>
      <c r="I106" s="16"/>
      <c r="J106" s="1"/>
      <c r="K106" s="1"/>
      <c r="L106" s="1"/>
      <c r="M106" s="1"/>
    </row>
    <row r="107" spans="1:13" hidden="1">
      <c r="A107" s="10">
        <f t="shared" si="5"/>
        <v>104</v>
      </c>
      <c r="B107" s="4"/>
      <c r="C107" s="6">
        <f t="shared" ref="C107:C117" si="11">SUMIFS(tballsa,tballnk,B107)</f>
        <v>0</v>
      </c>
      <c r="D107" s="6"/>
      <c r="E107" s="15">
        <f t="shared" si="9"/>
        <v>0</v>
      </c>
      <c r="F107" s="16"/>
      <c r="G107" s="15"/>
      <c r="H107" s="15">
        <f t="shared" si="10"/>
        <v>0</v>
      </c>
      <c r="I107" s="16"/>
      <c r="J107" s="1"/>
      <c r="K107" s="1"/>
      <c r="L107" s="1"/>
      <c r="M107" s="1"/>
    </row>
    <row r="108" spans="1:13" hidden="1">
      <c r="A108" s="10">
        <f t="shared" si="5"/>
        <v>105</v>
      </c>
      <c r="B108" s="4"/>
      <c r="C108" s="6">
        <f t="shared" si="11"/>
        <v>0</v>
      </c>
      <c r="D108" s="6"/>
      <c r="E108" s="15">
        <f t="shared" si="9"/>
        <v>0</v>
      </c>
      <c r="F108" s="16"/>
      <c r="G108" s="15"/>
      <c r="H108" s="15">
        <f t="shared" si="10"/>
        <v>0</v>
      </c>
      <c r="I108" s="16"/>
      <c r="J108" s="1"/>
      <c r="K108" s="1"/>
      <c r="L108" s="1"/>
      <c r="M108" s="1"/>
    </row>
    <row r="109" spans="1:13" hidden="1">
      <c r="A109" s="10">
        <f t="shared" si="5"/>
        <v>106</v>
      </c>
      <c r="B109" s="4"/>
      <c r="C109" s="6">
        <f t="shared" si="11"/>
        <v>0</v>
      </c>
      <c r="D109" s="6"/>
      <c r="E109" s="15">
        <f t="shared" si="9"/>
        <v>0</v>
      </c>
      <c r="F109" s="16"/>
      <c r="G109" s="15"/>
      <c r="H109" s="15">
        <f t="shared" si="10"/>
        <v>0</v>
      </c>
      <c r="I109" s="16"/>
      <c r="J109" s="1"/>
      <c r="K109" s="1"/>
      <c r="L109" s="1"/>
      <c r="M109" s="1"/>
    </row>
    <row r="110" spans="1:13" hidden="1">
      <c r="A110" s="10">
        <f t="shared" si="5"/>
        <v>107</v>
      </c>
      <c r="B110" s="4"/>
      <c r="C110" s="6">
        <f t="shared" si="11"/>
        <v>0</v>
      </c>
      <c r="D110" s="6"/>
      <c r="E110" s="15">
        <f t="shared" si="9"/>
        <v>0</v>
      </c>
      <c r="F110" s="16"/>
      <c r="G110" s="15"/>
      <c r="H110" s="15">
        <f t="shared" si="10"/>
        <v>0</v>
      </c>
      <c r="I110" s="16"/>
      <c r="J110" s="1"/>
      <c r="K110" s="1"/>
      <c r="L110" s="1"/>
      <c r="M110" s="1"/>
    </row>
    <row r="111" spans="1:13" hidden="1">
      <c r="A111" s="10">
        <f t="shared" si="5"/>
        <v>108</v>
      </c>
      <c r="B111" s="4"/>
      <c r="C111" s="6">
        <f t="shared" si="11"/>
        <v>0</v>
      </c>
      <c r="D111" s="6"/>
      <c r="E111" s="15">
        <f t="shared" si="9"/>
        <v>0</v>
      </c>
      <c r="F111" s="16"/>
      <c r="G111" s="15"/>
      <c r="H111" s="15">
        <f t="shared" si="10"/>
        <v>0</v>
      </c>
      <c r="I111" s="16"/>
      <c r="J111" s="1"/>
      <c r="K111" s="1"/>
      <c r="L111" s="1"/>
      <c r="M111" s="1"/>
    </row>
    <row r="112" spans="1:13" hidden="1">
      <c r="A112" s="10">
        <f t="shared" si="5"/>
        <v>109</v>
      </c>
      <c r="B112" s="4"/>
      <c r="C112" s="6">
        <f t="shared" si="11"/>
        <v>0</v>
      </c>
      <c r="D112" s="6"/>
      <c r="E112" s="15">
        <f t="shared" si="9"/>
        <v>0</v>
      </c>
      <c r="F112" s="16"/>
      <c r="G112" s="15"/>
      <c r="H112" s="15">
        <f>E112-G112</f>
        <v>0</v>
      </c>
      <c r="I112" s="16"/>
      <c r="J112" s="1"/>
      <c r="K112" s="1"/>
      <c r="L112" s="1"/>
      <c r="M112" s="1"/>
    </row>
    <row r="113" spans="1:13" hidden="1">
      <c r="A113" s="10">
        <f t="shared" si="5"/>
        <v>110</v>
      </c>
      <c r="B113" s="4"/>
      <c r="C113" s="6">
        <f t="shared" si="11"/>
        <v>0</v>
      </c>
      <c r="D113" s="6"/>
      <c r="E113" s="15">
        <f t="shared" si="9"/>
        <v>0</v>
      </c>
      <c r="F113" s="16"/>
      <c r="G113" s="15"/>
      <c r="H113" s="15">
        <f>E113-G113</f>
        <v>0</v>
      </c>
      <c r="I113" s="12"/>
      <c r="J113" s="1"/>
      <c r="K113" s="1"/>
      <c r="L113" s="1"/>
      <c r="M113" s="1"/>
    </row>
    <row r="114" spans="1:13" hidden="1">
      <c r="A114" s="10">
        <f t="shared" si="5"/>
        <v>111</v>
      </c>
      <c r="B114" s="4"/>
      <c r="C114" s="6">
        <f t="shared" si="11"/>
        <v>0</v>
      </c>
      <c r="D114" s="6"/>
      <c r="E114" s="15">
        <f t="shared" si="9"/>
        <v>0</v>
      </c>
      <c r="F114" s="16"/>
      <c r="G114" s="15"/>
      <c r="H114" s="15">
        <f t="shared" ref="H114:H141" si="12">G114-D114</f>
        <v>0</v>
      </c>
      <c r="I114" s="12"/>
      <c r="J114" s="1"/>
      <c r="K114" s="1"/>
      <c r="L114" s="1"/>
      <c r="M114" s="1"/>
    </row>
    <row r="115" spans="1:13" hidden="1">
      <c r="A115" s="10">
        <f t="shared" si="5"/>
        <v>112</v>
      </c>
      <c r="B115" s="4"/>
      <c r="C115" s="6">
        <f t="shared" si="11"/>
        <v>0</v>
      </c>
      <c r="D115" s="6"/>
      <c r="E115" s="15">
        <f t="shared" si="9"/>
        <v>0</v>
      </c>
      <c r="F115" s="16"/>
      <c r="G115" s="15"/>
      <c r="H115" s="15">
        <f t="shared" si="12"/>
        <v>0</v>
      </c>
      <c r="I115" s="16"/>
      <c r="J115" s="1"/>
      <c r="K115" s="1"/>
      <c r="L115" s="1"/>
      <c r="M115" s="1"/>
    </row>
    <row r="116" spans="1:13" hidden="1">
      <c r="A116" s="10">
        <f t="shared" si="5"/>
        <v>113</v>
      </c>
      <c r="B116" s="4"/>
      <c r="C116" s="6">
        <f t="shared" si="11"/>
        <v>0</v>
      </c>
      <c r="D116" s="6"/>
      <c r="E116" s="15">
        <f t="shared" si="9"/>
        <v>0</v>
      </c>
      <c r="F116" s="16"/>
      <c r="G116" s="15"/>
      <c r="H116" s="15">
        <f t="shared" si="12"/>
        <v>0</v>
      </c>
      <c r="I116" s="16"/>
      <c r="J116" s="1"/>
      <c r="K116" s="1"/>
      <c r="L116" s="1"/>
      <c r="M116" s="1"/>
    </row>
    <row r="117" spans="1:13" hidden="1">
      <c r="A117" s="10">
        <f t="shared" si="5"/>
        <v>114</v>
      </c>
      <c r="B117" s="4"/>
      <c r="C117" s="6">
        <f t="shared" si="11"/>
        <v>0</v>
      </c>
      <c r="D117" s="6"/>
      <c r="E117" s="15">
        <f t="shared" si="9"/>
        <v>0</v>
      </c>
      <c r="F117" s="16"/>
      <c r="G117" s="15"/>
      <c r="H117" s="15">
        <f t="shared" si="12"/>
        <v>0</v>
      </c>
      <c r="I117" s="16"/>
      <c r="J117" s="1"/>
      <c r="K117" s="1"/>
      <c r="L117" s="1"/>
      <c r="M117" s="1"/>
    </row>
    <row r="118" spans="1:13" hidden="1">
      <c r="A118" s="10">
        <f t="shared" si="5"/>
        <v>115</v>
      </c>
      <c r="B118" s="4"/>
      <c r="C118" s="17">
        <f t="shared" ref="C118:C121" si="13">SUMIFS(tballsa,tballnk,B118)</f>
        <v>0</v>
      </c>
      <c r="D118" s="13"/>
      <c r="E118" s="15">
        <f t="shared" si="9"/>
        <v>0</v>
      </c>
      <c r="F118" s="16"/>
      <c r="G118" s="15"/>
      <c r="H118" s="15">
        <f t="shared" si="12"/>
        <v>0</v>
      </c>
      <c r="I118" s="16"/>
      <c r="J118" s="1"/>
      <c r="K118" s="1"/>
      <c r="L118" s="1"/>
      <c r="M118" s="1"/>
    </row>
    <row r="119" spans="1:13" hidden="1">
      <c r="A119" s="10">
        <f t="shared" si="5"/>
        <v>116</v>
      </c>
      <c r="B119" s="18"/>
      <c r="C119" s="6">
        <f t="shared" si="13"/>
        <v>0</v>
      </c>
      <c r="D119" s="13"/>
      <c r="E119" s="15">
        <f t="shared" si="9"/>
        <v>0</v>
      </c>
      <c r="F119" s="16"/>
      <c r="G119" s="15"/>
      <c r="H119" s="15">
        <f t="shared" si="12"/>
        <v>0</v>
      </c>
      <c r="I119" s="16"/>
      <c r="J119" s="1"/>
      <c r="K119" s="1"/>
      <c r="L119" s="1"/>
      <c r="M119" s="1"/>
    </row>
    <row r="120" spans="1:13" hidden="1">
      <c r="A120" s="10">
        <f t="shared" si="5"/>
        <v>117</v>
      </c>
      <c r="B120" s="18"/>
      <c r="C120" s="6">
        <f t="shared" si="13"/>
        <v>0</v>
      </c>
      <c r="D120" s="13"/>
      <c r="E120" s="15">
        <f t="shared" si="9"/>
        <v>0</v>
      </c>
      <c r="F120" s="16"/>
      <c r="G120" s="15"/>
      <c r="H120" s="15">
        <f t="shared" si="12"/>
        <v>0</v>
      </c>
      <c r="I120" s="16"/>
      <c r="J120" s="1"/>
      <c r="K120" s="1"/>
      <c r="L120" s="1"/>
      <c r="M120" s="1"/>
    </row>
    <row r="121" spans="1:13" hidden="1">
      <c r="A121" s="10">
        <f t="shared" si="5"/>
        <v>118</v>
      </c>
      <c r="B121" s="4"/>
      <c r="C121" s="6">
        <f t="shared" si="13"/>
        <v>0</v>
      </c>
      <c r="D121" s="13"/>
      <c r="E121" s="15">
        <f t="shared" si="9"/>
        <v>0</v>
      </c>
      <c r="F121" s="16"/>
      <c r="G121" s="15"/>
      <c r="H121" s="15">
        <f t="shared" si="12"/>
        <v>0</v>
      </c>
      <c r="I121" s="16"/>
      <c r="J121" s="1"/>
      <c r="K121" s="1"/>
      <c r="L121" s="1"/>
      <c r="M121" s="1"/>
    </row>
    <row r="122" spans="1:13" hidden="1">
      <c r="A122" s="10">
        <f t="shared" si="5"/>
        <v>119</v>
      </c>
      <c r="B122" s="4"/>
      <c r="C122" s="13"/>
      <c r="D122" s="13"/>
      <c r="E122" s="15">
        <f t="shared" si="9"/>
        <v>0</v>
      </c>
      <c r="F122" s="16"/>
      <c r="G122" s="15"/>
      <c r="H122" s="15">
        <f t="shared" si="12"/>
        <v>0</v>
      </c>
      <c r="I122" s="16"/>
      <c r="J122" s="1"/>
      <c r="K122" s="1"/>
      <c r="L122" s="1"/>
      <c r="M122" s="1"/>
    </row>
    <row r="123" spans="1:13" hidden="1">
      <c r="A123" s="10">
        <f t="shared" si="5"/>
        <v>120</v>
      </c>
      <c r="B123" s="4"/>
      <c r="C123" s="13"/>
      <c r="D123" s="13"/>
      <c r="E123" s="15">
        <f t="shared" si="9"/>
        <v>0</v>
      </c>
      <c r="F123" s="16"/>
      <c r="G123" s="15"/>
      <c r="H123" s="15">
        <f t="shared" si="12"/>
        <v>0</v>
      </c>
      <c r="I123" s="16"/>
      <c r="J123" s="1"/>
      <c r="K123" s="1"/>
      <c r="L123" s="1"/>
      <c r="M123" s="1"/>
    </row>
    <row r="124" spans="1:13" hidden="1">
      <c r="A124" s="10">
        <f t="shared" si="5"/>
        <v>121</v>
      </c>
      <c r="B124" s="4"/>
      <c r="C124" s="13"/>
      <c r="D124" s="13"/>
      <c r="E124" s="15">
        <f t="shared" si="9"/>
        <v>0</v>
      </c>
      <c r="F124" s="16"/>
      <c r="G124" s="15"/>
      <c r="H124" s="15">
        <f t="shared" si="12"/>
        <v>0</v>
      </c>
      <c r="I124" s="16"/>
      <c r="J124" s="1"/>
      <c r="K124" s="1"/>
      <c r="L124" s="1"/>
      <c r="M124" s="1"/>
    </row>
    <row r="125" spans="1:13" hidden="1">
      <c r="A125" s="10">
        <f t="shared" si="5"/>
        <v>122</v>
      </c>
      <c r="B125" s="4"/>
      <c r="C125" s="13"/>
      <c r="D125" s="13"/>
      <c r="E125" s="15">
        <f t="shared" si="9"/>
        <v>0</v>
      </c>
      <c r="F125" s="16"/>
      <c r="G125" s="15"/>
      <c r="H125" s="15">
        <f t="shared" si="12"/>
        <v>0</v>
      </c>
      <c r="I125" s="16"/>
      <c r="J125" s="1"/>
      <c r="K125" s="1"/>
      <c r="L125" s="1"/>
      <c r="M125" s="1"/>
    </row>
    <row r="126" spans="1:13" hidden="1">
      <c r="A126" s="10">
        <f t="shared" si="5"/>
        <v>123</v>
      </c>
      <c r="B126" s="4"/>
      <c r="C126" s="13"/>
      <c r="D126" s="13"/>
      <c r="E126" s="15">
        <f t="shared" si="9"/>
        <v>0</v>
      </c>
      <c r="F126" s="16"/>
      <c r="G126" s="15"/>
      <c r="H126" s="15">
        <f t="shared" si="12"/>
        <v>0</v>
      </c>
      <c r="I126" s="16"/>
      <c r="J126" s="1"/>
      <c r="K126" s="1"/>
      <c r="L126" s="1"/>
      <c r="M126" s="1"/>
    </row>
    <row r="127" spans="1:13" hidden="1">
      <c r="A127" s="10">
        <f t="shared" si="5"/>
        <v>124</v>
      </c>
      <c r="B127" s="4"/>
      <c r="C127" s="13"/>
      <c r="D127" s="13"/>
      <c r="E127" s="15">
        <f t="shared" si="9"/>
        <v>0</v>
      </c>
      <c r="F127" s="16"/>
      <c r="G127" s="15"/>
      <c r="H127" s="15">
        <f t="shared" si="12"/>
        <v>0</v>
      </c>
      <c r="I127" s="16"/>
      <c r="J127" s="1"/>
      <c r="K127" s="1"/>
      <c r="L127" s="1"/>
      <c r="M127" s="1"/>
    </row>
    <row r="128" spans="1:13" hidden="1">
      <c r="A128" s="10">
        <f t="shared" si="5"/>
        <v>125</v>
      </c>
      <c r="B128" s="4"/>
      <c r="C128" s="13"/>
      <c r="D128" s="13"/>
      <c r="E128" s="15">
        <f t="shared" si="9"/>
        <v>0</v>
      </c>
      <c r="F128" s="16"/>
      <c r="G128" s="15"/>
      <c r="H128" s="15">
        <f t="shared" si="12"/>
        <v>0</v>
      </c>
      <c r="I128" s="16"/>
      <c r="J128" s="1"/>
      <c r="K128" s="1"/>
      <c r="L128" s="1"/>
      <c r="M128" s="1"/>
    </row>
    <row r="129" spans="1:13" hidden="1">
      <c r="A129" s="10">
        <f t="shared" si="5"/>
        <v>126</v>
      </c>
      <c r="B129" s="4"/>
      <c r="C129" s="13"/>
      <c r="D129" s="13"/>
      <c r="E129" s="15">
        <f t="shared" si="9"/>
        <v>0</v>
      </c>
      <c r="F129" s="16"/>
      <c r="G129" s="15"/>
      <c r="H129" s="15">
        <f t="shared" si="12"/>
        <v>0</v>
      </c>
      <c r="I129" s="16"/>
      <c r="J129" s="1"/>
      <c r="K129" s="1"/>
      <c r="L129" s="1"/>
      <c r="M129" s="1"/>
    </row>
    <row r="130" spans="1:13" hidden="1">
      <c r="A130" s="10">
        <f t="shared" si="5"/>
        <v>127</v>
      </c>
      <c r="B130" s="4"/>
      <c r="C130" s="13"/>
      <c r="D130" s="13"/>
      <c r="E130" s="15">
        <f t="shared" si="9"/>
        <v>0</v>
      </c>
      <c r="F130" s="16"/>
      <c r="G130" s="15"/>
      <c r="H130" s="15">
        <f t="shared" si="12"/>
        <v>0</v>
      </c>
      <c r="I130" s="16"/>
      <c r="J130" s="1"/>
      <c r="K130" s="1"/>
      <c r="L130" s="1"/>
      <c r="M130" s="1"/>
    </row>
    <row r="131" spans="1:13" hidden="1">
      <c r="A131" s="10">
        <f t="shared" si="5"/>
        <v>128</v>
      </c>
      <c r="B131" s="4"/>
      <c r="C131" s="13"/>
      <c r="D131" s="13"/>
      <c r="E131" s="15">
        <f t="shared" si="9"/>
        <v>0</v>
      </c>
      <c r="F131" s="16"/>
      <c r="G131" s="15"/>
      <c r="H131" s="15">
        <f t="shared" si="12"/>
        <v>0</v>
      </c>
      <c r="I131" s="16"/>
      <c r="J131" s="1"/>
      <c r="K131" s="1"/>
      <c r="L131" s="1"/>
      <c r="M131" s="1"/>
    </row>
    <row r="132" spans="1:13" hidden="1">
      <c r="A132" s="10">
        <f t="shared" si="5"/>
        <v>129</v>
      </c>
      <c r="B132" s="4"/>
      <c r="C132" s="13"/>
      <c r="D132" s="13"/>
      <c r="E132" s="15">
        <f t="shared" si="9"/>
        <v>0</v>
      </c>
      <c r="F132" s="16"/>
      <c r="G132" s="15"/>
      <c r="H132" s="15">
        <f t="shared" si="12"/>
        <v>0</v>
      </c>
      <c r="I132" s="16"/>
      <c r="J132" s="1"/>
      <c r="K132" s="1"/>
      <c r="L132" s="1"/>
      <c r="M132" s="1"/>
    </row>
    <row r="133" spans="1:13" hidden="1">
      <c r="A133" s="10">
        <f t="shared" si="5"/>
        <v>130</v>
      </c>
      <c r="B133" s="4"/>
      <c r="C133" s="13"/>
      <c r="D133" s="13"/>
      <c r="E133" s="15">
        <f t="shared" si="9"/>
        <v>0</v>
      </c>
      <c r="F133" s="16"/>
      <c r="G133" s="15"/>
      <c r="H133" s="15">
        <f t="shared" si="12"/>
        <v>0</v>
      </c>
      <c r="I133" s="16"/>
      <c r="J133" s="1"/>
      <c r="K133" s="1"/>
      <c r="L133" s="1"/>
      <c r="M133" s="1"/>
    </row>
    <row r="134" spans="1:13" hidden="1">
      <c r="A134" s="10">
        <f t="shared" ref="A134:A197" si="14">1+A133</f>
        <v>131</v>
      </c>
      <c r="B134" s="4"/>
      <c r="C134" s="13"/>
      <c r="D134" s="13"/>
      <c r="E134" s="15">
        <f t="shared" si="9"/>
        <v>0</v>
      </c>
      <c r="F134" s="16"/>
      <c r="G134" s="15"/>
      <c r="H134" s="15">
        <f t="shared" si="12"/>
        <v>0</v>
      </c>
      <c r="I134" s="16"/>
      <c r="J134" s="1"/>
      <c r="K134" s="1"/>
      <c r="L134" s="1"/>
      <c r="M134" s="1"/>
    </row>
    <row r="135" spans="1:13" hidden="1">
      <c r="A135" s="10">
        <f t="shared" si="14"/>
        <v>132</v>
      </c>
      <c r="B135" s="4"/>
      <c r="C135" s="13"/>
      <c r="D135" s="13"/>
      <c r="E135" s="15">
        <f t="shared" si="9"/>
        <v>0</v>
      </c>
      <c r="F135" s="16"/>
      <c r="G135" s="15"/>
      <c r="H135" s="15">
        <f t="shared" si="12"/>
        <v>0</v>
      </c>
      <c r="I135" s="16"/>
      <c r="J135" s="1"/>
      <c r="K135" s="1"/>
      <c r="L135" s="1"/>
      <c r="M135" s="1"/>
    </row>
    <row r="136" spans="1:13" hidden="1">
      <c r="A136" s="10">
        <f t="shared" si="14"/>
        <v>133</v>
      </c>
      <c r="B136" s="4"/>
      <c r="C136" s="13"/>
      <c r="D136" s="13"/>
      <c r="E136" s="15">
        <f t="shared" si="9"/>
        <v>0</v>
      </c>
      <c r="F136" s="16"/>
      <c r="G136" s="15"/>
      <c r="H136" s="15">
        <f t="shared" si="12"/>
        <v>0</v>
      </c>
      <c r="I136" s="16"/>
      <c r="J136" s="1"/>
      <c r="K136" s="1"/>
      <c r="L136" s="1"/>
      <c r="M136" s="1"/>
    </row>
    <row r="137" spans="1:13" hidden="1">
      <c r="A137" s="10">
        <f t="shared" si="14"/>
        <v>134</v>
      </c>
      <c r="B137" s="4"/>
      <c r="C137" s="13"/>
      <c r="D137" s="13"/>
      <c r="E137" s="15">
        <f t="shared" si="9"/>
        <v>0</v>
      </c>
      <c r="F137" s="16"/>
      <c r="G137" s="15"/>
      <c r="H137" s="15">
        <f t="shared" si="12"/>
        <v>0</v>
      </c>
      <c r="I137" s="16"/>
      <c r="J137" s="1"/>
      <c r="K137" s="1"/>
      <c r="L137" s="1"/>
      <c r="M137" s="1"/>
    </row>
    <row r="138" spans="1:13" hidden="1">
      <c r="A138" s="10">
        <f t="shared" si="14"/>
        <v>135</v>
      </c>
      <c r="B138" s="4"/>
      <c r="C138" s="13"/>
      <c r="D138" s="13"/>
      <c r="E138" s="15">
        <f t="shared" si="9"/>
        <v>0</v>
      </c>
      <c r="F138" s="16"/>
      <c r="G138" s="15"/>
      <c r="H138" s="15">
        <f t="shared" si="12"/>
        <v>0</v>
      </c>
      <c r="I138" s="16"/>
      <c r="J138" s="1"/>
      <c r="K138" s="1"/>
      <c r="L138" s="1"/>
      <c r="M138" s="1"/>
    </row>
    <row r="139" spans="1:13" hidden="1">
      <c r="A139" s="10">
        <f t="shared" si="14"/>
        <v>136</v>
      </c>
      <c r="B139" s="4"/>
      <c r="C139" s="13"/>
      <c r="D139" s="13"/>
      <c r="E139" s="15">
        <f t="shared" si="9"/>
        <v>0</v>
      </c>
      <c r="F139" s="16"/>
      <c r="G139" s="15"/>
      <c r="H139" s="15">
        <f t="shared" si="12"/>
        <v>0</v>
      </c>
      <c r="I139" s="16"/>
      <c r="J139" s="1"/>
      <c r="K139" s="1"/>
      <c r="L139" s="1"/>
      <c r="M139" s="1"/>
    </row>
    <row r="140" spans="1:13" hidden="1">
      <c r="A140" s="10">
        <f t="shared" si="14"/>
        <v>137</v>
      </c>
      <c r="B140" s="4"/>
      <c r="C140" s="13"/>
      <c r="D140" s="13"/>
      <c r="E140" s="15">
        <f t="shared" si="9"/>
        <v>0</v>
      </c>
      <c r="F140" s="16"/>
      <c r="G140" s="15"/>
      <c r="H140" s="15">
        <f t="shared" si="12"/>
        <v>0</v>
      </c>
      <c r="I140" s="16"/>
      <c r="J140" s="1"/>
      <c r="K140" s="1"/>
      <c r="L140" s="1"/>
      <c r="M140" s="1"/>
    </row>
    <row r="141" spans="1:13" hidden="1">
      <c r="A141" s="10">
        <f t="shared" si="14"/>
        <v>138</v>
      </c>
      <c r="B141" s="4"/>
      <c r="C141" s="13"/>
      <c r="D141" s="13"/>
      <c r="E141" s="15">
        <f t="shared" si="9"/>
        <v>0</v>
      </c>
      <c r="F141" s="16"/>
      <c r="G141" s="15"/>
      <c r="H141" s="15">
        <f t="shared" si="12"/>
        <v>0</v>
      </c>
      <c r="I141" s="16"/>
      <c r="J141" s="1"/>
      <c r="K141" s="1"/>
      <c r="L141" s="1"/>
      <c r="M141" s="1"/>
    </row>
    <row r="142" spans="1:13" hidden="1">
      <c r="A142" s="10">
        <f t="shared" si="14"/>
        <v>139</v>
      </c>
      <c r="B142" s="4"/>
      <c r="C142" s="13"/>
      <c r="D142" s="13"/>
      <c r="E142" s="15">
        <f>C142-D142</f>
        <v>0</v>
      </c>
      <c r="F142" s="16"/>
      <c r="G142" s="15"/>
      <c r="H142" s="15">
        <f>G142-D142</f>
        <v>0</v>
      </c>
      <c r="I142" s="16"/>
      <c r="J142" s="1"/>
      <c r="K142" s="1"/>
      <c r="L142" s="1"/>
      <c r="M142" s="1"/>
    </row>
    <row r="143" spans="1:13" hidden="1">
      <c r="A143" s="10">
        <f t="shared" si="14"/>
        <v>140</v>
      </c>
      <c r="B143" s="4"/>
      <c r="C143" s="13"/>
      <c r="D143" s="13"/>
      <c r="E143" s="15">
        <f t="shared" ref="E143:E170" si="15">C143-D143</f>
        <v>0</v>
      </c>
      <c r="F143" s="16"/>
      <c r="G143" s="15"/>
      <c r="H143" s="15">
        <f t="shared" ref="H143:H170" si="16">G143-D143</f>
        <v>0</v>
      </c>
      <c r="I143" s="16"/>
      <c r="J143" s="1"/>
      <c r="K143" s="1"/>
      <c r="L143" s="1"/>
      <c r="M143" s="1"/>
    </row>
    <row r="144" spans="1:13" hidden="1">
      <c r="A144" s="10">
        <f t="shared" si="14"/>
        <v>141</v>
      </c>
      <c r="B144" s="4"/>
      <c r="C144" s="13"/>
      <c r="D144" s="13"/>
      <c r="E144" s="15">
        <f t="shared" si="15"/>
        <v>0</v>
      </c>
      <c r="F144" s="16"/>
      <c r="G144" s="15"/>
      <c r="H144" s="15">
        <f t="shared" si="16"/>
        <v>0</v>
      </c>
      <c r="I144" s="16"/>
      <c r="J144" s="1"/>
      <c r="K144" s="1"/>
      <c r="L144" s="1"/>
      <c r="M144" s="1"/>
    </row>
    <row r="145" spans="1:13" hidden="1">
      <c r="A145" s="10">
        <f t="shared" si="14"/>
        <v>142</v>
      </c>
      <c r="B145" s="4"/>
      <c r="C145" s="13"/>
      <c r="D145" s="13"/>
      <c r="E145" s="15">
        <f t="shared" si="15"/>
        <v>0</v>
      </c>
      <c r="F145" s="16"/>
      <c r="G145" s="15"/>
      <c r="H145" s="15">
        <f t="shared" si="16"/>
        <v>0</v>
      </c>
      <c r="I145" s="16"/>
      <c r="J145" s="1"/>
      <c r="K145" s="1"/>
      <c r="L145" s="1"/>
      <c r="M145" s="1"/>
    </row>
    <row r="146" spans="1:13" hidden="1">
      <c r="A146" s="10">
        <f t="shared" si="14"/>
        <v>143</v>
      </c>
      <c r="B146" s="4"/>
      <c r="C146" s="13"/>
      <c r="D146" s="13"/>
      <c r="E146" s="15">
        <f t="shared" si="15"/>
        <v>0</v>
      </c>
      <c r="F146" s="16"/>
      <c r="G146" s="15"/>
      <c r="H146" s="15">
        <f t="shared" si="16"/>
        <v>0</v>
      </c>
      <c r="I146" s="16"/>
      <c r="J146" s="1"/>
      <c r="K146" s="1"/>
      <c r="L146" s="1"/>
      <c r="M146" s="1"/>
    </row>
    <row r="147" spans="1:13" hidden="1">
      <c r="A147" s="10">
        <f t="shared" si="14"/>
        <v>144</v>
      </c>
      <c r="B147" s="4"/>
      <c r="C147" s="13"/>
      <c r="D147" s="13"/>
      <c r="E147" s="15">
        <f t="shared" si="15"/>
        <v>0</v>
      </c>
      <c r="F147" s="16"/>
      <c r="G147" s="15"/>
      <c r="H147" s="15">
        <f t="shared" si="16"/>
        <v>0</v>
      </c>
      <c r="I147" s="16"/>
      <c r="J147" s="1"/>
      <c r="K147" s="1"/>
      <c r="L147" s="1"/>
      <c r="M147" s="1"/>
    </row>
    <row r="148" spans="1:13" hidden="1">
      <c r="A148" s="10">
        <f t="shared" si="14"/>
        <v>145</v>
      </c>
      <c r="B148" s="4"/>
      <c r="C148" s="13"/>
      <c r="D148" s="13"/>
      <c r="E148" s="15">
        <f t="shared" si="15"/>
        <v>0</v>
      </c>
      <c r="F148" s="16"/>
      <c r="G148" s="15"/>
      <c r="H148" s="15">
        <f t="shared" si="16"/>
        <v>0</v>
      </c>
      <c r="I148" s="16"/>
      <c r="J148" s="1"/>
      <c r="K148" s="1"/>
      <c r="L148" s="1"/>
      <c r="M148" s="1"/>
    </row>
    <row r="149" spans="1:13" hidden="1">
      <c r="A149" s="10">
        <f t="shared" si="14"/>
        <v>146</v>
      </c>
      <c r="B149" s="4"/>
      <c r="C149" s="13"/>
      <c r="D149" s="13"/>
      <c r="E149" s="15">
        <f t="shared" si="15"/>
        <v>0</v>
      </c>
      <c r="F149" s="16"/>
      <c r="G149" s="15"/>
      <c r="H149" s="15">
        <f t="shared" si="16"/>
        <v>0</v>
      </c>
      <c r="I149" s="16"/>
      <c r="J149" s="1"/>
      <c r="K149" s="1"/>
      <c r="L149" s="1"/>
      <c r="M149" s="1"/>
    </row>
    <row r="150" spans="1:13" hidden="1">
      <c r="A150" s="10">
        <f t="shared" si="14"/>
        <v>147</v>
      </c>
      <c r="B150" s="4"/>
      <c r="C150" s="13"/>
      <c r="D150" s="13"/>
      <c r="E150" s="15">
        <f t="shared" si="15"/>
        <v>0</v>
      </c>
      <c r="F150" s="16"/>
      <c r="G150" s="15">
        <f t="shared" ref="G150:G164" si="17">C150-D150</f>
        <v>0</v>
      </c>
      <c r="H150" s="15">
        <f t="shared" si="16"/>
        <v>0</v>
      </c>
      <c r="I150" s="16"/>
      <c r="J150" s="1"/>
      <c r="K150" s="1"/>
      <c r="L150" s="1"/>
      <c r="M150" s="1"/>
    </row>
    <row r="151" spans="1:13" hidden="1">
      <c r="A151" s="10">
        <f t="shared" si="14"/>
        <v>148</v>
      </c>
      <c r="B151" s="4"/>
      <c r="C151" s="13"/>
      <c r="D151" s="13"/>
      <c r="E151" s="15">
        <f t="shared" si="15"/>
        <v>0</v>
      </c>
      <c r="F151" s="16"/>
      <c r="G151" s="15">
        <f t="shared" si="17"/>
        <v>0</v>
      </c>
      <c r="H151" s="15">
        <f t="shared" si="16"/>
        <v>0</v>
      </c>
      <c r="I151" s="16"/>
      <c r="J151" s="1"/>
      <c r="K151" s="1"/>
      <c r="L151" s="1"/>
      <c r="M151" s="1"/>
    </row>
    <row r="152" spans="1:13" hidden="1">
      <c r="A152" s="10">
        <f t="shared" si="14"/>
        <v>149</v>
      </c>
      <c r="B152" s="4"/>
      <c r="C152" s="13"/>
      <c r="D152" s="15"/>
      <c r="E152" s="15">
        <f t="shared" si="15"/>
        <v>0</v>
      </c>
      <c r="F152" s="16"/>
      <c r="G152" s="15">
        <f t="shared" si="17"/>
        <v>0</v>
      </c>
      <c r="H152" s="15">
        <f t="shared" si="16"/>
        <v>0</v>
      </c>
      <c r="I152" s="16"/>
      <c r="J152" s="1"/>
      <c r="K152" s="1"/>
      <c r="L152" s="1"/>
      <c r="M152" s="1"/>
    </row>
    <row r="153" spans="1:13" hidden="1">
      <c r="A153" s="10">
        <f t="shared" si="14"/>
        <v>150</v>
      </c>
      <c r="B153" s="4"/>
      <c r="C153" s="13"/>
      <c r="D153" s="15"/>
      <c r="E153" s="15">
        <f t="shared" si="15"/>
        <v>0</v>
      </c>
      <c r="F153" s="16"/>
      <c r="G153" s="15">
        <f t="shared" si="17"/>
        <v>0</v>
      </c>
      <c r="H153" s="15">
        <f t="shared" si="16"/>
        <v>0</v>
      </c>
      <c r="I153" s="16"/>
      <c r="J153" s="1"/>
      <c r="K153" s="1"/>
      <c r="L153" s="1"/>
      <c r="M153" s="1"/>
    </row>
    <row r="154" spans="1:13" hidden="1">
      <c r="A154" s="10">
        <f t="shared" si="14"/>
        <v>151</v>
      </c>
      <c r="B154" s="4"/>
      <c r="C154" s="13"/>
      <c r="D154" s="15"/>
      <c r="E154" s="15">
        <f t="shared" si="15"/>
        <v>0</v>
      </c>
      <c r="F154" s="16"/>
      <c r="G154" s="15">
        <f t="shared" si="17"/>
        <v>0</v>
      </c>
      <c r="H154" s="15">
        <f t="shared" si="16"/>
        <v>0</v>
      </c>
      <c r="I154" s="16"/>
      <c r="J154" s="1"/>
      <c r="K154" s="1"/>
      <c r="L154" s="1"/>
      <c r="M154" s="1"/>
    </row>
    <row r="155" spans="1:13" hidden="1">
      <c r="A155" s="10">
        <f t="shared" si="14"/>
        <v>152</v>
      </c>
      <c r="B155" s="4"/>
      <c r="C155" s="13"/>
      <c r="D155" s="15"/>
      <c r="E155" s="15">
        <f t="shared" si="15"/>
        <v>0</v>
      </c>
      <c r="F155" s="16"/>
      <c r="G155" s="15">
        <f t="shared" si="17"/>
        <v>0</v>
      </c>
      <c r="H155" s="15">
        <f t="shared" si="16"/>
        <v>0</v>
      </c>
      <c r="I155" s="16"/>
      <c r="J155" s="1"/>
      <c r="K155" s="1"/>
      <c r="L155" s="1"/>
      <c r="M155" s="1"/>
    </row>
    <row r="156" spans="1:13" hidden="1">
      <c r="A156" s="10">
        <f t="shared" si="14"/>
        <v>153</v>
      </c>
      <c r="B156" s="4"/>
      <c r="C156" s="13"/>
      <c r="D156" s="13"/>
      <c r="E156" s="15">
        <f t="shared" si="15"/>
        <v>0</v>
      </c>
      <c r="F156" s="16"/>
      <c r="G156" s="15">
        <f t="shared" si="17"/>
        <v>0</v>
      </c>
      <c r="H156" s="15">
        <f t="shared" si="16"/>
        <v>0</v>
      </c>
      <c r="I156" s="16"/>
      <c r="J156" s="1"/>
      <c r="K156" s="1"/>
      <c r="L156" s="1"/>
      <c r="M156" s="1"/>
    </row>
    <row r="157" spans="1:13" hidden="1">
      <c r="A157" s="10">
        <f t="shared" si="14"/>
        <v>154</v>
      </c>
      <c r="B157" s="4"/>
      <c r="C157" s="13"/>
      <c r="D157" s="15"/>
      <c r="E157" s="15">
        <f t="shared" si="15"/>
        <v>0</v>
      </c>
      <c r="F157" s="16"/>
      <c r="G157" s="15">
        <f t="shared" si="17"/>
        <v>0</v>
      </c>
      <c r="H157" s="15">
        <f t="shared" si="16"/>
        <v>0</v>
      </c>
      <c r="I157" s="16"/>
      <c r="J157" s="1"/>
      <c r="K157" s="1"/>
      <c r="L157" s="1"/>
      <c r="M157" s="1"/>
    </row>
    <row r="158" spans="1:13" hidden="1">
      <c r="A158" s="10">
        <f t="shared" si="14"/>
        <v>155</v>
      </c>
      <c r="B158" s="4"/>
      <c r="C158" s="13"/>
      <c r="D158" s="15"/>
      <c r="E158" s="15">
        <f t="shared" si="15"/>
        <v>0</v>
      </c>
      <c r="F158" s="16"/>
      <c r="G158" s="15">
        <f t="shared" si="17"/>
        <v>0</v>
      </c>
      <c r="H158" s="15">
        <f t="shared" si="16"/>
        <v>0</v>
      </c>
      <c r="I158" s="16"/>
      <c r="J158" s="1"/>
      <c r="K158" s="1"/>
      <c r="L158" s="1"/>
      <c r="M158" s="1"/>
    </row>
    <row r="159" spans="1:13" hidden="1">
      <c r="A159" s="10">
        <f t="shared" si="14"/>
        <v>156</v>
      </c>
      <c r="B159" s="4"/>
      <c r="C159" s="13"/>
      <c r="D159" s="15"/>
      <c r="E159" s="15">
        <f t="shared" si="15"/>
        <v>0</v>
      </c>
      <c r="F159" s="16"/>
      <c r="G159" s="15">
        <f t="shared" si="17"/>
        <v>0</v>
      </c>
      <c r="H159" s="15">
        <f t="shared" si="16"/>
        <v>0</v>
      </c>
      <c r="I159" s="16"/>
      <c r="J159" s="1"/>
      <c r="K159" s="1"/>
      <c r="L159" s="1"/>
      <c r="M159" s="1"/>
    </row>
    <row r="160" spans="1:13" hidden="1">
      <c r="A160" s="10">
        <f t="shared" si="14"/>
        <v>157</v>
      </c>
      <c r="B160" s="4"/>
      <c r="C160" s="13"/>
      <c r="D160" s="15"/>
      <c r="E160" s="15">
        <f t="shared" si="15"/>
        <v>0</v>
      </c>
      <c r="F160" s="16"/>
      <c r="G160" s="15">
        <f t="shared" si="17"/>
        <v>0</v>
      </c>
      <c r="H160" s="15">
        <f t="shared" si="16"/>
        <v>0</v>
      </c>
      <c r="I160" s="16"/>
      <c r="J160" s="1"/>
      <c r="K160" s="1"/>
      <c r="L160" s="1"/>
      <c r="M160" s="1"/>
    </row>
    <row r="161" spans="1:13" hidden="1">
      <c r="A161" s="10">
        <f t="shared" si="14"/>
        <v>158</v>
      </c>
      <c r="B161" s="4"/>
      <c r="C161" s="13"/>
      <c r="D161" s="15"/>
      <c r="E161" s="15">
        <f t="shared" si="15"/>
        <v>0</v>
      </c>
      <c r="F161" s="16"/>
      <c r="G161" s="15">
        <f t="shared" si="17"/>
        <v>0</v>
      </c>
      <c r="H161" s="15">
        <f t="shared" si="16"/>
        <v>0</v>
      </c>
      <c r="I161" s="16"/>
      <c r="J161" s="1"/>
      <c r="K161" s="1"/>
      <c r="L161" s="1"/>
      <c r="M161" s="1"/>
    </row>
    <row r="162" spans="1:13" hidden="1">
      <c r="A162" s="10">
        <f t="shared" si="14"/>
        <v>159</v>
      </c>
      <c r="B162" s="4"/>
      <c r="C162" s="13"/>
      <c r="D162" s="15"/>
      <c r="E162" s="15">
        <f t="shared" si="15"/>
        <v>0</v>
      </c>
      <c r="F162" s="16"/>
      <c r="G162" s="15">
        <f t="shared" si="17"/>
        <v>0</v>
      </c>
      <c r="H162" s="15">
        <f t="shared" si="16"/>
        <v>0</v>
      </c>
      <c r="I162" s="16"/>
      <c r="J162" s="1"/>
      <c r="K162" s="1"/>
      <c r="L162" s="1"/>
      <c r="M162" s="1"/>
    </row>
    <row r="163" spans="1:13" hidden="1">
      <c r="A163" s="10">
        <f t="shared" si="14"/>
        <v>160</v>
      </c>
      <c r="B163" s="4"/>
      <c r="C163" s="13"/>
      <c r="D163" s="15"/>
      <c r="E163" s="15">
        <f t="shared" si="15"/>
        <v>0</v>
      </c>
      <c r="F163" s="16"/>
      <c r="G163" s="15">
        <f t="shared" si="17"/>
        <v>0</v>
      </c>
      <c r="H163" s="15">
        <f t="shared" si="16"/>
        <v>0</v>
      </c>
      <c r="I163" s="16"/>
      <c r="J163" s="1"/>
      <c r="K163" s="1"/>
      <c r="L163" s="1"/>
      <c r="M163" s="1"/>
    </row>
    <row r="164" spans="1:13" hidden="1">
      <c r="A164" s="10">
        <f t="shared" si="14"/>
        <v>161</v>
      </c>
      <c r="B164" s="4"/>
      <c r="C164" s="13"/>
      <c r="D164" s="15"/>
      <c r="E164" s="15">
        <f t="shared" si="15"/>
        <v>0</v>
      </c>
      <c r="F164" s="16"/>
      <c r="G164" s="15">
        <f t="shared" si="17"/>
        <v>0</v>
      </c>
      <c r="H164" s="15">
        <f t="shared" si="16"/>
        <v>0</v>
      </c>
      <c r="I164" s="16"/>
      <c r="J164" s="1"/>
      <c r="K164" s="1"/>
      <c r="L164" s="1"/>
      <c r="M164" s="1"/>
    </row>
    <row r="165" spans="1:13" hidden="1">
      <c r="A165" s="10">
        <f t="shared" si="14"/>
        <v>162</v>
      </c>
      <c r="B165" s="4"/>
      <c r="C165" s="13"/>
      <c r="D165" s="15"/>
      <c r="E165" s="15">
        <f t="shared" si="15"/>
        <v>0</v>
      </c>
      <c r="F165" s="16"/>
      <c r="G165" s="15"/>
      <c r="H165" s="15">
        <f t="shared" si="16"/>
        <v>0</v>
      </c>
      <c r="I165" s="16"/>
      <c r="J165" s="1"/>
      <c r="K165" s="1"/>
      <c r="L165" s="1"/>
      <c r="M165" s="1"/>
    </row>
    <row r="166" spans="1:13" hidden="1">
      <c r="A166" s="10">
        <f t="shared" si="14"/>
        <v>163</v>
      </c>
      <c r="B166" s="4"/>
      <c r="C166" s="13"/>
      <c r="D166" s="15"/>
      <c r="E166" s="15">
        <f t="shared" si="15"/>
        <v>0</v>
      </c>
      <c r="F166" s="16"/>
      <c r="G166" s="15"/>
      <c r="H166" s="15">
        <f t="shared" si="16"/>
        <v>0</v>
      </c>
      <c r="I166" s="16"/>
      <c r="J166" s="1"/>
      <c r="K166" s="1"/>
      <c r="L166" s="1"/>
      <c r="M166" s="1"/>
    </row>
    <row r="167" spans="1:13" hidden="1">
      <c r="A167" s="10">
        <f t="shared" si="14"/>
        <v>164</v>
      </c>
      <c r="B167" s="4"/>
      <c r="C167" s="13"/>
      <c r="D167" s="15"/>
      <c r="E167" s="15">
        <f t="shared" si="15"/>
        <v>0</v>
      </c>
      <c r="F167" s="16"/>
      <c r="G167" s="15"/>
      <c r="H167" s="15">
        <f t="shared" si="16"/>
        <v>0</v>
      </c>
      <c r="I167" s="16"/>
      <c r="J167" s="1"/>
      <c r="K167" s="1"/>
      <c r="L167" s="1"/>
      <c r="M167" s="1"/>
    </row>
    <row r="168" spans="1:13" hidden="1">
      <c r="A168" s="10">
        <f t="shared" si="14"/>
        <v>165</v>
      </c>
      <c r="B168" s="4"/>
      <c r="C168" s="13"/>
      <c r="D168" s="15"/>
      <c r="E168" s="15">
        <f t="shared" si="15"/>
        <v>0</v>
      </c>
      <c r="F168" s="16"/>
      <c r="G168" s="15"/>
      <c r="H168" s="15">
        <f t="shared" si="16"/>
        <v>0</v>
      </c>
      <c r="I168" s="16"/>
      <c r="J168" s="1"/>
      <c r="K168" s="1"/>
      <c r="L168" s="1"/>
      <c r="M168" s="1"/>
    </row>
    <row r="169" spans="1:13" hidden="1">
      <c r="A169" s="10">
        <f t="shared" si="14"/>
        <v>166</v>
      </c>
      <c r="B169" s="4"/>
      <c r="C169" s="13"/>
      <c r="D169" s="15"/>
      <c r="E169" s="15">
        <f t="shared" si="15"/>
        <v>0</v>
      </c>
      <c r="F169" s="16"/>
      <c r="G169" s="15"/>
      <c r="H169" s="15">
        <f t="shared" si="16"/>
        <v>0</v>
      </c>
      <c r="I169" s="16"/>
      <c r="J169" s="1"/>
      <c r="K169" s="1"/>
      <c r="L169" s="1"/>
      <c r="M169" s="1"/>
    </row>
    <row r="170" spans="1:13" hidden="1">
      <c r="A170" s="10">
        <f t="shared" si="14"/>
        <v>167</v>
      </c>
      <c r="B170" s="4"/>
      <c r="C170" s="13"/>
      <c r="D170" s="15"/>
      <c r="E170" s="15">
        <f t="shared" si="15"/>
        <v>0</v>
      </c>
      <c r="F170" s="16"/>
      <c r="G170" s="15"/>
      <c r="H170" s="15">
        <f t="shared" si="16"/>
        <v>0</v>
      </c>
      <c r="I170" s="16"/>
      <c r="J170" s="1"/>
      <c r="K170" s="1"/>
      <c r="L170" s="1"/>
      <c r="M170" s="1"/>
    </row>
    <row r="171" spans="1:13" hidden="1">
      <c r="A171" s="10">
        <f t="shared" si="14"/>
        <v>168</v>
      </c>
      <c r="B171" s="4"/>
      <c r="C171" s="13"/>
      <c r="D171" s="15"/>
      <c r="E171" s="15">
        <f>C171-D171</f>
        <v>0</v>
      </c>
      <c r="F171" s="16"/>
      <c r="G171" s="15"/>
      <c r="H171" s="15">
        <f>G171-D171</f>
        <v>0</v>
      </c>
      <c r="I171" s="16"/>
      <c r="J171" s="1"/>
      <c r="K171" s="1"/>
      <c r="L171" s="1"/>
      <c r="M171" s="1"/>
    </row>
    <row r="172" spans="1:13" hidden="1">
      <c r="A172" s="10">
        <f t="shared" si="14"/>
        <v>169</v>
      </c>
      <c r="B172" s="4"/>
      <c r="C172" s="13"/>
      <c r="D172" s="15"/>
      <c r="E172" s="15">
        <f t="shared" ref="E172:E178" si="18">C172-D172</f>
        <v>0</v>
      </c>
      <c r="F172" s="16"/>
      <c r="G172" s="15"/>
      <c r="H172" s="15">
        <f t="shared" ref="H172:H178" si="19">G172-D172</f>
        <v>0</v>
      </c>
      <c r="I172" s="16"/>
      <c r="J172" s="1"/>
      <c r="K172" s="1"/>
      <c r="L172" s="1"/>
      <c r="M172" s="1"/>
    </row>
    <row r="173" spans="1:13" hidden="1">
      <c r="A173" s="10">
        <f t="shared" si="14"/>
        <v>170</v>
      </c>
      <c r="B173" s="4"/>
      <c r="C173" s="13"/>
      <c r="D173" s="15"/>
      <c r="E173" s="15">
        <f t="shared" si="18"/>
        <v>0</v>
      </c>
      <c r="F173" s="16"/>
      <c r="G173" s="15"/>
      <c r="H173" s="15">
        <f t="shared" si="19"/>
        <v>0</v>
      </c>
      <c r="I173" s="16"/>
      <c r="J173" s="1"/>
      <c r="K173" s="1"/>
      <c r="L173" s="1"/>
      <c r="M173" s="1"/>
    </row>
    <row r="174" spans="1:13" hidden="1">
      <c r="A174" s="10">
        <f t="shared" si="14"/>
        <v>171</v>
      </c>
      <c r="B174" s="4"/>
      <c r="C174" s="13"/>
      <c r="D174" s="15"/>
      <c r="E174" s="15">
        <f t="shared" si="18"/>
        <v>0</v>
      </c>
      <c r="F174" s="16"/>
      <c r="G174" s="15"/>
      <c r="H174" s="15">
        <f t="shared" si="19"/>
        <v>0</v>
      </c>
      <c r="I174" s="16"/>
      <c r="J174" s="1"/>
      <c r="K174" s="1"/>
      <c r="L174" s="1"/>
      <c r="M174" s="1"/>
    </row>
    <row r="175" spans="1:13" hidden="1">
      <c r="A175" s="10">
        <f t="shared" si="14"/>
        <v>172</v>
      </c>
      <c r="B175" s="4"/>
      <c r="C175" s="13"/>
      <c r="D175" s="13"/>
      <c r="E175" s="15">
        <f t="shared" si="18"/>
        <v>0</v>
      </c>
      <c r="F175" s="16"/>
      <c r="G175" s="15"/>
      <c r="H175" s="15">
        <f t="shared" si="19"/>
        <v>0</v>
      </c>
      <c r="I175" s="16"/>
      <c r="J175" s="1"/>
      <c r="K175" s="1"/>
      <c r="L175" s="1"/>
      <c r="M175" s="1"/>
    </row>
    <row r="176" spans="1:13" hidden="1">
      <c r="A176" s="10">
        <f t="shared" si="14"/>
        <v>173</v>
      </c>
      <c r="B176" s="4"/>
      <c r="C176" s="13"/>
      <c r="D176" s="13"/>
      <c r="E176" s="15">
        <f t="shared" si="18"/>
        <v>0</v>
      </c>
      <c r="F176" s="16"/>
      <c r="G176" s="15"/>
      <c r="H176" s="15">
        <f t="shared" si="19"/>
        <v>0</v>
      </c>
      <c r="I176" s="16"/>
      <c r="J176" s="1"/>
      <c r="K176" s="1"/>
      <c r="L176" s="1"/>
      <c r="M176" s="1"/>
    </row>
    <row r="177" spans="1:13" hidden="1">
      <c r="A177" s="10">
        <f t="shared" si="14"/>
        <v>174</v>
      </c>
      <c r="B177" s="4"/>
      <c r="C177" s="13"/>
      <c r="D177" s="15"/>
      <c r="E177" s="15">
        <f t="shared" si="18"/>
        <v>0</v>
      </c>
      <c r="F177" s="16"/>
      <c r="G177" s="15"/>
      <c r="H177" s="15">
        <f t="shared" si="19"/>
        <v>0</v>
      </c>
      <c r="I177" s="16"/>
      <c r="J177" s="1"/>
      <c r="K177" s="1"/>
      <c r="L177" s="1"/>
      <c r="M177" s="1"/>
    </row>
    <row r="178" spans="1:13" hidden="1">
      <c r="A178" s="10">
        <f t="shared" si="14"/>
        <v>175</v>
      </c>
      <c r="B178" s="4"/>
      <c r="C178" s="13"/>
      <c r="D178" s="15"/>
      <c r="E178" s="15">
        <f t="shared" si="18"/>
        <v>0</v>
      </c>
      <c r="F178" s="16"/>
      <c r="G178" s="15"/>
      <c r="H178" s="15">
        <f t="shared" si="19"/>
        <v>0</v>
      </c>
      <c r="I178" s="16"/>
      <c r="J178" s="1"/>
      <c r="K178" s="1"/>
      <c r="L178" s="1"/>
      <c r="M178" s="1"/>
    </row>
    <row r="179" spans="1:13" hidden="1">
      <c r="A179" s="10">
        <f t="shared" si="14"/>
        <v>176</v>
      </c>
      <c r="B179" s="4"/>
      <c r="C179" s="13"/>
      <c r="D179" s="13"/>
      <c r="E179" s="15">
        <f>C179-D179</f>
        <v>0</v>
      </c>
      <c r="F179" s="16"/>
      <c r="G179" s="15"/>
      <c r="H179" s="15">
        <f>E179-G179</f>
        <v>0</v>
      </c>
      <c r="I179" s="16"/>
      <c r="J179" s="1"/>
      <c r="K179" s="1"/>
      <c r="L179" s="1"/>
      <c r="M179" s="1"/>
    </row>
    <row r="180" spans="1:13" hidden="1">
      <c r="A180" s="10">
        <f t="shared" si="14"/>
        <v>177</v>
      </c>
      <c r="B180" s="4"/>
      <c r="C180" s="13"/>
      <c r="D180" s="13"/>
      <c r="E180" s="15">
        <f>C180-D180</f>
        <v>0</v>
      </c>
      <c r="F180" s="16"/>
      <c r="G180" s="15"/>
      <c r="H180" s="15">
        <f>E180-G180</f>
        <v>0</v>
      </c>
      <c r="I180" s="12"/>
      <c r="J180" s="1"/>
      <c r="K180" s="1"/>
      <c r="L180" s="1"/>
      <c r="M180" s="1"/>
    </row>
    <row r="181" spans="1:13" hidden="1">
      <c r="A181" s="10">
        <f t="shared" si="14"/>
        <v>178</v>
      </c>
      <c r="B181" s="4"/>
      <c r="C181" s="13"/>
      <c r="D181" s="15"/>
      <c r="E181" s="15">
        <f t="shared" ref="E181:E213" si="20">C181-D181</f>
        <v>0</v>
      </c>
      <c r="F181" s="16"/>
      <c r="G181" s="15"/>
      <c r="H181" s="15">
        <f t="shared" ref="H181:H214" si="21">G181-D181</f>
        <v>0</v>
      </c>
      <c r="I181" s="12"/>
      <c r="J181" s="1"/>
      <c r="K181" s="1"/>
      <c r="L181" s="1"/>
      <c r="M181" s="1"/>
    </row>
    <row r="182" spans="1:13" hidden="1">
      <c r="A182" s="10">
        <f t="shared" si="14"/>
        <v>179</v>
      </c>
      <c r="B182" s="4"/>
      <c r="C182" s="13"/>
      <c r="D182" s="13"/>
      <c r="E182" s="15">
        <f t="shared" si="20"/>
        <v>0</v>
      </c>
      <c r="F182" s="16"/>
      <c r="G182" s="15"/>
      <c r="H182" s="15">
        <f t="shared" si="21"/>
        <v>0</v>
      </c>
      <c r="I182" s="16"/>
      <c r="J182" s="1"/>
      <c r="K182" s="1"/>
      <c r="L182" s="1"/>
      <c r="M182" s="1"/>
    </row>
    <row r="183" spans="1:13" hidden="1">
      <c r="A183" s="10">
        <f t="shared" si="14"/>
        <v>180</v>
      </c>
      <c r="B183" s="4"/>
      <c r="C183" s="13"/>
      <c r="D183" s="15"/>
      <c r="E183" s="15">
        <f t="shared" si="20"/>
        <v>0</v>
      </c>
      <c r="F183" s="16"/>
      <c r="G183" s="15"/>
      <c r="H183" s="15">
        <f t="shared" si="21"/>
        <v>0</v>
      </c>
      <c r="I183" s="16"/>
      <c r="J183" s="1"/>
      <c r="K183" s="1"/>
      <c r="L183" s="1"/>
      <c r="M183" s="1"/>
    </row>
    <row r="184" spans="1:13" hidden="1">
      <c r="A184" s="10">
        <f t="shared" si="14"/>
        <v>181</v>
      </c>
      <c r="B184" s="4"/>
      <c r="C184" s="13"/>
      <c r="D184" s="15"/>
      <c r="E184" s="15">
        <f t="shared" si="20"/>
        <v>0</v>
      </c>
      <c r="F184" s="16"/>
      <c r="G184" s="15"/>
      <c r="H184" s="15">
        <f t="shared" si="21"/>
        <v>0</v>
      </c>
      <c r="I184" s="16"/>
      <c r="J184" s="1"/>
      <c r="K184" s="1"/>
      <c r="L184" s="1"/>
      <c r="M184" s="1"/>
    </row>
    <row r="185" spans="1:13" hidden="1">
      <c r="A185" s="10">
        <f t="shared" si="14"/>
        <v>182</v>
      </c>
      <c r="B185" s="4"/>
      <c r="C185" s="13"/>
      <c r="D185" s="15"/>
      <c r="E185" s="15">
        <f t="shared" si="20"/>
        <v>0</v>
      </c>
      <c r="F185" s="16"/>
      <c r="G185" s="15"/>
      <c r="H185" s="15">
        <f t="shared" si="21"/>
        <v>0</v>
      </c>
      <c r="I185" s="16"/>
      <c r="J185" s="1"/>
      <c r="K185" s="1"/>
      <c r="L185" s="1"/>
      <c r="M185" s="1"/>
    </row>
    <row r="186" spans="1:13" hidden="1">
      <c r="A186" s="10">
        <f t="shared" si="14"/>
        <v>183</v>
      </c>
      <c r="B186" s="4"/>
      <c r="C186" s="13"/>
      <c r="D186" s="15"/>
      <c r="E186" s="15">
        <f t="shared" si="20"/>
        <v>0</v>
      </c>
      <c r="F186" s="16"/>
      <c r="G186" s="15"/>
      <c r="H186" s="15">
        <f t="shared" si="21"/>
        <v>0</v>
      </c>
      <c r="I186" s="16"/>
      <c r="J186" s="1"/>
      <c r="K186" s="1"/>
      <c r="L186" s="1"/>
      <c r="M186" s="1"/>
    </row>
    <row r="187" spans="1:13" hidden="1">
      <c r="A187" s="10">
        <f t="shared" si="14"/>
        <v>184</v>
      </c>
      <c r="B187" s="4"/>
      <c r="C187" s="13"/>
      <c r="D187" s="15"/>
      <c r="E187" s="15">
        <f t="shared" si="20"/>
        <v>0</v>
      </c>
      <c r="F187" s="16"/>
      <c r="G187" s="15"/>
      <c r="H187" s="15">
        <f t="shared" si="21"/>
        <v>0</v>
      </c>
      <c r="I187" s="16"/>
      <c r="J187" s="1"/>
      <c r="K187" s="1"/>
      <c r="L187" s="1"/>
      <c r="M187" s="1"/>
    </row>
    <row r="188" spans="1:13" hidden="1">
      <c r="A188" s="10">
        <f t="shared" si="14"/>
        <v>185</v>
      </c>
      <c r="B188" s="4"/>
      <c r="C188" s="13"/>
      <c r="D188" s="13"/>
      <c r="E188" s="15">
        <f t="shared" si="20"/>
        <v>0</v>
      </c>
      <c r="F188" s="16"/>
      <c r="G188" s="15"/>
      <c r="H188" s="15">
        <f t="shared" si="21"/>
        <v>0</v>
      </c>
      <c r="I188" s="16"/>
      <c r="J188" s="1"/>
      <c r="K188" s="1"/>
      <c r="L188" s="1"/>
      <c r="M188" s="1"/>
    </row>
    <row r="189" spans="1:13" hidden="1">
      <c r="A189" s="10">
        <f t="shared" si="14"/>
        <v>186</v>
      </c>
      <c r="B189" s="4"/>
      <c r="C189" s="13"/>
      <c r="D189" s="15"/>
      <c r="E189" s="15">
        <f t="shared" si="20"/>
        <v>0</v>
      </c>
      <c r="F189" s="16"/>
      <c r="G189" s="15"/>
      <c r="H189" s="15">
        <f t="shared" si="21"/>
        <v>0</v>
      </c>
      <c r="I189" s="16"/>
      <c r="J189" s="1"/>
      <c r="K189" s="1"/>
      <c r="L189" s="1"/>
      <c r="M189" s="1"/>
    </row>
    <row r="190" spans="1:13" hidden="1">
      <c r="A190" s="10">
        <f t="shared" si="14"/>
        <v>187</v>
      </c>
      <c r="B190" s="4"/>
      <c r="C190" s="13"/>
      <c r="D190" s="15"/>
      <c r="E190" s="15">
        <f t="shared" si="20"/>
        <v>0</v>
      </c>
      <c r="F190" s="16"/>
      <c r="G190" s="15"/>
      <c r="H190" s="15">
        <f t="shared" si="21"/>
        <v>0</v>
      </c>
      <c r="I190" s="16"/>
      <c r="J190" s="1"/>
      <c r="K190" s="1"/>
      <c r="L190" s="1"/>
      <c r="M190" s="1"/>
    </row>
    <row r="191" spans="1:13" hidden="1">
      <c r="A191" s="10">
        <f t="shared" si="14"/>
        <v>188</v>
      </c>
      <c r="B191" s="4"/>
      <c r="C191" s="13"/>
      <c r="D191" s="15"/>
      <c r="E191" s="15">
        <f t="shared" si="20"/>
        <v>0</v>
      </c>
      <c r="F191" s="16"/>
      <c r="G191" s="15"/>
      <c r="H191" s="15">
        <f t="shared" si="21"/>
        <v>0</v>
      </c>
      <c r="I191" s="16"/>
      <c r="J191" s="1"/>
      <c r="K191" s="1"/>
      <c r="L191" s="1"/>
      <c r="M191" s="1"/>
    </row>
    <row r="192" spans="1:13" hidden="1">
      <c r="A192" s="10">
        <f t="shared" si="14"/>
        <v>189</v>
      </c>
      <c r="B192" s="4"/>
      <c r="C192" s="13"/>
      <c r="D192" s="15"/>
      <c r="E192" s="15">
        <f t="shared" si="20"/>
        <v>0</v>
      </c>
      <c r="F192" s="16"/>
      <c r="G192" s="15"/>
      <c r="H192" s="15">
        <f t="shared" si="21"/>
        <v>0</v>
      </c>
      <c r="I192" s="16"/>
      <c r="J192" s="1"/>
      <c r="K192" s="1"/>
      <c r="L192" s="1"/>
      <c r="M192" s="1"/>
    </row>
    <row r="193" spans="1:13" hidden="1">
      <c r="A193" s="10">
        <f t="shared" si="14"/>
        <v>190</v>
      </c>
      <c r="B193" s="4"/>
      <c r="C193" s="13"/>
      <c r="D193" s="15"/>
      <c r="E193" s="15">
        <f t="shared" si="20"/>
        <v>0</v>
      </c>
      <c r="F193" s="16"/>
      <c r="G193" s="15"/>
      <c r="H193" s="15">
        <f t="shared" si="21"/>
        <v>0</v>
      </c>
      <c r="I193" s="16"/>
      <c r="J193" s="1"/>
      <c r="K193" s="1"/>
      <c r="L193" s="1"/>
      <c r="M193" s="1"/>
    </row>
    <row r="194" spans="1:13" hidden="1">
      <c r="A194" s="10">
        <f t="shared" si="14"/>
        <v>191</v>
      </c>
      <c r="B194" s="4"/>
      <c r="C194" s="13"/>
      <c r="D194" s="13"/>
      <c r="E194" s="15">
        <f t="shared" si="20"/>
        <v>0</v>
      </c>
      <c r="F194" s="16"/>
      <c r="G194" s="15"/>
      <c r="H194" s="15">
        <f t="shared" si="21"/>
        <v>0</v>
      </c>
      <c r="I194" s="16"/>
      <c r="J194" s="1"/>
      <c r="K194" s="1"/>
      <c r="L194" s="1"/>
      <c r="M194" s="1"/>
    </row>
    <row r="195" spans="1:13" hidden="1">
      <c r="A195" s="10">
        <f t="shared" si="14"/>
        <v>192</v>
      </c>
      <c r="B195" s="4"/>
      <c r="C195" s="13"/>
      <c r="D195" s="13"/>
      <c r="E195" s="15">
        <f t="shared" si="20"/>
        <v>0</v>
      </c>
      <c r="F195" s="16"/>
      <c r="G195" s="15"/>
      <c r="H195" s="15">
        <f t="shared" si="21"/>
        <v>0</v>
      </c>
      <c r="I195" s="16"/>
      <c r="J195" s="1"/>
      <c r="K195" s="1"/>
      <c r="L195" s="1"/>
      <c r="M195" s="1"/>
    </row>
    <row r="196" spans="1:13" hidden="1">
      <c r="A196" s="10">
        <f t="shared" si="14"/>
        <v>193</v>
      </c>
      <c r="B196" s="4"/>
      <c r="C196" s="13"/>
      <c r="D196" s="13"/>
      <c r="E196" s="15">
        <f t="shared" si="20"/>
        <v>0</v>
      </c>
      <c r="F196" s="16"/>
      <c r="G196" s="15"/>
      <c r="H196" s="15">
        <f t="shared" si="21"/>
        <v>0</v>
      </c>
      <c r="I196" s="16"/>
      <c r="J196" s="1"/>
      <c r="K196" s="1"/>
      <c r="L196" s="1"/>
      <c r="M196" s="1"/>
    </row>
    <row r="197" spans="1:13" hidden="1">
      <c r="A197" s="10">
        <f t="shared" si="14"/>
        <v>194</v>
      </c>
      <c r="B197" s="4"/>
      <c r="C197" s="13"/>
      <c r="D197" s="13"/>
      <c r="E197" s="15">
        <f t="shared" si="20"/>
        <v>0</v>
      </c>
      <c r="F197" s="16"/>
      <c r="G197" s="15"/>
      <c r="H197" s="15">
        <f t="shared" si="21"/>
        <v>0</v>
      </c>
      <c r="I197" s="16"/>
      <c r="J197" s="1"/>
      <c r="K197" s="1"/>
      <c r="L197" s="1"/>
      <c r="M197" s="1"/>
    </row>
    <row r="198" spans="1:13" hidden="1">
      <c r="A198" s="10">
        <f t="shared" ref="A198:A214" si="22">1+A197</f>
        <v>195</v>
      </c>
      <c r="B198" s="4"/>
      <c r="C198" s="13"/>
      <c r="D198" s="13"/>
      <c r="E198" s="15">
        <f t="shared" si="20"/>
        <v>0</v>
      </c>
      <c r="F198" s="16"/>
      <c r="G198" s="15"/>
      <c r="H198" s="15">
        <f t="shared" si="21"/>
        <v>0</v>
      </c>
      <c r="I198" s="16"/>
      <c r="J198" s="1"/>
      <c r="K198" s="1"/>
      <c r="L198" s="1"/>
      <c r="M198" s="1"/>
    </row>
    <row r="199" spans="1:13" hidden="1">
      <c r="A199" s="10">
        <f t="shared" si="22"/>
        <v>196</v>
      </c>
      <c r="B199" s="4"/>
      <c r="C199" s="13"/>
      <c r="D199" s="15"/>
      <c r="E199" s="15">
        <f t="shared" si="20"/>
        <v>0</v>
      </c>
      <c r="F199" s="16"/>
      <c r="G199" s="15"/>
      <c r="H199" s="15">
        <f t="shared" si="21"/>
        <v>0</v>
      </c>
      <c r="I199" s="16"/>
      <c r="J199" s="1"/>
      <c r="K199" s="1"/>
      <c r="L199" s="1"/>
      <c r="M199" s="1"/>
    </row>
    <row r="200" spans="1:13" hidden="1">
      <c r="A200" s="10">
        <f t="shared" si="22"/>
        <v>197</v>
      </c>
      <c r="B200" s="4"/>
      <c r="C200" s="13"/>
      <c r="D200" s="15"/>
      <c r="E200" s="15">
        <f t="shared" si="20"/>
        <v>0</v>
      </c>
      <c r="F200" s="16"/>
      <c r="G200" s="15"/>
      <c r="H200" s="15">
        <f t="shared" si="21"/>
        <v>0</v>
      </c>
      <c r="I200" s="16"/>
      <c r="J200" s="1"/>
      <c r="K200" s="1"/>
      <c r="L200" s="1"/>
      <c r="M200" s="1"/>
    </row>
    <row r="201" spans="1:13" hidden="1">
      <c r="A201" s="10">
        <f t="shared" si="22"/>
        <v>198</v>
      </c>
      <c r="B201" s="4"/>
      <c r="C201" s="13"/>
      <c r="D201" s="13"/>
      <c r="E201" s="15">
        <f t="shared" si="20"/>
        <v>0</v>
      </c>
      <c r="F201" s="16"/>
      <c r="G201" s="15"/>
      <c r="H201" s="15">
        <f t="shared" si="21"/>
        <v>0</v>
      </c>
      <c r="I201" s="16"/>
      <c r="J201" s="1"/>
      <c r="K201" s="1"/>
      <c r="L201" s="1"/>
      <c r="M201" s="1"/>
    </row>
    <row r="202" spans="1:13" hidden="1">
      <c r="A202" s="10">
        <f t="shared" si="22"/>
        <v>199</v>
      </c>
      <c r="B202" s="4"/>
      <c r="C202" s="13"/>
      <c r="D202" s="13"/>
      <c r="E202" s="15">
        <f t="shared" si="20"/>
        <v>0</v>
      </c>
      <c r="F202" s="16"/>
      <c r="G202" s="15"/>
      <c r="H202" s="15">
        <f t="shared" si="21"/>
        <v>0</v>
      </c>
      <c r="I202" s="16"/>
      <c r="J202" s="1"/>
      <c r="K202" s="1"/>
      <c r="L202" s="1"/>
      <c r="M202" s="1"/>
    </row>
    <row r="203" spans="1:13" hidden="1">
      <c r="A203" s="10">
        <f t="shared" si="22"/>
        <v>200</v>
      </c>
      <c r="B203" s="4"/>
      <c r="C203" s="13"/>
      <c r="D203" s="15"/>
      <c r="E203" s="15">
        <f t="shared" si="20"/>
        <v>0</v>
      </c>
      <c r="F203" s="16"/>
      <c r="G203" s="15"/>
      <c r="H203" s="15">
        <f t="shared" si="21"/>
        <v>0</v>
      </c>
      <c r="I203" s="16"/>
      <c r="J203" s="1"/>
      <c r="K203" s="1"/>
      <c r="L203" s="1"/>
      <c r="M203" s="1"/>
    </row>
    <row r="204" spans="1:13" hidden="1">
      <c r="A204" s="10">
        <f t="shared" si="22"/>
        <v>201</v>
      </c>
      <c r="B204" s="4"/>
      <c r="C204" s="13"/>
      <c r="D204" s="15"/>
      <c r="E204" s="15">
        <f t="shared" si="20"/>
        <v>0</v>
      </c>
      <c r="F204" s="16"/>
      <c r="G204" s="15"/>
      <c r="H204" s="15">
        <f t="shared" si="21"/>
        <v>0</v>
      </c>
      <c r="I204" s="16"/>
      <c r="J204" s="1"/>
      <c r="K204" s="1"/>
      <c r="L204" s="1"/>
      <c r="M204" s="1"/>
    </row>
    <row r="205" spans="1:13" hidden="1">
      <c r="A205" s="10">
        <f t="shared" si="22"/>
        <v>202</v>
      </c>
      <c r="B205" s="4"/>
      <c r="C205" s="13"/>
      <c r="D205" s="15"/>
      <c r="E205" s="15">
        <f t="shared" si="20"/>
        <v>0</v>
      </c>
      <c r="F205" s="16"/>
      <c r="G205" s="15"/>
      <c r="H205" s="15">
        <f t="shared" si="21"/>
        <v>0</v>
      </c>
      <c r="I205" s="16"/>
      <c r="J205" s="1"/>
      <c r="K205" s="1"/>
      <c r="L205" s="1"/>
      <c r="M205" s="1"/>
    </row>
    <row r="206" spans="1:13" hidden="1">
      <c r="A206" s="10">
        <f t="shared" si="22"/>
        <v>203</v>
      </c>
      <c r="B206" s="4"/>
      <c r="C206" s="13"/>
      <c r="D206" s="15"/>
      <c r="E206" s="15">
        <f t="shared" si="20"/>
        <v>0</v>
      </c>
      <c r="F206" s="16"/>
      <c r="G206" s="15"/>
      <c r="H206" s="15">
        <f t="shared" si="21"/>
        <v>0</v>
      </c>
      <c r="I206" s="16"/>
      <c r="J206" s="1"/>
      <c r="K206" s="1"/>
      <c r="L206" s="1"/>
      <c r="M206" s="1"/>
    </row>
    <row r="207" spans="1:13" hidden="1">
      <c r="A207" s="10">
        <f t="shared" si="22"/>
        <v>204</v>
      </c>
      <c r="B207" s="4"/>
      <c r="C207" s="13"/>
      <c r="D207" s="15"/>
      <c r="E207" s="15">
        <f t="shared" si="20"/>
        <v>0</v>
      </c>
      <c r="F207" s="16"/>
      <c r="G207" s="15"/>
      <c r="H207" s="15">
        <f t="shared" si="21"/>
        <v>0</v>
      </c>
      <c r="I207" s="16"/>
      <c r="J207" s="1"/>
      <c r="K207" s="1"/>
      <c r="L207" s="1"/>
      <c r="M207" s="1"/>
    </row>
    <row r="208" spans="1:13" hidden="1">
      <c r="A208" s="10">
        <f t="shared" si="22"/>
        <v>205</v>
      </c>
      <c r="B208" s="4"/>
      <c r="C208" s="13"/>
      <c r="D208" s="15"/>
      <c r="E208" s="15">
        <f t="shared" si="20"/>
        <v>0</v>
      </c>
      <c r="F208" s="16"/>
      <c r="G208" s="15"/>
      <c r="H208" s="15">
        <f t="shared" si="21"/>
        <v>0</v>
      </c>
      <c r="I208" s="16"/>
      <c r="J208" s="1"/>
      <c r="K208" s="1"/>
      <c r="L208" s="1"/>
      <c r="M208" s="1"/>
    </row>
    <row r="209" spans="1:13" hidden="1">
      <c r="A209" s="10">
        <f t="shared" si="22"/>
        <v>206</v>
      </c>
      <c r="B209" s="4"/>
      <c r="C209" s="13"/>
      <c r="D209" s="15"/>
      <c r="E209" s="15">
        <f t="shared" si="20"/>
        <v>0</v>
      </c>
      <c r="F209" s="16"/>
      <c r="G209" s="15"/>
      <c r="H209" s="15">
        <f t="shared" si="21"/>
        <v>0</v>
      </c>
      <c r="I209" s="16"/>
      <c r="J209" s="1"/>
      <c r="K209" s="1"/>
      <c r="L209" s="1"/>
      <c r="M209" s="1"/>
    </row>
    <row r="210" spans="1:13" hidden="1">
      <c r="A210" s="10">
        <f t="shared" si="22"/>
        <v>207</v>
      </c>
      <c r="B210" s="4"/>
      <c r="C210" s="13"/>
      <c r="D210" s="15"/>
      <c r="E210" s="15">
        <f t="shared" si="20"/>
        <v>0</v>
      </c>
      <c r="F210" s="16"/>
      <c r="G210" s="15"/>
      <c r="H210" s="15">
        <f t="shared" si="21"/>
        <v>0</v>
      </c>
      <c r="I210" s="16"/>
      <c r="J210" s="1"/>
      <c r="K210" s="1"/>
      <c r="L210" s="1"/>
      <c r="M210" s="1"/>
    </row>
    <row r="211" spans="1:13" hidden="1">
      <c r="A211" s="10">
        <f t="shared" si="22"/>
        <v>208</v>
      </c>
      <c r="B211" s="4"/>
      <c r="C211" s="13"/>
      <c r="D211" s="15"/>
      <c r="E211" s="15">
        <f t="shared" si="20"/>
        <v>0</v>
      </c>
      <c r="F211" s="16"/>
      <c r="G211" s="15"/>
      <c r="H211" s="15">
        <f t="shared" si="21"/>
        <v>0</v>
      </c>
      <c r="I211" s="16"/>
      <c r="J211" s="1"/>
      <c r="K211" s="1"/>
      <c r="L211" s="1"/>
      <c r="M211" s="1"/>
    </row>
    <row r="212" spans="1:13" hidden="1">
      <c r="A212" s="10">
        <f t="shared" si="22"/>
        <v>209</v>
      </c>
      <c r="B212" s="4"/>
      <c r="C212" s="13"/>
      <c r="D212" s="15"/>
      <c r="E212" s="15">
        <f t="shared" si="20"/>
        <v>0</v>
      </c>
      <c r="F212" s="16"/>
      <c r="G212" s="15"/>
      <c r="H212" s="15">
        <f t="shared" si="21"/>
        <v>0</v>
      </c>
      <c r="I212" s="16"/>
      <c r="J212" s="1"/>
      <c r="K212" s="1"/>
      <c r="L212" s="1"/>
      <c r="M212" s="1"/>
    </row>
    <row r="213" spans="1:13" hidden="1">
      <c r="A213" s="10">
        <f t="shared" si="22"/>
        <v>210</v>
      </c>
      <c r="B213" s="4"/>
      <c r="C213" s="13"/>
      <c r="D213" s="13"/>
      <c r="E213" s="15">
        <f t="shared" si="20"/>
        <v>0</v>
      </c>
      <c r="F213" s="16"/>
      <c r="G213" s="15"/>
      <c r="H213" s="15">
        <f t="shared" si="21"/>
        <v>0</v>
      </c>
      <c r="I213" s="16"/>
      <c r="J213" s="1"/>
      <c r="K213" s="1"/>
      <c r="L213" s="1"/>
      <c r="M213" s="1"/>
    </row>
    <row r="214" spans="1:13">
      <c r="A214" s="10">
        <f t="shared" si="22"/>
        <v>211</v>
      </c>
      <c r="B214" s="19" t="s">
        <v>114</v>
      </c>
      <c r="C214" s="20">
        <f>SUM(C4:C213)</f>
        <v>7934839000</v>
      </c>
      <c r="D214" s="20">
        <f>SUM(D4:D213)</f>
        <v>7479235000</v>
      </c>
      <c r="E214" s="20">
        <f>SUM(E4:E213)</f>
        <v>455604000</v>
      </c>
      <c r="F214" s="21"/>
      <c r="G214" s="20">
        <f>SUM(G4:G213)</f>
        <v>0</v>
      </c>
      <c r="H214" s="22">
        <f t="shared" si="21"/>
        <v>-7479235000</v>
      </c>
      <c r="I214" s="16"/>
      <c r="J214" s="1"/>
      <c r="K214" s="1"/>
      <c r="L214" s="1"/>
      <c r="M214" s="1"/>
    </row>
    <row r="215" spans="1:13" ht="15.75" thickBot="1">
      <c r="A215" s="23"/>
      <c r="I215" s="23"/>
      <c r="J215" s="1"/>
      <c r="K215" s="1"/>
      <c r="L215" s="1"/>
      <c r="M215" s="1"/>
    </row>
    <row r="216" spans="1:13">
      <c r="C216" s="24">
        <f>+C214</f>
        <v>7934839000</v>
      </c>
      <c r="D216" s="25">
        <f>E214</f>
        <v>455604000</v>
      </c>
      <c r="E216" s="25">
        <f>C216-D216</f>
        <v>7479235000</v>
      </c>
      <c r="F216" s="26" t="s">
        <v>115</v>
      </c>
      <c r="G216" s="27" t="s">
        <v>116</v>
      </c>
    </row>
    <row r="217" spans="1:13" ht="15.75" thickBot="1">
      <c r="C217" s="28"/>
      <c r="D217" s="29"/>
      <c r="E217" s="30">
        <f>E216/C216</f>
        <v>0.94258182176097083</v>
      </c>
      <c r="F217" s="31"/>
    </row>
    <row r="218" spans="1:13" ht="15.75" thickBot="1">
      <c r="C218" s="32"/>
      <c r="D218" s="32"/>
      <c r="E218" s="32"/>
    </row>
    <row r="219" spans="1:13" ht="12" customHeight="1">
      <c r="C219" s="24">
        <v>22000000000</v>
      </c>
      <c r="D219" s="25">
        <f>+E214</f>
        <v>455604000</v>
      </c>
      <c r="E219" s="25">
        <f>C219-D219</f>
        <v>21544396000</v>
      </c>
      <c r="F219" s="26" t="s">
        <v>231</v>
      </c>
    </row>
    <row r="220" spans="1:13" ht="15.75" thickBot="1">
      <c r="C220" s="33" t="s">
        <v>117</v>
      </c>
      <c r="D220" s="34" t="s">
        <v>118</v>
      </c>
      <c r="E220" s="30">
        <f>E219/C219</f>
        <v>0.97929072727272726</v>
      </c>
      <c r="F220" s="31"/>
    </row>
    <row r="222" spans="1:13" ht="15.75" thickBot="1">
      <c r="E222" s="30">
        <f>D214/C214</f>
        <v>0.94258182176097083</v>
      </c>
      <c r="F222" s="35" t="s">
        <v>119</v>
      </c>
    </row>
    <row r="224" spans="1:13">
      <c r="C224" s="36">
        <v>13000000000</v>
      </c>
      <c r="D224" s="37">
        <f>C224-E224-F224-G224</f>
        <v>12544396000</v>
      </c>
      <c r="E224" s="36">
        <f>E214-F224-G224</f>
        <v>359170550</v>
      </c>
      <c r="F224" s="36">
        <v>52391050</v>
      </c>
      <c r="G224" s="36">
        <v>44042400</v>
      </c>
    </row>
    <row r="225" spans="3:7">
      <c r="C225" s="38" t="s">
        <v>120</v>
      </c>
      <c r="D225" s="39"/>
      <c r="E225" s="124">
        <f>(E224+F224)/C224</f>
        <v>3.1658584615384615E-2</v>
      </c>
      <c r="F225" s="124"/>
    </row>
    <row r="227" spans="3:7">
      <c r="C227" s="38" t="s">
        <v>121</v>
      </c>
      <c r="D227" s="38" t="s">
        <v>122</v>
      </c>
      <c r="E227" s="40">
        <v>30</v>
      </c>
      <c r="F227" s="40">
        <v>60</v>
      </c>
      <c r="G227" s="38">
        <v>90</v>
      </c>
    </row>
  </sheetData>
  <autoFilter ref="A3:M215"/>
  <mergeCells count="3">
    <mergeCell ref="A1:I1"/>
    <mergeCell ref="A2:I2"/>
    <mergeCell ref="E225:F225"/>
  </mergeCells>
  <conditionalFormatting sqref="B205:B214 B191:B194 B152:B155 B138:B141">
    <cfRule type="expression" dxfId="236" priority="232">
      <formula>AND($Z139&gt;0,$L139&gt;89)</formula>
    </cfRule>
    <cfRule type="expression" dxfId="235" priority="233">
      <formula>AND($Z139&gt;0,$L139&gt;59)</formula>
    </cfRule>
  </conditionalFormatting>
  <conditionalFormatting sqref="G35:G49 E179:E180 G179:G180 C209:E214 H210:H213 G196:G214 H4:H49 E4:E78">
    <cfRule type="expression" dxfId="234" priority="230">
      <formula>AND(#REF!&gt;0,$H4&gt;89)</formula>
    </cfRule>
    <cfRule type="expression" dxfId="233" priority="231">
      <formula>AND(#REF!&gt;0,$H4&gt;59)</formula>
    </cfRule>
  </conditionalFormatting>
  <conditionalFormatting sqref="H179:H180">
    <cfRule type="expression" dxfId="232" priority="228">
      <formula>AND(#REF!&gt;0,$H179&gt;89)</formula>
    </cfRule>
    <cfRule type="expression" dxfId="231" priority="229">
      <formula>AND(#REF!&gt;0,$H179&gt;59)</formula>
    </cfRule>
  </conditionalFormatting>
  <conditionalFormatting sqref="H209 H179:H180">
    <cfRule type="expression" dxfId="230" priority="226">
      <formula>AND(#REF!&gt;0,$H179&gt;89)</formula>
    </cfRule>
    <cfRule type="expression" dxfId="229" priority="227">
      <formula>AND(#REF!&gt;0,$H179&gt;59)</formula>
    </cfRule>
  </conditionalFormatting>
  <conditionalFormatting sqref="D216">
    <cfRule type="expression" dxfId="228" priority="224">
      <formula>AND(#REF!&gt;0,$H216&gt;89)</formula>
    </cfRule>
    <cfRule type="expression" dxfId="227" priority="225">
      <formula>AND(#REF!&gt;0,$H216&gt;59)</formula>
    </cfRule>
  </conditionalFormatting>
  <conditionalFormatting sqref="E216">
    <cfRule type="expression" dxfId="226" priority="222">
      <formula>AND(#REF!&gt;0,$H216&gt;89)</formula>
    </cfRule>
    <cfRule type="expression" dxfId="225" priority="223">
      <formula>AND(#REF!&gt;0,$H216&gt;59)</formula>
    </cfRule>
  </conditionalFormatting>
  <conditionalFormatting sqref="H214">
    <cfRule type="expression" dxfId="224" priority="220">
      <formula>AND(#REF!&gt;0,$H214&gt;89)</formula>
    </cfRule>
    <cfRule type="expression" dxfId="223" priority="221">
      <formula>AND(#REF!&gt;0,$H214&gt;59)</formula>
    </cfRule>
  </conditionalFormatting>
  <conditionalFormatting sqref="F4:G14">
    <cfRule type="expression" dxfId="222" priority="218">
      <formula>AND(#REF!&gt;0,$M4&gt;89)</formula>
    </cfRule>
    <cfRule type="expression" dxfId="221" priority="219">
      <formula>AND(#REF!&gt;0,$M4&gt;59)</formula>
    </cfRule>
  </conditionalFormatting>
  <conditionalFormatting sqref="C219">
    <cfRule type="expression" dxfId="220" priority="216">
      <formula>AND(#REF!&gt;0,$H219&gt;89)</formula>
    </cfRule>
    <cfRule type="expression" dxfId="219" priority="217">
      <formula>AND(#REF!&gt;0,$H219&gt;59)</formula>
    </cfRule>
  </conditionalFormatting>
  <conditionalFormatting sqref="D219">
    <cfRule type="expression" dxfId="218" priority="214">
      <formula>AND(#REF!&gt;0,$H219&gt;89)</formula>
    </cfRule>
    <cfRule type="expression" dxfId="217" priority="215">
      <formula>AND(#REF!&gt;0,$H219&gt;59)</formula>
    </cfRule>
  </conditionalFormatting>
  <conditionalFormatting sqref="E219">
    <cfRule type="expression" dxfId="216" priority="212">
      <formula>AND(#REF!&gt;0,$H219&gt;89)</formula>
    </cfRule>
    <cfRule type="expression" dxfId="215" priority="213">
      <formula>AND(#REF!&gt;0,$H219&gt;59)</formula>
    </cfRule>
  </conditionalFormatting>
  <conditionalFormatting sqref="I4:I50">
    <cfRule type="expression" dxfId="214" priority="210">
      <formula>AND($AD4&gt;0,$P4&gt;89)</formula>
    </cfRule>
    <cfRule type="expression" dxfId="213" priority="211">
      <formula>AND($AD4&gt;0,$P4&gt;59)</formula>
    </cfRule>
  </conditionalFormatting>
  <conditionalFormatting sqref="C179:C180">
    <cfRule type="expression" dxfId="212" priority="208">
      <formula>AND(#REF!&gt;0,$L180&gt;89)</formula>
    </cfRule>
    <cfRule type="expression" dxfId="211" priority="209">
      <formula>AND(#REF!&gt;0,$L180&gt;59)</formula>
    </cfRule>
  </conditionalFormatting>
  <conditionalFormatting sqref="I180:I181">
    <cfRule type="expression" dxfId="210" priority="206">
      <formula>AND($AD180&gt;0,$P180&gt;89)</formula>
    </cfRule>
    <cfRule type="expression" dxfId="209" priority="207">
      <formula>AND($AD180&gt;0,$P180&gt;59)</formula>
    </cfRule>
  </conditionalFormatting>
  <conditionalFormatting sqref="B195">
    <cfRule type="expression" dxfId="208" priority="204">
      <formula>AND($Z196&gt;0,$L196&gt;89)</formula>
    </cfRule>
    <cfRule type="expression" dxfId="207" priority="205">
      <formula>AND($Z196&gt;0,$L196&gt;59)</formula>
    </cfRule>
  </conditionalFormatting>
  <conditionalFormatting sqref="C195 C205:E208 G195 E195">
    <cfRule type="expression" dxfId="206" priority="202">
      <formula>AND(#REF!&gt;0,$H195&gt;89)</formula>
    </cfRule>
    <cfRule type="expression" dxfId="205" priority="203">
      <formula>AND(#REF!&gt;0,$H195&gt;59)</formula>
    </cfRule>
  </conditionalFormatting>
  <conditionalFormatting sqref="H205:H208 H195">
    <cfRule type="expression" dxfId="204" priority="200">
      <formula>AND(#REF!&gt;0,$H195&gt;89)</formula>
    </cfRule>
    <cfRule type="expression" dxfId="203" priority="201">
      <formula>AND(#REF!&gt;0,$H195&gt;59)</formula>
    </cfRule>
  </conditionalFormatting>
  <conditionalFormatting sqref="B196:B204">
    <cfRule type="expression" dxfId="202" priority="198">
      <formula>AND($Z197&gt;0,$L197&gt;89)</formula>
    </cfRule>
    <cfRule type="expression" dxfId="201" priority="199">
      <formula>AND($Z197&gt;0,$L197&gt;59)</formula>
    </cfRule>
  </conditionalFormatting>
  <conditionalFormatting sqref="C196 E196 C197:E204">
    <cfRule type="expression" dxfId="200" priority="196">
      <formula>AND(#REF!&gt;0,$H196&gt;89)</formula>
    </cfRule>
    <cfRule type="expression" dxfId="199" priority="197">
      <formula>AND(#REF!&gt;0,$H196&gt;59)</formula>
    </cfRule>
  </conditionalFormatting>
  <conditionalFormatting sqref="H196:H204">
    <cfRule type="expression" dxfId="198" priority="194">
      <formula>AND(#REF!&gt;0,$H196&gt;89)</formula>
    </cfRule>
    <cfRule type="expression" dxfId="197" priority="195">
      <formula>AND(#REF!&gt;0,$H196&gt;59)</formula>
    </cfRule>
  </conditionalFormatting>
  <conditionalFormatting sqref="B181">
    <cfRule type="expression" dxfId="196" priority="192">
      <formula>AND($Z182&gt;0,$L182&gt;89)</formula>
    </cfRule>
    <cfRule type="expression" dxfId="195" priority="193">
      <formula>AND($Z182&gt;0,$L182&gt;59)</formula>
    </cfRule>
  </conditionalFormatting>
  <conditionalFormatting sqref="C181:E181 G191:G194 C191:E193 G181 C194 E194">
    <cfRule type="expression" dxfId="194" priority="190">
      <formula>AND(#REF!&gt;0,$H181&gt;89)</formula>
    </cfRule>
    <cfRule type="expression" dxfId="193" priority="191">
      <formula>AND(#REF!&gt;0,$H181&gt;59)</formula>
    </cfRule>
  </conditionalFormatting>
  <conditionalFormatting sqref="H191:H194 H181">
    <cfRule type="expression" dxfId="192" priority="188">
      <formula>AND(#REF!&gt;0,$H181&gt;89)</formula>
    </cfRule>
    <cfRule type="expression" dxfId="191" priority="189">
      <formula>AND(#REF!&gt;0,$H181&gt;59)</formula>
    </cfRule>
  </conditionalFormatting>
  <conditionalFormatting sqref="B182:B190">
    <cfRule type="expression" dxfId="190" priority="186">
      <formula>AND($Z183&gt;0,$L183&gt;89)</formula>
    </cfRule>
    <cfRule type="expression" dxfId="189" priority="187">
      <formula>AND($Z183&gt;0,$L183&gt;59)</formula>
    </cfRule>
  </conditionalFormatting>
  <conditionalFormatting sqref="G182:G190 C182:E190">
    <cfRule type="expression" dxfId="188" priority="184">
      <formula>AND(#REF!&gt;0,$H182&gt;89)</formula>
    </cfRule>
    <cfRule type="expression" dxfId="187" priority="185">
      <formula>AND(#REF!&gt;0,$H182&gt;59)</formula>
    </cfRule>
  </conditionalFormatting>
  <conditionalFormatting sqref="H182:H190">
    <cfRule type="expression" dxfId="186" priority="182">
      <formula>AND(#REF!&gt;0,$H182&gt;89)</formula>
    </cfRule>
    <cfRule type="expression" dxfId="185" priority="183">
      <formula>AND(#REF!&gt;0,$H182&gt;59)</formula>
    </cfRule>
  </conditionalFormatting>
  <conditionalFormatting sqref="D179:D180 D20">
    <cfRule type="expression" dxfId="184" priority="180">
      <formula>AND(#REF!&gt;0,$L21&gt;89)</formula>
    </cfRule>
    <cfRule type="expression" dxfId="183" priority="181">
      <formula>AND(#REF!&gt;0,$L21&gt;59)</formula>
    </cfRule>
  </conditionalFormatting>
  <conditionalFormatting sqref="D195">
    <cfRule type="expression" dxfId="182" priority="178">
      <formula>AND(#REF!&gt;0,$H195&gt;89)</formula>
    </cfRule>
    <cfRule type="expression" dxfId="181" priority="179">
      <formula>AND(#REF!&gt;0,$H195&gt;59)</formula>
    </cfRule>
  </conditionalFormatting>
  <conditionalFormatting sqref="D196">
    <cfRule type="expression" dxfId="180" priority="176">
      <formula>AND(#REF!&gt;0,$H196&gt;89)</formula>
    </cfRule>
    <cfRule type="expression" dxfId="179" priority="177">
      <formula>AND(#REF!&gt;0,$H196&gt;59)</formula>
    </cfRule>
  </conditionalFormatting>
  <conditionalFormatting sqref="D194">
    <cfRule type="expression" dxfId="178" priority="174">
      <formula>AND(#REF!&gt;0,$H194&gt;89)</formula>
    </cfRule>
    <cfRule type="expression" dxfId="177" priority="175">
      <formula>AND(#REF!&gt;0,$H194&gt;59)</formula>
    </cfRule>
  </conditionalFormatting>
  <conditionalFormatting sqref="B171">
    <cfRule type="expression" dxfId="176" priority="172">
      <formula>AND($Z172&gt;0,$L172&gt;89)</formula>
    </cfRule>
    <cfRule type="expression" dxfId="175" priority="173">
      <formula>AND($Z172&gt;0,$L172&gt;59)</formula>
    </cfRule>
  </conditionalFormatting>
  <conditionalFormatting sqref="C171:E171 G50:G51">
    <cfRule type="expression" dxfId="174" priority="170">
      <formula>AND(#REF!&gt;0,$H50&gt;89)</formula>
    </cfRule>
    <cfRule type="expression" dxfId="173" priority="171">
      <formula>AND(#REF!&gt;0,$H50&gt;59)</formula>
    </cfRule>
  </conditionalFormatting>
  <conditionalFormatting sqref="H50:H51">
    <cfRule type="expression" dxfId="172" priority="168">
      <formula>AND(#REF!&gt;0,$H50&gt;89)</formula>
    </cfRule>
    <cfRule type="expression" dxfId="171" priority="169">
      <formula>AND(#REF!&gt;0,$H50&gt;59)</formula>
    </cfRule>
  </conditionalFormatting>
  <conditionalFormatting sqref="H171 H50:H51">
    <cfRule type="expression" dxfId="170" priority="166">
      <formula>AND(#REF!&gt;0,$H50&gt;89)</formula>
    </cfRule>
    <cfRule type="expression" dxfId="169" priority="167">
      <formula>AND(#REF!&gt;0,$H50&gt;59)</formula>
    </cfRule>
  </conditionalFormatting>
  <conditionalFormatting sqref="I51:I52">
    <cfRule type="expression" dxfId="168" priority="164">
      <formula>AND($AD51&gt;0,$P51&gt;89)</formula>
    </cfRule>
    <cfRule type="expression" dxfId="167" priority="165">
      <formula>AND($AD51&gt;0,$P51&gt;59)</formula>
    </cfRule>
  </conditionalFormatting>
  <conditionalFormatting sqref="B172:B178">
    <cfRule type="expression" dxfId="166" priority="162">
      <formula>AND($Z173&gt;0,$L173&gt;89)</formula>
    </cfRule>
    <cfRule type="expression" dxfId="165" priority="163">
      <formula>AND($Z173&gt;0,$L173&gt;59)</formula>
    </cfRule>
  </conditionalFormatting>
  <conditionalFormatting sqref="C172:E178">
    <cfRule type="expression" dxfId="164" priority="160">
      <formula>AND(#REF!&gt;0,$H172&gt;89)</formula>
    </cfRule>
    <cfRule type="expression" dxfId="163" priority="161">
      <formula>AND(#REF!&gt;0,$H172&gt;59)</formula>
    </cfRule>
  </conditionalFormatting>
  <conditionalFormatting sqref="H172:H178">
    <cfRule type="expression" dxfId="162" priority="158">
      <formula>AND(#REF!&gt;0,$H172&gt;89)</formula>
    </cfRule>
    <cfRule type="expression" dxfId="161" priority="159">
      <formula>AND(#REF!&gt;0,$H172&gt;59)</formula>
    </cfRule>
  </conditionalFormatting>
  <conditionalFormatting sqref="G66 E102:E103">
    <cfRule type="expression" dxfId="160" priority="156">
      <formula>AND(#REF!&gt;0,$H66&gt;89)</formula>
    </cfRule>
    <cfRule type="expression" dxfId="159" priority="157">
      <formula>AND(#REF!&gt;0,$H66&gt;59)</formula>
    </cfRule>
  </conditionalFormatting>
  <conditionalFormatting sqref="H76:H77 H66 H102:H103">
    <cfRule type="expression" dxfId="158" priority="154">
      <formula>AND(#REF!&gt;0,$H66&gt;89)</formula>
    </cfRule>
    <cfRule type="expression" dxfId="157" priority="155">
      <formula>AND(#REF!&gt;0,$H66&gt;59)</formula>
    </cfRule>
  </conditionalFormatting>
  <conditionalFormatting sqref="G67:G77 G102:G103 G171:G178">
    <cfRule type="expression" dxfId="156" priority="152">
      <formula>AND(#REF!&gt;0,$H67&gt;89)</formula>
    </cfRule>
    <cfRule type="expression" dxfId="155" priority="153">
      <formula>AND(#REF!&gt;0,$H67&gt;59)</formula>
    </cfRule>
  </conditionalFormatting>
  <conditionalFormatting sqref="H67:H75">
    <cfRule type="expression" dxfId="154" priority="150">
      <formula>AND(#REF!&gt;0,$H67&gt;89)</formula>
    </cfRule>
    <cfRule type="expression" dxfId="153" priority="151">
      <formula>AND(#REF!&gt;0,$H67&gt;59)</formula>
    </cfRule>
  </conditionalFormatting>
  <conditionalFormatting sqref="G62:G65 G52">
    <cfRule type="expression" dxfId="152" priority="148">
      <formula>AND(#REF!&gt;0,$H52&gt;89)</formula>
    </cfRule>
    <cfRule type="expression" dxfId="151" priority="149">
      <formula>AND(#REF!&gt;0,$H52&gt;59)</formula>
    </cfRule>
  </conditionalFormatting>
  <conditionalFormatting sqref="H62:H65 H52">
    <cfRule type="expression" dxfId="150" priority="146">
      <formula>AND(#REF!&gt;0,$H52&gt;89)</formula>
    </cfRule>
    <cfRule type="expression" dxfId="149" priority="147">
      <formula>AND(#REF!&gt;0,$H52&gt;59)</formula>
    </cfRule>
  </conditionalFormatting>
  <conditionalFormatting sqref="G53:G61">
    <cfRule type="expression" dxfId="148" priority="144">
      <formula>AND(#REF!&gt;0,$H53&gt;89)</formula>
    </cfRule>
    <cfRule type="expression" dxfId="147" priority="145">
      <formula>AND(#REF!&gt;0,$H53&gt;59)</formula>
    </cfRule>
  </conditionalFormatting>
  <conditionalFormatting sqref="H53:H61">
    <cfRule type="expression" dxfId="146" priority="142">
      <formula>AND(#REF!&gt;0,$H53&gt;89)</formula>
    </cfRule>
    <cfRule type="expression" dxfId="145" priority="143">
      <formula>AND(#REF!&gt;0,$H53&gt;59)</formula>
    </cfRule>
  </conditionalFormatting>
  <conditionalFormatting sqref="E88:E89 G88:G89">
    <cfRule type="expression" dxfId="144" priority="140">
      <formula>AND(#REF!&gt;0,$H88&gt;89)</formula>
    </cfRule>
    <cfRule type="expression" dxfId="143" priority="141">
      <formula>AND(#REF!&gt;0,$H88&gt;59)</formula>
    </cfRule>
  </conditionalFormatting>
  <conditionalFormatting sqref="H88:H89">
    <cfRule type="expression" dxfId="142" priority="138">
      <formula>AND(#REF!&gt;0,$H88&gt;89)</formula>
    </cfRule>
    <cfRule type="expression" dxfId="141" priority="139">
      <formula>AND(#REF!&gt;0,$H88&gt;59)</formula>
    </cfRule>
  </conditionalFormatting>
  <conditionalFormatting sqref="H88:H89">
    <cfRule type="expression" dxfId="140" priority="136">
      <formula>AND(#REF!&gt;0,$H88&gt;89)</formula>
    </cfRule>
    <cfRule type="expression" dxfId="139" priority="137">
      <formula>AND(#REF!&gt;0,$H88&gt;59)</formula>
    </cfRule>
  </conditionalFormatting>
  <conditionalFormatting sqref="I89:I90">
    <cfRule type="expression" dxfId="138" priority="134">
      <formula>AND($AD89&gt;0,$P89&gt;89)</formula>
    </cfRule>
    <cfRule type="expression" dxfId="137" priority="135">
      <formula>AND($AD89&gt;0,$P89&gt;59)</formula>
    </cfRule>
  </conditionalFormatting>
  <conditionalFormatting sqref="G100:G101 G90 E90 E100:E101">
    <cfRule type="expression" dxfId="136" priority="132">
      <formula>AND(#REF!&gt;0,$H90&gt;89)</formula>
    </cfRule>
    <cfRule type="expression" dxfId="135" priority="133">
      <formula>AND(#REF!&gt;0,$H90&gt;59)</formula>
    </cfRule>
  </conditionalFormatting>
  <conditionalFormatting sqref="H100:H101 H90">
    <cfRule type="expression" dxfId="134" priority="130">
      <formula>AND(#REF!&gt;0,$H90&gt;89)</formula>
    </cfRule>
    <cfRule type="expression" dxfId="133" priority="131">
      <formula>AND(#REF!&gt;0,$H90&gt;59)</formula>
    </cfRule>
  </conditionalFormatting>
  <conditionalFormatting sqref="G91:G99 E91:E99">
    <cfRule type="expression" dxfId="132" priority="128">
      <formula>AND(#REF!&gt;0,$H91&gt;89)</formula>
    </cfRule>
    <cfRule type="expression" dxfId="131" priority="129">
      <formula>AND(#REF!&gt;0,$H91&gt;59)</formula>
    </cfRule>
  </conditionalFormatting>
  <conditionalFormatting sqref="H91:H99">
    <cfRule type="expression" dxfId="130" priority="126">
      <formula>AND(#REF!&gt;0,$H91&gt;89)</formula>
    </cfRule>
    <cfRule type="expression" dxfId="129" priority="127">
      <formula>AND(#REF!&gt;0,$H91&gt;59)</formula>
    </cfRule>
  </conditionalFormatting>
  <conditionalFormatting sqref="E80">
    <cfRule type="expression" dxfId="128" priority="124">
      <formula>AND(#REF!&gt;0,$H80&gt;89)</formula>
    </cfRule>
    <cfRule type="expression" dxfId="127" priority="125">
      <formula>AND(#REF!&gt;0,$H80&gt;59)</formula>
    </cfRule>
  </conditionalFormatting>
  <conditionalFormatting sqref="H80">
    <cfRule type="expression" dxfId="126" priority="122">
      <formula>AND(#REF!&gt;0,$H80&gt;89)</formula>
    </cfRule>
    <cfRule type="expression" dxfId="125" priority="123">
      <formula>AND(#REF!&gt;0,$H80&gt;59)</formula>
    </cfRule>
  </conditionalFormatting>
  <conditionalFormatting sqref="E81:E87">
    <cfRule type="expression" dxfId="124" priority="120">
      <formula>AND(#REF!&gt;0,$H81&gt;89)</formula>
    </cfRule>
    <cfRule type="expression" dxfId="123" priority="121">
      <formula>AND(#REF!&gt;0,$H81&gt;59)</formula>
    </cfRule>
  </conditionalFormatting>
  <conditionalFormatting sqref="H81:H87">
    <cfRule type="expression" dxfId="122" priority="118">
      <formula>AND(#REF!&gt;0,$H81&gt;89)</formula>
    </cfRule>
    <cfRule type="expression" dxfId="121" priority="119">
      <formula>AND(#REF!&gt;0,$H81&gt;59)</formula>
    </cfRule>
  </conditionalFormatting>
  <conditionalFormatting sqref="E79">
    <cfRule type="expression" dxfId="120" priority="116">
      <formula>AND(#REF!&gt;0,$H79&gt;89)</formula>
    </cfRule>
    <cfRule type="expression" dxfId="119" priority="117">
      <formula>AND(#REF!&gt;0,$H79&gt;59)</formula>
    </cfRule>
  </conditionalFormatting>
  <conditionalFormatting sqref="H78:H79">
    <cfRule type="expression" dxfId="118" priority="114">
      <formula>AND(#REF!&gt;0,$H78&gt;89)</formula>
    </cfRule>
    <cfRule type="expression" dxfId="117" priority="115">
      <formula>AND(#REF!&gt;0,$H78&gt;59)</formula>
    </cfRule>
  </conditionalFormatting>
  <conditionalFormatting sqref="G78:G87">
    <cfRule type="expression" dxfId="116" priority="112">
      <formula>AND(#REF!&gt;0,$H78&gt;89)</formula>
    </cfRule>
    <cfRule type="expression" dxfId="115" priority="113">
      <formula>AND(#REF!&gt;0,$H78&gt;59)</formula>
    </cfRule>
  </conditionalFormatting>
  <conditionalFormatting sqref="B142">
    <cfRule type="expression" dxfId="114" priority="110">
      <formula>AND($Z143&gt;0,$L143&gt;89)</formula>
    </cfRule>
    <cfRule type="expression" dxfId="113" priority="111">
      <formula>AND($Z143&gt;0,$L143&gt;59)</formula>
    </cfRule>
  </conditionalFormatting>
  <conditionalFormatting sqref="C142 C152:E155 E112:E113 G112:G113 E142">
    <cfRule type="expression" dxfId="112" priority="108">
      <formula>AND(#REF!&gt;0,$H112&gt;89)</formula>
    </cfRule>
    <cfRule type="expression" dxfId="111" priority="109">
      <formula>AND(#REF!&gt;0,$H112&gt;59)</formula>
    </cfRule>
  </conditionalFormatting>
  <conditionalFormatting sqref="H112:H113">
    <cfRule type="expression" dxfId="110" priority="106">
      <formula>AND(#REF!&gt;0,$H112&gt;89)</formula>
    </cfRule>
    <cfRule type="expression" dxfId="109" priority="107">
      <formula>AND(#REF!&gt;0,$H112&gt;59)</formula>
    </cfRule>
  </conditionalFormatting>
  <conditionalFormatting sqref="H152:H155 H142 H112:H113">
    <cfRule type="expression" dxfId="108" priority="104">
      <formula>AND(#REF!&gt;0,$H112&gt;89)</formula>
    </cfRule>
    <cfRule type="expression" dxfId="107" priority="105">
      <formula>AND(#REF!&gt;0,$H112&gt;59)</formula>
    </cfRule>
  </conditionalFormatting>
  <conditionalFormatting sqref="I113:I114">
    <cfRule type="expression" dxfId="106" priority="102">
      <formula>AND($AD113&gt;0,$P113&gt;89)</formula>
    </cfRule>
    <cfRule type="expression" dxfId="105" priority="103">
      <formula>AND($AD113&gt;0,$P113&gt;59)</formula>
    </cfRule>
  </conditionalFormatting>
  <conditionalFormatting sqref="B143:B151">
    <cfRule type="expression" dxfId="104" priority="100">
      <formula>AND($Z144&gt;0,$L144&gt;89)</formula>
    </cfRule>
    <cfRule type="expression" dxfId="103" priority="101">
      <formula>AND($Z144&gt;0,$L144&gt;59)</formula>
    </cfRule>
  </conditionalFormatting>
  <conditionalFormatting sqref="C143:C151 E143:E151">
    <cfRule type="expression" dxfId="102" priority="98">
      <formula>AND(#REF!&gt;0,$H143&gt;89)</formula>
    </cfRule>
    <cfRule type="expression" dxfId="101" priority="99">
      <formula>AND(#REF!&gt;0,$H143&gt;59)</formula>
    </cfRule>
  </conditionalFormatting>
  <conditionalFormatting sqref="H143:H151">
    <cfRule type="expression" dxfId="100" priority="96">
      <formula>AND(#REF!&gt;0,$H143&gt;89)</formula>
    </cfRule>
    <cfRule type="expression" dxfId="99" priority="97">
      <formula>AND(#REF!&gt;0,$H143&gt;59)</formula>
    </cfRule>
  </conditionalFormatting>
  <conditionalFormatting sqref="B128">
    <cfRule type="expression" dxfId="98" priority="94">
      <formula>AND($Z129&gt;0,$L129&gt;89)</formula>
    </cfRule>
    <cfRule type="expression" dxfId="97" priority="95">
      <formula>AND($Z129&gt;0,$L129&gt;59)</formula>
    </cfRule>
  </conditionalFormatting>
  <conditionalFormatting sqref="C128 G128 E128 C138:C141 E138:E141">
    <cfRule type="expression" dxfId="96" priority="92">
      <formula>AND(#REF!&gt;0,$H128&gt;89)</formula>
    </cfRule>
    <cfRule type="expression" dxfId="95" priority="93">
      <formula>AND(#REF!&gt;0,$H128&gt;59)</formula>
    </cfRule>
  </conditionalFormatting>
  <conditionalFormatting sqref="H138:H141 H128">
    <cfRule type="expression" dxfId="94" priority="90">
      <formula>AND(#REF!&gt;0,$H128&gt;89)</formula>
    </cfRule>
    <cfRule type="expression" dxfId="93" priority="91">
      <formula>AND(#REF!&gt;0,$H128&gt;59)</formula>
    </cfRule>
  </conditionalFormatting>
  <conditionalFormatting sqref="B129:B137">
    <cfRule type="expression" dxfId="92" priority="88">
      <formula>AND($Z130&gt;0,$L130&gt;89)</formula>
    </cfRule>
    <cfRule type="expression" dxfId="91" priority="89">
      <formula>AND($Z130&gt;0,$L130&gt;59)</formula>
    </cfRule>
  </conditionalFormatting>
  <conditionalFormatting sqref="G129:G164 C129:C137 E129:E137">
    <cfRule type="expression" dxfId="90" priority="86">
      <formula>AND(#REF!&gt;0,$H129&gt;89)</formula>
    </cfRule>
    <cfRule type="expression" dxfId="89" priority="87">
      <formula>AND(#REF!&gt;0,$H129&gt;59)</formula>
    </cfRule>
  </conditionalFormatting>
  <conditionalFormatting sqref="H129:H137">
    <cfRule type="expression" dxfId="88" priority="84">
      <formula>AND(#REF!&gt;0,$H129&gt;89)</formula>
    </cfRule>
    <cfRule type="expression" dxfId="87" priority="85">
      <formula>AND(#REF!&gt;0,$H129&gt;59)</formula>
    </cfRule>
  </conditionalFormatting>
  <conditionalFormatting sqref="B124:B127">
    <cfRule type="expression" dxfId="86" priority="82">
      <formula>AND($Z125&gt;0,$L125&gt;89)</formula>
    </cfRule>
    <cfRule type="expression" dxfId="85" priority="83">
      <formula>AND($Z125&gt;0,$L125&gt;59)</formula>
    </cfRule>
  </conditionalFormatting>
  <conditionalFormatting sqref="G124:G127 G114 C124:C127 E124:E127 E114">
    <cfRule type="expression" dxfId="84" priority="80">
      <formula>AND(#REF!&gt;0,$H114&gt;89)</formula>
    </cfRule>
    <cfRule type="expression" dxfId="83" priority="81">
      <formula>AND(#REF!&gt;0,$H114&gt;59)</formula>
    </cfRule>
  </conditionalFormatting>
  <conditionalFormatting sqref="H124:H127 H114">
    <cfRule type="expression" dxfId="82" priority="78">
      <formula>AND(#REF!&gt;0,$H114&gt;89)</formula>
    </cfRule>
    <cfRule type="expression" dxfId="81" priority="79">
      <formula>AND(#REF!&gt;0,$H114&gt;59)</formula>
    </cfRule>
  </conditionalFormatting>
  <conditionalFormatting sqref="B122:B123">
    <cfRule type="expression" dxfId="80" priority="76">
      <formula>AND($Z123&gt;0,$L123&gt;89)</formula>
    </cfRule>
    <cfRule type="expression" dxfId="79" priority="77">
      <formula>AND($Z123&gt;0,$L123&gt;59)</formula>
    </cfRule>
  </conditionalFormatting>
  <conditionalFormatting sqref="G115:G123 C122:C123 E115:E123">
    <cfRule type="expression" dxfId="78" priority="74">
      <formula>AND(#REF!&gt;0,$H115&gt;89)</formula>
    </cfRule>
    <cfRule type="expression" dxfId="77" priority="75">
      <formula>AND(#REF!&gt;0,$H115&gt;59)</formula>
    </cfRule>
  </conditionalFormatting>
  <conditionalFormatting sqref="H115:H123">
    <cfRule type="expression" dxfId="76" priority="72">
      <formula>AND(#REF!&gt;0,$H115&gt;89)</formula>
    </cfRule>
    <cfRule type="expression" dxfId="75" priority="73">
      <formula>AND(#REF!&gt;0,$H115&gt;59)</formula>
    </cfRule>
  </conditionalFormatting>
  <conditionalFormatting sqref="B167:B170">
    <cfRule type="expression" dxfId="74" priority="70">
      <formula>AND($Z168&gt;0,$L168&gt;89)</formula>
    </cfRule>
    <cfRule type="expression" dxfId="73" priority="71">
      <formula>AND($Z168&gt;0,$L168&gt;59)</formula>
    </cfRule>
  </conditionalFormatting>
  <conditionalFormatting sqref="C167:E170 G167:G170">
    <cfRule type="expression" dxfId="72" priority="68">
      <formula>AND(#REF!&gt;0,$H167&gt;89)</formula>
    </cfRule>
    <cfRule type="expression" dxfId="71" priority="69">
      <formula>AND(#REF!&gt;0,$H167&gt;59)</formula>
    </cfRule>
  </conditionalFormatting>
  <conditionalFormatting sqref="H167:H170">
    <cfRule type="expression" dxfId="70" priority="66">
      <formula>AND(#REF!&gt;0,$H167&gt;89)</formula>
    </cfRule>
    <cfRule type="expression" dxfId="69" priority="67">
      <formula>AND(#REF!&gt;0,$H167&gt;59)</formula>
    </cfRule>
  </conditionalFormatting>
  <conditionalFormatting sqref="B162:B166">
    <cfRule type="expression" dxfId="68" priority="64">
      <formula>AND($Z163&gt;0,$L163&gt;89)</formula>
    </cfRule>
    <cfRule type="expression" dxfId="67" priority="65">
      <formula>AND($Z163&gt;0,$L163&gt;59)</formula>
    </cfRule>
  </conditionalFormatting>
  <conditionalFormatting sqref="C162:E166 G165:G166">
    <cfRule type="expression" dxfId="66" priority="62">
      <formula>AND(#REF!&gt;0,$H162&gt;89)</formula>
    </cfRule>
    <cfRule type="expression" dxfId="65" priority="63">
      <formula>AND(#REF!&gt;0,$H162&gt;59)</formula>
    </cfRule>
  </conditionalFormatting>
  <conditionalFormatting sqref="H162:H166">
    <cfRule type="expression" dxfId="64" priority="60">
      <formula>AND(#REF!&gt;0,$H162&gt;89)</formula>
    </cfRule>
    <cfRule type="expression" dxfId="63" priority="61">
      <formula>AND(#REF!&gt;0,$H162&gt;59)</formula>
    </cfRule>
  </conditionalFormatting>
  <conditionalFormatting sqref="B156:B161">
    <cfRule type="expression" dxfId="62" priority="58">
      <formula>AND($Z157&gt;0,$L157&gt;89)</formula>
    </cfRule>
    <cfRule type="expression" dxfId="61" priority="59">
      <formula>AND($Z157&gt;0,$L157&gt;59)</formula>
    </cfRule>
  </conditionalFormatting>
  <conditionalFormatting sqref="C156:E161">
    <cfRule type="expression" dxfId="60" priority="56">
      <formula>AND(#REF!&gt;0,$H156&gt;89)</formula>
    </cfRule>
    <cfRule type="expression" dxfId="59" priority="57">
      <formula>AND(#REF!&gt;0,$H156&gt;59)</formula>
    </cfRule>
  </conditionalFormatting>
  <conditionalFormatting sqref="H156:H161">
    <cfRule type="expression" dxfId="58" priority="54">
      <formula>AND(#REF!&gt;0,$H156&gt;89)</formula>
    </cfRule>
    <cfRule type="expression" dxfId="57" priority="55">
      <formula>AND(#REF!&gt;0,$H156&gt;59)</formula>
    </cfRule>
  </conditionalFormatting>
  <conditionalFormatting sqref="E104">
    <cfRule type="expression" dxfId="56" priority="52">
      <formula>AND(#REF!&gt;0,$H104&gt;89)</formula>
    </cfRule>
    <cfRule type="expression" dxfId="55" priority="53">
      <formula>AND(#REF!&gt;0,$H104&gt;59)</formula>
    </cfRule>
  </conditionalFormatting>
  <conditionalFormatting sqref="H104">
    <cfRule type="expression" dxfId="54" priority="50">
      <formula>AND(#REF!&gt;0,$H104&gt;89)</formula>
    </cfRule>
    <cfRule type="expression" dxfId="53" priority="51">
      <formula>AND(#REF!&gt;0,$H104&gt;59)</formula>
    </cfRule>
  </conditionalFormatting>
  <conditionalFormatting sqref="E105:E111">
    <cfRule type="expression" dxfId="52" priority="48">
      <formula>AND(#REF!&gt;0,$H105&gt;89)</formula>
    </cfRule>
    <cfRule type="expression" dxfId="51" priority="49">
      <formula>AND(#REF!&gt;0,$H105&gt;59)</formula>
    </cfRule>
  </conditionalFormatting>
  <conditionalFormatting sqref="H105:H111">
    <cfRule type="expression" dxfId="50" priority="46">
      <formula>AND(#REF!&gt;0,$H105&gt;89)</formula>
    </cfRule>
    <cfRule type="expression" dxfId="49" priority="47">
      <formula>AND(#REF!&gt;0,$H105&gt;59)</formula>
    </cfRule>
  </conditionalFormatting>
  <conditionalFormatting sqref="G104:G111">
    <cfRule type="expression" dxfId="48" priority="44">
      <formula>AND(#REF!&gt;0,$H104&gt;89)</formula>
    </cfRule>
    <cfRule type="expression" dxfId="47" priority="45">
      <formula>AND(#REF!&gt;0,$H104&gt;59)</formula>
    </cfRule>
  </conditionalFormatting>
  <conditionalFormatting sqref="C216">
    <cfRule type="expression" dxfId="46" priority="42">
      <formula>AND(#REF!&gt;0,$H216&gt;89)</formula>
    </cfRule>
    <cfRule type="expression" dxfId="45" priority="43">
      <formula>AND(#REF!&gt;0,$H216&gt;59)</formula>
    </cfRule>
  </conditionalFormatting>
  <conditionalFormatting sqref="D10 D12">
    <cfRule type="expression" dxfId="44" priority="40">
      <formula>AND(#REF!&gt;0,$L10&gt;89)</formula>
    </cfRule>
    <cfRule type="expression" dxfId="43" priority="41">
      <formula>AND(#REF!&gt;0,$L10&gt;59)</formula>
    </cfRule>
  </conditionalFormatting>
  <conditionalFormatting sqref="D142">
    <cfRule type="expression" dxfId="42" priority="38">
      <formula>AND(#REF!&gt;0,$H142&gt;89)</formula>
    </cfRule>
    <cfRule type="expression" dxfId="41" priority="39">
      <formula>AND(#REF!&gt;0,$H142&gt;59)</formula>
    </cfRule>
  </conditionalFormatting>
  <conditionalFormatting sqref="D143:D151">
    <cfRule type="expression" dxfId="40" priority="36">
      <formula>AND(#REF!&gt;0,$H143&gt;89)</formula>
    </cfRule>
    <cfRule type="expression" dxfId="39" priority="37">
      <formula>AND(#REF!&gt;0,$H143&gt;59)</formula>
    </cfRule>
  </conditionalFormatting>
  <conditionalFormatting sqref="D128 D138:D141">
    <cfRule type="expression" dxfId="38" priority="34">
      <formula>AND(#REF!&gt;0,$H128&gt;89)</formula>
    </cfRule>
    <cfRule type="expression" dxfId="37" priority="35">
      <formula>AND(#REF!&gt;0,$H128&gt;59)</formula>
    </cfRule>
  </conditionalFormatting>
  <conditionalFormatting sqref="D129:D137">
    <cfRule type="expression" dxfId="36" priority="32">
      <formula>AND(#REF!&gt;0,$H129&gt;89)</formula>
    </cfRule>
    <cfRule type="expression" dxfId="35" priority="33">
      <formula>AND(#REF!&gt;0,$H129&gt;59)</formula>
    </cfRule>
  </conditionalFormatting>
  <conditionalFormatting sqref="D124:D127">
    <cfRule type="expression" dxfId="34" priority="30">
      <formula>AND(#REF!&gt;0,$H124&gt;89)</formula>
    </cfRule>
    <cfRule type="expression" dxfId="33" priority="31">
      <formula>AND(#REF!&gt;0,$H124&gt;59)</formula>
    </cfRule>
  </conditionalFormatting>
  <conditionalFormatting sqref="D122:D123">
    <cfRule type="expression" dxfId="32" priority="28">
      <formula>AND(#REF!&gt;0,$H122&gt;89)</formula>
    </cfRule>
    <cfRule type="expression" dxfId="31" priority="29">
      <formula>AND(#REF!&gt;0,$H122&gt;59)</formula>
    </cfRule>
  </conditionalFormatting>
  <conditionalFormatting sqref="D118:D121">
    <cfRule type="expression" dxfId="30" priority="26">
      <formula>AND(#REF!&gt;0,$H118&gt;89)</formula>
    </cfRule>
    <cfRule type="expression" dxfId="29" priority="27">
      <formula>AND(#REF!&gt;0,$H118&gt;59)</formula>
    </cfRule>
  </conditionalFormatting>
  <conditionalFormatting sqref="D97">
    <cfRule type="expression" dxfId="28" priority="24">
      <formula>AND(#REF!&gt;0,$H97&gt;89)</formula>
    </cfRule>
    <cfRule type="expression" dxfId="27" priority="25">
      <formula>AND(#REF!&gt;0,$H97&gt;59)</formula>
    </cfRule>
  </conditionalFormatting>
  <conditionalFormatting sqref="D8">
    <cfRule type="expression" dxfId="26" priority="22">
      <formula>AND(#REF!&gt;0,$L8&gt;89)</formula>
    </cfRule>
    <cfRule type="expression" dxfId="25" priority="23">
      <formula>AND(#REF!&gt;0,$L8&gt;59)</formula>
    </cfRule>
  </conditionalFormatting>
  <conditionalFormatting sqref="D16">
    <cfRule type="expression" dxfId="24" priority="20">
      <formula>AND(#REF!&gt;0,$L17&gt;89)</formula>
    </cfRule>
    <cfRule type="expression" dxfId="23" priority="21">
      <formula>AND(#REF!&gt;0,$L17&gt;59)</formula>
    </cfRule>
  </conditionalFormatting>
  <conditionalFormatting sqref="D28">
    <cfRule type="expression" dxfId="22" priority="16">
      <formula>AND(#REF!&gt;0,$L29&gt;89)</formula>
    </cfRule>
    <cfRule type="expression" dxfId="21" priority="17">
      <formula>AND(#REF!&gt;0,$L29&gt;59)</formula>
    </cfRule>
  </conditionalFormatting>
  <conditionalFormatting sqref="D34">
    <cfRule type="expression" dxfId="20" priority="18">
      <formula>AND(#REF!&gt;0,$L35&gt;89)</formula>
    </cfRule>
    <cfRule type="expression" dxfId="19" priority="19">
      <formula>AND(#REF!&gt;0,$L35&gt;59)</formula>
    </cfRule>
  </conditionalFormatting>
  <conditionalFormatting sqref="D44">
    <cfRule type="expression" dxfId="18" priority="14">
      <formula>AND(#REF!&gt;0,$L45&gt;89)</formula>
    </cfRule>
    <cfRule type="expression" dxfId="17" priority="15">
      <formula>AND(#REF!&gt;0,$L45&gt;59)</formula>
    </cfRule>
  </conditionalFormatting>
  <conditionalFormatting sqref="D68">
    <cfRule type="expression" dxfId="16" priority="12">
      <formula>AND(#REF!&gt;0,$H68&gt;89)</formula>
    </cfRule>
    <cfRule type="expression" dxfId="15" priority="13">
      <formula>AND(#REF!&gt;0,$H68&gt;59)</formula>
    </cfRule>
  </conditionalFormatting>
  <conditionalFormatting sqref="D64">
    <cfRule type="expression" dxfId="14" priority="10">
      <formula>AND(#REF!&gt;0,$H64&gt;89)</formula>
    </cfRule>
    <cfRule type="expression" dxfId="13" priority="11">
      <formula>AND(#REF!&gt;0,$H64&gt;59)</formula>
    </cfRule>
  </conditionalFormatting>
  <conditionalFormatting sqref="F15:G34">
    <cfRule type="expression" dxfId="12" priority="234">
      <formula>AND(#REF!&gt;0,$M16&gt;89)</formula>
    </cfRule>
    <cfRule type="expression" dxfId="11" priority="235">
      <formula>AND(#REF!&gt;0,$M16&gt;59)</formula>
    </cfRule>
  </conditionalFormatting>
  <conditionalFormatting sqref="B179:B180">
    <cfRule type="expression" dxfId="10" priority="236">
      <formula>AND($AD180&gt;0,$P180&gt;89)</formula>
    </cfRule>
    <cfRule type="expression" dxfId="9" priority="237">
      <formula>AND($AD180&gt;0,$P180&gt;59)</formula>
    </cfRule>
  </conditionalFormatting>
  <conditionalFormatting sqref="B4:B18">
    <cfRule type="expression" dxfId="8" priority="7">
      <formula>AND($AK4&gt;0,$W4&gt;89)</formula>
    </cfRule>
    <cfRule type="expression" dxfId="7" priority="8">
      <formula>AND($AK4&gt;0,$W4&gt;59)</formula>
    </cfRule>
    <cfRule type="expression" dxfId="6" priority="9">
      <formula>AND($AK4&gt;0,$W4&gt;44)</formula>
    </cfRule>
  </conditionalFormatting>
  <conditionalFormatting sqref="B19:B70">
    <cfRule type="expression" dxfId="5" priority="4">
      <formula>AND($AK19&gt;0,$W19&gt;89)</formula>
    </cfRule>
    <cfRule type="expression" dxfId="4" priority="5">
      <formula>AND($AK19&gt;0,$W19&gt;59)</formula>
    </cfRule>
    <cfRule type="expression" dxfId="3" priority="6">
      <formula>AND($AK19&gt;0,$W19&gt;44)</formula>
    </cfRule>
  </conditionalFormatting>
  <conditionalFormatting sqref="B71:B106">
    <cfRule type="expression" dxfId="2" priority="1">
      <formula>AND($AK71&gt;0,$W71&gt;89)</formula>
    </cfRule>
    <cfRule type="expression" dxfId="1" priority="2">
      <formula>AND($AK71&gt;0,$W71&gt;59)</formula>
    </cfRule>
    <cfRule type="expression" dxfId="0" priority="3">
      <formula>AND($AK71&gt;0,$W71&gt;44)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Lampiran 1</vt:lpstr>
      <vt:lpstr>Kalender</vt:lpstr>
      <vt:lpstr>Simulasi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adm1</cp:lastModifiedBy>
  <dcterms:created xsi:type="dcterms:W3CDTF">2026-04-06T06:21:56Z</dcterms:created>
  <dcterms:modified xsi:type="dcterms:W3CDTF">2026-05-06T03:28:25Z</dcterms:modified>
</cp:coreProperties>
</file>