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9140" windowHeight="684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5" i="2" l="1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 l="1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 l="1"/>
  <c r="E23" i="2"/>
  <c r="E22" i="2"/>
  <c r="E21" i="2"/>
  <c r="E20" i="2"/>
  <c r="E19" i="2" l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71" i="1" l="1"/>
</calcChain>
</file>

<file path=xl/sharedStrings.xml><?xml version="1.0" encoding="utf-8"?>
<sst xmlns="http://schemas.openxmlformats.org/spreadsheetml/2006/main" count="391" uniqueCount="164">
  <si>
    <t>Tanggal</t>
  </si>
  <si>
    <t>Supplier</t>
  </si>
  <si>
    <t xml:space="preserve">Nama Barang </t>
  </si>
  <si>
    <t>Box</t>
  </si>
  <si>
    <t>Tonase</t>
  </si>
  <si>
    <t>Sari Kresna Kimia, PT</t>
  </si>
  <si>
    <t>Tuntas 300/100 SL 20 X 1 ltr</t>
  </si>
  <si>
    <t>Karunia Sukses Utama, PT</t>
  </si>
  <si>
    <t>Nufarm Indonesia, PT</t>
  </si>
  <si>
    <t>Mitra Kreasi Dharma, PT</t>
  </si>
  <si>
    <t>Fenval 200 EC 15 X 1 ltr</t>
  </si>
  <si>
    <t>Fenval 200 EC 20 X 500 ml</t>
  </si>
  <si>
    <t>Metsulindo Plus 80 WP 8 X 25 X 40 gr</t>
  </si>
  <si>
    <t>Tani Abadi, CV</t>
  </si>
  <si>
    <t>Sprayer Ultra Elektrik New 16 ltr Type 4</t>
  </si>
  <si>
    <t>Catur Agrodaya Mandiri, PT</t>
  </si>
  <si>
    <t>Eros Gold 0.75/30 DF 40 X 250 gr</t>
  </si>
  <si>
    <t>Total</t>
  </si>
  <si>
    <t>Sentral Tani Nusantara, PT</t>
  </si>
  <si>
    <t>Basrata 150 SL 20 X 1 ltr</t>
  </si>
  <si>
    <t>Sprayer Ultra Elektrik New 16 ltr Type 3</t>
  </si>
  <si>
    <t>Asiana Chemicalindo Lestari, PT</t>
  </si>
  <si>
    <t>Asia Top 288 SL 20 X 1 ltr</t>
  </si>
  <si>
    <t>Asia Top 288 SL 4 X 5 ltr</t>
  </si>
  <si>
    <t>Asia Top 288 SL 20 ltr</t>
  </si>
  <si>
    <t>Cabrio 250 EC 24 X 250 ml</t>
  </si>
  <si>
    <t>BASF Distribution Indonesia, PT</t>
  </si>
  <si>
    <t>Excel Meg Indo, PT</t>
  </si>
  <si>
    <t>Bluezeb 80 WP 20 X 1 kg</t>
  </si>
  <si>
    <t>Hexagold 75 WP 25 X 400 gr</t>
  </si>
  <si>
    <t>Hexagold 75 WP 50 X 100 gr</t>
  </si>
  <si>
    <t>Tali Gawar 989 40 X 600 gr</t>
  </si>
  <si>
    <t>Inti Everspring Indonesia, PT.</t>
  </si>
  <si>
    <t>Metindo 25 WP 40 X 250 gr</t>
  </si>
  <si>
    <t>Metindo 25 WP 40 X 500 gr</t>
  </si>
  <si>
    <t>Metindo 25 WP 10 X 10 X 100 gr</t>
  </si>
  <si>
    <t>Metindo 40 SP 10 X 10 X 100 gr</t>
  </si>
  <si>
    <t>Sumber Makmur Agrikultur Indonesia, PT</t>
  </si>
  <si>
    <t>Lannate 25 WP 10 X 10 X 100 gr</t>
  </si>
  <si>
    <t>Lannate 25 WP 20 X 50 X 15 gr</t>
  </si>
  <si>
    <t>Lannate 40 SP 10 X 10 X 100 gr</t>
  </si>
  <si>
    <t>Neocron 80 OL 20 X 250 ml</t>
  </si>
  <si>
    <t>Neocron 80 OL 15 X 1 ltr</t>
  </si>
  <si>
    <t>Java Karlos Indonesia, PT</t>
  </si>
  <si>
    <t>Mulsa Hanoman 80 cm X 9 kg (Roll)</t>
  </si>
  <si>
    <t>Mulsa Hanoman 60 cm X 17 kg (Roll)</t>
  </si>
  <si>
    <t>Mulsa Hanoman 60 cm X 8 kg (Roll)</t>
  </si>
  <si>
    <t>Mulsa Hanoman 50 cm X 17 kg (Roll)</t>
  </si>
  <si>
    <t>Mulsa Karisma Q989 60 cm X 17 kg (Roll)</t>
  </si>
  <si>
    <t>Mulsa Karisma Q989 60 cm X 8 kg (Roll)</t>
  </si>
  <si>
    <t>Mulsa Karisma Q989 50 cm X 17 kg (Roll)</t>
  </si>
  <si>
    <t>Mulsa Karisma Q989 50 cm X 8 kg (Roll)</t>
  </si>
  <si>
    <t>Mulsa Monesa 60 cm X 17 kg (Roll)</t>
  </si>
  <si>
    <t>Mulsa Monesa 50 cm X 17 kg (Roll)</t>
  </si>
  <si>
    <t>Sprayer Elektrik Joeragan Tipe 3 16 L Battery</t>
  </si>
  <si>
    <t>Jagung Manis Panglima F1 40 X 1750 biji</t>
  </si>
  <si>
    <t>Agri Makmur Pertiwi, PT</t>
  </si>
  <si>
    <t>Bravoxone 276 SL 4 X 5 ltr</t>
  </si>
  <si>
    <t>Bravoxone 276 SL 20 X 1 ltr</t>
  </si>
  <si>
    <t>Sinergy 300 EC 40 X 250 ml</t>
  </si>
  <si>
    <t>Champion 77 WP 14 X 1 kg</t>
  </si>
  <si>
    <t>Kresnatop 500 SC 20 X 1 ltr</t>
  </si>
  <si>
    <t>Amabas 500 EC 16 X 1 ltr</t>
  </si>
  <si>
    <t>Amabas 500 EC 20 X 400 ml</t>
  </si>
  <si>
    <t>Qiumex 36 EC 40 X 250 ml</t>
  </si>
  <si>
    <t>Bisi International, Tbk - Vegetable</t>
  </si>
  <si>
    <t>Smk. Seedless F1 Classic 20 X 6 X 20 gr</t>
  </si>
  <si>
    <t>Bestar 200 SL 20 X 1 ltr</t>
  </si>
  <si>
    <t>Oat Mitoku Agrio, PT</t>
  </si>
  <si>
    <t>Metalik 15 X 500 ml</t>
  </si>
  <si>
    <t>Multi Sarana Indotani, PT</t>
  </si>
  <si>
    <t>Boom Padi @30 Pk</t>
  </si>
  <si>
    <t>Kresnatop 500 SC 4 X 5 ltr</t>
  </si>
  <si>
    <t>Bayer Indonesia, PT</t>
  </si>
  <si>
    <t>Council Complete SC 300 50 X 100 ml</t>
  </si>
  <si>
    <t>Movento Energy 240 SC 50 X 100 ml</t>
  </si>
  <si>
    <t>BASF Indonesia, PT</t>
  </si>
  <si>
    <t>Insure Max 510 FS 2 X 50 X 25 ml</t>
  </si>
  <si>
    <t>Jagung Pertiwi 6 20 X 1 kg</t>
  </si>
  <si>
    <t>Jagung Pertiwi 2 20 X 1 kg</t>
  </si>
  <si>
    <t>Paket Convey 336 SC 20 X 20 ml</t>
  </si>
  <si>
    <t>Paket Convey 336 SC 10 X 40 ml</t>
  </si>
  <si>
    <t>Kalatham, PT</t>
  </si>
  <si>
    <t>Dekapirim 400 SC 20 X 500 ml</t>
  </si>
  <si>
    <t>Dektin 30 WG 50 X 50 gr</t>
  </si>
  <si>
    <t>Petrosida Gresik, PT</t>
  </si>
  <si>
    <t>Sidamec 20 EC Black 15 X 1 ltr</t>
  </si>
  <si>
    <t>Prima Karya Berjaya, PT</t>
  </si>
  <si>
    <t>Prima-Zol 250 EC 20 X 500 ml</t>
  </si>
  <si>
    <t>Prima-Zol 250 EC 20 X 1 ltr</t>
  </si>
  <si>
    <t>Prima-Clink 40 X 250 ml</t>
  </si>
  <si>
    <t>Eros Gold 0.75/30 DF 50 X 100 gr</t>
  </si>
  <si>
    <t>kg</t>
  </si>
  <si>
    <t>Keterangan</t>
  </si>
  <si>
    <t>Konfirmasi hanya Eros kemasan 250 gr</t>
  </si>
  <si>
    <t>Tidak konfrmasi kalau ada penamabahan barang kiriman</t>
  </si>
  <si>
    <t>Konfirmasi hanya Insuremax kemasan 200 ltr</t>
  </si>
  <si>
    <t>Sudah di konfirmasi,tidak memberi info jadwal pengiriman</t>
  </si>
  <si>
    <t>Tidak ada permintaan kirim dan tidak info pengiriman</t>
  </si>
  <si>
    <t>Tidak memberi info jadwal pengiriman</t>
  </si>
  <si>
    <t>Sudah konfirmasi akan kirim, tapi tidak member info tgl kirim</t>
  </si>
  <si>
    <t>Konfirmasi kirim hanya prima lima dan prima best</t>
  </si>
  <si>
    <t>Bisi International, Tbk</t>
  </si>
  <si>
    <t>Jagung Manis Sweet Lady 27 20 X 500 gr</t>
  </si>
  <si>
    <t>Jagung Manis Master Sweet 45 20 X 500 gr</t>
  </si>
  <si>
    <t>Benih Citra Asia, PT</t>
  </si>
  <si>
    <t>Smk. Madrid F1 12 X 10 X 20 gr</t>
  </si>
  <si>
    <t>Fenval 200 EC 20 X 250 ml</t>
  </si>
  <si>
    <t>Fenval 200 EC 50 X 100 ml</t>
  </si>
  <si>
    <t>Boom Padi 30 X 1 Paket</t>
  </si>
  <si>
    <t>Sidatan XR 525 SL 15 X 1 ltr</t>
  </si>
  <si>
    <t>Satgaz 75 WP Magic Blue 10 X 800 gr</t>
  </si>
  <si>
    <t>Satgaz 75 WP Magic Blue 40 X 250 gr</t>
  </si>
  <si>
    <t>Round Up 486 SL 12 X 1 ltr</t>
  </si>
  <si>
    <t>Round Up 486 SL 50 X 200 ml</t>
  </si>
  <si>
    <t>Agro Guna Makmur, PT</t>
  </si>
  <si>
    <t>Kaliandra 482 EC 20 X 400 ml</t>
  </si>
  <si>
    <t>Kaliandra 482 EC 10 X 1 ltr</t>
  </si>
  <si>
    <t>Kaliandra 482 EC 40 X 200 ml</t>
  </si>
  <si>
    <t>Kaliandra 482 EC 50 X 80 ml</t>
  </si>
  <si>
    <t>Alfatox 50 EC 20 X 400 ml</t>
  </si>
  <si>
    <t>Alfatox 50 EC 40 X 200 ml</t>
  </si>
  <si>
    <t>Alfatox 50 EC 50 X 80 ml</t>
  </si>
  <si>
    <t>Pengiriman kekurangan tgl 12 Mei</t>
  </si>
  <si>
    <t>Konfirmasi kirim hanya 3 surat jalan</t>
  </si>
  <si>
    <t>Konfirmasi di hari H kedatangan, supplier sudah mengakui terlambat konfirmasi</t>
  </si>
  <si>
    <t>Maju Makmur Utomo, PT</t>
  </si>
  <si>
    <t>Oplosan 550/60 EC 20 X 400 ml</t>
  </si>
  <si>
    <t>Sarana Tani Makmur, CV</t>
  </si>
  <si>
    <t>Alat Tanam Jagung 1 Output Satagro MTB-006 6 X 1 pcs</t>
  </si>
  <si>
    <t>Sidatan XR 525 SL 40 X 200 ml</t>
  </si>
  <si>
    <t>Sidatan XR 525 SL 25 X 400 ml</t>
  </si>
  <si>
    <t>Qiumex 36 EC 10 X 1 ltr</t>
  </si>
  <si>
    <t>Bionik 400 EC 20 X 500 ml</t>
  </si>
  <si>
    <t>Bionik 400 EC 50 X 100 ml</t>
  </si>
  <si>
    <t>Dekapirim 400 SC 12 X 1 ltr</t>
  </si>
  <si>
    <t>Alfa Beta Agrochemical, PT</t>
  </si>
  <si>
    <t>Flashoot 300 EC 80 X 100 ml</t>
  </si>
  <si>
    <t>Greenforce 20 X 500 ml</t>
  </si>
  <si>
    <t>Jagung Manis Golden Boy F1 20 X +/-3600 biji</t>
  </si>
  <si>
    <t>Jagung Manis Master Sweet 45 F1 20 X 3600 biji</t>
  </si>
  <si>
    <t>Tomat Comodor F1 20 X 20 X 1750 biji</t>
  </si>
  <si>
    <t>Timun Saemi F1 12 X 12 X 20 gr</t>
  </si>
  <si>
    <t>Advansia Indotani, PT</t>
  </si>
  <si>
    <t>Abenz 22 EC 100 X 100 ml</t>
  </si>
  <si>
    <t>Abenz 22 EC 40 X 250 ml</t>
  </si>
  <si>
    <t>Afonil 50 SC 40 X 250 ml</t>
  </si>
  <si>
    <t>Afonil 50 SC 20 X 500 ml</t>
  </si>
  <si>
    <t>A-PlusCal 20 X 250 gr</t>
  </si>
  <si>
    <t>Wendry 75 WP 20 X 500 gr (M2U)</t>
  </si>
  <si>
    <t>Mr. Qlett 50 X 100 ml</t>
  </si>
  <si>
    <t>Mr. Qlett 50 X 50 ml</t>
  </si>
  <si>
    <t>Lem Ajaib 50 X 50 ml</t>
  </si>
  <si>
    <t>Aneto 50 EC 50 X 100 ml (M2U)</t>
  </si>
  <si>
    <t>Gallery 403 SL 30 X 500 ml + SG.02 100 gr (M2U)</t>
  </si>
  <si>
    <t>Lem Ajaib 50 X 100 ml</t>
  </si>
  <si>
    <t>Megazeb 80 WP (Kuning) 20 X 1 kg</t>
  </si>
  <si>
    <t>Round Up 486 SL 4 X 4 ltr</t>
  </si>
  <si>
    <t>Jawa Agrindo Internasional, PT</t>
  </si>
  <si>
    <t>Nostro 440 EC 20 X 500 ml ( label hijau )</t>
  </si>
  <si>
    <t>Tidak memberi info jadwal pengiriman, hanya info pengiriman Activation</t>
  </si>
  <si>
    <t>Tidak memberi info tanggal pengiriman, info hanya akan dibawa petugas minggu depan</t>
  </si>
  <si>
    <t>Tidak memebri info tanggal pengiriman</t>
  </si>
  <si>
    <t>Memberi info sore, WA baru terbuka keesokan harinya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</si>
</sst>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0" fillId="0" borderId="0" xfId="0" applyNumberFormat="1"/>
    <xf numFmtId="0" fontId="2" fillId="0" borderId="0" xfId="0" applyFont="1"/>
    <xf numFmtId="14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4" fillId="0" borderId="1" xfId="0" applyFont="1" applyBorder="1"/>
    <xf numFmtId="14" fontId="4" fillId="0" borderId="0" xfId="0" applyNumberFormat="1" applyFont="1"/>
    <xf numFmtId="2" fontId="4" fillId="0" borderId="1" xfId="0" applyNumberFormat="1" applyFont="1" applyBorder="1"/>
    <xf numFmtId="0" fontId="4" fillId="0" borderId="0" xfId="0" applyFont="1" applyBorder="1"/>
    <xf numFmtId="14" fontId="4" fillId="0" borderId="1" xfId="0" applyNumberFormat="1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top" wrapText="1"/>
    </xf>
    <xf numFmtId="0" fontId="4" fillId="0" borderId="0" xfId="0" applyFont="1" applyFill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zoomScale="115" zoomScaleNormal="115" workbookViewId="0">
      <selection activeCell="E2" sqref="E2"/>
    </sheetView>
  </sheetViews>
  <sheetFormatPr defaultRowHeight="15" x14ac:dyDescent="0.25"/>
  <cols>
    <col min="1" max="1" width="11.85546875" bestFit="1" customWidth="1"/>
    <col min="2" max="2" width="35.5703125" bestFit="1" customWidth="1"/>
    <col min="3" max="3" width="38.140625" bestFit="1" customWidth="1"/>
    <col min="4" max="4" width="4.85546875" bestFit="1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46113</v>
      </c>
      <c r="B2" s="3" t="s">
        <v>18</v>
      </c>
      <c r="C2" s="3" t="s">
        <v>19</v>
      </c>
      <c r="D2" s="4">
        <v>100</v>
      </c>
      <c r="E2" s="6">
        <v>2.39</v>
      </c>
    </row>
    <row r="3" spans="1:5" x14ac:dyDescent="0.25">
      <c r="A3" s="2">
        <v>46113</v>
      </c>
      <c r="B3" s="3" t="s">
        <v>13</v>
      </c>
      <c r="C3" s="3" t="s">
        <v>20</v>
      </c>
      <c r="D3" s="4">
        <v>200</v>
      </c>
      <c r="E3" s="5">
        <v>2.0000000000000001E-4</v>
      </c>
    </row>
    <row r="4" spans="1:5" x14ac:dyDescent="0.25">
      <c r="A4" s="2">
        <v>46113</v>
      </c>
      <c r="B4" s="3" t="s">
        <v>13</v>
      </c>
      <c r="C4" s="3" t="s">
        <v>14</v>
      </c>
      <c r="D4" s="4">
        <v>100</v>
      </c>
      <c r="E4" s="5">
        <v>0.57999999999999996</v>
      </c>
    </row>
    <row r="5" spans="1:5" x14ac:dyDescent="0.25">
      <c r="A5" s="2">
        <v>46113</v>
      </c>
      <c r="B5" s="3" t="s">
        <v>21</v>
      </c>
      <c r="C5" s="3" t="s">
        <v>22</v>
      </c>
      <c r="D5" s="4">
        <v>250</v>
      </c>
      <c r="E5" s="5">
        <v>6.05</v>
      </c>
    </row>
    <row r="6" spans="1:5" x14ac:dyDescent="0.25">
      <c r="A6" s="2">
        <v>46113</v>
      </c>
      <c r="B6" s="3" t="s">
        <v>21</v>
      </c>
      <c r="C6" s="3" t="s">
        <v>23</v>
      </c>
      <c r="D6" s="4">
        <v>50</v>
      </c>
      <c r="E6" s="5">
        <v>1.145</v>
      </c>
    </row>
    <row r="7" spans="1:5" x14ac:dyDescent="0.25">
      <c r="A7" s="2">
        <v>46113</v>
      </c>
      <c r="B7" s="3" t="s">
        <v>21</v>
      </c>
      <c r="C7" s="3" t="s">
        <v>24</v>
      </c>
      <c r="D7" s="4">
        <v>50</v>
      </c>
      <c r="E7" s="5">
        <v>1.115</v>
      </c>
    </row>
    <row r="8" spans="1:5" x14ac:dyDescent="0.25">
      <c r="A8" s="2">
        <v>46113</v>
      </c>
      <c r="B8" s="3" t="s">
        <v>26</v>
      </c>
      <c r="C8" s="3" t="s">
        <v>25</v>
      </c>
      <c r="D8" s="4">
        <v>400</v>
      </c>
      <c r="E8" s="5">
        <v>3.31968</v>
      </c>
    </row>
    <row r="9" spans="1:5" x14ac:dyDescent="0.25">
      <c r="A9" s="2">
        <v>46114</v>
      </c>
      <c r="B9" s="3" t="s">
        <v>27</v>
      </c>
      <c r="C9" s="3" t="s">
        <v>28</v>
      </c>
      <c r="D9" s="4">
        <v>150</v>
      </c>
      <c r="E9" s="5">
        <v>3.4424999999999999</v>
      </c>
    </row>
    <row r="10" spans="1:5" x14ac:dyDescent="0.25">
      <c r="A10" s="2">
        <v>46114</v>
      </c>
      <c r="B10" s="3" t="s">
        <v>27</v>
      </c>
      <c r="C10" s="3" t="s">
        <v>29</v>
      </c>
      <c r="D10" s="4">
        <v>8</v>
      </c>
      <c r="E10" s="5">
        <v>9.5200000000000007E-2</v>
      </c>
    </row>
    <row r="11" spans="1:5" x14ac:dyDescent="0.25">
      <c r="A11" s="2">
        <v>46114</v>
      </c>
      <c r="B11" s="3" t="s">
        <v>27</v>
      </c>
      <c r="C11" s="3" t="s">
        <v>30</v>
      </c>
      <c r="D11" s="4">
        <v>5</v>
      </c>
      <c r="E11" s="5">
        <v>0.03</v>
      </c>
    </row>
    <row r="12" spans="1:5" x14ac:dyDescent="0.25">
      <c r="A12" s="2">
        <v>46116</v>
      </c>
      <c r="B12" s="3" t="s">
        <v>5</v>
      </c>
      <c r="C12" s="3" t="s">
        <v>6</v>
      </c>
      <c r="D12" s="4">
        <v>1000</v>
      </c>
      <c r="E12" s="5">
        <v>26.2</v>
      </c>
    </row>
    <row r="13" spans="1:5" x14ac:dyDescent="0.25">
      <c r="A13" s="2">
        <v>46118</v>
      </c>
      <c r="B13" s="3" t="s">
        <v>7</v>
      </c>
      <c r="C13" s="3" t="s">
        <v>31</v>
      </c>
      <c r="D13" s="4">
        <v>208</v>
      </c>
      <c r="E13" s="5">
        <v>4.9612160000000003</v>
      </c>
    </row>
    <row r="14" spans="1:5" x14ac:dyDescent="0.25">
      <c r="A14" s="2">
        <v>46118</v>
      </c>
      <c r="B14" s="3" t="s">
        <v>32</v>
      </c>
      <c r="C14" s="3" t="s">
        <v>33</v>
      </c>
      <c r="D14" s="4">
        <v>150</v>
      </c>
      <c r="E14" s="5">
        <v>1.8</v>
      </c>
    </row>
    <row r="15" spans="1:5" x14ac:dyDescent="0.25">
      <c r="A15" s="2">
        <v>46118</v>
      </c>
      <c r="B15" s="3" t="s">
        <v>32</v>
      </c>
      <c r="C15" s="3" t="s">
        <v>34</v>
      </c>
      <c r="D15" s="4">
        <v>86</v>
      </c>
      <c r="E15" s="5">
        <v>2.0743200000000002</v>
      </c>
    </row>
    <row r="16" spans="1:5" x14ac:dyDescent="0.25">
      <c r="A16" s="2">
        <v>46118</v>
      </c>
      <c r="B16" s="3" t="s">
        <v>32</v>
      </c>
      <c r="C16" s="3" t="s">
        <v>35</v>
      </c>
      <c r="D16" s="4">
        <v>65</v>
      </c>
      <c r="E16" s="5">
        <v>0.75724999999999998</v>
      </c>
    </row>
    <row r="17" spans="1:5" x14ac:dyDescent="0.25">
      <c r="A17" s="2">
        <v>46118</v>
      </c>
      <c r="B17" s="3" t="s">
        <v>32</v>
      </c>
      <c r="C17" s="3" t="s">
        <v>36</v>
      </c>
      <c r="D17" s="4">
        <v>100</v>
      </c>
      <c r="E17" s="5">
        <v>1.165</v>
      </c>
    </row>
    <row r="18" spans="1:5" x14ac:dyDescent="0.25">
      <c r="A18" s="2">
        <v>46118</v>
      </c>
      <c r="B18" s="3" t="s">
        <v>37</v>
      </c>
      <c r="C18" s="3" t="s">
        <v>38</v>
      </c>
      <c r="D18" s="4">
        <v>120</v>
      </c>
      <c r="E18" s="5">
        <v>1.6428</v>
      </c>
    </row>
    <row r="19" spans="1:5" x14ac:dyDescent="0.25">
      <c r="A19" s="2">
        <v>46118</v>
      </c>
      <c r="B19" s="3" t="s">
        <v>37</v>
      </c>
      <c r="C19" s="3" t="s">
        <v>39</v>
      </c>
      <c r="D19" s="4">
        <v>80</v>
      </c>
      <c r="E19" s="5">
        <v>1.7167999999999999</v>
      </c>
    </row>
    <row r="20" spans="1:5" x14ac:dyDescent="0.25">
      <c r="A20" s="2">
        <v>46118</v>
      </c>
      <c r="B20" s="3" t="s">
        <v>37</v>
      </c>
      <c r="C20" s="3" t="s">
        <v>40</v>
      </c>
      <c r="D20" s="4">
        <v>80</v>
      </c>
      <c r="E20" s="5">
        <v>0.99039999999999995</v>
      </c>
    </row>
    <row r="21" spans="1:5" x14ac:dyDescent="0.25">
      <c r="A21" s="2">
        <v>46118</v>
      </c>
      <c r="B21" s="3" t="s">
        <v>9</v>
      </c>
      <c r="C21" s="3" t="s">
        <v>11</v>
      </c>
      <c r="D21" s="4">
        <v>180</v>
      </c>
      <c r="E21" s="5">
        <v>2.1204000000000001</v>
      </c>
    </row>
    <row r="22" spans="1:5" x14ac:dyDescent="0.25">
      <c r="A22" s="2">
        <v>46118</v>
      </c>
      <c r="B22" s="3" t="s">
        <v>9</v>
      </c>
      <c r="C22" s="3" t="s">
        <v>10</v>
      </c>
      <c r="D22" s="4">
        <v>50</v>
      </c>
      <c r="E22" s="5">
        <v>0.83850000000000002</v>
      </c>
    </row>
    <row r="23" spans="1:5" x14ac:dyDescent="0.25">
      <c r="A23" s="2">
        <v>46118</v>
      </c>
      <c r="B23" s="3" t="s">
        <v>15</v>
      </c>
      <c r="C23" s="3" t="s">
        <v>16</v>
      </c>
      <c r="D23" s="4">
        <v>1360</v>
      </c>
      <c r="E23" s="5">
        <v>16.32</v>
      </c>
    </row>
    <row r="24" spans="1:5" x14ac:dyDescent="0.25">
      <c r="A24" s="2">
        <v>46119</v>
      </c>
      <c r="B24" s="3" t="s">
        <v>9</v>
      </c>
      <c r="C24" s="3" t="s">
        <v>41</v>
      </c>
      <c r="D24" s="4">
        <v>200</v>
      </c>
      <c r="E24" s="5">
        <v>1.31</v>
      </c>
    </row>
    <row r="25" spans="1:5" x14ac:dyDescent="0.25">
      <c r="A25" s="2">
        <v>46119</v>
      </c>
      <c r="B25" s="3" t="s">
        <v>9</v>
      </c>
      <c r="C25" s="3" t="s">
        <v>42</v>
      </c>
      <c r="D25" s="4">
        <v>200</v>
      </c>
      <c r="E25" s="5">
        <v>3.4100999999999999</v>
      </c>
    </row>
    <row r="26" spans="1:5" x14ac:dyDescent="0.25">
      <c r="A26" s="2">
        <v>46119</v>
      </c>
      <c r="B26" s="3" t="s">
        <v>43</v>
      </c>
      <c r="C26" s="3" t="s">
        <v>44</v>
      </c>
      <c r="D26" s="4">
        <v>51</v>
      </c>
      <c r="E26" s="5">
        <v>0.56100000000000005</v>
      </c>
    </row>
    <row r="27" spans="1:5" x14ac:dyDescent="0.25">
      <c r="A27" s="2">
        <v>46119</v>
      </c>
      <c r="B27" s="3" t="s">
        <v>43</v>
      </c>
      <c r="C27" s="3" t="s">
        <v>45</v>
      </c>
      <c r="D27" s="4">
        <v>102</v>
      </c>
      <c r="E27" s="5">
        <v>2.2440000000000002</v>
      </c>
    </row>
    <row r="28" spans="1:5" x14ac:dyDescent="0.25">
      <c r="A28" s="2">
        <v>46119</v>
      </c>
      <c r="B28" s="3" t="s">
        <v>43</v>
      </c>
      <c r="C28" s="3" t="s">
        <v>46</v>
      </c>
      <c r="D28" s="4">
        <v>102</v>
      </c>
      <c r="E28" s="5">
        <v>1.224</v>
      </c>
    </row>
    <row r="29" spans="1:5" x14ac:dyDescent="0.25">
      <c r="A29" s="2">
        <v>46119</v>
      </c>
      <c r="B29" s="3" t="s">
        <v>43</v>
      </c>
      <c r="C29" s="3" t="s">
        <v>47</v>
      </c>
      <c r="D29" s="4">
        <v>204</v>
      </c>
      <c r="E29" s="5">
        <v>4.3860000000000001</v>
      </c>
    </row>
    <row r="30" spans="1:5" x14ac:dyDescent="0.25">
      <c r="A30" s="2">
        <v>46119</v>
      </c>
      <c r="B30" s="3" t="s">
        <v>43</v>
      </c>
      <c r="C30" s="3" t="s">
        <v>48</v>
      </c>
      <c r="D30" s="4">
        <v>300</v>
      </c>
      <c r="E30" s="5">
        <v>6.6</v>
      </c>
    </row>
    <row r="31" spans="1:5" x14ac:dyDescent="0.25">
      <c r="A31" s="2">
        <v>46119</v>
      </c>
      <c r="B31" s="3" t="s">
        <v>43</v>
      </c>
      <c r="C31" s="3" t="s">
        <v>49</v>
      </c>
      <c r="D31" s="4">
        <v>200</v>
      </c>
      <c r="E31" s="5">
        <v>2.4</v>
      </c>
    </row>
    <row r="32" spans="1:5" x14ac:dyDescent="0.25">
      <c r="A32" s="2">
        <v>46119</v>
      </c>
      <c r="B32" s="3" t="s">
        <v>43</v>
      </c>
      <c r="C32" s="3" t="s">
        <v>50</v>
      </c>
      <c r="D32" s="4">
        <v>250</v>
      </c>
      <c r="E32" s="5">
        <v>5.5</v>
      </c>
    </row>
    <row r="33" spans="1:5" x14ac:dyDescent="0.25">
      <c r="A33" s="2">
        <v>46119</v>
      </c>
      <c r="B33" s="3" t="s">
        <v>43</v>
      </c>
      <c r="C33" s="3" t="s">
        <v>51</v>
      </c>
      <c r="D33" s="4">
        <v>100</v>
      </c>
      <c r="E33" s="5">
        <v>0.96</v>
      </c>
    </row>
    <row r="34" spans="1:5" x14ac:dyDescent="0.25">
      <c r="A34" s="2">
        <v>46119</v>
      </c>
      <c r="B34" s="3" t="s">
        <v>43</v>
      </c>
      <c r="C34" s="3" t="s">
        <v>52</v>
      </c>
      <c r="D34" s="4">
        <v>100</v>
      </c>
      <c r="E34" s="5">
        <v>2.2000000000000002</v>
      </c>
    </row>
    <row r="35" spans="1:5" x14ac:dyDescent="0.25">
      <c r="A35" s="2">
        <v>46119</v>
      </c>
      <c r="B35" s="3" t="s">
        <v>43</v>
      </c>
      <c r="C35" s="3" t="s">
        <v>53</v>
      </c>
      <c r="D35" s="4">
        <v>100</v>
      </c>
      <c r="E35" s="5">
        <v>2.2000000000000002</v>
      </c>
    </row>
    <row r="36" spans="1:5" x14ac:dyDescent="0.25">
      <c r="A36" s="2">
        <v>46120</v>
      </c>
      <c r="B36" s="3" t="s">
        <v>9</v>
      </c>
      <c r="C36" s="3" t="s">
        <v>12</v>
      </c>
      <c r="D36" s="4">
        <v>500</v>
      </c>
      <c r="E36" s="5">
        <v>5.5</v>
      </c>
    </row>
    <row r="37" spans="1:5" x14ac:dyDescent="0.25">
      <c r="A37" s="2">
        <v>46120</v>
      </c>
      <c r="B37" s="3" t="s">
        <v>9</v>
      </c>
      <c r="C37" s="3" t="s">
        <v>42</v>
      </c>
      <c r="D37" s="4">
        <v>83</v>
      </c>
      <c r="E37" s="5">
        <v>1.4151914999999999</v>
      </c>
    </row>
    <row r="38" spans="1:5" x14ac:dyDescent="0.25">
      <c r="A38" s="2">
        <v>46120</v>
      </c>
      <c r="B38" s="3" t="s">
        <v>9</v>
      </c>
      <c r="C38" s="3" t="s">
        <v>41</v>
      </c>
      <c r="D38" s="4">
        <v>100</v>
      </c>
      <c r="E38" s="5">
        <v>0.65500000000000003</v>
      </c>
    </row>
    <row r="39" spans="1:5" x14ac:dyDescent="0.25">
      <c r="A39" s="2">
        <v>46125</v>
      </c>
      <c r="B39" s="3" t="s">
        <v>9</v>
      </c>
      <c r="C39" s="3" t="s">
        <v>12</v>
      </c>
      <c r="D39" s="4">
        <v>375</v>
      </c>
      <c r="E39" s="5">
        <v>4.125</v>
      </c>
    </row>
    <row r="40" spans="1:5" x14ac:dyDescent="0.25">
      <c r="A40" s="2">
        <v>46126</v>
      </c>
      <c r="B40" s="3" t="s">
        <v>13</v>
      </c>
      <c r="C40" s="3" t="s">
        <v>54</v>
      </c>
      <c r="D40" s="4">
        <v>89</v>
      </c>
      <c r="E40" s="5">
        <v>0.48060000000000003</v>
      </c>
    </row>
    <row r="41" spans="1:5" x14ac:dyDescent="0.25">
      <c r="A41" s="2">
        <v>46127</v>
      </c>
      <c r="B41" s="3" t="s">
        <v>56</v>
      </c>
      <c r="C41" s="3" t="s">
        <v>55</v>
      </c>
      <c r="D41" s="4">
        <v>35</v>
      </c>
      <c r="E41" s="5">
        <v>0.42</v>
      </c>
    </row>
    <row r="42" spans="1:5" x14ac:dyDescent="0.25">
      <c r="A42" s="2">
        <v>46127</v>
      </c>
      <c r="B42" s="3" t="s">
        <v>13</v>
      </c>
      <c r="C42" s="3" t="s">
        <v>54</v>
      </c>
      <c r="D42" s="4">
        <v>111</v>
      </c>
      <c r="E42" s="5">
        <v>0.59939999999999993</v>
      </c>
    </row>
    <row r="43" spans="1:5" x14ac:dyDescent="0.25">
      <c r="A43" s="2">
        <v>46128</v>
      </c>
      <c r="B43" s="3" t="s">
        <v>9</v>
      </c>
      <c r="C43" s="3" t="s">
        <v>12</v>
      </c>
      <c r="D43" s="4">
        <v>390</v>
      </c>
      <c r="E43" s="5">
        <v>4.29</v>
      </c>
    </row>
    <row r="44" spans="1:5" x14ac:dyDescent="0.25">
      <c r="A44" s="2">
        <v>46128</v>
      </c>
      <c r="B44" s="3" t="s">
        <v>5</v>
      </c>
      <c r="C44" s="3" t="s">
        <v>57</v>
      </c>
      <c r="D44" s="4">
        <v>100</v>
      </c>
      <c r="E44" s="5">
        <v>2.41</v>
      </c>
    </row>
    <row r="45" spans="1:5" x14ac:dyDescent="0.25">
      <c r="A45" s="2">
        <v>46128</v>
      </c>
      <c r="B45" s="3" t="s">
        <v>5</v>
      </c>
      <c r="C45" s="3" t="s">
        <v>58</v>
      </c>
      <c r="D45" s="4">
        <v>150</v>
      </c>
      <c r="E45" s="5">
        <v>3.7275</v>
      </c>
    </row>
    <row r="46" spans="1:5" x14ac:dyDescent="0.25">
      <c r="A46" s="2">
        <v>46129</v>
      </c>
      <c r="B46" s="3" t="s">
        <v>8</v>
      </c>
      <c r="C46" s="3" t="s">
        <v>59</v>
      </c>
      <c r="D46" s="4">
        <v>12</v>
      </c>
      <c r="E46" s="5">
        <v>0.15240000000000001</v>
      </c>
    </row>
    <row r="47" spans="1:5" x14ac:dyDescent="0.25">
      <c r="A47" s="2">
        <v>46129</v>
      </c>
      <c r="B47" s="3" t="s">
        <v>8</v>
      </c>
      <c r="C47" s="3" t="s">
        <v>60</v>
      </c>
      <c r="D47" s="4">
        <v>71</v>
      </c>
      <c r="E47" s="5">
        <v>1.0791857999999999</v>
      </c>
    </row>
    <row r="48" spans="1:5" x14ac:dyDescent="0.25">
      <c r="A48" s="2">
        <v>46130</v>
      </c>
      <c r="B48" s="3" t="s">
        <v>5</v>
      </c>
      <c r="C48" s="3" t="s">
        <v>61</v>
      </c>
      <c r="D48" s="4">
        <v>150</v>
      </c>
      <c r="E48" s="5">
        <v>3.9704999999999999</v>
      </c>
    </row>
    <row r="49" spans="1:8" x14ac:dyDescent="0.25">
      <c r="A49" s="2">
        <v>46130</v>
      </c>
      <c r="B49" s="3" t="s">
        <v>5</v>
      </c>
      <c r="C49" s="3" t="s">
        <v>62</v>
      </c>
      <c r="D49" s="4">
        <v>58</v>
      </c>
      <c r="E49" s="5">
        <v>1.0555999999999999</v>
      </c>
    </row>
    <row r="50" spans="1:8" x14ac:dyDescent="0.25">
      <c r="A50" s="2">
        <v>46130</v>
      </c>
      <c r="B50" s="3" t="s">
        <v>5</v>
      </c>
      <c r="C50" s="3" t="s">
        <v>63</v>
      </c>
      <c r="D50" s="4">
        <v>90</v>
      </c>
      <c r="E50" s="5">
        <v>0.92700000000000005</v>
      </c>
    </row>
    <row r="51" spans="1:8" x14ac:dyDescent="0.25">
      <c r="A51" s="2">
        <v>46130</v>
      </c>
      <c r="B51" s="3" t="s">
        <v>5</v>
      </c>
      <c r="C51" s="3" t="s">
        <v>64</v>
      </c>
      <c r="D51" s="4">
        <v>50</v>
      </c>
      <c r="E51" s="5">
        <v>0.66500000000000004</v>
      </c>
    </row>
    <row r="52" spans="1:8" x14ac:dyDescent="0.25">
      <c r="A52" s="2">
        <v>46134</v>
      </c>
      <c r="B52" s="6" t="s">
        <v>65</v>
      </c>
      <c r="C52" s="6" t="s">
        <v>66</v>
      </c>
      <c r="D52" s="6">
        <v>30</v>
      </c>
      <c r="E52" s="5">
        <v>0.18287999999999999</v>
      </c>
      <c r="F52" s="7"/>
      <c r="H52" s="7"/>
    </row>
    <row r="53" spans="1:8" x14ac:dyDescent="0.25">
      <c r="A53" s="2">
        <v>46135</v>
      </c>
      <c r="B53" s="6" t="s">
        <v>9</v>
      </c>
      <c r="C53" s="6" t="s">
        <v>12</v>
      </c>
      <c r="D53" s="6">
        <v>375</v>
      </c>
      <c r="E53" s="5">
        <v>4.125</v>
      </c>
      <c r="F53" s="7"/>
      <c r="H53" s="7"/>
    </row>
    <row r="54" spans="1:8" x14ac:dyDescent="0.25">
      <c r="A54" s="2">
        <v>46135</v>
      </c>
      <c r="B54" s="6" t="s">
        <v>5</v>
      </c>
      <c r="C54" s="6" t="s">
        <v>67</v>
      </c>
      <c r="D54" s="6">
        <v>100</v>
      </c>
      <c r="E54" s="5">
        <v>2.4860000000000002</v>
      </c>
      <c r="F54" s="7"/>
      <c r="H54" s="7"/>
    </row>
    <row r="55" spans="1:8" x14ac:dyDescent="0.25">
      <c r="A55" s="2">
        <v>46135</v>
      </c>
      <c r="B55" s="6" t="s">
        <v>5</v>
      </c>
      <c r="C55" s="6" t="s">
        <v>61</v>
      </c>
      <c r="D55" s="6">
        <v>150</v>
      </c>
      <c r="E55" s="5">
        <v>3.9704999999999999</v>
      </c>
      <c r="F55" s="7"/>
      <c r="H55" s="7"/>
    </row>
    <row r="56" spans="1:8" x14ac:dyDescent="0.25">
      <c r="A56" s="2">
        <v>46135</v>
      </c>
      <c r="B56" s="6" t="s">
        <v>5</v>
      </c>
      <c r="C56" s="6" t="s">
        <v>63</v>
      </c>
      <c r="D56" s="6">
        <v>25</v>
      </c>
      <c r="E56" s="5">
        <v>0.25750000000000001</v>
      </c>
      <c r="F56" s="7"/>
      <c r="H56" s="7"/>
    </row>
    <row r="57" spans="1:8" x14ac:dyDescent="0.25">
      <c r="A57" s="2">
        <v>46135</v>
      </c>
      <c r="B57" s="6" t="s">
        <v>32</v>
      </c>
      <c r="C57" s="6" t="s">
        <v>34</v>
      </c>
      <c r="D57" s="6">
        <v>64</v>
      </c>
      <c r="E57" s="5">
        <v>1.5436800000000002</v>
      </c>
      <c r="F57" s="7"/>
      <c r="H57" s="7"/>
    </row>
    <row r="58" spans="1:8" x14ac:dyDescent="0.25">
      <c r="A58" s="2">
        <v>46135</v>
      </c>
      <c r="B58" s="6" t="s">
        <v>32</v>
      </c>
      <c r="C58" s="6" t="s">
        <v>36</v>
      </c>
      <c r="D58" s="6">
        <v>90</v>
      </c>
      <c r="E58" s="5">
        <v>1.0485</v>
      </c>
      <c r="F58" s="7"/>
      <c r="H58" s="7"/>
    </row>
    <row r="59" spans="1:8" x14ac:dyDescent="0.25">
      <c r="A59" s="2">
        <v>46197</v>
      </c>
      <c r="B59" s="6" t="s">
        <v>68</v>
      </c>
      <c r="C59" s="6" t="s">
        <v>69</v>
      </c>
      <c r="D59" s="6">
        <v>100</v>
      </c>
      <c r="E59" s="5">
        <v>0.88995000000000002</v>
      </c>
      <c r="F59" s="7"/>
      <c r="H59" s="7"/>
    </row>
    <row r="60" spans="1:8" x14ac:dyDescent="0.25">
      <c r="A60" s="2">
        <v>46200</v>
      </c>
      <c r="B60" s="6" t="s">
        <v>70</v>
      </c>
      <c r="C60" s="6" t="s">
        <v>71</v>
      </c>
      <c r="D60" s="6">
        <v>100</v>
      </c>
      <c r="E60" s="5">
        <v>2.1680999999999999</v>
      </c>
      <c r="F60" s="7"/>
      <c r="H60" s="7"/>
    </row>
    <row r="61" spans="1:8" x14ac:dyDescent="0.25">
      <c r="A61" s="2">
        <v>46200</v>
      </c>
      <c r="B61" s="6" t="s">
        <v>5</v>
      </c>
      <c r="C61" s="6" t="s">
        <v>58</v>
      </c>
      <c r="D61" s="6">
        <v>25</v>
      </c>
      <c r="E61" s="5">
        <v>0.62124999999999997</v>
      </c>
      <c r="F61" s="7"/>
      <c r="H61" s="7"/>
    </row>
    <row r="62" spans="1:8" x14ac:dyDescent="0.25">
      <c r="A62" s="2">
        <v>46200</v>
      </c>
      <c r="B62" s="6" t="s">
        <v>5</v>
      </c>
      <c r="C62" s="6" t="s">
        <v>72</v>
      </c>
      <c r="D62" s="6">
        <v>30</v>
      </c>
      <c r="E62" s="5">
        <v>0.73050000000000004</v>
      </c>
      <c r="F62" s="7"/>
      <c r="H62" s="7"/>
    </row>
    <row r="63" spans="1:8" x14ac:dyDescent="0.25">
      <c r="A63" s="2">
        <v>46200</v>
      </c>
      <c r="B63" s="6" t="s">
        <v>5</v>
      </c>
      <c r="C63" s="6" t="s">
        <v>62</v>
      </c>
      <c r="D63" s="6">
        <v>42</v>
      </c>
      <c r="E63" s="5">
        <v>0.76439999999999997</v>
      </c>
      <c r="F63" s="7"/>
      <c r="H63" s="7"/>
    </row>
    <row r="64" spans="1:8" x14ac:dyDescent="0.25">
      <c r="A64" s="2">
        <v>46200</v>
      </c>
      <c r="B64" s="6" t="s">
        <v>5</v>
      </c>
      <c r="C64" s="6" t="s">
        <v>58</v>
      </c>
      <c r="D64" s="6">
        <v>250</v>
      </c>
      <c r="E64" s="5">
        <v>6.2125000000000004</v>
      </c>
      <c r="F64" s="7"/>
      <c r="H64" s="7"/>
    </row>
    <row r="65" spans="1:5" hidden="1" x14ac:dyDescent="0.25">
      <c r="A65" s="6"/>
      <c r="B65" s="6"/>
      <c r="C65" s="6"/>
      <c r="D65" s="6"/>
      <c r="E65" s="6"/>
    </row>
    <row r="66" spans="1:5" hidden="1" x14ac:dyDescent="0.25">
      <c r="A66" s="6"/>
      <c r="B66" s="6"/>
      <c r="C66" s="6"/>
      <c r="D66" s="6"/>
      <c r="E66" s="6"/>
    </row>
    <row r="67" spans="1:5" hidden="1" x14ac:dyDescent="0.25">
      <c r="A67" s="6"/>
      <c r="B67" s="6"/>
      <c r="C67" s="6"/>
      <c r="D67" s="6"/>
      <c r="E67" s="6"/>
    </row>
    <row r="68" spans="1:5" hidden="1" x14ac:dyDescent="0.25">
      <c r="A68" s="6"/>
      <c r="B68" s="6"/>
      <c r="C68" s="6"/>
      <c r="D68" s="6"/>
      <c r="E68" s="6"/>
    </row>
    <row r="69" spans="1:5" hidden="1" x14ac:dyDescent="0.25">
      <c r="A69" s="6"/>
      <c r="B69" s="6"/>
      <c r="C69" s="6"/>
      <c r="D69" s="6"/>
      <c r="E69" s="6"/>
    </row>
    <row r="70" spans="1:5" hidden="1" x14ac:dyDescent="0.25">
      <c r="A70" s="6"/>
      <c r="B70" s="6"/>
      <c r="C70" s="6"/>
      <c r="D70" s="6"/>
      <c r="E70" s="6"/>
    </row>
    <row r="71" spans="1:5" x14ac:dyDescent="0.25">
      <c r="A71" s="9" t="s">
        <v>17</v>
      </c>
      <c r="B71" s="9"/>
      <c r="C71" s="9"/>
      <c r="D71" s="9"/>
      <c r="E71" s="5">
        <f>SUM(E2:E70)</f>
        <v>168.22250329999997</v>
      </c>
    </row>
  </sheetData>
  <mergeCells count="1">
    <mergeCell ref="A71:D7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topLeftCell="A73" workbookViewId="0">
      <selection activeCell="C78" sqref="C78"/>
    </sheetView>
  </sheetViews>
  <sheetFormatPr defaultRowHeight="15" x14ac:dyDescent="0.25"/>
  <cols>
    <col min="1" max="1" width="11.85546875" bestFit="1" customWidth="1"/>
    <col min="2" max="2" width="35.5703125" bestFit="1" customWidth="1"/>
    <col min="3" max="3" width="68.42578125" customWidth="1"/>
    <col min="4" max="4" width="4.85546875" bestFit="1" customWidth="1"/>
    <col min="5" max="5" width="13.140625" customWidth="1"/>
    <col min="7" max="7" width="42.28515625" customWidth="1"/>
  </cols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92</v>
      </c>
      <c r="G1" s="11" t="s">
        <v>93</v>
      </c>
    </row>
    <row r="2" spans="1:7" s="8" customFormat="1" x14ac:dyDescent="0.25">
      <c r="A2" s="12">
        <v>46144</v>
      </c>
      <c r="B2" s="13" t="s">
        <v>15</v>
      </c>
      <c r="C2" s="13" t="s">
        <v>91</v>
      </c>
      <c r="D2" s="14">
        <v>120</v>
      </c>
      <c r="E2" s="15">
        <f>F2/1000</f>
        <v>0.76800000000000002</v>
      </c>
      <c r="F2" s="15">
        <v>768</v>
      </c>
      <c r="G2" s="16" t="s">
        <v>94</v>
      </c>
    </row>
    <row r="3" spans="1:7" s="8" customFormat="1" x14ac:dyDescent="0.25">
      <c r="A3" s="12">
        <v>46144</v>
      </c>
      <c r="B3" s="13" t="s">
        <v>73</v>
      </c>
      <c r="C3" s="13" t="s">
        <v>74</v>
      </c>
      <c r="D3" s="14">
        <v>88</v>
      </c>
      <c r="E3" s="15">
        <f t="shared" ref="E3:E66" si="0">F3/1000</f>
        <v>0.61599999999999999</v>
      </c>
      <c r="F3" s="17">
        <v>616</v>
      </c>
      <c r="G3" s="16" t="s">
        <v>95</v>
      </c>
    </row>
    <row r="4" spans="1:7" s="8" customFormat="1" x14ac:dyDescent="0.25">
      <c r="A4" s="12">
        <v>46144</v>
      </c>
      <c r="B4" s="13" t="s">
        <v>73</v>
      </c>
      <c r="C4" s="13" t="s">
        <v>75</v>
      </c>
      <c r="D4" s="14">
        <v>25</v>
      </c>
      <c r="E4" s="15">
        <f t="shared" si="0"/>
        <v>0.19</v>
      </c>
      <c r="F4" s="17">
        <v>190</v>
      </c>
      <c r="G4" s="16" t="s">
        <v>95</v>
      </c>
    </row>
    <row r="5" spans="1:7" s="8" customFormat="1" x14ac:dyDescent="0.25">
      <c r="A5" s="12">
        <v>46146</v>
      </c>
      <c r="B5" s="13" t="s">
        <v>76</v>
      </c>
      <c r="C5" s="13" t="s">
        <v>77</v>
      </c>
      <c r="D5" s="14">
        <v>60</v>
      </c>
      <c r="E5" s="15">
        <f t="shared" si="0"/>
        <v>0.29460000000000003</v>
      </c>
      <c r="F5" s="17">
        <v>294.60000000000002</v>
      </c>
      <c r="G5" s="16" t="s">
        <v>96</v>
      </c>
    </row>
    <row r="6" spans="1:7" s="8" customFormat="1" x14ac:dyDescent="0.25">
      <c r="A6" s="12">
        <v>46146</v>
      </c>
      <c r="B6" s="13" t="s">
        <v>9</v>
      </c>
      <c r="C6" s="13" t="s">
        <v>42</v>
      </c>
      <c r="D6" s="14">
        <v>333</v>
      </c>
      <c r="E6" s="15">
        <f t="shared" si="0"/>
        <v>5.6778164999999996</v>
      </c>
      <c r="F6" s="17">
        <v>5677.8164999999999</v>
      </c>
      <c r="G6" s="18" t="s">
        <v>97</v>
      </c>
    </row>
    <row r="7" spans="1:7" s="8" customFormat="1" x14ac:dyDescent="0.25">
      <c r="A7" s="12">
        <v>46146</v>
      </c>
      <c r="B7" s="13" t="s">
        <v>15</v>
      </c>
      <c r="C7" s="13" t="s">
        <v>16</v>
      </c>
      <c r="D7" s="14">
        <v>4107</v>
      </c>
      <c r="E7" s="15">
        <f t="shared" si="0"/>
        <v>49.283999999999999</v>
      </c>
      <c r="F7" s="17">
        <v>49284</v>
      </c>
      <c r="G7" s="16" t="s">
        <v>98</v>
      </c>
    </row>
    <row r="8" spans="1:7" s="8" customFormat="1" x14ac:dyDescent="0.25">
      <c r="A8" s="12">
        <v>46146</v>
      </c>
      <c r="B8" s="13" t="s">
        <v>56</v>
      </c>
      <c r="C8" s="13" t="s">
        <v>78</v>
      </c>
      <c r="D8" s="14">
        <v>155</v>
      </c>
      <c r="E8" s="15">
        <f t="shared" si="0"/>
        <v>3.2937500000000002</v>
      </c>
      <c r="F8" s="17">
        <v>3293.75</v>
      </c>
      <c r="G8" s="18" t="s">
        <v>99</v>
      </c>
    </row>
    <row r="9" spans="1:7" s="8" customFormat="1" x14ac:dyDescent="0.25">
      <c r="A9" s="12">
        <v>46146</v>
      </c>
      <c r="B9" s="13" t="s">
        <v>56</v>
      </c>
      <c r="C9" s="13" t="s">
        <v>79</v>
      </c>
      <c r="D9" s="14">
        <v>164</v>
      </c>
      <c r="E9" s="15">
        <f t="shared" si="0"/>
        <v>3.4603999999999999</v>
      </c>
      <c r="F9" s="17">
        <v>3460.4</v>
      </c>
      <c r="G9" s="18" t="s">
        <v>99</v>
      </c>
    </row>
    <row r="10" spans="1:7" s="8" customFormat="1" x14ac:dyDescent="0.25">
      <c r="A10" s="12">
        <v>46146</v>
      </c>
      <c r="B10" s="13" t="s">
        <v>76</v>
      </c>
      <c r="C10" s="13" t="s">
        <v>80</v>
      </c>
      <c r="D10" s="14">
        <v>215</v>
      </c>
      <c r="E10" s="15">
        <f t="shared" si="0"/>
        <v>4.0419999999999998</v>
      </c>
      <c r="F10" s="17">
        <v>4042</v>
      </c>
      <c r="G10" s="18" t="s">
        <v>99</v>
      </c>
    </row>
    <row r="11" spans="1:7" s="8" customFormat="1" x14ac:dyDescent="0.25">
      <c r="A11" s="12">
        <v>46146</v>
      </c>
      <c r="B11" s="13" t="s">
        <v>76</v>
      </c>
      <c r="C11" s="13" t="s">
        <v>81</v>
      </c>
      <c r="D11" s="14">
        <v>200</v>
      </c>
      <c r="E11" s="15">
        <f t="shared" si="0"/>
        <v>3.64</v>
      </c>
      <c r="F11" s="17">
        <v>3640</v>
      </c>
      <c r="G11" s="18" t="s">
        <v>99</v>
      </c>
    </row>
    <row r="12" spans="1:7" s="8" customFormat="1" x14ac:dyDescent="0.25">
      <c r="A12" s="12">
        <v>46148</v>
      </c>
      <c r="B12" s="13" t="s">
        <v>5</v>
      </c>
      <c r="C12" s="13" t="s">
        <v>67</v>
      </c>
      <c r="D12" s="14">
        <v>50</v>
      </c>
      <c r="E12" s="15">
        <f t="shared" si="0"/>
        <v>1.2430000000000001</v>
      </c>
      <c r="F12" s="17">
        <v>1243</v>
      </c>
      <c r="G12" s="18" t="s">
        <v>99</v>
      </c>
    </row>
    <row r="13" spans="1:7" s="8" customFormat="1" x14ac:dyDescent="0.25">
      <c r="A13" s="12">
        <v>46148</v>
      </c>
      <c r="B13" s="13" t="s">
        <v>5</v>
      </c>
      <c r="C13" s="13" t="s">
        <v>58</v>
      </c>
      <c r="D13" s="14">
        <v>215</v>
      </c>
      <c r="E13" s="15">
        <f t="shared" si="0"/>
        <v>5.3427499999999997</v>
      </c>
      <c r="F13" s="17">
        <v>5342.75</v>
      </c>
      <c r="G13" s="18" t="s">
        <v>99</v>
      </c>
    </row>
    <row r="14" spans="1:7" s="8" customFormat="1" x14ac:dyDescent="0.25">
      <c r="A14" s="12">
        <v>46148</v>
      </c>
      <c r="B14" s="13" t="s">
        <v>82</v>
      </c>
      <c r="C14" s="13" t="s">
        <v>83</v>
      </c>
      <c r="D14" s="14">
        <v>5</v>
      </c>
      <c r="E14" s="15">
        <f t="shared" si="0"/>
        <v>6.8750000000000006E-2</v>
      </c>
      <c r="F14" s="17">
        <v>68.75</v>
      </c>
      <c r="G14" s="16" t="s">
        <v>100</v>
      </c>
    </row>
    <row r="15" spans="1:7" s="8" customFormat="1" x14ac:dyDescent="0.25">
      <c r="A15" s="12">
        <v>46148</v>
      </c>
      <c r="B15" s="13" t="s">
        <v>82</v>
      </c>
      <c r="C15" s="13" t="s">
        <v>84</v>
      </c>
      <c r="D15" s="14">
        <v>20</v>
      </c>
      <c r="E15" s="15">
        <f t="shared" si="0"/>
        <v>0.09</v>
      </c>
      <c r="F15" s="17">
        <v>90</v>
      </c>
      <c r="G15" s="16" t="s">
        <v>100</v>
      </c>
    </row>
    <row r="16" spans="1:7" s="8" customFormat="1" x14ac:dyDescent="0.25">
      <c r="A16" s="12">
        <v>46149</v>
      </c>
      <c r="B16" s="13" t="s">
        <v>85</v>
      </c>
      <c r="C16" s="13" t="s">
        <v>86</v>
      </c>
      <c r="D16" s="14">
        <v>244</v>
      </c>
      <c r="E16" s="15">
        <f t="shared" si="0"/>
        <v>4.3188000000000004</v>
      </c>
      <c r="F16" s="17">
        <v>4318.8</v>
      </c>
      <c r="G16" s="18" t="s">
        <v>97</v>
      </c>
    </row>
    <row r="17" spans="1:7" s="8" customFormat="1" x14ac:dyDescent="0.25">
      <c r="A17" s="12">
        <v>46150</v>
      </c>
      <c r="B17" s="13" t="s">
        <v>87</v>
      </c>
      <c r="C17" s="13" t="s">
        <v>88</v>
      </c>
      <c r="D17" s="14">
        <v>44</v>
      </c>
      <c r="E17" s="15">
        <f t="shared" si="0"/>
        <v>0.51479999999999992</v>
      </c>
      <c r="F17" s="17">
        <v>514.79999999999995</v>
      </c>
      <c r="G17" s="16" t="s">
        <v>101</v>
      </c>
    </row>
    <row r="18" spans="1:7" s="8" customFormat="1" x14ac:dyDescent="0.25">
      <c r="A18" s="12">
        <v>46150</v>
      </c>
      <c r="B18" s="13" t="s">
        <v>87</v>
      </c>
      <c r="C18" s="13" t="s">
        <v>89</v>
      </c>
      <c r="D18" s="14">
        <v>22</v>
      </c>
      <c r="E18" s="15">
        <f t="shared" si="0"/>
        <v>0.48399999999999999</v>
      </c>
      <c r="F18" s="17">
        <v>484</v>
      </c>
      <c r="G18" s="16" t="s">
        <v>101</v>
      </c>
    </row>
    <row r="19" spans="1:7" s="8" customFormat="1" x14ac:dyDescent="0.25">
      <c r="A19" s="12">
        <v>46150</v>
      </c>
      <c r="B19" s="13" t="s">
        <v>87</v>
      </c>
      <c r="C19" s="13" t="s">
        <v>90</v>
      </c>
      <c r="D19" s="14">
        <v>20</v>
      </c>
      <c r="E19" s="15">
        <f t="shared" si="0"/>
        <v>0.24303999999999998</v>
      </c>
      <c r="F19" s="17">
        <v>243.04</v>
      </c>
      <c r="G19" s="16" t="s">
        <v>101</v>
      </c>
    </row>
    <row r="20" spans="1:7" s="8" customFormat="1" x14ac:dyDescent="0.25">
      <c r="A20" s="12">
        <v>46151</v>
      </c>
      <c r="B20" s="13" t="s">
        <v>102</v>
      </c>
      <c r="C20" s="13" t="s">
        <v>103</v>
      </c>
      <c r="D20" s="14">
        <v>50</v>
      </c>
      <c r="E20" s="15">
        <f t="shared" si="0"/>
        <v>0.55500000000000005</v>
      </c>
      <c r="F20" s="17">
        <v>555</v>
      </c>
      <c r="G20" s="18" t="s">
        <v>99</v>
      </c>
    </row>
    <row r="21" spans="1:7" s="8" customFormat="1" x14ac:dyDescent="0.25">
      <c r="A21" s="12">
        <v>46151</v>
      </c>
      <c r="B21" s="13" t="s">
        <v>102</v>
      </c>
      <c r="C21" s="13" t="s">
        <v>104</v>
      </c>
      <c r="D21" s="14">
        <v>30</v>
      </c>
      <c r="E21" s="15">
        <f t="shared" si="0"/>
        <v>0.33300000000000002</v>
      </c>
      <c r="F21" s="17">
        <v>333</v>
      </c>
      <c r="G21" s="18" t="s">
        <v>99</v>
      </c>
    </row>
    <row r="22" spans="1:7" s="8" customFormat="1" x14ac:dyDescent="0.25">
      <c r="A22" s="12">
        <v>46151</v>
      </c>
      <c r="B22" s="13" t="s">
        <v>56</v>
      </c>
      <c r="C22" s="13" t="s">
        <v>78</v>
      </c>
      <c r="D22" s="14">
        <v>95</v>
      </c>
      <c r="E22" s="15">
        <f t="shared" si="0"/>
        <v>2.0187499999999998</v>
      </c>
      <c r="F22" s="17">
        <v>2018.75</v>
      </c>
      <c r="G22" s="18" t="s">
        <v>99</v>
      </c>
    </row>
    <row r="23" spans="1:7" s="8" customFormat="1" x14ac:dyDescent="0.25">
      <c r="A23" s="12">
        <v>46151</v>
      </c>
      <c r="B23" s="13" t="s">
        <v>56</v>
      </c>
      <c r="C23" s="13" t="s">
        <v>79</v>
      </c>
      <c r="D23" s="14">
        <v>211</v>
      </c>
      <c r="E23" s="15">
        <f t="shared" si="0"/>
        <v>4.4521000000000006</v>
      </c>
      <c r="F23" s="17">
        <v>4452.1000000000004</v>
      </c>
      <c r="G23" s="18" t="s">
        <v>99</v>
      </c>
    </row>
    <row r="24" spans="1:7" s="8" customFormat="1" x14ac:dyDescent="0.25">
      <c r="A24" s="12">
        <v>46151</v>
      </c>
      <c r="B24" s="13" t="s">
        <v>105</v>
      </c>
      <c r="C24" s="13" t="s">
        <v>106</v>
      </c>
      <c r="D24" s="14">
        <v>5</v>
      </c>
      <c r="E24" s="15">
        <f t="shared" si="0"/>
        <v>2.0279999999999999E-2</v>
      </c>
      <c r="F24" s="17">
        <v>20.28</v>
      </c>
      <c r="G24" s="18" t="s">
        <v>99</v>
      </c>
    </row>
    <row r="25" spans="1:7" x14ac:dyDescent="0.25">
      <c r="A25" s="19">
        <v>46154</v>
      </c>
      <c r="B25" s="20" t="s">
        <v>15</v>
      </c>
      <c r="C25" s="20" t="s">
        <v>16</v>
      </c>
      <c r="D25" s="21">
        <v>196</v>
      </c>
      <c r="E25" s="20">
        <f t="shared" si="0"/>
        <v>2.3519999999999999</v>
      </c>
      <c r="F25" s="20">
        <v>2352</v>
      </c>
      <c r="G25" s="18" t="s">
        <v>99</v>
      </c>
    </row>
    <row r="26" spans="1:7" x14ac:dyDescent="0.25">
      <c r="A26" s="19">
        <v>46154</v>
      </c>
      <c r="B26" s="20" t="s">
        <v>9</v>
      </c>
      <c r="C26" s="20" t="s">
        <v>107</v>
      </c>
      <c r="D26" s="22">
        <v>50</v>
      </c>
      <c r="E26" s="20">
        <f t="shared" si="0"/>
        <v>0.315</v>
      </c>
      <c r="F26" s="22">
        <v>315</v>
      </c>
      <c r="G26" s="18" t="s">
        <v>97</v>
      </c>
    </row>
    <row r="27" spans="1:7" x14ac:dyDescent="0.25">
      <c r="A27" s="19">
        <v>46154</v>
      </c>
      <c r="B27" s="20" t="s">
        <v>9</v>
      </c>
      <c r="C27" s="20" t="s">
        <v>108</v>
      </c>
      <c r="D27" s="22">
        <v>25</v>
      </c>
      <c r="E27" s="20">
        <f t="shared" si="0"/>
        <v>0.16825000000000001</v>
      </c>
      <c r="F27" s="22">
        <v>168.25</v>
      </c>
      <c r="G27" s="18" t="s">
        <v>97</v>
      </c>
    </row>
    <row r="28" spans="1:7" x14ac:dyDescent="0.25">
      <c r="A28" s="19">
        <v>46154</v>
      </c>
      <c r="B28" s="20" t="s">
        <v>9</v>
      </c>
      <c r="C28" s="20" t="s">
        <v>11</v>
      </c>
      <c r="D28" s="22">
        <v>300</v>
      </c>
      <c r="E28" s="20">
        <f t="shared" si="0"/>
        <v>3.5339999999999998</v>
      </c>
      <c r="F28" s="22">
        <v>3534</v>
      </c>
      <c r="G28" s="18" t="s">
        <v>97</v>
      </c>
    </row>
    <row r="29" spans="1:7" x14ac:dyDescent="0.25">
      <c r="A29" s="19">
        <v>46154</v>
      </c>
      <c r="B29" s="20" t="s">
        <v>9</v>
      </c>
      <c r="C29" s="20" t="s">
        <v>10</v>
      </c>
      <c r="D29" s="22">
        <v>150</v>
      </c>
      <c r="E29" s="20">
        <f t="shared" si="0"/>
        <v>2.5154999999999998</v>
      </c>
      <c r="F29" s="22">
        <v>2515.5</v>
      </c>
      <c r="G29" s="18" t="s">
        <v>97</v>
      </c>
    </row>
    <row r="30" spans="1:7" x14ac:dyDescent="0.25">
      <c r="A30" s="19">
        <v>46155</v>
      </c>
      <c r="B30" s="20" t="s">
        <v>15</v>
      </c>
      <c r="C30" s="20" t="s">
        <v>16</v>
      </c>
      <c r="D30" s="21">
        <v>151</v>
      </c>
      <c r="E30" s="20">
        <f t="shared" si="0"/>
        <v>1.8120000000000001</v>
      </c>
      <c r="F30" s="20">
        <v>1812</v>
      </c>
      <c r="G30" s="18" t="s">
        <v>99</v>
      </c>
    </row>
    <row r="31" spans="1:7" x14ac:dyDescent="0.25">
      <c r="A31" s="19">
        <v>46155</v>
      </c>
      <c r="B31" s="20" t="s">
        <v>70</v>
      </c>
      <c r="C31" s="20" t="s">
        <v>109</v>
      </c>
      <c r="D31" s="21">
        <v>26</v>
      </c>
      <c r="E31" s="20">
        <f t="shared" si="0"/>
        <v>0.61385999999999996</v>
      </c>
      <c r="F31" s="20">
        <v>613.86</v>
      </c>
      <c r="G31" s="23" t="s">
        <v>123</v>
      </c>
    </row>
    <row r="32" spans="1:7" x14ac:dyDescent="0.25">
      <c r="A32" s="19">
        <v>46155</v>
      </c>
      <c r="B32" s="20" t="s">
        <v>85</v>
      </c>
      <c r="C32" s="20" t="s">
        <v>110</v>
      </c>
      <c r="D32" s="20">
        <v>88</v>
      </c>
      <c r="E32" s="20">
        <f t="shared" si="0"/>
        <v>1.8651600000000002</v>
      </c>
      <c r="F32" s="20">
        <v>1865.16</v>
      </c>
      <c r="G32" s="18" t="s">
        <v>97</v>
      </c>
    </row>
    <row r="33" spans="1:7" x14ac:dyDescent="0.25">
      <c r="A33" s="19">
        <v>46155</v>
      </c>
      <c r="B33" s="20" t="s">
        <v>85</v>
      </c>
      <c r="C33" s="20" t="s">
        <v>111</v>
      </c>
      <c r="D33" s="20">
        <v>118</v>
      </c>
      <c r="E33" s="20">
        <f t="shared" si="0"/>
        <v>1.1092</v>
      </c>
      <c r="F33" s="20">
        <v>1109.2</v>
      </c>
      <c r="G33" s="18" t="s">
        <v>97</v>
      </c>
    </row>
    <row r="34" spans="1:7" x14ac:dyDescent="0.25">
      <c r="A34" s="19">
        <v>46155</v>
      </c>
      <c r="B34" s="20" t="s">
        <v>85</v>
      </c>
      <c r="C34" s="20" t="s">
        <v>112</v>
      </c>
      <c r="D34" s="20">
        <v>30</v>
      </c>
      <c r="E34" s="20">
        <f t="shared" si="0"/>
        <v>1.1999999999999999E-3</v>
      </c>
      <c r="F34" s="20">
        <v>1.2</v>
      </c>
      <c r="G34" s="18" t="s">
        <v>97</v>
      </c>
    </row>
    <row r="35" spans="1:7" x14ac:dyDescent="0.25">
      <c r="A35" s="19">
        <v>46155</v>
      </c>
      <c r="B35" s="20" t="s">
        <v>85</v>
      </c>
      <c r="C35" s="20" t="s">
        <v>86</v>
      </c>
      <c r="D35" s="20">
        <v>86</v>
      </c>
      <c r="E35" s="20">
        <f t="shared" si="0"/>
        <v>1.5222</v>
      </c>
      <c r="F35" s="20">
        <v>1522.2</v>
      </c>
      <c r="G35" s="18" t="s">
        <v>97</v>
      </c>
    </row>
    <row r="36" spans="1:7" x14ac:dyDescent="0.25">
      <c r="A36" s="19">
        <v>46157</v>
      </c>
      <c r="B36" s="20" t="s">
        <v>8</v>
      </c>
      <c r="C36" s="20" t="s">
        <v>113</v>
      </c>
      <c r="D36" s="21">
        <v>500</v>
      </c>
      <c r="E36" s="20">
        <f t="shared" si="0"/>
        <v>7.9099799999999991</v>
      </c>
      <c r="F36" s="20">
        <v>7909.98</v>
      </c>
      <c r="G36" s="23" t="s">
        <v>124</v>
      </c>
    </row>
    <row r="37" spans="1:7" x14ac:dyDescent="0.25">
      <c r="A37" s="19">
        <v>46157</v>
      </c>
      <c r="B37" s="20" t="s">
        <v>8</v>
      </c>
      <c r="C37" s="20" t="s">
        <v>113</v>
      </c>
      <c r="D37" s="21">
        <v>500</v>
      </c>
      <c r="E37" s="20">
        <f t="shared" si="0"/>
        <v>7.9099799999999991</v>
      </c>
      <c r="F37" s="20">
        <v>7909.98</v>
      </c>
      <c r="G37" s="23" t="s">
        <v>124</v>
      </c>
    </row>
    <row r="38" spans="1:7" x14ac:dyDescent="0.25">
      <c r="A38" s="19">
        <v>46157</v>
      </c>
      <c r="B38" s="20" t="s">
        <v>8</v>
      </c>
      <c r="C38" s="20" t="s">
        <v>113</v>
      </c>
      <c r="D38" s="22">
        <v>1000</v>
      </c>
      <c r="E38" s="20">
        <f t="shared" si="0"/>
        <v>15.819959999999998</v>
      </c>
      <c r="F38" s="22">
        <v>15819.96</v>
      </c>
      <c r="G38" s="23" t="s">
        <v>124</v>
      </c>
    </row>
    <row r="39" spans="1:7" x14ac:dyDescent="0.25">
      <c r="A39" s="19">
        <v>46157</v>
      </c>
      <c r="B39" s="20" t="s">
        <v>8</v>
      </c>
      <c r="C39" s="20" t="s">
        <v>113</v>
      </c>
      <c r="D39" s="22">
        <v>500</v>
      </c>
      <c r="E39" s="20">
        <f t="shared" si="0"/>
        <v>7.9099799999999991</v>
      </c>
      <c r="F39" s="22">
        <v>7909.98</v>
      </c>
      <c r="G39" s="23" t="s">
        <v>124</v>
      </c>
    </row>
    <row r="40" spans="1:7" x14ac:dyDescent="0.25">
      <c r="A40" s="19">
        <v>46157</v>
      </c>
      <c r="B40" s="20" t="s">
        <v>8</v>
      </c>
      <c r="C40" s="20" t="s">
        <v>114</v>
      </c>
      <c r="D40" s="22">
        <v>510</v>
      </c>
      <c r="E40" s="20">
        <f t="shared" si="0"/>
        <v>6.8849999999999998</v>
      </c>
      <c r="F40" s="22">
        <v>6885</v>
      </c>
      <c r="G40" s="23" t="s">
        <v>124</v>
      </c>
    </row>
    <row r="41" spans="1:7" x14ac:dyDescent="0.25">
      <c r="A41" s="19">
        <v>46157</v>
      </c>
      <c r="B41" s="20" t="s">
        <v>115</v>
      </c>
      <c r="C41" s="20" t="s">
        <v>116</v>
      </c>
      <c r="D41" s="22">
        <v>143</v>
      </c>
      <c r="E41" s="20">
        <f t="shared" si="0"/>
        <v>1.5301</v>
      </c>
      <c r="F41" s="22">
        <v>1530.1</v>
      </c>
      <c r="G41" s="23" t="s">
        <v>125</v>
      </c>
    </row>
    <row r="42" spans="1:7" x14ac:dyDescent="0.25">
      <c r="A42" s="19">
        <v>46157</v>
      </c>
      <c r="B42" s="20" t="s">
        <v>115</v>
      </c>
      <c r="C42" s="20" t="s">
        <v>117</v>
      </c>
      <c r="D42" s="22">
        <v>50</v>
      </c>
      <c r="E42" s="20">
        <f t="shared" si="0"/>
        <v>0.60499999999999998</v>
      </c>
      <c r="F42" s="22">
        <v>605</v>
      </c>
      <c r="G42" s="23" t="s">
        <v>125</v>
      </c>
    </row>
    <row r="43" spans="1:7" x14ac:dyDescent="0.25">
      <c r="A43" s="19">
        <v>46157</v>
      </c>
      <c r="B43" s="20" t="s">
        <v>115</v>
      </c>
      <c r="C43" s="20" t="s">
        <v>118</v>
      </c>
      <c r="D43" s="22">
        <v>50</v>
      </c>
      <c r="E43" s="20">
        <f t="shared" si="0"/>
        <v>0.56759999999999999</v>
      </c>
      <c r="F43" s="22">
        <v>567.6</v>
      </c>
      <c r="G43" s="23" t="s">
        <v>125</v>
      </c>
    </row>
    <row r="44" spans="1:7" x14ac:dyDescent="0.25">
      <c r="A44" s="19">
        <v>46157</v>
      </c>
      <c r="B44" s="20" t="s">
        <v>115</v>
      </c>
      <c r="C44" s="20" t="s">
        <v>119</v>
      </c>
      <c r="D44" s="22">
        <v>24</v>
      </c>
      <c r="E44" s="20">
        <f t="shared" si="0"/>
        <v>0.1464</v>
      </c>
      <c r="F44" s="22">
        <v>146.4</v>
      </c>
      <c r="G44" s="23" t="s">
        <v>125</v>
      </c>
    </row>
    <row r="45" spans="1:7" x14ac:dyDescent="0.25">
      <c r="A45" s="19">
        <v>46157</v>
      </c>
      <c r="B45" s="20" t="s">
        <v>115</v>
      </c>
      <c r="C45" s="20" t="s">
        <v>120</v>
      </c>
      <c r="D45" s="22">
        <v>100</v>
      </c>
      <c r="E45" s="20">
        <f t="shared" si="0"/>
        <v>0.88500000000000001</v>
      </c>
      <c r="F45" s="22">
        <v>885</v>
      </c>
      <c r="G45" s="23" t="s">
        <v>125</v>
      </c>
    </row>
    <row r="46" spans="1:7" x14ac:dyDescent="0.25">
      <c r="A46" s="19">
        <v>46157</v>
      </c>
      <c r="B46" s="20" t="s">
        <v>115</v>
      </c>
      <c r="C46" s="20" t="s">
        <v>121</v>
      </c>
      <c r="D46" s="22">
        <v>50</v>
      </c>
      <c r="E46" s="20">
        <f t="shared" si="0"/>
        <v>0.48760000000000003</v>
      </c>
      <c r="F46" s="22">
        <v>487.6</v>
      </c>
      <c r="G46" s="23" t="s">
        <v>125</v>
      </c>
    </row>
    <row r="47" spans="1:7" x14ac:dyDescent="0.25">
      <c r="A47" s="19">
        <v>46157</v>
      </c>
      <c r="B47" s="20" t="s">
        <v>115</v>
      </c>
      <c r="C47" s="20" t="s">
        <v>122</v>
      </c>
      <c r="D47" s="22">
        <v>50</v>
      </c>
      <c r="E47" s="20">
        <f t="shared" si="0"/>
        <v>0.26250000000000001</v>
      </c>
      <c r="F47" s="22">
        <v>262.5</v>
      </c>
      <c r="G47" s="23" t="s">
        <v>125</v>
      </c>
    </row>
    <row r="48" spans="1:7" x14ac:dyDescent="0.25">
      <c r="A48" s="19">
        <v>46160</v>
      </c>
      <c r="B48" s="15" t="s">
        <v>126</v>
      </c>
      <c r="C48" s="15" t="s">
        <v>127</v>
      </c>
      <c r="D48" s="21">
        <v>50</v>
      </c>
      <c r="E48" s="20">
        <f t="shared" si="0"/>
        <v>0.55700000000000005</v>
      </c>
      <c r="F48" s="15">
        <v>557</v>
      </c>
      <c r="G48" s="18" t="s">
        <v>99</v>
      </c>
    </row>
    <row r="49" spans="1:7" x14ac:dyDescent="0.25">
      <c r="A49" s="19">
        <v>46161</v>
      </c>
      <c r="B49" s="15" t="s">
        <v>128</v>
      </c>
      <c r="C49" s="15" t="s">
        <v>129</v>
      </c>
      <c r="D49" s="21">
        <v>100</v>
      </c>
      <c r="E49" s="20">
        <f t="shared" si="0"/>
        <v>1.44</v>
      </c>
      <c r="F49" s="15">
        <v>1440</v>
      </c>
      <c r="G49" s="18" t="s">
        <v>99</v>
      </c>
    </row>
    <row r="50" spans="1:7" x14ac:dyDescent="0.25">
      <c r="A50" s="19">
        <v>46161</v>
      </c>
      <c r="B50" s="15" t="s">
        <v>85</v>
      </c>
      <c r="C50" s="15" t="s">
        <v>130</v>
      </c>
      <c r="D50" s="21">
        <v>55</v>
      </c>
      <c r="E50" s="20">
        <f t="shared" si="0"/>
        <v>0.73260000000000003</v>
      </c>
      <c r="F50" s="15">
        <v>732.6</v>
      </c>
      <c r="G50" s="18" t="s">
        <v>160</v>
      </c>
    </row>
    <row r="51" spans="1:7" x14ac:dyDescent="0.25">
      <c r="A51" s="19">
        <v>46161</v>
      </c>
      <c r="B51" s="15" t="s">
        <v>85</v>
      </c>
      <c r="C51" s="15" t="s">
        <v>131</v>
      </c>
      <c r="D51" s="15">
        <v>320</v>
      </c>
      <c r="E51" s="20">
        <f t="shared" si="0"/>
        <v>4.8639999999999999</v>
      </c>
      <c r="F51" s="15">
        <v>4864</v>
      </c>
      <c r="G51" s="18" t="s">
        <v>160</v>
      </c>
    </row>
    <row r="52" spans="1:7" x14ac:dyDescent="0.25">
      <c r="A52" s="19">
        <v>46161</v>
      </c>
      <c r="B52" s="15" t="s">
        <v>85</v>
      </c>
      <c r="C52" s="15" t="s">
        <v>111</v>
      </c>
      <c r="D52" s="15">
        <v>82</v>
      </c>
      <c r="E52" s="20">
        <f t="shared" si="0"/>
        <v>0.77079999999999993</v>
      </c>
      <c r="F52" s="15">
        <v>770.8</v>
      </c>
      <c r="G52" s="18" t="s">
        <v>160</v>
      </c>
    </row>
    <row r="53" spans="1:7" x14ac:dyDescent="0.25">
      <c r="A53" s="19">
        <v>46163</v>
      </c>
      <c r="B53" s="15" t="s">
        <v>5</v>
      </c>
      <c r="C53" s="15" t="s">
        <v>132</v>
      </c>
      <c r="D53" s="15">
        <v>10</v>
      </c>
      <c r="E53" s="20">
        <f t="shared" si="0"/>
        <v>0.122</v>
      </c>
      <c r="F53" s="15">
        <v>122</v>
      </c>
      <c r="G53" s="18" t="s">
        <v>99</v>
      </c>
    </row>
    <row r="54" spans="1:7" x14ac:dyDescent="0.25">
      <c r="A54" s="19">
        <v>46163</v>
      </c>
      <c r="B54" s="15" t="s">
        <v>5</v>
      </c>
      <c r="C54" s="15" t="s">
        <v>64</v>
      </c>
      <c r="D54" s="15">
        <v>64</v>
      </c>
      <c r="E54" s="20">
        <f t="shared" si="0"/>
        <v>0.85120000000000007</v>
      </c>
      <c r="F54" s="15">
        <v>851.2</v>
      </c>
      <c r="G54" s="18" t="s">
        <v>99</v>
      </c>
    </row>
    <row r="55" spans="1:7" x14ac:dyDescent="0.25">
      <c r="A55" s="19">
        <v>46163</v>
      </c>
      <c r="B55" s="15" t="s">
        <v>5</v>
      </c>
      <c r="C55" s="15" t="s">
        <v>133</v>
      </c>
      <c r="D55" s="15">
        <v>199</v>
      </c>
      <c r="E55" s="20">
        <f t="shared" si="0"/>
        <v>3.6914499999999997</v>
      </c>
      <c r="F55" s="15">
        <v>3691.45</v>
      </c>
      <c r="G55" s="18" t="s">
        <v>99</v>
      </c>
    </row>
    <row r="56" spans="1:7" x14ac:dyDescent="0.25">
      <c r="A56" s="19">
        <v>46163</v>
      </c>
      <c r="B56" s="15" t="s">
        <v>5</v>
      </c>
      <c r="C56" s="15" t="s">
        <v>134</v>
      </c>
      <c r="D56" s="15">
        <v>72</v>
      </c>
      <c r="E56" s="20">
        <f t="shared" si="0"/>
        <v>0.79559999999999997</v>
      </c>
      <c r="F56" s="15">
        <v>795.6</v>
      </c>
      <c r="G56" s="18" t="s">
        <v>99</v>
      </c>
    </row>
    <row r="57" spans="1:7" x14ac:dyDescent="0.25">
      <c r="A57" s="19">
        <v>46163</v>
      </c>
      <c r="B57" s="15" t="s">
        <v>5</v>
      </c>
      <c r="C57" s="15" t="s">
        <v>63</v>
      </c>
      <c r="D57" s="15">
        <v>135</v>
      </c>
      <c r="E57" s="20">
        <f t="shared" si="0"/>
        <v>1.3905000000000001</v>
      </c>
      <c r="F57" s="15">
        <v>1390.5</v>
      </c>
      <c r="G57" s="18" t="s">
        <v>99</v>
      </c>
    </row>
    <row r="58" spans="1:7" x14ac:dyDescent="0.25">
      <c r="A58" s="19">
        <v>46163</v>
      </c>
      <c r="B58" s="15" t="s">
        <v>5</v>
      </c>
      <c r="C58" s="15" t="s">
        <v>67</v>
      </c>
      <c r="D58" s="15">
        <v>50</v>
      </c>
      <c r="E58" s="20">
        <f t="shared" si="0"/>
        <v>1.2430000000000001</v>
      </c>
      <c r="F58" s="15">
        <v>1243</v>
      </c>
      <c r="G58" s="18" t="s">
        <v>99</v>
      </c>
    </row>
    <row r="59" spans="1:7" x14ac:dyDescent="0.25">
      <c r="A59" s="19">
        <v>46163</v>
      </c>
      <c r="B59" s="15" t="s">
        <v>82</v>
      </c>
      <c r="C59" s="15" t="s">
        <v>135</v>
      </c>
      <c r="D59" s="15">
        <v>1</v>
      </c>
      <c r="E59" s="20">
        <f t="shared" si="0"/>
        <v>1.2E-5</v>
      </c>
      <c r="F59" s="15">
        <v>1.2E-2</v>
      </c>
      <c r="G59" s="18" t="s">
        <v>161</v>
      </c>
    </row>
    <row r="60" spans="1:7" x14ac:dyDescent="0.25">
      <c r="A60" s="19">
        <v>46164</v>
      </c>
      <c r="B60" s="15" t="s">
        <v>136</v>
      </c>
      <c r="C60" s="15" t="s">
        <v>137</v>
      </c>
      <c r="D60" s="15">
        <v>12</v>
      </c>
      <c r="E60" s="20">
        <f t="shared" si="0"/>
        <v>9.5999999999999992E-4</v>
      </c>
      <c r="F60" s="15">
        <v>0.96</v>
      </c>
      <c r="G60" s="23" t="s">
        <v>162</v>
      </c>
    </row>
    <row r="61" spans="1:7" x14ac:dyDescent="0.25">
      <c r="A61" s="19">
        <v>46164</v>
      </c>
      <c r="B61" s="15" t="s">
        <v>136</v>
      </c>
      <c r="C61" s="15" t="s">
        <v>138</v>
      </c>
      <c r="D61" s="15">
        <v>100</v>
      </c>
      <c r="E61" s="20">
        <f t="shared" si="0"/>
        <v>1.46</v>
      </c>
      <c r="F61" s="15">
        <v>1460</v>
      </c>
      <c r="G61" s="23" t="s">
        <v>162</v>
      </c>
    </row>
    <row r="62" spans="1:7" x14ac:dyDescent="0.25">
      <c r="A62" s="19">
        <v>46165</v>
      </c>
      <c r="B62" s="15" t="s">
        <v>65</v>
      </c>
      <c r="C62" s="15" t="s">
        <v>139</v>
      </c>
      <c r="D62" s="15">
        <v>5</v>
      </c>
      <c r="E62" s="20">
        <f t="shared" si="0"/>
        <v>1E-4</v>
      </c>
      <c r="F62" s="15">
        <v>0.1</v>
      </c>
      <c r="G62" s="18" t="s">
        <v>99</v>
      </c>
    </row>
    <row r="63" spans="1:7" x14ac:dyDescent="0.25">
      <c r="A63" s="19">
        <v>46165</v>
      </c>
      <c r="B63" s="15" t="s">
        <v>65</v>
      </c>
      <c r="C63" s="15" t="s">
        <v>140</v>
      </c>
      <c r="D63" s="15">
        <v>15</v>
      </c>
      <c r="E63" s="20">
        <f t="shared" si="0"/>
        <v>2.9999999999999997E-4</v>
      </c>
      <c r="F63" s="15">
        <v>0.3</v>
      </c>
      <c r="G63" s="18" t="s">
        <v>99</v>
      </c>
    </row>
    <row r="64" spans="1:7" x14ac:dyDescent="0.25">
      <c r="A64" s="19">
        <v>46165</v>
      </c>
      <c r="B64" s="15" t="s">
        <v>65</v>
      </c>
      <c r="C64" s="15" t="s">
        <v>141</v>
      </c>
      <c r="D64" s="24">
        <v>0.3</v>
      </c>
      <c r="E64" s="20">
        <f t="shared" si="0"/>
        <v>1.1999999999999999E-4</v>
      </c>
      <c r="F64" s="15">
        <v>0.12</v>
      </c>
      <c r="G64" s="18" t="s">
        <v>99</v>
      </c>
    </row>
    <row r="65" spans="1:7" x14ac:dyDescent="0.25">
      <c r="A65" s="19">
        <v>46165</v>
      </c>
      <c r="B65" s="15" t="s">
        <v>65</v>
      </c>
      <c r="C65" s="15" t="s">
        <v>66</v>
      </c>
      <c r="D65" s="15">
        <v>30</v>
      </c>
      <c r="E65" s="20">
        <f t="shared" si="0"/>
        <v>0.18287999999999999</v>
      </c>
      <c r="F65" s="15">
        <v>182.88</v>
      </c>
      <c r="G65" s="18" t="s">
        <v>99</v>
      </c>
    </row>
    <row r="66" spans="1:7" x14ac:dyDescent="0.25">
      <c r="A66" s="19">
        <v>46165</v>
      </c>
      <c r="B66" s="15" t="s">
        <v>105</v>
      </c>
      <c r="C66" s="15" t="s">
        <v>142</v>
      </c>
      <c r="D66" s="15">
        <v>5</v>
      </c>
      <c r="E66" s="20">
        <f t="shared" si="0"/>
        <v>7.1999999999999994E-4</v>
      </c>
      <c r="F66" s="15">
        <v>0.72</v>
      </c>
      <c r="G66" s="18" t="s">
        <v>99</v>
      </c>
    </row>
    <row r="67" spans="1:7" x14ac:dyDescent="0.25">
      <c r="A67" s="19">
        <v>46167</v>
      </c>
      <c r="B67" s="15" t="s">
        <v>9</v>
      </c>
      <c r="C67" s="15" t="s">
        <v>12</v>
      </c>
      <c r="D67" s="15">
        <v>475</v>
      </c>
      <c r="E67" s="20">
        <f t="shared" ref="E67:E85" si="1">F67/1000</f>
        <v>5.2249999999999996</v>
      </c>
      <c r="F67" s="15">
        <v>5225</v>
      </c>
      <c r="G67" s="18" t="s">
        <v>99</v>
      </c>
    </row>
    <row r="68" spans="1:7" x14ac:dyDescent="0.25">
      <c r="A68" s="19">
        <v>46167</v>
      </c>
      <c r="B68" s="15" t="s">
        <v>143</v>
      </c>
      <c r="C68" s="15" t="s">
        <v>144</v>
      </c>
      <c r="D68" s="15">
        <v>20</v>
      </c>
      <c r="E68" s="20">
        <f t="shared" si="1"/>
        <v>0.252</v>
      </c>
      <c r="F68" s="15">
        <v>252</v>
      </c>
      <c r="G68" s="18" t="s">
        <v>99</v>
      </c>
    </row>
    <row r="69" spans="1:7" x14ac:dyDescent="0.25">
      <c r="A69" s="19">
        <v>46167</v>
      </c>
      <c r="B69" s="15" t="s">
        <v>143</v>
      </c>
      <c r="C69" s="15" t="s">
        <v>145</v>
      </c>
      <c r="D69" s="15">
        <v>60</v>
      </c>
      <c r="E69" s="20">
        <f t="shared" si="1"/>
        <v>0.72</v>
      </c>
      <c r="F69" s="15">
        <v>720</v>
      </c>
      <c r="G69" s="18" t="s">
        <v>99</v>
      </c>
    </row>
    <row r="70" spans="1:7" x14ac:dyDescent="0.25">
      <c r="A70" s="19">
        <v>46167</v>
      </c>
      <c r="B70" s="15" t="s">
        <v>143</v>
      </c>
      <c r="C70" s="15" t="s">
        <v>146</v>
      </c>
      <c r="D70" s="15">
        <v>11</v>
      </c>
      <c r="E70" s="20">
        <f t="shared" si="1"/>
        <v>0.14797200000000002</v>
      </c>
      <c r="F70" s="15">
        <v>147.97200000000001</v>
      </c>
      <c r="G70" s="18" t="s">
        <v>99</v>
      </c>
    </row>
    <row r="71" spans="1:7" x14ac:dyDescent="0.25">
      <c r="A71" s="19">
        <v>46167</v>
      </c>
      <c r="B71" s="15" t="s">
        <v>143</v>
      </c>
      <c r="C71" s="15" t="s">
        <v>147</v>
      </c>
      <c r="D71" s="15">
        <v>8</v>
      </c>
      <c r="E71" s="20">
        <f t="shared" si="1"/>
        <v>9.6000000000000002E-2</v>
      </c>
      <c r="F71" s="15">
        <v>96</v>
      </c>
      <c r="G71" s="18" t="s">
        <v>99</v>
      </c>
    </row>
    <row r="72" spans="1:7" x14ac:dyDescent="0.25">
      <c r="A72" s="19">
        <v>46167</v>
      </c>
      <c r="B72" s="15" t="s">
        <v>143</v>
      </c>
      <c r="C72" s="15" t="s">
        <v>148</v>
      </c>
      <c r="D72" s="15">
        <v>55</v>
      </c>
      <c r="E72" s="20">
        <f t="shared" si="1"/>
        <v>0.38500000000000001</v>
      </c>
      <c r="F72" s="15">
        <v>385</v>
      </c>
      <c r="G72" s="18" t="s">
        <v>99</v>
      </c>
    </row>
    <row r="73" spans="1:7" x14ac:dyDescent="0.25">
      <c r="A73" s="19">
        <v>46167</v>
      </c>
      <c r="B73" s="15" t="s">
        <v>8</v>
      </c>
      <c r="C73" s="15" t="s">
        <v>59</v>
      </c>
      <c r="D73" s="15">
        <v>120</v>
      </c>
      <c r="E73" s="20">
        <f t="shared" si="1"/>
        <v>1.524</v>
      </c>
      <c r="F73" s="15">
        <v>1524</v>
      </c>
      <c r="G73" s="18" t="s">
        <v>99</v>
      </c>
    </row>
    <row r="74" spans="1:7" x14ac:dyDescent="0.25">
      <c r="A74" s="19">
        <v>46167</v>
      </c>
      <c r="B74" s="15" t="s">
        <v>126</v>
      </c>
      <c r="C74" s="15" t="s">
        <v>149</v>
      </c>
      <c r="D74" s="15">
        <v>368</v>
      </c>
      <c r="E74" s="20">
        <f t="shared" si="1"/>
        <v>4.0848000000000004</v>
      </c>
      <c r="F74" s="15">
        <v>4084.8</v>
      </c>
      <c r="G74" s="18" t="s">
        <v>99</v>
      </c>
    </row>
    <row r="75" spans="1:7" x14ac:dyDescent="0.25">
      <c r="A75" s="19">
        <v>46167</v>
      </c>
      <c r="B75" s="15" t="s">
        <v>126</v>
      </c>
      <c r="C75" s="15" t="s">
        <v>150</v>
      </c>
      <c r="D75" s="15">
        <v>43</v>
      </c>
      <c r="E75" s="20">
        <f t="shared" si="1"/>
        <v>0.46870000000000001</v>
      </c>
      <c r="F75" s="15">
        <v>468.7</v>
      </c>
      <c r="G75" s="18" t="s">
        <v>99</v>
      </c>
    </row>
    <row r="76" spans="1:7" x14ac:dyDescent="0.25">
      <c r="A76" s="19">
        <v>46167</v>
      </c>
      <c r="B76" s="15" t="s">
        <v>126</v>
      </c>
      <c r="C76" s="15" t="s">
        <v>151</v>
      </c>
      <c r="D76" s="15">
        <v>25</v>
      </c>
      <c r="E76" s="20">
        <f t="shared" si="1"/>
        <v>0.16500000000000001</v>
      </c>
      <c r="F76" s="15">
        <v>165</v>
      </c>
      <c r="G76" s="18" t="s">
        <v>99</v>
      </c>
    </row>
    <row r="77" spans="1:7" x14ac:dyDescent="0.25">
      <c r="A77" s="19">
        <v>46167</v>
      </c>
      <c r="B77" s="15" t="s">
        <v>126</v>
      </c>
      <c r="C77" s="15" t="s">
        <v>152</v>
      </c>
      <c r="D77" s="15">
        <v>10</v>
      </c>
      <c r="E77" s="20">
        <f t="shared" si="1"/>
        <v>8.6999999999999994E-2</v>
      </c>
      <c r="F77" s="15">
        <v>87</v>
      </c>
      <c r="G77" s="18" t="s">
        <v>99</v>
      </c>
    </row>
    <row r="78" spans="1:7" x14ac:dyDescent="0.25">
      <c r="A78" s="19">
        <v>46167</v>
      </c>
      <c r="B78" s="15" t="s">
        <v>126</v>
      </c>
      <c r="C78" s="15" t="s">
        <v>153</v>
      </c>
      <c r="D78" s="15">
        <v>9</v>
      </c>
      <c r="E78" s="20">
        <f t="shared" si="1"/>
        <v>5.9400000000000001E-2</v>
      </c>
      <c r="F78" s="15">
        <v>59.4</v>
      </c>
      <c r="G78" s="18" t="s">
        <v>99</v>
      </c>
    </row>
    <row r="79" spans="1:7" x14ac:dyDescent="0.25">
      <c r="A79" s="19">
        <v>46167</v>
      </c>
      <c r="B79" s="15" t="s">
        <v>126</v>
      </c>
      <c r="C79" s="15" t="s">
        <v>154</v>
      </c>
      <c r="D79" s="15">
        <v>9</v>
      </c>
      <c r="E79" s="20">
        <f t="shared" si="1"/>
        <v>0.14625899999999997</v>
      </c>
      <c r="F79" s="15">
        <v>146.25899999999999</v>
      </c>
      <c r="G79" s="18" t="s">
        <v>99</v>
      </c>
    </row>
    <row r="80" spans="1:7" x14ac:dyDescent="0.25">
      <c r="A80" s="19">
        <v>46167</v>
      </c>
      <c r="B80" s="15" t="s">
        <v>126</v>
      </c>
      <c r="C80" s="15" t="s">
        <v>155</v>
      </c>
      <c r="D80" s="15">
        <v>15</v>
      </c>
      <c r="E80" s="20">
        <f t="shared" si="1"/>
        <v>0.16425000000000001</v>
      </c>
      <c r="F80" s="15">
        <v>164.25</v>
      </c>
      <c r="G80" s="18" t="s">
        <v>99</v>
      </c>
    </row>
    <row r="81" spans="1:7" x14ac:dyDescent="0.25">
      <c r="A81" s="19">
        <v>46170</v>
      </c>
      <c r="B81" s="15" t="s">
        <v>5</v>
      </c>
      <c r="C81" s="15" t="s">
        <v>134</v>
      </c>
      <c r="D81" s="15">
        <v>134</v>
      </c>
      <c r="E81" s="20">
        <f t="shared" si="1"/>
        <v>1.4807000000000001</v>
      </c>
      <c r="F81" s="15">
        <v>1480.7</v>
      </c>
      <c r="G81" s="18" t="s">
        <v>99</v>
      </c>
    </row>
    <row r="82" spans="1:7" x14ac:dyDescent="0.25">
      <c r="A82" s="19">
        <v>46170</v>
      </c>
      <c r="B82" s="15" t="s">
        <v>5</v>
      </c>
      <c r="C82" s="15" t="s">
        <v>156</v>
      </c>
      <c r="D82" s="15">
        <v>25</v>
      </c>
      <c r="E82" s="20">
        <f t="shared" si="1"/>
        <v>0.54500000000000004</v>
      </c>
      <c r="F82" s="15">
        <v>545</v>
      </c>
      <c r="G82" s="18" t="s">
        <v>99</v>
      </c>
    </row>
    <row r="83" spans="1:7" x14ac:dyDescent="0.25">
      <c r="A83" s="19">
        <v>46171</v>
      </c>
      <c r="B83" s="15" t="s">
        <v>8</v>
      </c>
      <c r="C83" s="15" t="s">
        <v>113</v>
      </c>
      <c r="D83" s="15">
        <v>1177</v>
      </c>
      <c r="E83" s="20">
        <f t="shared" si="1"/>
        <v>18.620092919999998</v>
      </c>
      <c r="F83" s="15">
        <v>18620.092919999999</v>
      </c>
      <c r="G83" s="18" t="s">
        <v>99</v>
      </c>
    </row>
    <row r="84" spans="1:7" x14ac:dyDescent="0.25">
      <c r="A84" s="19">
        <v>46171</v>
      </c>
      <c r="B84" s="15" t="s">
        <v>8</v>
      </c>
      <c r="C84" s="15" t="s">
        <v>157</v>
      </c>
      <c r="D84" s="15">
        <v>150</v>
      </c>
      <c r="E84" s="20">
        <f t="shared" si="1"/>
        <v>3.0449999999999999</v>
      </c>
      <c r="F84" s="15">
        <v>3045</v>
      </c>
      <c r="G84" s="18" t="s">
        <v>99</v>
      </c>
    </row>
    <row r="85" spans="1:7" x14ac:dyDescent="0.25">
      <c r="A85" s="19">
        <v>46171</v>
      </c>
      <c r="B85" s="15" t="s">
        <v>158</v>
      </c>
      <c r="C85" s="15" t="s">
        <v>159</v>
      </c>
      <c r="D85" s="15">
        <v>41</v>
      </c>
      <c r="E85" s="20">
        <f t="shared" si="1"/>
        <v>0.50429999999999997</v>
      </c>
      <c r="F85" s="15">
        <v>504.3</v>
      </c>
      <c r="G85" s="23" t="s">
        <v>163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Allif F. N. A</dc:creator>
  <cp:lastModifiedBy>Nadia Pravita</cp:lastModifiedBy>
  <dcterms:created xsi:type="dcterms:W3CDTF">2026-04-13T01:45:38Z</dcterms:created>
  <dcterms:modified xsi:type="dcterms:W3CDTF">2026-06-02T01:57:42Z</dcterms:modified>
</cp:coreProperties>
</file>