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30" windowWidth="20115" windowHeight="7245" activeTab="2"/>
  </bookViews>
  <sheets>
    <sheet name="Pencapaian OD &amp; TF" sheetId="1" r:id="rId1"/>
    <sheet name="Kalender" sheetId="4" r:id="rId2"/>
    <sheet name="Simulasi OD" sheetId="5" r:id="rId3"/>
  </sheets>
  <externalReferences>
    <externalReference r:id="rId4"/>
  </externalReferences>
  <definedNames>
    <definedName name="_xlnm._FilterDatabase" localSheetId="1" hidden="1">Kalender!$A$1:$AG$122</definedName>
    <definedName name="_xlnm._FilterDatabase" localSheetId="2" hidden="1">'Simulasi OD'!$A$3:$M$217</definedName>
    <definedName name="tb_tagpdbg">[1]TAGPD!$AQ$8:$AQ$30000</definedName>
    <definedName name="tb_tagpdfaktur">[1]TAGPD!$E$8:$E$30000</definedName>
    <definedName name="tb_tagpdkucash">[1]TAGPD!$AV$8:$AV$30000</definedName>
    <definedName name="tb_tagpdrpb">[1]TAGPD!$AP$8:$AP$30000</definedName>
    <definedName name="tb_tbbnt">#REF!</definedName>
    <definedName name="tballnk">[1]All!$E$12:$E$996</definedName>
    <definedName name="tballp">[1]All!$L$12:$L$996</definedName>
    <definedName name="tballsa">[1]All!$I$12:$I$996</definedName>
    <definedName name="tballsod">[1]All!$M$12:$M$996</definedName>
  </definedNames>
  <calcPr calcId="145621"/>
</workbook>
</file>

<file path=xl/calcChain.xml><?xml version="1.0" encoding="utf-8"?>
<calcChain xmlns="http://schemas.openxmlformats.org/spreadsheetml/2006/main">
  <c r="G214" i="5" l="1"/>
  <c r="A213" i="5"/>
  <c r="E212" i="5"/>
  <c r="E211" i="5"/>
  <c r="E210" i="5"/>
  <c r="E209" i="5"/>
  <c r="E208" i="5"/>
  <c r="E207" i="5"/>
  <c r="E206" i="5"/>
  <c r="E205" i="5"/>
  <c r="E204" i="5"/>
  <c r="E203" i="5"/>
  <c r="E202" i="5"/>
  <c r="E201" i="5"/>
  <c r="E200" i="5"/>
  <c r="E199" i="5"/>
  <c r="E198" i="5"/>
  <c r="E197" i="5"/>
  <c r="E196" i="5"/>
  <c r="E195" i="5"/>
  <c r="E194" i="5"/>
  <c r="E193" i="5"/>
  <c r="E192" i="5"/>
  <c r="E191" i="5"/>
  <c r="E190" i="5"/>
  <c r="E189" i="5"/>
  <c r="E188" i="5"/>
  <c r="E187" i="5"/>
  <c r="E186" i="5"/>
  <c r="E185" i="5"/>
  <c r="E184" i="5"/>
  <c r="E183" i="5"/>
  <c r="E182" i="5"/>
  <c r="E181" i="5"/>
  <c r="E180" i="5"/>
  <c r="E179" i="5"/>
  <c r="E178" i="5"/>
  <c r="E177" i="5"/>
  <c r="E176" i="5"/>
  <c r="E175" i="5"/>
  <c r="E174" i="5"/>
  <c r="E173" i="5"/>
  <c r="E172" i="5"/>
  <c r="E171" i="5"/>
  <c r="E170" i="5"/>
  <c r="E169" i="5"/>
  <c r="E168" i="5"/>
  <c r="E167" i="5"/>
  <c r="E166" i="5"/>
  <c r="E165" i="5"/>
  <c r="E164" i="5"/>
  <c r="E163" i="5"/>
  <c r="E162" i="5"/>
  <c r="E161" i="5"/>
  <c r="E160" i="5"/>
  <c r="E159" i="5"/>
  <c r="E158" i="5"/>
  <c r="E157" i="5"/>
  <c r="E156" i="5"/>
  <c r="E155" i="5"/>
  <c r="E154" i="5"/>
  <c r="E153" i="5"/>
  <c r="E152" i="5"/>
  <c r="E151" i="5"/>
  <c r="E150" i="5"/>
  <c r="E149" i="5"/>
  <c r="E148" i="5"/>
  <c r="E147" i="5"/>
  <c r="E146" i="5"/>
  <c r="E145" i="5"/>
  <c r="E144" i="5"/>
  <c r="E143" i="5"/>
  <c r="E142" i="5"/>
  <c r="E141" i="5"/>
  <c r="E140" i="5"/>
  <c r="E139" i="5"/>
  <c r="E138" i="5"/>
  <c r="E137" i="5"/>
  <c r="E136" i="5"/>
  <c r="E135" i="5"/>
  <c r="E134" i="5"/>
  <c r="E133" i="5"/>
  <c r="E132" i="5"/>
  <c r="E131" i="5"/>
  <c r="E130" i="5"/>
  <c r="C129" i="5"/>
  <c r="D129" i="5" s="1"/>
  <c r="D128" i="5"/>
  <c r="C128" i="5"/>
  <c r="E128" i="5" s="1"/>
  <c r="C127" i="5"/>
  <c r="D127" i="5" s="1"/>
  <c r="D126" i="5"/>
  <c r="C126" i="5"/>
  <c r="E126" i="5" s="1"/>
  <c r="C125" i="5"/>
  <c r="D125" i="5" s="1"/>
  <c r="D124" i="5"/>
  <c r="C124" i="5"/>
  <c r="E124" i="5" s="1"/>
  <c r="C123" i="5"/>
  <c r="D123" i="5" s="1"/>
  <c r="D122" i="5"/>
  <c r="C122" i="5"/>
  <c r="E122" i="5" s="1"/>
  <c r="C121" i="5"/>
  <c r="D121" i="5" s="1"/>
  <c r="C120" i="5"/>
  <c r="C119" i="5"/>
  <c r="D119" i="5" s="1"/>
  <c r="C118" i="5"/>
  <c r="C117" i="5"/>
  <c r="D117" i="5" s="1"/>
  <c r="C116" i="5"/>
  <c r="C115" i="5"/>
  <c r="D115" i="5" s="1"/>
  <c r="C114" i="5"/>
  <c r="C113" i="5"/>
  <c r="D113" i="5" s="1"/>
  <c r="C112" i="5"/>
  <c r="C111" i="5"/>
  <c r="D111" i="5" s="1"/>
  <c r="C110" i="5"/>
  <c r="C109" i="5"/>
  <c r="D109" i="5" s="1"/>
  <c r="D108" i="5"/>
  <c r="C108" i="5"/>
  <c r="E108" i="5" s="1"/>
  <c r="C107" i="5"/>
  <c r="D107" i="5" s="1"/>
  <c r="C106" i="5"/>
  <c r="C105" i="5"/>
  <c r="D105" i="5" s="1"/>
  <c r="C104" i="5"/>
  <c r="C103" i="5"/>
  <c r="D103" i="5" s="1"/>
  <c r="C102" i="5"/>
  <c r="C101" i="5"/>
  <c r="D101" i="5" s="1"/>
  <c r="C100" i="5"/>
  <c r="C99" i="5"/>
  <c r="D99" i="5" s="1"/>
  <c r="C98" i="5"/>
  <c r="C97" i="5"/>
  <c r="D97" i="5" s="1"/>
  <c r="C96" i="5"/>
  <c r="C95" i="5"/>
  <c r="D95" i="5" s="1"/>
  <c r="C94" i="5"/>
  <c r="C93" i="5"/>
  <c r="D93" i="5" s="1"/>
  <c r="C92" i="5"/>
  <c r="C91" i="5"/>
  <c r="D91" i="5" s="1"/>
  <c r="C90" i="5"/>
  <c r="C89" i="5"/>
  <c r="D89" i="5" s="1"/>
  <c r="C88" i="5"/>
  <c r="C87" i="5"/>
  <c r="D87" i="5" s="1"/>
  <c r="C86" i="5"/>
  <c r="C85" i="5"/>
  <c r="D85" i="5" s="1"/>
  <c r="C84" i="5"/>
  <c r="C83" i="5"/>
  <c r="D83" i="5" s="1"/>
  <c r="C82" i="5"/>
  <c r="C81" i="5"/>
  <c r="D81" i="5" s="1"/>
  <c r="C80" i="5"/>
  <c r="C79" i="5"/>
  <c r="D79" i="5" s="1"/>
  <c r="C78" i="5"/>
  <c r="C77" i="5"/>
  <c r="C214" i="5" s="1"/>
  <c r="C216" i="5" s="1"/>
  <c r="D76" i="5"/>
  <c r="E76" i="5" s="1"/>
  <c r="D75" i="5"/>
  <c r="E75" i="5" s="1"/>
  <c r="D74" i="5"/>
  <c r="E74" i="5" s="1"/>
  <c r="D73" i="5"/>
  <c r="E73" i="5" s="1"/>
  <c r="D72" i="5"/>
  <c r="E72" i="5" s="1"/>
  <c r="D71" i="5"/>
  <c r="E71" i="5" s="1"/>
  <c r="D70" i="5"/>
  <c r="E70" i="5" s="1"/>
  <c r="D69" i="5"/>
  <c r="E69" i="5" s="1"/>
  <c r="D68" i="5"/>
  <c r="E68" i="5" s="1"/>
  <c r="D67" i="5"/>
  <c r="E67" i="5" s="1"/>
  <c r="D66" i="5"/>
  <c r="E66" i="5" s="1"/>
  <c r="D65" i="5"/>
  <c r="E65" i="5" s="1"/>
  <c r="D64" i="5"/>
  <c r="E64" i="5" s="1"/>
  <c r="D63" i="5"/>
  <c r="E63" i="5" s="1"/>
  <c r="D62" i="5"/>
  <c r="E62" i="5" s="1"/>
  <c r="D61" i="5"/>
  <c r="E61" i="5" s="1"/>
  <c r="D60" i="5"/>
  <c r="E60" i="5" s="1"/>
  <c r="D59" i="5"/>
  <c r="E59" i="5" s="1"/>
  <c r="D58" i="5"/>
  <c r="E58" i="5" s="1"/>
  <c r="D57" i="5"/>
  <c r="E57" i="5" s="1"/>
  <c r="D56" i="5"/>
  <c r="E56" i="5" s="1"/>
  <c r="D55" i="5"/>
  <c r="E55" i="5" s="1"/>
  <c r="D54" i="5"/>
  <c r="E54" i="5" s="1"/>
  <c r="E53" i="5"/>
  <c r="D53" i="5"/>
  <c r="E52" i="5"/>
  <c r="D52" i="5"/>
  <c r="E51" i="5"/>
  <c r="D51" i="5"/>
  <c r="E50" i="5"/>
  <c r="D50" i="5"/>
  <c r="E49" i="5"/>
  <c r="D49" i="5"/>
  <c r="E48" i="5"/>
  <c r="D48" i="5"/>
  <c r="E47" i="5"/>
  <c r="D47" i="5"/>
  <c r="E46" i="5"/>
  <c r="D46" i="5"/>
  <c r="E45" i="5"/>
  <c r="D45" i="5"/>
  <c r="E44" i="5"/>
  <c r="D44" i="5"/>
  <c r="E43" i="5"/>
  <c r="D42" i="5"/>
  <c r="E42" i="5" s="1"/>
  <c r="D41" i="5"/>
  <c r="E41" i="5" s="1"/>
  <c r="D40" i="5"/>
  <c r="E40" i="5" s="1"/>
  <c r="D39" i="5"/>
  <c r="E39" i="5" s="1"/>
  <c r="D38" i="5"/>
  <c r="E38" i="5" s="1"/>
  <c r="D37" i="5"/>
  <c r="E37" i="5" s="1"/>
  <c r="D36" i="5"/>
  <c r="E36" i="5" s="1"/>
  <c r="D35" i="5"/>
  <c r="E35" i="5" s="1"/>
  <c r="E34" i="5"/>
  <c r="E33" i="5"/>
  <c r="D33" i="5"/>
  <c r="E32" i="5"/>
  <c r="D32" i="5"/>
  <c r="E31" i="5"/>
  <c r="D31" i="5"/>
  <c r="E30" i="5"/>
  <c r="D30" i="5"/>
  <c r="E29" i="5"/>
  <c r="D29" i="5"/>
  <c r="E28" i="5"/>
  <c r="D28" i="5"/>
  <c r="E27" i="5"/>
  <c r="D27" i="5"/>
  <c r="E26" i="5"/>
  <c r="D26" i="5"/>
  <c r="E25" i="5"/>
  <c r="D25" i="5"/>
  <c r="E24" i="5"/>
  <c r="D24" i="5"/>
  <c r="E23" i="5"/>
  <c r="D22" i="5"/>
  <c r="E22" i="5" s="1"/>
  <c r="D21" i="5"/>
  <c r="E21" i="5" s="1"/>
  <c r="D20" i="5"/>
  <c r="E20" i="5" s="1"/>
  <c r="D19" i="5"/>
  <c r="E19" i="5" s="1"/>
  <c r="D18" i="5"/>
  <c r="E18" i="5" s="1"/>
  <c r="D17" i="5"/>
  <c r="E17" i="5" s="1"/>
  <c r="D16" i="5"/>
  <c r="E16" i="5" s="1"/>
  <c r="D15" i="5"/>
  <c r="E15" i="5" s="1"/>
  <c r="E14" i="5"/>
  <c r="E13" i="5"/>
  <c r="E12" i="5"/>
  <c r="E11" i="5"/>
  <c r="D10" i="5"/>
  <c r="E10" i="5" s="1"/>
  <c r="E9" i="5"/>
  <c r="E8" i="5"/>
  <c r="E7" i="5"/>
  <c r="E6" i="5"/>
  <c r="D6" i="5"/>
  <c r="E5" i="5"/>
  <c r="D5" i="5"/>
  <c r="E4" i="5"/>
  <c r="D78" i="5" l="1"/>
  <c r="E78" i="5" s="1"/>
  <c r="E79" i="5"/>
  <c r="D80" i="5"/>
  <c r="E80" i="5" s="1"/>
  <c r="E81" i="5"/>
  <c r="D82" i="5"/>
  <c r="E82" i="5" s="1"/>
  <c r="E83" i="5"/>
  <c r="D84" i="5"/>
  <c r="E84" i="5" s="1"/>
  <c r="E85" i="5"/>
  <c r="D86" i="5"/>
  <c r="E86" i="5" s="1"/>
  <c r="E87" i="5"/>
  <c r="D88" i="5"/>
  <c r="E88" i="5" s="1"/>
  <c r="E89" i="5"/>
  <c r="D90" i="5"/>
  <c r="E90" i="5" s="1"/>
  <c r="E91" i="5"/>
  <c r="D92" i="5"/>
  <c r="E92" i="5" s="1"/>
  <c r="E93" i="5"/>
  <c r="D94" i="5"/>
  <c r="E94" i="5" s="1"/>
  <c r="E95" i="5"/>
  <c r="D96" i="5"/>
  <c r="E96" i="5" s="1"/>
  <c r="E97" i="5"/>
  <c r="D98" i="5"/>
  <c r="E98" i="5" s="1"/>
  <c r="E99" i="5"/>
  <c r="D100" i="5"/>
  <c r="E100" i="5" s="1"/>
  <c r="E101" i="5"/>
  <c r="D102" i="5"/>
  <c r="E102" i="5" s="1"/>
  <c r="E103" i="5"/>
  <c r="D104" i="5"/>
  <c r="E104" i="5" s="1"/>
  <c r="E105" i="5"/>
  <c r="D106" i="5"/>
  <c r="E106" i="5" s="1"/>
  <c r="E107" i="5"/>
  <c r="E109" i="5"/>
  <c r="D110" i="5"/>
  <c r="E110" i="5" s="1"/>
  <c r="E111" i="5"/>
  <c r="D112" i="5"/>
  <c r="E112" i="5" s="1"/>
  <c r="E113" i="5"/>
  <c r="D114" i="5"/>
  <c r="E114" i="5" s="1"/>
  <c r="E115" i="5"/>
  <c r="D116" i="5"/>
  <c r="E116" i="5" s="1"/>
  <c r="E117" i="5"/>
  <c r="D118" i="5"/>
  <c r="E118" i="5" s="1"/>
  <c r="E119" i="5"/>
  <c r="D120" i="5"/>
  <c r="E120" i="5" s="1"/>
  <c r="E121" i="5"/>
  <c r="E123" i="5"/>
  <c r="E125" i="5"/>
  <c r="E127" i="5"/>
  <c r="E129" i="5"/>
  <c r="D77" i="5"/>
  <c r="D214" i="5" s="1"/>
  <c r="E222" i="5" l="1"/>
  <c r="H214" i="5"/>
  <c r="E77" i="5"/>
  <c r="E214" i="5" s="1"/>
  <c r="D216" i="5" l="1"/>
  <c r="E216" i="5" s="1"/>
  <c r="E217" i="5" s="1"/>
  <c r="E224" i="5"/>
  <c r="J222" i="5"/>
  <c r="D219" i="5"/>
  <c r="E219" i="5" s="1"/>
  <c r="E220" i="5" s="1"/>
  <c r="E225" i="5" l="1"/>
  <c r="D224" i="5"/>
  <c r="AG225" i="4" l="1"/>
  <c r="AF225" i="4"/>
  <c r="AE225" i="4"/>
  <c r="AD225" i="4"/>
  <c r="AC225" i="4"/>
  <c r="AB225" i="4"/>
  <c r="AA225" i="4"/>
  <c r="Z225" i="4"/>
  <c r="Y225" i="4"/>
  <c r="X225" i="4"/>
  <c r="W225" i="4"/>
  <c r="V225" i="4"/>
  <c r="U225" i="4"/>
  <c r="T225" i="4"/>
  <c r="S225" i="4"/>
  <c r="R225" i="4"/>
  <c r="Q225" i="4"/>
  <c r="P225" i="4"/>
  <c r="O225" i="4"/>
  <c r="N225" i="4"/>
  <c r="M225" i="4"/>
  <c r="L225" i="4"/>
  <c r="K225" i="4"/>
  <c r="J225" i="4"/>
  <c r="I225" i="4"/>
  <c r="H225" i="4"/>
  <c r="G225" i="4"/>
  <c r="F225" i="4"/>
  <c r="E225" i="4"/>
  <c r="D225" i="4"/>
  <c r="C225" i="4"/>
  <c r="AG122" i="4"/>
  <c r="AF122" i="4"/>
  <c r="AE122" i="4"/>
  <c r="AD122" i="4"/>
  <c r="AC122" i="4"/>
  <c r="AB122" i="4"/>
  <c r="AA122" i="4"/>
  <c r="Z122" i="4"/>
  <c r="Y122" i="4"/>
  <c r="X122" i="4"/>
  <c r="W122" i="4"/>
  <c r="V122" i="4"/>
  <c r="U122" i="4"/>
  <c r="T122" i="4"/>
  <c r="S122" i="4"/>
  <c r="R122" i="4"/>
  <c r="Q122" i="4"/>
  <c r="P122" i="4"/>
  <c r="O122" i="4"/>
  <c r="N122" i="4"/>
  <c r="M122" i="4"/>
  <c r="L122" i="4"/>
  <c r="K122" i="4"/>
  <c r="J122" i="4"/>
  <c r="I122" i="4"/>
  <c r="H122" i="4"/>
  <c r="G122" i="4"/>
  <c r="F122" i="4"/>
  <c r="E122" i="4"/>
  <c r="D122" i="4"/>
  <c r="C122" i="4"/>
  <c r="AJ22" i="4"/>
  <c r="AI22" i="4"/>
  <c r="AH22" i="4"/>
  <c r="AJ8" i="4"/>
  <c r="AI11" i="4" s="1"/>
  <c r="AI8" i="4"/>
  <c r="AH8" i="4"/>
  <c r="AH11" i="4" s="1"/>
  <c r="AH13" i="4" l="1"/>
  <c r="H16" i="1" l="1"/>
  <c r="G16" i="1"/>
  <c r="F16" i="1"/>
  <c r="E16" i="1"/>
  <c r="D16" i="1"/>
  <c r="C16" i="1"/>
  <c r="G15" i="1"/>
  <c r="F15" i="1"/>
  <c r="E15" i="1"/>
  <c r="D15" i="1"/>
  <c r="F10" i="1"/>
  <c r="F9" i="1"/>
  <c r="E9" i="1"/>
  <c r="E10" i="1" s="1"/>
  <c r="D9" i="1"/>
  <c r="D10" i="1" s="1"/>
  <c r="C10" i="1" s="1"/>
  <c r="C9" i="1"/>
  <c r="B3" i="1"/>
  <c r="I3" i="1" s="1"/>
  <c r="F3" i="1" l="1"/>
  <c r="D3" i="1" s="1"/>
  <c r="K3" i="1"/>
</calcChain>
</file>

<file path=xl/sharedStrings.xml><?xml version="1.0" encoding="utf-8"?>
<sst xmlns="http://schemas.openxmlformats.org/spreadsheetml/2006/main" count="842" uniqueCount="222">
  <si>
    <t>TC : SYAHRA</t>
  </si>
  <si>
    <t>Jml Kali</t>
  </si>
  <si>
    <t>%</t>
  </si>
  <si>
    <t>Reminder Intensif</t>
  </si>
  <si>
    <t>Jml Kios</t>
  </si>
  <si>
    <t>Penyelesaian OD 90</t>
  </si>
  <si>
    <t>BULAN</t>
  </si>
  <si>
    <t>TOTAL PD</t>
  </si>
  <si>
    <t>Target</t>
  </si>
  <si>
    <t>Rata2 OD &lt; 30</t>
  </si>
  <si>
    <t>OD &lt; 30</t>
  </si>
  <si>
    <t>OD 30</t>
  </si>
  <si>
    <t>OD 60</t>
  </si>
  <si>
    <t>30 &amp; 60</t>
  </si>
  <si>
    <t>OD 90</t>
  </si>
  <si>
    <t>Open Plafon OD/Over</t>
  </si>
  <si>
    <t>Target Collection OD 30 &gt; (80%)</t>
  </si>
  <si>
    <t>Kios OD 30 &gt;</t>
  </si>
  <si>
    <t>Tarik OD 60,90 &gt; ke 60&lt;</t>
  </si>
  <si>
    <t>Tambahan Kios OD 60, 90</t>
  </si>
  <si>
    <t>Saldo</t>
  </si>
  <si>
    <t>Selesai</t>
  </si>
  <si>
    <t>Tambahan OD 90</t>
  </si>
  <si>
    <t>JAN</t>
  </si>
  <si>
    <t>TC : Syahra</t>
  </si>
  <si>
    <t>Value Transfer BG</t>
  </si>
  <si>
    <t>Tambahan</t>
  </si>
  <si>
    <t>% Tunai</t>
  </si>
  <si>
    <t>YTD</t>
  </si>
  <si>
    <t>MTD</t>
  </si>
  <si>
    <t>PER BULAN</t>
  </si>
  <si>
    <t>Kios Tunai</t>
  </si>
  <si>
    <t>Kios TF Tagih Tunai</t>
  </si>
  <si>
    <t>BG+KU</t>
  </si>
  <si>
    <t>Tunai</t>
  </si>
  <si>
    <t>Per Bulan</t>
  </si>
  <si>
    <t>11 M</t>
  </si>
  <si>
    <t>500 Jt</t>
  </si>
  <si>
    <t>FEB</t>
  </si>
  <si>
    <t>Bulan</t>
  </si>
  <si>
    <t>Klasifikasi</t>
  </si>
  <si>
    <t>Farida</t>
  </si>
  <si>
    <t>Hendra</t>
  </si>
  <si>
    <t>Natasya</t>
  </si>
  <si>
    <t>Novista</t>
  </si>
  <si>
    <t>Safira</t>
  </si>
  <si>
    <t>Tiya</t>
  </si>
  <si>
    <t>Total Kios</t>
  </si>
  <si>
    <t>Kios Aman</t>
  </si>
  <si>
    <t>KALENDER PENAGIHAN TEAM COLLECTION</t>
  </si>
  <si>
    <t>BULAN JANUARI 2026</t>
  </si>
  <si>
    <t xml:space="preserve"> </t>
  </si>
  <si>
    <t>Nama TC</t>
  </si>
  <si>
    <t>:</t>
  </si>
  <si>
    <t>Syahra</t>
  </si>
  <si>
    <t>Wilayah</t>
  </si>
  <si>
    <t xml:space="preserve">Banyuwangi, Bondowoso, Situbondo </t>
  </si>
  <si>
    <t>Posisi Over Due</t>
  </si>
  <si>
    <t>30 &gt;</t>
  </si>
  <si>
    <t>No</t>
  </si>
  <si>
    <t>Nama Kios</t>
  </si>
  <si>
    <t>Agro Tani, UD</t>
  </si>
  <si>
    <t>T</t>
  </si>
  <si>
    <t>B</t>
  </si>
  <si>
    <t>TB</t>
  </si>
  <si>
    <t>Akbar Tani, UD</t>
  </si>
  <si>
    <t>Angka Jaya</t>
  </si>
  <si>
    <t>Ar Royan, UD</t>
  </si>
  <si>
    <t>Barokah Tani/Syaikur</t>
  </si>
  <si>
    <t>Baru Rejo/Haris</t>
  </si>
  <si>
    <t>Berkah Tani/Ali Mutohar</t>
  </si>
  <si>
    <t xml:space="preserve">T </t>
  </si>
  <si>
    <t>Berkah Tani/Zainul</t>
  </si>
  <si>
    <t>Berkat Jaya Utama</t>
  </si>
  <si>
    <t>Bimo Rukun Tani II</t>
  </si>
  <si>
    <t>Bimo Rukun Tani, UD</t>
  </si>
  <si>
    <t>Bintang Tani/Kabul</t>
  </si>
  <si>
    <t>Cahaya/Shohib</t>
  </si>
  <si>
    <t>Dino Vita, Toko</t>
  </si>
  <si>
    <t>Dua Putra, UD/Alvan</t>
  </si>
  <si>
    <t>Dwi Putra, UD</t>
  </si>
  <si>
    <t>Eka Jaya/David</t>
  </si>
  <si>
    <t>Fajar Makmur/Noto</t>
  </si>
  <si>
    <t>Green Tani</t>
  </si>
  <si>
    <t>Harapan, UD/Julik</t>
  </si>
  <si>
    <t>Hidayah Tani/Cholis</t>
  </si>
  <si>
    <t>Insan Tani, UD/Yohan</t>
  </si>
  <si>
    <t>Jaya Sejahtera/Dian Retno</t>
  </si>
  <si>
    <t>KSU CU Sang Timur/CU Agro</t>
  </si>
  <si>
    <t>Kumpul Tani/Hendro</t>
  </si>
  <si>
    <t>Layan Tani II</t>
  </si>
  <si>
    <t>Lestari Jaya</t>
  </si>
  <si>
    <t>Maha Karya Sentosa, Toko</t>
  </si>
  <si>
    <t>Manggala</t>
  </si>
  <si>
    <t>Mapan Agro Sentosa, UD</t>
  </si>
  <si>
    <t>Margo Joyo/Iksan</t>
  </si>
  <si>
    <t>Mbah Semar, Kios</t>
  </si>
  <si>
    <t>Mekar Tani/Tunti</t>
  </si>
  <si>
    <t>Mitra Tani 1</t>
  </si>
  <si>
    <t>Mitra Tani/Eko Susanto</t>
  </si>
  <si>
    <t>Mitra Tani/Hariyanto</t>
  </si>
  <si>
    <t>Moga Barokah, UD</t>
  </si>
  <si>
    <t>Mona Tani</t>
  </si>
  <si>
    <t>Mujahidin Delapan, UD</t>
  </si>
  <si>
    <t>Mulya Lestari, UD/Umi</t>
  </si>
  <si>
    <t>Mulyo Tani/Danang</t>
  </si>
  <si>
    <t>Mutiara Tani, UD/Abdur Rahman</t>
  </si>
  <si>
    <t>Panen Jaya/Nesrawati</t>
  </si>
  <si>
    <t>Parnadi, UD</t>
  </si>
  <si>
    <t>Pasta Graha/Agus</t>
  </si>
  <si>
    <t>Pos Tani/Busiyanto</t>
  </si>
  <si>
    <t>Pusaka Tani Jaya/Supri</t>
  </si>
  <si>
    <t>Putra Makmur Abadi, UD</t>
  </si>
  <si>
    <t>Restu Rahayu/Yunita</t>
  </si>
  <si>
    <t>Restu Tani, UD/Ahmad</t>
  </si>
  <si>
    <t>Restu Tani/Rio</t>
  </si>
  <si>
    <t>Rimba Kelapa/Ribut Aminah</t>
  </si>
  <si>
    <t>Rizki Santoso, UD</t>
  </si>
  <si>
    <t>Sari Tani/Adenan</t>
  </si>
  <si>
    <t>Sederhana Agro Makmur, UD</t>
  </si>
  <si>
    <t>Setia Hati, Toko</t>
  </si>
  <si>
    <t>Setia Jaya, UD/Saiful</t>
  </si>
  <si>
    <t>Sinar Tani/Dwi</t>
  </si>
  <si>
    <t>Sriwijaya/Yahya</t>
  </si>
  <si>
    <t>Suci Murni/Tony</t>
  </si>
  <si>
    <t>Sumber Makmur/Satino</t>
  </si>
  <si>
    <t>Sumber Rahayu, UD</t>
  </si>
  <si>
    <t>Sumber Rejeki, Toko/Srikanah</t>
  </si>
  <si>
    <t>Sumber Rejeki/Benny</t>
  </si>
  <si>
    <t>Sumber Rejeki/Tono</t>
  </si>
  <si>
    <t>Sumber Rejeki/Yuliatin</t>
  </si>
  <si>
    <t>Sumber Tani/Sandra</t>
  </si>
  <si>
    <t>Tani Agung Abadi/Totok</t>
  </si>
  <si>
    <t>Tani Holik, Toko</t>
  </si>
  <si>
    <t>Tani Jaya/Afuk</t>
  </si>
  <si>
    <t>Tani Jaya/Budi Wiyono</t>
  </si>
  <si>
    <t>Tani Maju/Ayus Tinah</t>
  </si>
  <si>
    <t>Tani Makmur, Toko/Ady</t>
  </si>
  <si>
    <t>Tani Makmur/Akhmad</t>
  </si>
  <si>
    <t>Tani Makmur/Nurhamid</t>
  </si>
  <si>
    <t>Tani Makmur/Rika</t>
  </si>
  <si>
    <t>Tani Makmur/Sunaryo</t>
  </si>
  <si>
    <t>Tani Makmur/Wahid</t>
  </si>
  <si>
    <t>Tani Mulyo/Rubidar</t>
  </si>
  <si>
    <t>Tani Nugroho/Suyatmi</t>
  </si>
  <si>
    <t>Tani Sejati/Ahmad Syarifudin</t>
  </si>
  <si>
    <t>Tawaf, Toko</t>
  </si>
  <si>
    <t>Timbol Jaya/Gischa</t>
  </si>
  <si>
    <t>Tunas Jaya, UD/Bacuk</t>
  </si>
  <si>
    <t>Utama/Husni</t>
  </si>
  <si>
    <t>Wes Joyo/Hermas</t>
  </si>
  <si>
    <t>TOTAL</t>
  </si>
  <si>
    <t>Tagih Langsung Bayar</t>
  </si>
  <si>
    <t>Tagih</t>
  </si>
  <si>
    <t>Bayar</t>
  </si>
  <si>
    <t>Banyuwangi, Bondowoso, Situbondo</t>
  </si>
  <si>
    <t>&lt; 30</t>
  </si>
  <si>
    <t>Abadi Tani, Toko</t>
  </si>
  <si>
    <t>Agro Lestari, UD/Puguh</t>
  </si>
  <si>
    <t>Agro Tiara Jaya</t>
  </si>
  <si>
    <t>Agro Tropica Raya</t>
  </si>
  <si>
    <t>Berkat Jaya II/Dony</t>
  </si>
  <si>
    <t>Bintang Harapan</t>
  </si>
  <si>
    <t>Daeng Tani/Rahmat Hidayah</t>
  </si>
  <si>
    <t>Dewi Anjani/Wulan</t>
  </si>
  <si>
    <t>Durian Merah</t>
  </si>
  <si>
    <t>Harapan Jaya/Hadi Maruf</t>
  </si>
  <si>
    <t>Harto Tani/Suhartini</t>
  </si>
  <si>
    <t>Karisma Tani/Roeslan</t>
  </si>
  <si>
    <t>Karunia Jaya/Sujud Abdillah</t>
  </si>
  <si>
    <t>Konco Tani, UD/Kasianto</t>
  </si>
  <si>
    <t>Langgeng Jaya/Lilis</t>
  </si>
  <si>
    <t>Langgeng Makmur</t>
  </si>
  <si>
    <t>Layan Tani,UD</t>
  </si>
  <si>
    <t>Lestari Alam/Firqin</t>
  </si>
  <si>
    <t>Maju Mapan/Gidion</t>
  </si>
  <si>
    <t>Mandiri/Suparni</t>
  </si>
  <si>
    <t>Mitra Tani/Riska</t>
  </si>
  <si>
    <t>Mustakim Tani/Mustakim</t>
  </si>
  <si>
    <t>Nur Fatah</t>
  </si>
  <si>
    <t>Perdana Jaya/Zainud</t>
  </si>
  <si>
    <t>Pertanian 99/ Efendi</t>
  </si>
  <si>
    <t>Risma,UD</t>
  </si>
  <si>
    <t>Sari Bumi/ Alvin</t>
  </si>
  <si>
    <t>Sari Rejeki/Singgih</t>
  </si>
  <si>
    <t>Sinar Fajar, UD</t>
  </si>
  <si>
    <t>Sumber Berkat/Agus</t>
  </si>
  <si>
    <t>Sumber Rejeki Tani/Ira</t>
  </si>
  <si>
    <t>Sumber Rejeki, UD/Sigit</t>
  </si>
  <si>
    <t>Sumber Rejeki/Maksum</t>
  </si>
  <si>
    <t>Tunas Makmur Agriculture/Deni</t>
  </si>
  <si>
    <t>Wina Tani/Sumilah</t>
  </si>
  <si>
    <t>Yahya Makmur</t>
  </si>
  <si>
    <t>Total Tagihan</t>
  </si>
  <si>
    <t>SIMULASI % OD</t>
  </si>
  <si>
    <t xml:space="preserve"> YANG HARUS DITAGIH</t>
  </si>
  <si>
    <t>Target OD Akhir Bulan</t>
  </si>
  <si>
    <t>Prediksi bayar</t>
  </si>
  <si>
    <t>sisa piutang</t>
  </si>
  <si>
    <t>Note</t>
  </si>
  <si>
    <t>Sisa OD</t>
  </si>
  <si>
    <t>diff</t>
  </si>
  <si>
    <t>SC</t>
  </si>
  <si>
    <t>Prima Tani/Candra Sanjaya</t>
  </si>
  <si>
    <t>Gunung Semeru</t>
  </si>
  <si>
    <t>Pertanian 99/Efendi</t>
  </si>
  <si>
    <t>Cahaya Mulya</t>
  </si>
  <si>
    <t>Sari Bumi/Alvin</t>
  </si>
  <si>
    <t>Diva Jaya</t>
  </si>
  <si>
    <t>Mitra Tani/Alfan</t>
  </si>
  <si>
    <t>Sinare Tani, UD</t>
  </si>
  <si>
    <t>Handayani, UD</t>
  </si>
  <si>
    <t>Tani Unggul/Johan</t>
  </si>
  <si>
    <t>Grand Total</t>
  </si>
  <si>
    <t>prediksi</t>
  </si>
  <si>
    <t>Simulasi penyelesaian OD &gt; 30</t>
  </si>
  <si>
    <t>akhir Jan</t>
  </si>
  <si>
    <t>Tot. piutang Januari</t>
  </si>
  <si>
    <t>OD30,60,90</t>
  </si>
  <si>
    <t>penyelesaian OD &gt; 30</t>
  </si>
  <si>
    <t>Simulasi OD 30+60</t>
  </si>
  <si>
    <t>Tot.piutang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</si>
</sst>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_-* #,##0_-;\-* #,##0_-;_-* &quot;-&quot;_-;_-@_-"/>
    <numFmt numFmtId="166" formatCode="_-* #,##0.00_-;\-* #,##0.00_-;_-* &quot;-&quot;??_-;_-@_-"/>
    <numFmt numFmtId="167" formatCode="[$-409]d\-mmm\-yy;@"/>
  </numFmts>
  <fonts count="7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theme="0"/>
      <name val="Arial Unicode MS"/>
      <family val="2"/>
    </font>
    <font>
      <b/>
      <sz val="8"/>
      <color theme="1"/>
      <name val="Arial Unicode MS"/>
      <family val="2"/>
    </font>
    <font>
      <b/>
      <sz val="9"/>
      <color theme="1"/>
      <name val="Arial Unicode MS"/>
      <family val="2"/>
    </font>
    <font>
      <sz val="9"/>
      <color theme="1"/>
      <name val="Arial Unicode MS"/>
      <family val="2"/>
    </font>
    <font>
      <sz val="10"/>
      <color theme="1"/>
      <name val="Calibri"/>
      <family val="2"/>
      <scheme val="minor"/>
    </font>
    <font>
      <b/>
      <sz val="7"/>
      <color theme="1"/>
      <name val="Arial Unicode MS"/>
      <family val="2"/>
    </font>
    <font>
      <sz val="9"/>
      <name val="Arial Unicode MS"/>
      <family val="2"/>
    </font>
    <font>
      <sz val="9"/>
      <color theme="0"/>
      <name val="Arial Unicode MS"/>
      <family val="2"/>
    </font>
    <font>
      <sz val="10"/>
      <color theme="0"/>
      <name val="Arial Unicode MS"/>
      <family val="2"/>
    </font>
    <font>
      <b/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2"/>
      <color theme="1"/>
      <name val="Lao UI"/>
      <family val="2"/>
    </font>
    <font>
      <b/>
      <sz val="10"/>
      <color rgb="FF000099"/>
      <name val="Lao UI"/>
      <family val="2"/>
    </font>
    <font>
      <sz val="8"/>
      <color theme="1"/>
      <name val="Lao UI"/>
      <family val="2"/>
    </font>
    <font>
      <b/>
      <sz val="8"/>
      <color theme="1"/>
      <name val="Lao UI"/>
      <family val="2"/>
    </font>
    <font>
      <b/>
      <sz val="8"/>
      <name val="Lao UI"/>
      <family val="2"/>
    </font>
    <font>
      <sz val="8"/>
      <name val="Lao UI"/>
      <family val="2"/>
    </font>
    <font>
      <sz val="8.5"/>
      <name val="Arial"/>
      <family val="2"/>
    </font>
    <font>
      <sz val="10"/>
      <name val="Arial"/>
      <family val="2"/>
    </font>
    <font>
      <sz val="8"/>
      <color rgb="FF000000"/>
      <name val="Arial"/>
      <family val="2"/>
    </font>
    <font>
      <b/>
      <sz val="14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8.5"/>
      <color rgb="FFFF0000"/>
      <name val="Arial"/>
      <family val="2"/>
    </font>
    <font>
      <sz val="8.5"/>
      <color rgb="FFFF0000"/>
      <name val="Arial"/>
      <family val="2"/>
    </font>
    <font>
      <b/>
      <sz val="8.5"/>
      <name val="Arial"/>
      <family val="2"/>
    </font>
    <font>
      <b/>
      <sz val="9"/>
      <color theme="0"/>
      <name val="Arial"/>
      <family val="2"/>
    </font>
    <font>
      <sz val="9"/>
      <name val="Arial"/>
      <family val="2"/>
    </font>
    <font>
      <sz val="11"/>
      <color indexed="8"/>
      <name val="Calibri"/>
      <family val="2"/>
    </font>
    <font>
      <sz val="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0"/>
      <name val="Calibri"/>
      <family val="2"/>
    </font>
    <font>
      <sz val="9"/>
      <color theme="1"/>
      <name val="Arial Narrow"/>
      <family val="2"/>
      <charset val="1"/>
    </font>
    <font>
      <sz val="12"/>
      <name val="Arial"/>
      <family val="2"/>
    </font>
    <font>
      <sz val="1"/>
      <color rgb="FF0000A0"/>
      <name val="Calibri"/>
      <family val="2"/>
      <scheme val="minor"/>
    </font>
    <font>
      <b/>
      <i/>
      <sz val="16"/>
      <color rgb="FF0000A0"/>
      <name val="Tahoma"/>
      <family val="2"/>
    </font>
    <font>
      <sz val="9"/>
      <color rgb="FF000000"/>
      <name val="Segoe UI"/>
      <family val="2"/>
    </font>
    <font>
      <b/>
      <i/>
      <sz val="16"/>
      <color indexed="18"/>
      <name val="Tahoma"/>
      <family val="2"/>
    </font>
    <font>
      <sz val="1"/>
      <color rgb="FF000000"/>
      <name val="Calibri"/>
      <family val="2"/>
      <scheme val="minor"/>
    </font>
    <font>
      <b/>
      <sz val="14"/>
      <color rgb="FF000000"/>
      <name val="Arial"/>
      <family val="2"/>
    </font>
    <font>
      <b/>
      <sz val="14"/>
      <color indexed="8"/>
      <name val="Arial"/>
      <family val="2"/>
    </font>
    <font>
      <sz val="8"/>
      <color rgb="FF000000"/>
      <name val="Segoe UI"/>
      <family val="2"/>
    </font>
    <font>
      <sz val="10"/>
      <color rgb="FF000000"/>
      <name val="Arial"/>
      <family val="2"/>
    </font>
    <font>
      <sz val="8"/>
      <color rgb="FF000000"/>
      <name val="Tahoma"/>
      <family val="2"/>
    </font>
    <font>
      <b/>
      <sz val="9"/>
      <color rgb="FF000080"/>
      <name val="Arial"/>
      <family val="2"/>
    </font>
    <font>
      <b/>
      <sz val="8"/>
      <color rgb="FF000000"/>
      <name val="Arial"/>
      <family val="2"/>
    </font>
    <font>
      <b/>
      <sz val="8"/>
      <color rgb="FF000080"/>
      <name val="Arial"/>
      <family val="2"/>
    </font>
    <font>
      <sz val="8"/>
      <color indexed="8"/>
      <name val="Tahoma"/>
      <family val="2"/>
    </font>
    <font>
      <sz val="8"/>
      <color indexed="8"/>
      <name val="Arial"/>
      <family val="2"/>
    </font>
    <font>
      <sz val="8"/>
      <color rgb="FF000000"/>
      <name val="Wingdings"/>
      <charset val="2"/>
    </font>
    <font>
      <b/>
      <sz val="9"/>
      <color rgb="FF000000"/>
      <name val="Arial"/>
      <family val="2"/>
    </font>
    <font>
      <sz val="1"/>
      <color rgb="FF000000"/>
      <name val="Arial"/>
      <family val="2"/>
    </font>
    <font>
      <b/>
      <sz val="8"/>
      <color rgb="FF000000"/>
      <name val="Segoe UI"/>
      <family val="2"/>
    </font>
    <font>
      <b/>
      <sz val="8"/>
      <color indexed="8"/>
      <name val="Arial"/>
      <family val="2"/>
    </font>
    <font>
      <sz val="1"/>
      <color rgb="FF800000"/>
      <name val="Calibri"/>
      <family val="2"/>
      <scheme val="minor"/>
    </font>
    <font>
      <b/>
      <sz val="9"/>
      <color rgb="FF800000"/>
      <name val="Arial"/>
      <family val="2"/>
    </font>
    <font>
      <b/>
      <sz val="9"/>
      <color indexed="16"/>
      <name val="Arial"/>
      <family val="2"/>
    </font>
    <font>
      <b/>
      <sz val="16"/>
      <color rgb="FF1079AE"/>
      <name val="Segoe UI"/>
      <family val="2"/>
    </font>
    <font>
      <b/>
      <sz val="18"/>
      <color rgb="FF0000A0"/>
      <name val="Arial"/>
      <family val="2"/>
    </font>
    <font>
      <b/>
      <sz val="8"/>
      <color rgb="FF000000"/>
      <name val="Tahoma"/>
      <family val="2"/>
    </font>
    <font>
      <b/>
      <sz val="8"/>
      <color indexed="8"/>
      <name val="Tahoma"/>
      <family val="2"/>
    </font>
    <font>
      <b/>
      <sz val="13"/>
      <color rgb="FF000000"/>
      <name val="Segoe UI"/>
      <family val="2"/>
    </font>
    <font>
      <b/>
      <sz val="8"/>
      <color rgb="FF800000"/>
      <name val="Segoe UI"/>
      <family val="2"/>
    </font>
    <font>
      <b/>
      <sz val="11"/>
      <color rgb="FF1079AE"/>
      <name val="Segoe UI"/>
      <family val="2"/>
    </font>
    <font>
      <b/>
      <sz val="9"/>
      <color rgb="FF1079AE"/>
      <name val="Segoe UI"/>
      <family val="2"/>
    </font>
    <font>
      <sz val="9"/>
      <color rgb="FF000000"/>
      <name val="Tahoma"/>
      <family val="2"/>
    </font>
  </fonts>
  <fills count="3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5B1F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9"/>
      </patternFill>
    </fill>
    <fill>
      <patternFill patternType="solid">
        <fgColor rgb="FFFFFFFF"/>
        <bgColor indexed="64"/>
      </patternFill>
    </fill>
  </fills>
  <borders count="17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20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4" fillId="0" borderId="0"/>
    <xf numFmtId="0" fontId="25" fillId="0" borderId="0">
      <alignment horizontal="left" vertical="top"/>
    </xf>
    <xf numFmtId="41" fontId="33" fillId="0" borderId="0" applyFont="0" applyFill="0" applyBorder="0" applyAlignment="0" applyProtection="0"/>
    <xf numFmtId="165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33" fillId="0" borderId="0" applyFont="0" applyFill="0" applyBorder="0" applyAlignment="0" applyProtection="0"/>
    <xf numFmtId="165" fontId="24" fillId="0" borderId="0" applyFont="0" applyFill="0" applyBorder="0" applyAlignment="0" applyProtection="0"/>
    <xf numFmtId="41" fontId="33" fillId="0" borderId="0" applyFont="0" applyFill="0" applyBorder="0" applyAlignment="0" applyProtection="0"/>
    <xf numFmtId="41" fontId="33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4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4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3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4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>
      <alignment vertical="top"/>
      <protection locked="0"/>
    </xf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0" fontId="34" fillId="0" borderId="0"/>
    <xf numFmtId="0" fontId="24" fillId="0" borderId="0"/>
    <xf numFmtId="0" fontId="1" fillId="0" borderId="0"/>
    <xf numFmtId="0" fontId="1" fillId="0" borderId="0"/>
    <xf numFmtId="0" fontId="34" fillId="0" borderId="0"/>
    <xf numFmtId="0" fontId="37" fillId="0" borderId="0"/>
    <xf numFmtId="0" fontId="37" fillId="0" borderId="0"/>
    <xf numFmtId="0" fontId="3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34" fillId="32" borderId="0"/>
    <xf numFmtId="0" fontId="34" fillId="32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38" fillId="32" borderId="0"/>
    <xf numFmtId="0" fontId="24" fillId="0" borderId="0"/>
    <xf numFmtId="167" fontId="1" fillId="0" borderId="0"/>
    <xf numFmtId="167" fontId="1" fillId="0" borderId="0"/>
    <xf numFmtId="167" fontId="1" fillId="0" borderId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center" vertical="top"/>
    </xf>
    <xf numFmtId="0" fontId="34" fillId="0" borderId="0">
      <alignment horizontal="center" vertical="top"/>
    </xf>
    <xf numFmtId="0" fontId="34" fillId="0" borderId="0">
      <alignment horizontal="left" vertical="top"/>
    </xf>
    <xf numFmtId="0" fontId="39" fillId="0" borderId="0">
      <alignment horizontal="left" vertical="top"/>
    </xf>
    <xf numFmtId="0" fontId="40" fillId="0" borderId="0">
      <alignment horizontal="left" vertical="top"/>
    </xf>
    <xf numFmtId="0" fontId="34" fillId="33" borderId="0">
      <alignment horizontal="center" vertical="top"/>
    </xf>
    <xf numFmtId="0" fontId="25" fillId="0" borderId="0">
      <alignment horizontal="left" vertical="top"/>
    </xf>
    <xf numFmtId="0" fontId="25" fillId="0" borderId="0">
      <alignment horizontal="left" vertical="top"/>
    </xf>
    <xf numFmtId="0" fontId="41" fillId="0" borderId="0">
      <alignment horizontal="righ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42" fillId="0" borderId="0">
      <alignment horizontal="left" vertical="top"/>
    </xf>
    <xf numFmtId="0" fontId="25" fillId="0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center" vertical="top"/>
    </xf>
    <xf numFmtId="0" fontId="34" fillId="0" borderId="0">
      <alignment horizontal="center" vertical="top"/>
    </xf>
    <xf numFmtId="0" fontId="34" fillId="0" borderId="0">
      <alignment horizontal="left" vertical="top"/>
    </xf>
    <xf numFmtId="0" fontId="43" fillId="0" borderId="0">
      <alignment horizontal="left" vertical="top"/>
    </xf>
    <xf numFmtId="0" fontId="44" fillId="0" borderId="0">
      <alignment horizontal="left" vertical="top"/>
    </xf>
    <xf numFmtId="0" fontId="34" fillId="33" borderId="0">
      <alignment horizontal="center" vertical="top"/>
    </xf>
    <xf numFmtId="0" fontId="25" fillId="0" borderId="0">
      <alignment horizontal="left" vertical="top"/>
    </xf>
    <xf numFmtId="0" fontId="25" fillId="0" borderId="0">
      <alignment horizontal="left" vertical="top"/>
    </xf>
    <xf numFmtId="0" fontId="41" fillId="0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45" fillId="0" borderId="0">
      <alignment horizontal="left" vertical="top"/>
    </xf>
    <xf numFmtId="0" fontId="46" fillId="0" borderId="0">
      <alignment horizontal="left" vertical="top"/>
    </xf>
    <xf numFmtId="0" fontId="43" fillId="0" borderId="0">
      <alignment horizontal="left" vertical="top"/>
    </xf>
    <xf numFmtId="0" fontId="47" fillId="0" borderId="0">
      <alignment horizontal="left" vertical="top"/>
    </xf>
    <xf numFmtId="0" fontId="48" fillId="0" borderId="0">
      <alignment horizontal="left" vertical="top"/>
    </xf>
    <xf numFmtId="0" fontId="34" fillId="33" borderId="0">
      <alignment horizontal="left" vertical="top"/>
    </xf>
    <xf numFmtId="0" fontId="49" fillId="0" borderId="0">
      <alignment horizontal="left" vertical="top"/>
    </xf>
    <xf numFmtId="0" fontId="50" fillId="0" borderId="0">
      <alignment horizontal="right" vertical="top"/>
    </xf>
    <xf numFmtId="0" fontId="51" fillId="0" borderId="0">
      <alignment horizontal="right" vertical="center"/>
    </xf>
    <xf numFmtId="0" fontId="25" fillId="0" borderId="0">
      <alignment horizontal="right" vertical="top"/>
    </xf>
    <xf numFmtId="0" fontId="25" fillId="0" borderId="0">
      <alignment horizontal="left" vertical="top"/>
    </xf>
    <xf numFmtId="167" fontId="48" fillId="0" borderId="0">
      <alignment horizontal="left" vertical="top"/>
    </xf>
    <xf numFmtId="0" fontId="47" fillId="0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48" fillId="0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right" vertical="top"/>
    </xf>
    <xf numFmtId="0" fontId="34" fillId="0" borderId="0">
      <alignment horizontal="left" vertical="top"/>
    </xf>
    <xf numFmtId="0" fontId="34" fillId="0" borderId="0">
      <alignment horizontal="right" vertical="top"/>
    </xf>
    <xf numFmtId="0" fontId="43" fillId="0" borderId="0">
      <alignment horizontal="right" vertical="top"/>
    </xf>
    <xf numFmtId="0" fontId="52" fillId="0" borderId="0">
      <alignment horizontal="left" vertical="top"/>
    </xf>
    <xf numFmtId="0" fontId="46" fillId="0" borderId="0">
      <alignment horizontal="left" vertical="top"/>
    </xf>
    <xf numFmtId="0" fontId="34" fillId="33" borderId="0">
      <alignment horizontal="left" vertical="top"/>
    </xf>
    <xf numFmtId="0" fontId="49" fillId="0" borderId="0">
      <alignment horizontal="left" vertical="top"/>
    </xf>
    <xf numFmtId="0" fontId="50" fillId="0" borderId="0">
      <alignment horizontal="left" vertical="top"/>
    </xf>
    <xf numFmtId="0" fontId="49" fillId="0" borderId="0">
      <alignment horizontal="right" vertical="top"/>
    </xf>
    <xf numFmtId="0" fontId="25" fillId="0" borderId="0">
      <alignment horizontal="left" vertical="top"/>
    </xf>
    <xf numFmtId="0" fontId="46" fillId="0" borderId="0">
      <alignment horizontal="left" vertical="top"/>
    </xf>
    <xf numFmtId="0" fontId="25" fillId="0" borderId="0">
      <alignment horizontal="right" vertical="top"/>
    </xf>
    <xf numFmtId="0" fontId="46" fillId="0" borderId="0">
      <alignment horizontal="right" vertical="top"/>
    </xf>
    <xf numFmtId="167" fontId="25" fillId="0" borderId="0">
      <alignment horizontal="right" vertical="top"/>
    </xf>
    <xf numFmtId="0" fontId="34" fillId="33" borderId="0">
      <alignment horizontal="left" vertical="top"/>
    </xf>
    <xf numFmtId="0" fontId="34" fillId="0" borderId="0">
      <alignment horizontal="left" vertical="top"/>
    </xf>
    <xf numFmtId="0" fontId="48" fillId="0" borderId="0">
      <alignment horizontal="left" vertical="top"/>
    </xf>
    <xf numFmtId="0" fontId="34" fillId="0" borderId="0">
      <alignment horizontal="right" vertical="top"/>
    </xf>
    <xf numFmtId="0" fontId="34" fillId="0" borderId="0">
      <alignment horizontal="left" vertical="top"/>
    </xf>
    <xf numFmtId="0" fontId="43" fillId="0" borderId="0">
      <alignment horizontal="left" vertical="top"/>
    </xf>
    <xf numFmtId="0" fontId="43" fillId="0" borderId="0">
      <alignment horizontal="right" vertical="top"/>
    </xf>
    <xf numFmtId="0" fontId="50" fillId="0" borderId="0">
      <alignment horizontal="right" vertical="top"/>
    </xf>
    <xf numFmtId="0" fontId="47" fillId="0" borderId="0">
      <alignment horizontal="left" vertical="top"/>
    </xf>
    <xf numFmtId="0" fontId="53" fillId="0" borderId="0">
      <alignment horizontal="right" vertical="top"/>
    </xf>
    <xf numFmtId="0" fontId="46" fillId="0" borderId="0">
      <alignment horizontal="right" vertical="top"/>
    </xf>
    <xf numFmtId="0" fontId="48" fillId="0" borderId="0">
      <alignment horizontal="left" vertical="top"/>
    </xf>
    <xf numFmtId="167" fontId="25" fillId="0" borderId="0">
      <alignment horizontal="right" vertical="top"/>
    </xf>
    <xf numFmtId="0" fontId="34" fillId="0" borderId="0">
      <alignment horizontal="left" vertical="top"/>
    </xf>
    <xf numFmtId="0" fontId="43" fillId="0" borderId="0">
      <alignment horizontal="left" vertical="top"/>
    </xf>
    <xf numFmtId="0" fontId="50" fillId="0" borderId="0">
      <alignment horizontal="left" vertical="top"/>
    </xf>
    <xf numFmtId="0" fontId="50" fillId="0" borderId="0">
      <alignment horizontal="right" vertical="top"/>
    </xf>
    <xf numFmtId="0" fontId="34" fillId="0" borderId="0">
      <alignment horizontal="right" vertical="top"/>
    </xf>
    <xf numFmtId="0" fontId="49" fillId="0" borderId="0">
      <alignment horizontal="right" vertical="top"/>
    </xf>
    <xf numFmtId="0" fontId="25" fillId="0" borderId="0">
      <alignment horizontal="right" vertical="top"/>
    </xf>
    <xf numFmtId="0" fontId="46" fillId="0" borderId="0">
      <alignment horizontal="right" vertical="top"/>
    </xf>
    <xf numFmtId="0" fontId="46" fillId="0" borderId="0">
      <alignment horizontal="left" vertical="top"/>
    </xf>
    <xf numFmtId="0" fontId="53" fillId="0" borderId="0">
      <alignment horizontal="right" vertical="top"/>
    </xf>
    <xf numFmtId="0" fontId="54" fillId="0" borderId="0">
      <alignment horizontal="left" vertical="center"/>
    </xf>
    <xf numFmtId="0" fontId="51" fillId="0" borderId="0">
      <alignment horizontal="left" vertical="center"/>
    </xf>
    <xf numFmtId="0" fontId="25" fillId="0" borderId="0">
      <alignment horizontal="left" vertical="top"/>
    </xf>
    <xf numFmtId="167" fontId="25" fillId="0" borderId="0">
      <alignment horizontal="left" vertical="top"/>
    </xf>
    <xf numFmtId="0" fontId="34" fillId="0" borderId="0">
      <alignment horizontal="left" vertical="top"/>
    </xf>
    <xf numFmtId="0" fontId="50" fillId="0" borderId="0">
      <alignment horizontal="left" vertical="top"/>
    </xf>
    <xf numFmtId="0" fontId="34" fillId="0" borderId="0">
      <alignment horizontal="left" vertical="top"/>
    </xf>
    <xf numFmtId="0" fontId="49" fillId="0" borderId="0">
      <alignment horizontal="right" vertical="top"/>
    </xf>
    <xf numFmtId="0" fontId="55" fillId="0" borderId="0">
      <alignment horizontal="left" vertical="top"/>
    </xf>
    <xf numFmtId="0" fontId="25" fillId="0" borderId="0">
      <alignment horizontal="right" vertical="top"/>
    </xf>
    <xf numFmtId="0" fontId="54" fillId="0" borderId="0">
      <alignment horizontal="left" vertical="center"/>
    </xf>
    <xf numFmtId="0" fontId="48" fillId="0" borderId="0">
      <alignment horizontal="left" vertical="top"/>
    </xf>
    <xf numFmtId="0" fontId="46" fillId="0" borderId="0">
      <alignment horizontal="right" vertical="top"/>
    </xf>
    <xf numFmtId="0" fontId="50" fillId="0" borderId="0">
      <alignment horizontal="right" vertical="top"/>
    </xf>
    <xf numFmtId="0" fontId="53" fillId="0" borderId="0">
      <alignment horizontal="left" vertical="top"/>
    </xf>
    <xf numFmtId="0" fontId="25" fillId="0" borderId="0">
      <alignment horizontal="left" vertical="top"/>
    </xf>
    <xf numFmtId="167" fontId="48" fillId="0" borderId="0">
      <alignment horizontal="left" vertical="top"/>
    </xf>
    <xf numFmtId="0" fontId="56" fillId="0" borderId="0">
      <alignment horizontal="left" vertical="top"/>
    </xf>
    <xf numFmtId="0" fontId="34" fillId="0" borderId="0">
      <alignment horizontal="left" vertical="top"/>
    </xf>
    <xf numFmtId="0" fontId="25" fillId="0" borderId="0">
      <alignment horizontal="left" vertical="top"/>
    </xf>
    <xf numFmtId="0" fontId="25" fillId="0" borderId="0">
      <alignment horizontal="left" vertical="top"/>
    </xf>
    <xf numFmtId="0" fontId="41" fillId="0" borderId="0">
      <alignment horizontal="left" vertical="top"/>
    </xf>
    <xf numFmtId="0" fontId="51" fillId="0" borderId="0">
      <alignment horizontal="center" vertical="center"/>
    </xf>
    <xf numFmtId="0" fontId="48" fillId="0" borderId="0">
      <alignment horizontal="left" vertical="top"/>
    </xf>
    <xf numFmtId="0" fontId="50" fillId="0" borderId="0">
      <alignment horizontal="right" vertical="top"/>
    </xf>
    <xf numFmtId="0" fontId="51" fillId="0" borderId="0">
      <alignment horizontal="left" vertical="center"/>
    </xf>
    <xf numFmtId="0" fontId="52" fillId="0" borderId="0">
      <alignment horizontal="left" vertical="top"/>
    </xf>
    <xf numFmtId="0" fontId="57" fillId="0" borderId="0">
      <alignment horizontal="right" vertical="top"/>
    </xf>
    <xf numFmtId="0" fontId="25" fillId="0" borderId="0">
      <alignment horizontal="right" vertical="top"/>
    </xf>
    <xf numFmtId="0" fontId="57" fillId="0" borderId="0">
      <alignment horizontal="right" vertical="top"/>
    </xf>
    <xf numFmtId="0" fontId="48" fillId="0" borderId="0">
      <alignment horizontal="left" vertical="top"/>
    </xf>
    <xf numFmtId="0" fontId="57" fillId="0" borderId="0">
      <alignment horizontal="left" vertical="top"/>
    </xf>
    <xf numFmtId="0" fontId="25" fillId="0" borderId="0">
      <alignment horizontal="left" vertical="top"/>
    </xf>
    <xf numFmtId="0" fontId="50" fillId="0" borderId="0">
      <alignment horizontal="left" vertical="top"/>
    </xf>
    <xf numFmtId="0" fontId="51" fillId="0" borderId="0">
      <alignment horizontal="center" vertical="center"/>
    </xf>
    <xf numFmtId="167" fontId="25" fillId="0" borderId="0">
      <alignment horizontal="left" vertical="top"/>
    </xf>
    <xf numFmtId="0" fontId="53" fillId="0" borderId="0">
      <alignment horizontal="left" vertical="top"/>
    </xf>
    <xf numFmtId="0" fontId="57" fillId="0" borderId="0">
      <alignment horizontal="left" vertical="top"/>
    </xf>
    <xf numFmtId="0" fontId="25" fillId="0" borderId="0">
      <alignment horizontal="left" vertical="top"/>
    </xf>
    <xf numFmtId="0" fontId="57" fillId="0" borderId="0">
      <alignment horizontal="left" vertical="top"/>
    </xf>
    <xf numFmtId="0" fontId="57" fillId="0" borderId="0">
      <alignment horizontal="right" vertical="top"/>
    </xf>
    <xf numFmtId="0" fontId="48" fillId="0" borderId="0">
      <alignment horizontal="left" vertical="top"/>
    </xf>
    <xf numFmtId="167" fontId="48" fillId="0" borderId="0">
      <alignment horizontal="left" vertical="top"/>
    </xf>
    <xf numFmtId="0" fontId="52" fillId="0" borderId="0">
      <alignment horizontal="left" vertical="top"/>
    </xf>
    <xf numFmtId="0" fontId="50" fillId="0" borderId="0">
      <alignment horizontal="left" vertical="top"/>
    </xf>
    <xf numFmtId="0" fontId="47" fillId="0" borderId="0">
      <alignment horizontal="left" vertical="top"/>
    </xf>
    <xf numFmtId="0" fontId="50" fillId="0" borderId="0">
      <alignment horizontal="right" vertical="top"/>
    </xf>
    <xf numFmtId="167" fontId="50" fillId="0" borderId="0">
      <alignment horizontal="right" vertical="top"/>
    </xf>
    <xf numFmtId="0" fontId="58" fillId="0" borderId="0">
      <alignment horizontal="right" vertical="top"/>
    </xf>
    <xf numFmtId="0" fontId="56" fillId="0" borderId="0">
      <alignment horizontal="left" vertical="top"/>
    </xf>
    <xf numFmtId="0" fontId="50" fillId="0" borderId="0">
      <alignment horizontal="left" vertical="top"/>
    </xf>
    <xf numFmtId="0" fontId="25" fillId="0" borderId="0">
      <alignment horizontal="left" vertical="top"/>
    </xf>
    <xf numFmtId="167" fontId="50" fillId="0" borderId="0">
      <alignment horizontal="left" vertical="top"/>
    </xf>
    <xf numFmtId="0" fontId="58" fillId="0" borderId="0">
      <alignment horizontal="left" vertical="top"/>
    </xf>
    <xf numFmtId="0" fontId="25" fillId="0" borderId="0">
      <alignment horizontal="righ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center" vertical="top"/>
    </xf>
    <xf numFmtId="0" fontId="34" fillId="0" borderId="0">
      <alignment horizontal="center" vertical="top"/>
    </xf>
    <xf numFmtId="0" fontId="34" fillId="0" borderId="0">
      <alignment horizontal="left" vertical="top"/>
    </xf>
    <xf numFmtId="0" fontId="59" fillId="0" borderId="0">
      <alignment horizontal="left" vertical="top"/>
    </xf>
    <xf numFmtId="0" fontId="60" fillId="0" borderId="0">
      <alignment horizontal="left" vertical="top"/>
    </xf>
    <xf numFmtId="0" fontId="34" fillId="33" borderId="0">
      <alignment horizontal="center" vertical="top"/>
    </xf>
    <xf numFmtId="0" fontId="25" fillId="0" borderId="0">
      <alignment horizontal="right" vertical="top"/>
    </xf>
    <xf numFmtId="0" fontId="25" fillId="0" borderId="0">
      <alignment horizontal="right" vertical="top"/>
    </xf>
    <xf numFmtId="0" fontId="41" fillId="0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61" fillId="0" borderId="0">
      <alignment horizontal="left" vertical="top"/>
    </xf>
    <xf numFmtId="0" fontId="62" fillId="0" borderId="0">
      <alignment horizontal="center" vertical="top"/>
    </xf>
    <xf numFmtId="0" fontId="63" fillId="0" borderId="0">
      <alignment horizontal="left" vertical="top"/>
    </xf>
    <xf numFmtId="167" fontId="64" fillId="0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0" borderId="0">
      <alignment horizontal="left" vertical="top"/>
    </xf>
    <xf numFmtId="0" fontId="43" fillId="0" borderId="0">
      <alignment horizontal="left" vertical="top"/>
    </xf>
    <xf numFmtId="0" fontId="64" fillId="0" borderId="0">
      <alignment horizontal="left" vertical="top"/>
    </xf>
    <xf numFmtId="0" fontId="34" fillId="33" borderId="0">
      <alignment horizontal="left" vertical="top"/>
    </xf>
    <xf numFmtId="0" fontId="63" fillId="0" borderId="0">
      <alignment horizontal="center" vertical="top"/>
    </xf>
    <xf numFmtId="0" fontId="65" fillId="0" borderId="0">
      <alignment horizontal="left" vertical="top"/>
    </xf>
    <xf numFmtId="0" fontId="66" fillId="0" borderId="0">
      <alignment horizontal="center" vertical="top"/>
    </xf>
    <xf numFmtId="0" fontId="34" fillId="33" borderId="0">
      <alignment horizontal="left" vertical="top"/>
    </xf>
    <xf numFmtId="0" fontId="56" fillId="0" borderId="0">
      <alignment horizontal="left" vertical="top"/>
    </xf>
    <xf numFmtId="0" fontId="34" fillId="33" borderId="0">
      <alignment horizontal="left" vertical="top"/>
    </xf>
    <xf numFmtId="0" fontId="44" fillId="0" borderId="0">
      <alignment horizontal="center" vertical="top"/>
    </xf>
    <xf numFmtId="0" fontId="66" fillId="0" borderId="0">
      <alignment horizontal="center" vertical="top"/>
    </xf>
    <xf numFmtId="0" fontId="48" fillId="0" borderId="0">
      <alignment horizontal="right" vertical="top"/>
    </xf>
    <xf numFmtId="0" fontId="34" fillId="33" borderId="0">
      <alignment horizontal="left" vertical="top"/>
    </xf>
    <xf numFmtId="0" fontId="44" fillId="0" borderId="0">
      <alignment horizontal="left" vertical="top"/>
    </xf>
    <xf numFmtId="167" fontId="48" fillId="0" borderId="0">
      <alignment horizontal="right" vertical="top"/>
    </xf>
    <xf numFmtId="0" fontId="48" fillId="0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0" borderId="0">
      <alignment horizontal="left" vertical="top"/>
    </xf>
    <xf numFmtId="0" fontId="34" fillId="0" borderId="0">
      <alignment horizontal="left" vertical="top"/>
    </xf>
    <xf numFmtId="0" fontId="43" fillId="0" borderId="0">
      <alignment horizontal="left" vertical="top"/>
    </xf>
    <xf numFmtId="0" fontId="48" fillId="0" borderId="0">
      <alignment horizontal="left" vertical="top"/>
    </xf>
    <xf numFmtId="0" fontId="48" fillId="0" borderId="0">
      <alignment horizontal="left" vertical="top"/>
    </xf>
    <xf numFmtId="0" fontId="52" fillId="0" borderId="0">
      <alignment horizontal="right" vertical="top"/>
    </xf>
    <xf numFmtId="0" fontId="48" fillId="33" borderId="0">
      <alignment horizontal="left" vertical="top"/>
    </xf>
    <xf numFmtId="0" fontId="34" fillId="33" borderId="0">
      <alignment horizontal="left" vertical="top"/>
    </xf>
    <xf numFmtId="0" fontId="60" fillId="0" borderId="0">
      <alignment horizontal="center" vertical="top"/>
    </xf>
    <xf numFmtId="0" fontId="48" fillId="33" borderId="0">
      <alignment horizontal="left" vertical="top"/>
    </xf>
    <xf numFmtId="0" fontId="25" fillId="0" borderId="0">
      <alignment horizontal="right" vertical="top"/>
    </xf>
    <xf numFmtId="167" fontId="48" fillId="0" borderId="0">
      <alignment horizontal="left" vertical="top"/>
    </xf>
    <xf numFmtId="0" fontId="48" fillId="0" borderId="0">
      <alignment horizontal="left" vertical="top"/>
    </xf>
    <xf numFmtId="0" fontId="67" fillId="0" borderId="0">
      <alignment horizontal="center" vertical="top"/>
    </xf>
    <xf numFmtId="0" fontId="34" fillId="33" borderId="0">
      <alignment horizontal="left" vertical="top"/>
    </xf>
    <xf numFmtId="0" fontId="34" fillId="33" borderId="0">
      <alignment horizontal="righ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0" borderId="0">
      <alignment horizontal="left" vertical="top"/>
    </xf>
    <xf numFmtId="0" fontId="43" fillId="0" borderId="0">
      <alignment horizontal="left" vertical="top"/>
    </xf>
    <xf numFmtId="0" fontId="1" fillId="0" borderId="0">
      <alignment horizontal="left" vertical="top"/>
    </xf>
    <xf numFmtId="0" fontId="48" fillId="0" borderId="0">
      <alignment horizontal="left" vertical="top"/>
    </xf>
    <xf numFmtId="0" fontId="52" fillId="0" borderId="0">
      <alignment horizontal="left" vertical="top"/>
    </xf>
    <xf numFmtId="0" fontId="57" fillId="0" borderId="0">
      <alignment horizontal="left" vertical="center"/>
    </xf>
    <xf numFmtId="0" fontId="43" fillId="0" borderId="0">
      <alignment horizontal="right" vertical="top"/>
    </xf>
    <xf numFmtId="0" fontId="1" fillId="0" borderId="0">
      <alignment horizontal="right" vertical="top"/>
    </xf>
    <xf numFmtId="0" fontId="48" fillId="0" borderId="0">
      <alignment horizontal="right" vertical="top"/>
    </xf>
    <xf numFmtId="0" fontId="48" fillId="0" borderId="0">
      <alignment horizontal="left" vertical="top"/>
    </xf>
    <xf numFmtId="0" fontId="34" fillId="33" borderId="0">
      <alignment horizontal="right" vertical="top"/>
    </xf>
    <xf numFmtId="0" fontId="50" fillId="0" borderId="0">
      <alignment horizontal="left" vertical="top"/>
    </xf>
    <xf numFmtId="0" fontId="50" fillId="0" borderId="0">
      <alignment horizontal="center" vertical="center"/>
    </xf>
    <xf numFmtId="0" fontId="57" fillId="0" borderId="0">
      <alignment horizontal="left" vertical="center"/>
    </xf>
    <xf numFmtId="0" fontId="68" fillId="0" borderId="0">
      <alignment horizontal="center" vertical="top"/>
    </xf>
    <xf numFmtId="167" fontId="48" fillId="0" borderId="0">
      <alignment horizontal="left" vertical="top"/>
    </xf>
    <xf numFmtId="0" fontId="48" fillId="0" borderId="0">
      <alignment horizontal="right" vertical="top"/>
    </xf>
    <xf numFmtId="0" fontId="34" fillId="33" borderId="0">
      <alignment horizontal="righ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right" vertical="top"/>
    </xf>
    <xf numFmtId="0" fontId="34" fillId="33" borderId="0">
      <alignment horizontal="right" vertical="top"/>
    </xf>
    <xf numFmtId="0" fontId="34" fillId="33" borderId="0">
      <alignment horizontal="right" vertical="top"/>
    </xf>
    <xf numFmtId="0" fontId="34" fillId="0" borderId="0">
      <alignment horizontal="left" vertical="top"/>
    </xf>
    <xf numFmtId="0" fontId="34" fillId="0" borderId="0">
      <alignment horizontal="right" vertical="top"/>
    </xf>
    <xf numFmtId="0" fontId="52" fillId="0" borderId="0">
      <alignment horizontal="left" vertical="top"/>
    </xf>
    <xf numFmtId="0" fontId="57" fillId="0" borderId="0">
      <alignment horizontal="left" vertical="center"/>
    </xf>
    <xf numFmtId="0" fontId="48" fillId="0" borderId="0">
      <alignment horizontal="left" vertical="top"/>
    </xf>
    <xf numFmtId="0" fontId="48" fillId="0" borderId="0">
      <alignment horizontal="left" vertical="top"/>
    </xf>
    <xf numFmtId="0" fontId="48" fillId="0" borderId="0">
      <alignment horizontal="right" vertical="top"/>
    </xf>
    <xf numFmtId="0" fontId="34" fillId="33" borderId="0">
      <alignment horizontal="left" vertical="top"/>
    </xf>
    <xf numFmtId="0" fontId="50" fillId="0" borderId="0">
      <alignment horizontal="left" vertical="top"/>
    </xf>
    <xf numFmtId="0" fontId="51" fillId="0" borderId="0">
      <alignment horizontal="left" vertical="center"/>
    </xf>
    <xf numFmtId="0" fontId="57" fillId="0" borderId="0">
      <alignment horizontal="left" vertical="center"/>
    </xf>
    <xf numFmtId="0" fontId="69" fillId="0" borderId="0">
      <alignment horizontal="left" vertical="top"/>
    </xf>
    <xf numFmtId="167" fontId="48" fillId="0" borderId="0">
      <alignment horizontal="right" vertical="top"/>
    </xf>
    <xf numFmtId="0" fontId="70" fillId="0" borderId="0">
      <alignment horizontal="left" vertical="top"/>
    </xf>
    <xf numFmtId="0" fontId="48" fillId="0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righ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0" borderId="0">
      <alignment horizontal="right" vertical="top"/>
    </xf>
    <xf numFmtId="0" fontId="34" fillId="0" borderId="0">
      <alignment horizontal="left" vertical="top"/>
    </xf>
    <xf numFmtId="0" fontId="43" fillId="0" borderId="0">
      <alignment horizontal="left" vertical="top"/>
    </xf>
    <xf numFmtId="0" fontId="52" fillId="0" borderId="0">
      <alignment horizontal="right" vertical="top"/>
    </xf>
    <xf numFmtId="0" fontId="57" fillId="0" borderId="0">
      <alignment horizontal="right" vertical="center"/>
    </xf>
    <xf numFmtId="0" fontId="51" fillId="0" borderId="0">
      <alignment horizontal="left" vertical="center"/>
    </xf>
    <xf numFmtId="0" fontId="57" fillId="0" borderId="0">
      <alignment horizontal="right" vertical="center"/>
    </xf>
    <xf numFmtId="0" fontId="57" fillId="0" borderId="0">
      <alignment horizontal="left" vertical="top"/>
    </xf>
    <xf numFmtId="0" fontId="51" fillId="0" borderId="0">
      <alignment horizontal="right" vertical="center"/>
    </xf>
    <xf numFmtId="167" fontId="48" fillId="0" borderId="0">
      <alignment horizontal="left" vertical="top"/>
    </xf>
    <xf numFmtId="0" fontId="57" fillId="0" borderId="0">
      <alignment horizontal="right" vertical="center"/>
    </xf>
    <xf numFmtId="0" fontId="46" fillId="0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34" fillId="33" borderId="0">
      <alignment horizontal="left" vertical="top"/>
    </xf>
    <xf numFmtId="0" fontId="48" fillId="0" borderId="0">
      <alignment horizontal="right" vertical="top"/>
    </xf>
    <xf numFmtId="0" fontId="34" fillId="0" borderId="0">
      <alignment horizontal="left" vertical="top"/>
    </xf>
    <xf numFmtId="0" fontId="43" fillId="0" borderId="0">
      <alignment horizontal="left" vertical="top"/>
    </xf>
    <xf numFmtId="0" fontId="48" fillId="0" borderId="0">
      <alignment horizontal="left" vertical="top"/>
    </xf>
    <xf numFmtId="0" fontId="48" fillId="0" borderId="0">
      <alignment horizontal="left" vertical="top"/>
    </xf>
    <xf numFmtId="0" fontId="64" fillId="0" borderId="0">
      <alignment horizontal="left" vertical="top"/>
    </xf>
    <xf numFmtId="0" fontId="34" fillId="33" borderId="0">
      <alignment horizontal="left" vertical="top"/>
    </xf>
    <xf numFmtId="0" fontId="50" fillId="0" borderId="0">
      <alignment horizontal="right" vertical="top"/>
    </xf>
    <xf numFmtId="0" fontId="52" fillId="0" borderId="0">
      <alignment horizontal="left" vertical="top"/>
    </xf>
    <xf numFmtId="0" fontId="46" fillId="0" borderId="0">
      <alignment horizontal="left" vertical="top"/>
    </xf>
    <xf numFmtId="0" fontId="48" fillId="0" borderId="0">
      <alignment horizontal="left" vertical="top"/>
    </xf>
    <xf numFmtId="0" fontId="34" fillId="33" borderId="0">
      <alignment horizontal="right" vertical="top"/>
    </xf>
    <xf numFmtId="0" fontId="49" fillId="0" borderId="0">
      <alignment horizontal="left" vertical="top"/>
    </xf>
    <xf numFmtId="0" fontId="25" fillId="0" borderId="0">
      <alignment horizontal="left" vertical="top"/>
    </xf>
    <xf numFmtId="0" fontId="51" fillId="0" borderId="0">
      <alignment horizontal="center" vertical="center"/>
    </xf>
    <xf numFmtId="0" fontId="46" fillId="0" borderId="0">
      <alignment horizontal="left" vertical="top"/>
    </xf>
    <xf numFmtId="0" fontId="57" fillId="0" borderId="0">
      <alignment horizontal="right" vertical="top"/>
    </xf>
    <xf numFmtId="0" fontId="48" fillId="0" borderId="0">
      <alignment horizontal="right" vertical="top"/>
    </xf>
    <xf numFmtId="167" fontId="25" fillId="0" borderId="0">
      <alignment horizontal="left" vertical="top"/>
    </xf>
    <xf numFmtId="0" fontId="34" fillId="33" borderId="0">
      <alignment horizontal="right" vertical="top"/>
    </xf>
    <xf numFmtId="0" fontId="34" fillId="33" borderId="0">
      <alignment horizontal="left" vertical="top"/>
    </xf>
    <xf numFmtId="0" fontId="34" fillId="33" borderId="0">
      <alignment horizontal="right" vertical="top"/>
    </xf>
    <xf numFmtId="0" fontId="34" fillId="33" borderId="0">
      <alignment horizontal="right" vertical="top"/>
    </xf>
    <xf numFmtId="0" fontId="34" fillId="33" borderId="0">
      <alignment horizontal="right" vertical="top"/>
    </xf>
    <xf numFmtId="0" fontId="34" fillId="33" borderId="0">
      <alignment horizontal="left" vertical="top"/>
    </xf>
    <xf numFmtId="0" fontId="34" fillId="0" borderId="0">
      <alignment horizontal="left" vertical="top"/>
    </xf>
    <xf numFmtId="0" fontId="43" fillId="0" borderId="0">
      <alignment horizontal="left" vertical="top"/>
    </xf>
    <xf numFmtId="0" fontId="53" fillId="0" borderId="0">
      <alignment horizontal="left" vertical="top"/>
    </xf>
  </cellStyleXfs>
  <cellXfs count="131">
    <xf numFmtId="0" fontId="0" fillId="0" borderId="0" xfId="0"/>
    <xf numFmtId="0" fontId="5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NumberFormat="1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/>
    </xf>
    <xf numFmtId="0" fontId="9" fillId="12" borderId="1" xfId="0" applyFont="1" applyFill="1" applyBorder="1" applyAlignment="1">
      <alignment horizontal="center" vertical="center" wrapText="1"/>
    </xf>
    <xf numFmtId="0" fontId="8" fillId="13" borderId="1" xfId="0" applyFont="1" applyFill="1" applyBorder="1" applyAlignment="1">
      <alignment horizontal="center" vertical="center"/>
    </xf>
    <xf numFmtId="0" fontId="10" fillId="14" borderId="1" xfId="0" applyFont="1" applyFill="1" applyBorder="1" applyAlignment="1">
      <alignment horizontal="center" vertical="center" wrapText="1"/>
    </xf>
    <xf numFmtId="0" fontId="10" fillId="15" borderId="1" xfId="0" applyFont="1" applyFill="1" applyBorder="1" applyAlignment="1">
      <alignment horizontal="center" vertical="center" wrapText="1"/>
    </xf>
    <xf numFmtId="0" fontId="6" fillId="16" borderId="1" xfId="0" applyNumberFormat="1" applyFont="1" applyFill="1" applyBorder="1" applyAlignment="1">
      <alignment horizontal="center" vertical="center" wrapText="1"/>
    </xf>
    <xf numFmtId="0" fontId="8" fillId="17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left" vertical="center" indent="1"/>
    </xf>
    <xf numFmtId="43" fontId="11" fillId="0" borderId="1" xfId="3" applyFont="1" applyFill="1" applyBorder="1" applyAlignment="1">
      <alignment vertical="center"/>
    </xf>
    <xf numFmtId="10" fontId="11" fillId="0" borderId="1" xfId="3" applyNumberFormat="1" applyFont="1" applyFill="1" applyBorder="1" applyAlignment="1">
      <alignment horizontal="center" vertical="center"/>
    </xf>
    <xf numFmtId="10" fontId="12" fillId="18" borderId="1" xfId="3" applyNumberFormat="1" applyFont="1" applyFill="1" applyBorder="1" applyAlignment="1">
      <alignment horizontal="center" vertical="center"/>
    </xf>
    <xf numFmtId="10" fontId="11" fillId="0" borderId="1" xfId="2" applyNumberFormat="1" applyFont="1" applyFill="1" applyBorder="1" applyAlignment="1">
      <alignment horizontal="center" vertical="center"/>
    </xf>
    <xf numFmtId="9" fontId="11" fillId="18" borderId="1" xfId="2" applyFont="1" applyFill="1" applyBorder="1" applyAlignment="1">
      <alignment horizontal="center" vertical="center"/>
    </xf>
    <xf numFmtId="10" fontId="13" fillId="18" borderId="1" xfId="2" applyNumberFormat="1" applyFont="1" applyFill="1" applyBorder="1" applyAlignment="1">
      <alignment horizontal="center" vertical="center"/>
    </xf>
    <xf numFmtId="0" fontId="11" fillId="12" borderId="1" xfId="2" applyNumberFormat="1" applyFont="1" applyFill="1" applyBorder="1" applyAlignment="1">
      <alignment horizontal="center" vertical="center"/>
    </xf>
    <xf numFmtId="43" fontId="11" fillId="0" borderId="1" xfId="1" applyFont="1" applyFill="1" applyBorder="1" applyAlignment="1">
      <alignment vertical="center"/>
    </xf>
    <xf numFmtId="0" fontId="11" fillId="0" borderId="1" xfId="2" applyNumberFormat="1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0" fillId="19" borderId="0" xfId="0" applyFont="1" applyFill="1"/>
    <xf numFmtId="0" fontId="15" fillId="20" borderId="1" xfId="0" applyFont="1" applyFill="1" applyBorder="1" applyAlignment="1">
      <alignment horizontal="center" vertical="center"/>
    </xf>
    <xf numFmtId="41" fontId="16" fillId="21" borderId="4" xfId="0" applyNumberFormat="1" applyFont="1" applyFill="1" applyBorder="1" applyAlignment="1">
      <alignment horizontal="center" vertical="center"/>
    </xf>
    <xf numFmtId="41" fontId="16" fillId="21" borderId="5" xfId="0" applyNumberFormat="1" applyFont="1" applyFill="1" applyBorder="1" applyAlignment="1">
      <alignment horizontal="center" vertical="center"/>
    </xf>
    <xf numFmtId="41" fontId="16" fillId="21" borderId="6" xfId="0" applyNumberFormat="1" applyFont="1" applyFill="1" applyBorder="1" applyAlignment="1">
      <alignment horizontal="center" vertical="center"/>
    </xf>
    <xf numFmtId="0" fontId="15" fillId="21" borderId="4" xfId="0" applyFont="1" applyFill="1" applyBorder="1" applyAlignment="1">
      <alignment horizontal="center" vertical="center"/>
    </xf>
    <xf numFmtId="0" fontId="15" fillId="21" borderId="6" xfId="0" applyFont="1" applyFill="1" applyBorder="1" applyAlignment="1">
      <alignment horizontal="center" vertical="center"/>
    </xf>
    <xf numFmtId="41" fontId="15" fillId="21" borderId="1" xfId="0" applyNumberFormat="1" applyFont="1" applyFill="1" applyBorder="1" applyAlignment="1">
      <alignment horizontal="center" vertical="center"/>
    </xf>
    <xf numFmtId="41" fontId="16" fillId="22" borderId="4" xfId="0" applyNumberFormat="1" applyFont="1" applyFill="1" applyBorder="1" applyAlignment="1">
      <alignment horizontal="center" vertical="center"/>
    </xf>
    <xf numFmtId="41" fontId="16" fillId="22" borderId="5" xfId="0" applyNumberFormat="1" applyFont="1" applyFill="1" applyBorder="1" applyAlignment="1">
      <alignment horizontal="center" vertical="center"/>
    </xf>
    <xf numFmtId="41" fontId="16" fillId="22" borderId="6" xfId="0" applyNumberFormat="1" applyFont="1" applyFill="1" applyBorder="1" applyAlignment="1">
      <alignment horizontal="center" vertical="center"/>
    </xf>
    <xf numFmtId="41" fontId="16" fillId="4" borderId="4" xfId="0" applyNumberFormat="1" applyFont="1" applyFill="1" applyBorder="1" applyAlignment="1">
      <alignment horizontal="center" vertical="center"/>
    </xf>
    <xf numFmtId="41" fontId="16" fillId="4" borderId="5" xfId="0" applyNumberFormat="1" applyFont="1" applyFill="1" applyBorder="1" applyAlignment="1">
      <alignment horizontal="center" vertical="center"/>
    </xf>
    <xf numFmtId="41" fontId="16" fillId="4" borderId="6" xfId="0" applyNumberFormat="1" applyFont="1" applyFill="1" applyBorder="1" applyAlignment="1">
      <alignment horizontal="center" vertical="center"/>
    </xf>
    <xf numFmtId="41" fontId="16" fillId="23" borderId="4" xfId="0" applyNumberFormat="1" applyFont="1" applyFill="1" applyBorder="1" applyAlignment="1">
      <alignment horizontal="center" vertical="center"/>
    </xf>
    <xf numFmtId="41" fontId="16" fillId="23" borderId="6" xfId="0" applyNumberFormat="1" applyFont="1" applyFill="1" applyBorder="1" applyAlignment="1">
      <alignment horizontal="center" vertical="center"/>
    </xf>
    <xf numFmtId="41" fontId="16" fillId="24" borderId="1" xfId="0" applyNumberFormat="1" applyFont="1" applyFill="1" applyBorder="1" applyAlignment="1">
      <alignment horizontal="center" vertical="center"/>
    </xf>
    <xf numFmtId="0" fontId="16" fillId="25" borderId="1" xfId="0" applyFont="1" applyFill="1" applyBorder="1" applyAlignment="1">
      <alignment horizontal="center" vertical="center"/>
    </xf>
    <xf numFmtId="41" fontId="16" fillId="11" borderId="1" xfId="0" applyNumberFormat="1" applyFont="1" applyFill="1" applyBorder="1" applyAlignment="1">
      <alignment horizontal="center" vertical="center"/>
    </xf>
    <xf numFmtId="41" fontId="16" fillId="10" borderId="1" xfId="0" applyNumberFormat="1" applyFont="1" applyFill="1" applyBorder="1" applyAlignment="1">
      <alignment horizontal="center" vertical="center"/>
    </xf>
    <xf numFmtId="41" fontId="16" fillId="26" borderId="1" xfId="0" applyNumberFormat="1" applyFont="1" applyFill="1" applyBorder="1" applyAlignment="1">
      <alignment horizontal="center" vertical="center" wrapText="1"/>
    </xf>
    <xf numFmtId="41" fontId="16" fillId="26" borderId="1" xfId="0" applyNumberFormat="1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left" vertical="center" indent="1"/>
    </xf>
    <xf numFmtId="10" fontId="16" fillId="0" borderId="1" xfId="2" applyNumberFormat="1" applyFont="1" applyFill="1" applyBorder="1" applyAlignment="1">
      <alignment horizontal="center" vertical="center"/>
    </xf>
    <xf numFmtId="43" fontId="16" fillId="0" borderId="1" xfId="3" applyFont="1" applyFill="1" applyBorder="1" applyAlignment="1">
      <alignment vertical="center"/>
    </xf>
    <xf numFmtId="10" fontId="16" fillId="0" borderId="7" xfId="4" applyNumberFormat="1" applyFont="1" applyFill="1" applyBorder="1" applyAlignment="1">
      <alignment horizontal="center" vertical="center"/>
    </xf>
    <xf numFmtId="43" fontId="16" fillId="0" borderId="7" xfId="3" applyFont="1" applyFill="1" applyBorder="1" applyAlignment="1">
      <alignment vertical="center"/>
    </xf>
    <xf numFmtId="43" fontId="16" fillId="0" borderId="1" xfId="3" applyFont="1" applyFill="1" applyBorder="1" applyAlignment="1">
      <alignment horizontal="center" vertical="center"/>
    </xf>
    <xf numFmtId="0" fontId="16" fillId="0" borderId="7" xfId="3" applyNumberFormat="1" applyFont="1" applyFill="1" applyBorder="1" applyAlignment="1">
      <alignment horizontal="center" vertical="center"/>
    </xf>
    <xf numFmtId="9" fontId="16" fillId="0" borderId="7" xfId="2" applyFont="1" applyFill="1" applyBorder="1" applyAlignment="1">
      <alignment horizontal="center" vertical="center"/>
    </xf>
    <xf numFmtId="0" fontId="2" fillId="27" borderId="8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8" xfId="0" applyBorder="1"/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3" fillId="0" borderId="8" xfId="0" applyFont="1" applyBorder="1" applyAlignment="1">
      <alignment horizontal="center"/>
    </xf>
    <xf numFmtId="10" fontId="3" fillId="0" borderId="8" xfId="4" applyNumberFormat="1" applyFont="1" applyBorder="1" applyAlignment="1">
      <alignment horizontal="center"/>
    </xf>
    <xf numFmtId="0" fontId="17" fillId="28" borderId="0" xfId="0" applyFont="1" applyFill="1" applyAlignment="1">
      <alignment horizontal="center" vertical="center"/>
    </xf>
    <xf numFmtId="0" fontId="0" fillId="28" borderId="0" xfId="0" applyFill="1"/>
    <xf numFmtId="0" fontId="18" fillId="28" borderId="0" xfId="0" applyFont="1" applyFill="1" applyAlignment="1">
      <alignment horizontal="center" vertical="center"/>
    </xf>
    <xf numFmtId="0" fontId="19" fillId="28" borderId="0" xfId="0" applyFont="1" applyFill="1"/>
    <xf numFmtId="0" fontId="20" fillId="28" borderId="0" xfId="0" applyFont="1" applyFill="1" applyAlignment="1">
      <alignment vertical="center"/>
    </xf>
    <xf numFmtId="0" fontId="20" fillId="28" borderId="0" xfId="0" applyFont="1" applyFill="1"/>
    <xf numFmtId="0" fontId="21" fillId="0" borderId="8" xfId="0" applyFont="1" applyFill="1" applyBorder="1" applyAlignment="1">
      <alignment horizontal="center" vertical="center" wrapText="1"/>
    </xf>
    <xf numFmtId="0" fontId="21" fillId="18" borderId="8" xfId="0" applyFont="1" applyFill="1" applyBorder="1" applyAlignment="1">
      <alignment horizontal="center" vertical="center" wrapText="1"/>
    </xf>
    <xf numFmtId="0" fontId="19" fillId="0" borderId="0" xfId="0" applyFont="1"/>
    <xf numFmtId="0" fontId="22" fillId="0" borderId="8" xfId="0" applyFont="1" applyFill="1" applyBorder="1" applyAlignment="1">
      <alignment horizontal="center" vertical="center"/>
    </xf>
    <xf numFmtId="0" fontId="22" fillId="0" borderId="8" xfId="0" applyFont="1" applyFill="1" applyBorder="1" applyAlignment="1">
      <alignment vertical="center"/>
    </xf>
    <xf numFmtId="0" fontId="19" fillId="0" borderId="8" xfId="0" applyFont="1" applyBorder="1" applyAlignment="1">
      <alignment horizontal="center" vertical="center"/>
    </xf>
    <xf numFmtId="0" fontId="19" fillId="23" borderId="0" xfId="0" applyFont="1" applyFill="1" applyAlignment="1">
      <alignment horizontal="center" vertical="center"/>
    </xf>
    <xf numFmtId="0" fontId="19" fillId="10" borderId="0" xfId="0" applyFont="1" applyFill="1" applyAlignment="1">
      <alignment horizontal="center" vertical="center"/>
    </xf>
    <xf numFmtId="0" fontId="19" fillId="8" borderId="0" xfId="0" applyFont="1" applyFill="1" applyAlignment="1">
      <alignment horizontal="center" vertical="center"/>
    </xf>
    <xf numFmtId="0" fontId="19" fillId="28" borderId="0" xfId="0" applyFont="1" applyFill="1" applyAlignment="1">
      <alignment horizontal="center" vertical="center"/>
    </xf>
    <xf numFmtId="9" fontId="19" fillId="28" borderId="0" xfId="2" applyFont="1" applyFill="1" applyAlignment="1">
      <alignment horizontal="center" vertical="center"/>
    </xf>
    <xf numFmtId="0" fontId="21" fillId="29" borderId="8" xfId="0" applyFont="1" applyFill="1" applyBorder="1" applyAlignment="1">
      <alignment horizontal="center" vertical="center"/>
    </xf>
    <xf numFmtId="0" fontId="21" fillId="29" borderId="8" xfId="0" applyFont="1" applyFill="1" applyBorder="1" applyAlignment="1">
      <alignment vertical="center"/>
    </xf>
    <xf numFmtId="0" fontId="19" fillId="28" borderId="8" xfId="0" applyFont="1" applyFill="1" applyBorder="1" applyAlignment="1">
      <alignment horizontal="center" vertical="center"/>
    </xf>
    <xf numFmtId="0" fontId="22" fillId="28" borderId="0" xfId="0" applyFont="1" applyFill="1" applyBorder="1" applyAlignment="1">
      <alignment vertical="center"/>
    </xf>
    <xf numFmtId="0" fontId="23" fillId="0" borderId="8" xfId="0" applyFont="1" applyFill="1" applyBorder="1" applyAlignment="1">
      <alignment vertical="center"/>
    </xf>
    <xf numFmtId="0" fontId="21" fillId="0" borderId="8" xfId="0" applyFont="1" applyFill="1" applyBorder="1" applyAlignment="1">
      <alignment vertical="center"/>
    </xf>
    <xf numFmtId="0" fontId="26" fillId="30" borderId="9" xfId="0" applyFont="1" applyFill="1" applyBorder="1" applyAlignment="1">
      <alignment horizontal="center"/>
    </xf>
    <xf numFmtId="0" fontId="0" fillId="30" borderId="0" xfId="0" applyFill="1"/>
    <xf numFmtId="0" fontId="27" fillId="31" borderId="9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23" fillId="28" borderId="8" xfId="0" applyFont="1" applyFill="1" applyBorder="1" applyAlignment="1">
      <alignment vertical="center"/>
    </xf>
    <xf numFmtId="164" fontId="23" fillId="28" borderId="8" xfId="1" applyNumberFormat="1" applyFont="1" applyFill="1" applyBorder="1" applyAlignment="1">
      <alignment horizontal="center" vertical="center"/>
    </xf>
    <xf numFmtId="164" fontId="23" fillId="28" borderId="10" xfId="1" applyNumberFormat="1" applyFont="1" applyFill="1" applyBorder="1" applyAlignment="1">
      <alignment horizontal="center" vertical="center"/>
    </xf>
    <xf numFmtId="164" fontId="28" fillId="0" borderId="10" xfId="1" applyNumberFormat="1" applyFont="1" applyFill="1" applyBorder="1" applyAlignment="1">
      <alignment horizontal="center" vertical="center"/>
    </xf>
    <xf numFmtId="164" fontId="29" fillId="0" borderId="10" xfId="1" applyNumberFormat="1" applyFont="1" applyFill="1" applyBorder="1" applyAlignment="1">
      <alignment horizontal="center" vertical="center"/>
    </xf>
    <xf numFmtId="0" fontId="30" fillId="0" borderId="10" xfId="0" applyFont="1" applyFill="1" applyBorder="1" applyAlignment="1">
      <alignment horizontal="center" vertical="center"/>
    </xf>
    <xf numFmtId="164" fontId="28" fillId="0" borderId="8" xfId="1" applyNumberFormat="1" applyFont="1" applyFill="1" applyBorder="1" applyAlignment="1">
      <alignment horizontal="center" vertical="center"/>
    </xf>
    <xf numFmtId="0" fontId="30" fillId="0" borderId="8" xfId="0" applyFont="1" applyFill="1" applyBorder="1" applyAlignment="1">
      <alignment horizontal="center" vertical="center"/>
    </xf>
    <xf numFmtId="164" fontId="30" fillId="0" borderId="8" xfId="1" applyNumberFormat="1" applyFont="1" applyFill="1" applyBorder="1" applyAlignment="1">
      <alignment horizontal="center" vertical="center"/>
    </xf>
    <xf numFmtId="164" fontId="23" fillId="0" borderId="10" xfId="1" applyNumberFormat="1" applyFont="1" applyFill="1" applyBorder="1" applyAlignment="1">
      <alignment horizontal="center" vertical="center"/>
    </xf>
    <xf numFmtId="164" fontId="23" fillId="0" borderId="8" xfId="1" applyNumberFormat="1" applyFont="1" applyFill="1" applyBorder="1" applyAlignment="1">
      <alignment horizontal="center" vertical="center"/>
    </xf>
    <xf numFmtId="0" fontId="4" fillId="30" borderId="8" xfId="0" applyFont="1" applyFill="1" applyBorder="1"/>
    <xf numFmtId="0" fontId="31" fillId="30" borderId="8" xfId="0" applyFont="1" applyFill="1" applyBorder="1" applyAlignment="1">
      <alignment vertical="center"/>
    </xf>
    <xf numFmtId="164" fontId="31" fillId="30" borderId="8" xfId="1" applyNumberFormat="1" applyFont="1" applyFill="1" applyBorder="1" applyAlignment="1">
      <alignment horizontal="center" vertical="center"/>
    </xf>
    <xf numFmtId="0" fontId="14" fillId="30" borderId="8" xfId="0" applyFont="1" applyFill="1" applyBorder="1"/>
    <xf numFmtId="164" fontId="31" fillId="30" borderId="10" xfId="1" applyNumberFormat="1" applyFont="1" applyFill="1" applyBorder="1" applyAlignment="1">
      <alignment horizontal="center" vertical="center"/>
    </xf>
    <xf numFmtId="164" fontId="0" fillId="0" borderId="0" xfId="1" applyNumberFormat="1" applyFont="1"/>
    <xf numFmtId="164" fontId="32" fillId="0" borderId="11" xfId="1" applyNumberFormat="1" applyFont="1" applyFill="1" applyBorder="1" applyAlignment="1">
      <alignment horizontal="center" vertical="center"/>
    </xf>
    <xf numFmtId="164" fontId="32" fillId="0" borderId="12" xfId="1" applyNumberFormat="1" applyFont="1" applyFill="1" applyBorder="1" applyAlignment="1">
      <alignment horizontal="center" vertical="center"/>
    </xf>
    <xf numFmtId="0" fontId="3" fillId="11" borderId="13" xfId="0" applyFont="1" applyFill="1" applyBorder="1"/>
    <xf numFmtId="9" fontId="0" fillId="0" borderId="0" xfId="2" applyFont="1"/>
    <xf numFmtId="0" fontId="15" fillId="0" borderId="14" xfId="0" applyFont="1" applyBorder="1"/>
    <xf numFmtId="0" fontId="15" fillId="0" borderId="15" xfId="0" applyFont="1" applyBorder="1"/>
    <xf numFmtId="10" fontId="3" fillId="9" borderId="15" xfId="2" applyNumberFormat="1" applyFont="1" applyFill="1" applyBorder="1"/>
    <xf numFmtId="0" fontId="0" fillId="0" borderId="16" xfId="0" applyBorder="1"/>
    <xf numFmtId="0" fontId="15" fillId="0" borderId="0" xfId="0" applyFont="1"/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11" borderId="0" xfId="0" applyFill="1"/>
    <xf numFmtId="164" fontId="0" fillId="0" borderId="0" xfId="0" applyNumberFormat="1"/>
    <xf numFmtId="164" fontId="0" fillId="0" borderId="8" xfId="1" applyNumberFormat="1" applyFont="1" applyBorder="1"/>
    <xf numFmtId="164" fontId="0" fillId="0" borderId="8" xfId="0" applyNumberFormat="1" applyBorder="1"/>
    <xf numFmtId="0" fontId="0" fillId="0" borderId="0" xfId="0" applyAlignment="1">
      <alignment horizontal="center"/>
    </xf>
    <xf numFmtId="9" fontId="0" fillId="0" borderId="0" xfId="2" applyFont="1" applyAlignment="1"/>
    <xf numFmtId="10" fontId="0" fillId="11" borderId="0" xfId="2" applyNumberFormat="1" applyFont="1" applyFill="1" applyAlignment="1">
      <alignment horizontal="center"/>
    </xf>
    <xf numFmtId="0" fontId="0" fillId="11" borderId="0" xfId="0" applyFill="1" applyAlignment="1">
      <alignment horizontal="center"/>
    </xf>
  </cellXfs>
  <cellStyles count="1204">
    <cellStyle name="Comma" xfId="1" builtinId="3"/>
    <cellStyle name="Comma [0] 2" xfId="7"/>
    <cellStyle name="Comma [0] 2 2" xfId="8"/>
    <cellStyle name="Comma [0] 2 2 2" xfId="9"/>
    <cellStyle name="Comma [0] 2 3" xfId="10"/>
    <cellStyle name="Comma [0] 2 4" xfId="11"/>
    <cellStyle name="Comma [0] 3" xfId="12"/>
    <cellStyle name="Comma [0] 3 2" xfId="13"/>
    <cellStyle name="Comma [0] 3 3" xfId="14"/>
    <cellStyle name="Comma [0] 3 4" xfId="15"/>
    <cellStyle name="Comma [0] 4" xfId="16"/>
    <cellStyle name="Comma [0] 4 2" xfId="17"/>
    <cellStyle name="Comma [0] 5" xfId="18"/>
    <cellStyle name="Comma [0] 5 2" xfId="19"/>
    <cellStyle name="Comma [0] 6" xfId="20"/>
    <cellStyle name="Comma [0] 7" xfId="21"/>
    <cellStyle name="Comma [0] 8" xfId="22"/>
    <cellStyle name="Comma [0] 9" xfId="23"/>
    <cellStyle name="Comma 10" xfId="24"/>
    <cellStyle name="Comma 10 2" xfId="3"/>
    <cellStyle name="Comma 10 3" xfId="25"/>
    <cellStyle name="Comma 104" xfId="26"/>
    <cellStyle name="Comma 11" xfId="27"/>
    <cellStyle name="Comma 11 2" xfId="28"/>
    <cellStyle name="Comma 11 3" xfId="29"/>
    <cellStyle name="Comma 11 4" xfId="30"/>
    <cellStyle name="Comma 12" xfId="31"/>
    <cellStyle name="Comma 12 2" xfId="32"/>
    <cellStyle name="Comma 12 3" xfId="33"/>
    <cellStyle name="Comma 13" xfId="34"/>
    <cellStyle name="Comma 13 2" xfId="35"/>
    <cellStyle name="Comma 13 3" xfId="36"/>
    <cellStyle name="Comma 14" xfId="37"/>
    <cellStyle name="Comma 14 2" xfId="38"/>
    <cellStyle name="Comma 14 3" xfId="39"/>
    <cellStyle name="Comma 15" xfId="40"/>
    <cellStyle name="Comma 16" xfId="41"/>
    <cellStyle name="Comma 17" xfId="42"/>
    <cellStyle name="Comma 18" xfId="43"/>
    <cellStyle name="Comma 19" xfId="44"/>
    <cellStyle name="Comma 2" xfId="45"/>
    <cellStyle name="Comma 2 10" xfId="46"/>
    <cellStyle name="Comma 2 2" xfId="47"/>
    <cellStyle name="Comma 2 3" xfId="48"/>
    <cellStyle name="Comma 2 4" xfId="49"/>
    <cellStyle name="Comma 20" xfId="50"/>
    <cellStyle name="Comma 20 2" xfId="51"/>
    <cellStyle name="Comma 21" xfId="52"/>
    <cellStyle name="Comma 21 2" xfId="53"/>
    <cellStyle name="Comma 22" xfId="54"/>
    <cellStyle name="Comma 23" xfId="55"/>
    <cellStyle name="Comma 24" xfId="56"/>
    <cellStyle name="Comma 24 2" xfId="57"/>
    <cellStyle name="Comma 24 2 2" xfId="58"/>
    <cellStyle name="Comma 24 2 3" xfId="59"/>
    <cellStyle name="Comma 24 4" xfId="60"/>
    <cellStyle name="Comma 24 6" xfId="61"/>
    <cellStyle name="Comma 25" xfId="62"/>
    <cellStyle name="Comma 26" xfId="63"/>
    <cellStyle name="Comma 27" xfId="64"/>
    <cellStyle name="Comma 27 2" xfId="65"/>
    <cellStyle name="Comma 28" xfId="66"/>
    <cellStyle name="Comma 29" xfId="67"/>
    <cellStyle name="Comma 294" xfId="68"/>
    <cellStyle name="Comma 3" xfId="69"/>
    <cellStyle name="Comma 3 2" xfId="70"/>
    <cellStyle name="Comma 3 2 2" xfId="71"/>
    <cellStyle name="Comma 3 2 3" xfId="72"/>
    <cellStyle name="Comma 3 3" xfId="73"/>
    <cellStyle name="Comma 3 4" xfId="74"/>
    <cellStyle name="Comma 30" xfId="75"/>
    <cellStyle name="Comma 30 2" xfId="76"/>
    <cellStyle name="Comma 31" xfId="77"/>
    <cellStyle name="Comma 32" xfId="78"/>
    <cellStyle name="Comma 33" xfId="79"/>
    <cellStyle name="Comma 34" xfId="80"/>
    <cellStyle name="Comma 34 2" xfId="81"/>
    <cellStyle name="Comma 35" xfId="82"/>
    <cellStyle name="Comma 36" xfId="83"/>
    <cellStyle name="Comma 37" xfId="84"/>
    <cellStyle name="Comma 38" xfId="85"/>
    <cellStyle name="Comma 39" xfId="86"/>
    <cellStyle name="Comma 4" xfId="87"/>
    <cellStyle name="Comma 4 2" xfId="88"/>
    <cellStyle name="Comma 4 3" xfId="89"/>
    <cellStyle name="Comma 4 4" xfId="90"/>
    <cellStyle name="Comma 40" xfId="91"/>
    <cellStyle name="Comma 41" xfId="92"/>
    <cellStyle name="Comma 42" xfId="93"/>
    <cellStyle name="Comma 43" xfId="94"/>
    <cellStyle name="Comma 44" xfId="95"/>
    <cellStyle name="Comma 45" xfId="96"/>
    <cellStyle name="Comma 46" xfId="97"/>
    <cellStyle name="Comma 47" xfId="98"/>
    <cellStyle name="Comma 5" xfId="99"/>
    <cellStyle name="Comma 5 2" xfId="100"/>
    <cellStyle name="Comma 5 3" xfId="101"/>
    <cellStyle name="Comma 5 4" xfId="102"/>
    <cellStyle name="Comma 6" xfId="103"/>
    <cellStyle name="Comma 6 2" xfId="104"/>
    <cellStyle name="Comma 6 3" xfId="105"/>
    <cellStyle name="Comma 7" xfId="106"/>
    <cellStyle name="Comma 7 2" xfId="107"/>
    <cellStyle name="Comma 7 3" xfId="108"/>
    <cellStyle name="Comma 78 6" xfId="109"/>
    <cellStyle name="Comma 8" xfId="110"/>
    <cellStyle name="Comma 8 2" xfId="111"/>
    <cellStyle name="Comma 8 3" xfId="112"/>
    <cellStyle name="Comma 9" xfId="113"/>
    <cellStyle name="Comma 9 2" xfId="114"/>
    <cellStyle name="Comma 9 3" xfId="115"/>
    <cellStyle name="Hyperlink 2" xfId="116"/>
    <cellStyle name="Hyperlink 3" xfId="117"/>
    <cellStyle name="Hyperlink 4" xfId="118"/>
    <cellStyle name="Normal" xfId="0" builtinId="0"/>
    <cellStyle name="Normal 10" xfId="119"/>
    <cellStyle name="Normal 11" xfId="120"/>
    <cellStyle name="Normal 12" xfId="121"/>
    <cellStyle name="Normal 13" xfId="122"/>
    <cellStyle name="Normal 14" xfId="123"/>
    <cellStyle name="Normal 15" xfId="124"/>
    <cellStyle name="Normal 16" xfId="125"/>
    <cellStyle name="Normal 17" xfId="126"/>
    <cellStyle name="Normal 18" xfId="127"/>
    <cellStyle name="Normal 19" xfId="128"/>
    <cellStyle name="Normal 2" xfId="129"/>
    <cellStyle name="Normal 2 2" xfId="130"/>
    <cellStyle name="Normal 2 2 2" xfId="5"/>
    <cellStyle name="Normal 2 2 3" xfId="131"/>
    <cellStyle name="Normal 2 3" xfId="132"/>
    <cellStyle name="Normal 20" xfId="133"/>
    <cellStyle name="Normal 21" xfId="134"/>
    <cellStyle name="Normal 22" xfId="135"/>
    <cellStyle name="Normal 23" xfId="136"/>
    <cellStyle name="Normal 24" xfId="137"/>
    <cellStyle name="Normal 25" xfId="138"/>
    <cellStyle name="Normal 3" xfId="139"/>
    <cellStyle name="Normal 3 2" xfId="140"/>
    <cellStyle name="Normal 3 3" xfId="141"/>
    <cellStyle name="Normal 3 4" xfId="142"/>
    <cellStyle name="Normal 4" xfId="143"/>
    <cellStyle name="Normal 4 2" xfId="144"/>
    <cellStyle name="Normal 4 3" xfId="145"/>
    <cellStyle name="Normal 5" xfId="146"/>
    <cellStyle name="Normal 6" xfId="147"/>
    <cellStyle name="Normal 7" xfId="148"/>
    <cellStyle name="Normal 8" xfId="149"/>
    <cellStyle name="Normal 9" xfId="150"/>
    <cellStyle name="Percent" xfId="2" builtinId="5"/>
    <cellStyle name="Percent 2" xfId="151"/>
    <cellStyle name="Percent 3" xfId="152"/>
    <cellStyle name="Percent 4" xfId="4"/>
    <cellStyle name="S0" xfId="6"/>
    <cellStyle name="S0 10" xfId="153"/>
    <cellStyle name="S0 100" xfId="154"/>
    <cellStyle name="S0 101" xfId="155"/>
    <cellStyle name="S0 102" xfId="156"/>
    <cellStyle name="S0 103" xfId="157"/>
    <cellStyle name="S0 104" xfId="158"/>
    <cellStyle name="S0 105" xfId="159"/>
    <cellStyle name="S0 106" xfId="160"/>
    <cellStyle name="S0 107" xfId="161"/>
    <cellStyle name="S0 108" xfId="162"/>
    <cellStyle name="S0 109" xfId="163"/>
    <cellStyle name="S0 11" xfId="164"/>
    <cellStyle name="S0 110" xfId="165"/>
    <cellStyle name="S0 111" xfId="166"/>
    <cellStyle name="S0 112" xfId="167"/>
    <cellStyle name="S0 113" xfId="168"/>
    <cellStyle name="S0 114" xfId="169"/>
    <cellStyle name="S0 115" xfId="170"/>
    <cellStyle name="S0 116" xfId="171"/>
    <cellStyle name="S0 117" xfId="172"/>
    <cellStyle name="S0 118" xfId="173"/>
    <cellStyle name="S0 119" xfId="174"/>
    <cellStyle name="S0 12" xfId="175"/>
    <cellStyle name="S0 120" xfId="176"/>
    <cellStyle name="S0 121" xfId="177"/>
    <cellStyle name="S0 122" xfId="178"/>
    <cellStyle name="S0 123" xfId="179"/>
    <cellStyle name="S0 124" xfId="180"/>
    <cellStyle name="S0 125" xfId="181"/>
    <cellStyle name="S0 126" xfId="182"/>
    <cellStyle name="S0 127" xfId="183"/>
    <cellStyle name="S0 128" xfId="184"/>
    <cellStyle name="S0 129" xfId="185"/>
    <cellStyle name="S0 13" xfId="186"/>
    <cellStyle name="S0 130" xfId="187"/>
    <cellStyle name="S0 131" xfId="188"/>
    <cellStyle name="S0 132" xfId="189"/>
    <cellStyle name="S0 133" xfId="190"/>
    <cellStyle name="S0 134" xfId="191"/>
    <cellStyle name="S0 135" xfId="192"/>
    <cellStyle name="S0 136" xfId="193"/>
    <cellStyle name="S0 137" xfId="194"/>
    <cellStyle name="S0 138" xfId="195"/>
    <cellStyle name="S0 139" xfId="196"/>
    <cellStyle name="S0 14" xfId="197"/>
    <cellStyle name="S0 140" xfId="198"/>
    <cellStyle name="S0 141" xfId="199"/>
    <cellStyle name="S0 142" xfId="200"/>
    <cellStyle name="S0 143" xfId="201"/>
    <cellStyle name="S0 144" xfId="202"/>
    <cellStyle name="S0 145" xfId="203"/>
    <cellStyle name="S0 146" xfId="204"/>
    <cellStyle name="S0 147" xfId="205"/>
    <cellStyle name="S0 148" xfId="206"/>
    <cellStyle name="S0 149" xfId="207"/>
    <cellStyle name="S0 15" xfId="208"/>
    <cellStyle name="S0 150" xfId="209"/>
    <cellStyle name="S0 151" xfId="210"/>
    <cellStyle name="S0 152" xfId="211"/>
    <cellStyle name="S0 153" xfId="212"/>
    <cellStyle name="S0 154" xfId="213"/>
    <cellStyle name="S0 155" xfId="214"/>
    <cellStyle name="S0 156" xfId="215"/>
    <cellStyle name="S0 157" xfId="216"/>
    <cellStyle name="S0 158" xfId="217"/>
    <cellStyle name="S0 159" xfId="218"/>
    <cellStyle name="S0 16" xfId="219"/>
    <cellStyle name="S0 160" xfId="220"/>
    <cellStyle name="S0 161" xfId="221"/>
    <cellStyle name="S0 162" xfId="222"/>
    <cellStyle name="S0 163" xfId="223"/>
    <cellStyle name="S0 164" xfId="224"/>
    <cellStyle name="S0 165" xfId="225"/>
    <cellStyle name="S0 166" xfId="226"/>
    <cellStyle name="S0 167" xfId="227"/>
    <cellStyle name="S0 168" xfId="228"/>
    <cellStyle name="S0 169" xfId="229"/>
    <cellStyle name="S0 17" xfId="230"/>
    <cellStyle name="S0 170" xfId="231"/>
    <cellStyle name="S0 171" xfId="232"/>
    <cellStyle name="S0 172" xfId="233"/>
    <cellStyle name="S0 173" xfId="234"/>
    <cellStyle name="S0 174" xfId="235"/>
    <cellStyle name="S0 175" xfId="236"/>
    <cellStyle name="S0 176" xfId="237"/>
    <cellStyle name="S0 177" xfId="238"/>
    <cellStyle name="S0 178" xfId="239"/>
    <cellStyle name="S0 179" xfId="240"/>
    <cellStyle name="S0 18" xfId="241"/>
    <cellStyle name="S0 180" xfId="242"/>
    <cellStyle name="S0 181" xfId="243"/>
    <cellStyle name="S0 182" xfId="244"/>
    <cellStyle name="S0 183" xfId="245"/>
    <cellStyle name="S0 184" xfId="246"/>
    <cellStyle name="S0 185" xfId="247"/>
    <cellStyle name="S0 186" xfId="248"/>
    <cellStyle name="S0 187" xfId="249"/>
    <cellStyle name="S0 188" xfId="250"/>
    <cellStyle name="S0 189" xfId="251"/>
    <cellStyle name="S0 19" xfId="252"/>
    <cellStyle name="S0 190" xfId="253"/>
    <cellStyle name="S0 191" xfId="254"/>
    <cellStyle name="S0 192" xfId="255"/>
    <cellStyle name="S0 193" xfId="256"/>
    <cellStyle name="S0 194" xfId="257"/>
    <cellStyle name="S0 195" xfId="258"/>
    <cellStyle name="S0 196" xfId="259"/>
    <cellStyle name="S0 197" xfId="260"/>
    <cellStyle name="S0 198" xfId="261"/>
    <cellStyle name="S0 199" xfId="262"/>
    <cellStyle name="S0 2" xfId="263"/>
    <cellStyle name="S0 20" xfId="264"/>
    <cellStyle name="S0 200" xfId="265"/>
    <cellStyle name="S0 201" xfId="266"/>
    <cellStyle name="S0 202" xfId="267"/>
    <cellStyle name="S0 203" xfId="268"/>
    <cellStyle name="S0 204" xfId="269"/>
    <cellStyle name="S0 205" xfId="270"/>
    <cellStyle name="S0 206" xfId="271"/>
    <cellStyle name="S0 207" xfId="272"/>
    <cellStyle name="S0 208" xfId="273"/>
    <cellStyle name="S0 209" xfId="274"/>
    <cellStyle name="S0 21" xfId="275"/>
    <cellStyle name="S0 210" xfId="276"/>
    <cellStyle name="S0 211" xfId="277"/>
    <cellStyle name="S0 212" xfId="278"/>
    <cellStyle name="S0 213" xfId="279"/>
    <cellStyle name="S0 214" xfId="280"/>
    <cellStyle name="S0 215" xfId="281"/>
    <cellStyle name="S0 216" xfId="282"/>
    <cellStyle name="S0 217" xfId="283"/>
    <cellStyle name="S0 218" xfId="284"/>
    <cellStyle name="S0 219" xfId="285"/>
    <cellStyle name="S0 22" xfId="286"/>
    <cellStyle name="S0 220" xfId="287"/>
    <cellStyle name="S0 221" xfId="288"/>
    <cellStyle name="S0 222" xfId="289"/>
    <cellStyle name="S0 223" xfId="290"/>
    <cellStyle name="S0 224" xfId="291"/>
    <cellStyle name="S0 225" xfId="292"/>
    <cellStyle name="S0 226" xfId="293"/>
    <cellStyle name="S0 227" xfId="294"/>
    <cellStyle name="S0 228" xfId="295"/>
    <cellStyle name="S0 229" xfId="296"/>
    <cellStyle name="S0 23" xfId="297"/>
    <cellStyle name="S0 230" xfId="298"/>
    <cellStyle name="S0 231" xfId="299"/>
    <cellStyle name="S0 232" xfId="300"/>
    <cellStyle name="S0 233" xfId="301"/>
    <cellStyle name="S0 234" xfId="302"/>
    <cellStyle name="S0 235" xfId="303"/>
    <cellStyle name="S0 236" xfId="304"/>
    <cellStyle name="S0 237" xfId="305"/>
    <cellStyle name="S0 238" xfId="306"/>
    <cellStyle name="S0 239" xfId="307"/>
    <cellStyle name="S0 24" xfId="308"/>
    <cellStyle name="S0 240" xfId="309"/>
    <cellStyle name="S0 241" xfId="310"/>
    <cellStyle name="S0 242" xfId="311"/>
    <cellStyle name="S0 243" xfId="312"/>
    <cellStyle name="S0 244" xfId="313"/>
    <cellStyle name="S0 245" xfId="314"/>
    <cellStyle name="S0 246" xfId="315"/>
    <cellStyle name="S0 247" xfId="316"/>
    <cellStyle name="S0 248" xfId="317"/>
    <cellStyle name="S0 249" xfId="318"/>
    <cellStyle name="S0 25" xfId="319"/>
    <cellStyle name="S0 250" xfId="320"/>
    <cellStyle name="S0 251" xfId="321"/>
    <cellStyle name="S0 252" xfId="322"/>
    <cellStyle name="S0 253" xfId="323"/>
    <cellStyle name="S0 254" xfId="324"/>
    <cellStyle name="S0 255" xfId="325"/>
    <cellStyle name="S0 256" xfId="326"/>
    <cellStyle name="S0 257" xfId="327"/>
    <cellStyle name="S0 258" xfId="328"/>
    <cellStyle name="S0 259" xfId="329"/>
    <cellStyle name="S0 26" xfId="330"/>
    <cellStyle name="S0 260" xfId="331"/>
    <cellStyle name="S0 261" xfId="332"/>
    <cellStyle name="S0 262" xfId="333"/>
    <cellStyle name="S0 263" xfId="334"/>
    <cellStyle name="S0 264" xfId="335"/>
    <cellStyle name="S0 265" xfId="336"/>
    <cellStyle name="S0 266" xfId="337"/>
    <cellStyle name="S0 266 2" xfId="338"/>
    <cellStyle name="S0 267" xfId="339"/>
    <cellStyle name="S0 268" xfId="340"/>
    <cellStyle name="S0 27" xfId="341"/>
    <cellStyle name="S0 28" xfId="342"/>
    <cellStyle name="S0 29" xfId="343"/>
    <cellStyle name="S0 3" xfId="344"/>
    <cellStyle name="S0 30" xfId="345"/>
    <cellStyle name="S0 31" xfId="346"/>
    <cellStyle name="S0 32" xfId="347"/>
    <cellStyle name="S0 33" xfId="348"/>
    <cellStyle name="S0 34" xfId="349"/>
    <cellStyle name="S0 35" xfId="350"/>
    <cellStyle name="S0 36" xfId="351"/>
    <cellStyle name="S0 37" xfId="352"/>
    <cellStyle name="S0 38" xfId="353"/>
    <cellStyle name="S0 39" xfId="354"/>
    <cellStyle name="S0 4" xfId="355"/>
    <cellStyle name="S0 40" xfId="356"/>
    <cellStyle name="S0 41" xfId="357"/>
    <cellStyle name="S0 42" xfId="358"/>
    <cellStyle name="S0 43" xfId="359"/>
    <cellStyle name="S0 44" xfId="360"/>
    <cellStyle name="S0 45" xfId="361"/>
    <cellStyle name="S0 46" xfId="362"/>
    <cellStyle name="S0 47" xfId="363"/>
    <cellStyle name="S0 48" xfId="364"/>
    <cellStyle name="S0 49" xfId="365"/>
    <cellStyle name="S0 5" xfId="366"/>
    <cellStyle name="S0 50" xfId="367"/>
    <cellStyle name="S0 51" xfId="368"/>
    <cellStyle name="S0 52" xfId="369"/>
    <cellStyle name="S0 53" xfId="370"/>
    <cellStyle name="S0 54" xfId="371"/>
    <cellStyle name="S0 55" xfId="372"/>
    <cellStyle name="S0 56" xfId="373"/>
    <cellStyle name="S0 57" xfId="374"/>
    <cellStyle name="S0 58" xfId="375"/>
    <cellStyle name="S0 59" xfId="376"/>
    <cellStyle name="S0 6" xfId="377"/>
    <cellStyle name="S0 60" xfId="378"/>
    <cellStyle name="S0 61" xfId="379"/>
    <cellStyle name="S0 62" xfId="380"/>
    <cellStyle name="S0 63" xfId="381"/>
    <cellStyle name="S0 64" xfId="382"/>
    <cellStyle name="S0 65" xfId="383"/>
    <cellStyle name="S0 66" xfId="384"/>
    <cellStyle name="S0 67" xfId="385"/>
    <cellStyle name="S0 68" xfId="386"/>
    <cellStyle name="S0 69" xfId="387"/>
    <cellStyle name="S0 7" xfId="388"/>
    <cellStyle name="S0 70" xfId="389"/>
    <cellStyle name="S0 71" xfId="390"/>
    <cellStyle name="S0 72" xfId="391"/>
    <cellStyle name="S0 73" xfId="392"/>
    <cellStyle name="S0 74" xfId="393"/>
    <cellStyle name="S0 75" xfId="394"/>
    <cellStyle name="S0 76" xfId="395"/>
    <cellStyle name="S0 77" xfId="396"/>
    <cellStyle name="S0 78" xfId="397"/>
    <cellStyle name="S0 79" xfId="398"/>
    <cellStyle name="S0 8" xfId="399"/>
    <cellStyle name="S0 80" xfId="400"/>
    <cellStyle name="S0 81" xfId="401"/>
    <cellStyle name="S0 82" xfId="402"/>
    <cellStyle name="S0 83" xfId="403"/>
    <cellStyle name="S0 84" xfId="404"/>
    <cellStyle name="S0 85" xfId="405"/>
    <cellStyle name="S0 86" xfId="406"/>
    <cellStyle name="S0 87" xfId="407"/>
    <cellStyle name="S0 88" xfId="408"/>
    <cellStyle name="S0 89" xfId="409"/>
    <cellStyle name="S0 9" xfId="410"/>
    <cellStyle name="S0 90" xfId="411"/>
    <cellStyle name="S0 91" xfId="412"/>
    <cellStyle name="S0 92" xfId="413"/>
    <cellStyle name="S0 93" xfId="414"/>
    <cellStyle name="S0 94" xfId="415"/>
    <cellStyle name="S0 95" xfId="416"/>
    <cellStyle name="S0 96" xfId="417"/>
    <cellStyle name="S0 97" xfId="418"/>
    <cellStyle name="S0 98" xfId="419"/>
    <cellStyle name="S0 99" xfId="420"/>
    <cellStyle name="S0_Pembelian" xfId="421"/>
    <cellStyle name="S1" xfId="422"/>
    <cellStyle name="S1 10" xfId="423"/>
    <cellStyle name="S1 100" xfId="424"/>
    <cellStyle name="S1 101" xfId="425"/>
    <cellStyle name="S1 102" xfId="426"/>
    <cellStyle name="S1 103" xfId="427"/>
    <cellStyle name="S1 104" xfId="428"/>
    <cellStyle name="S1 105" xfId="429"/>
    <cellStyle name="S1 106" xfId="430"/>
    <cellStyle name="S1 107" xfId="431"/>
    <cellStyle name="S1 108" xfId="432"/>
    <cellStyle name="S1 109" xfId="433"/>
    <cellStyle name="S1 11" xfId="434"/>
    <cellStyle name="S1 110" xfId="435"/>
    <cellStyle name="S1 111" xfId="436"/>
    <cellStyle name="S1 112" xfId="437"/>
    <cellStyle name="S1 113" xfId="438"/>
    <cellStyle name="S1 114" xfId="439"/>
    <cellStyle name="S1 115" xfId="440"/>
    <cellStyle name="S1 116" xfId="441"/>
    <cellStyle name="S1 117" xfId="442"/>
    <cellStyle name="S1 118" xfId="443"/>
    <cellStyle name="S1 119" xfId="444"/>
    <cellStyle name="S1 12" xfId="445"/>
    <cellStyle name="S1 120" xfId="446"/>
    <cellStyle name="S1 121" xfId="447"/>
    <cellStyle name="S1 122" xfId="448"/>
    <cellStyle name="S1 123" xfId="449"/>
    <cellStyle name="S1 124" xfId="450"/>
    <cellStyle name="S1 125" xfId="451"/>
    <cellStyle name="S1 126" xfId="452"/>
    <cellStyle name="S1 127" xfId="453"/>
    <cellStyle name="S1 128" xfId="454"/>
    <cellStyle name="S1 129" xfId="455"/>
    <cellStyle name="S1 13" xfId="456"/>
    <cellStyle name="S1 130" xfId="457"/>
    <cellStyle name="S1 131" xfId="458"/>
    <cellStyle name="S1 132" xfId="459"/>
    <cellStyle name="S1 133" xfId="460"/>
    <cellStyle name="S1 134" xfId="461"/>
    <cellStyle name="S1 135" xfId="462"/>
    <cellStyle name="S1 136" xfId="463"/>
    <cellStyle name="S1 137" xfId="464"/>
    <cellStyle name="S1 138" xfId="465"/>
    <cellStyle name="S1 139" xfId="466"/>
    <cellStyle name="S1 14" xfId="467"/>
    <cellStyle name="S1 140" xfId="468"/>
    <cellStyle name="S1 141" xfId="469"/>
    <cellStyle name="S1 142" xfId="470"/>
    <cellStyle name="S1 143" xfId="471"/>
    <cellStyle name="S1 144" xfId="472"/>
    <cellStyle name="S1 145" xfId="473"/>
    <cellStyle name="S1 146" xfId="474"/>
    <cellStyle name="S1 147" xfId="475"/>
    <cellStyle name="S1 148" xfId="476"/>
    <cellStyle name="S1 149" xfId="477"/>
    <cellStyle name="S1 15" xfId="478"/>
    <cellStyle name="S1 150" xfId="479"/>
    <cellStyle name="S1 151" xfId="480"/>
    <cellStyle name="S1 152" xfId="481"/>
    <cellStyle name="S1 153" xfId="482"/>
    <cellStyle name="S1 154" xfId="483"/>
    <cellStyle name="S1 155" xfId="484"/>
    <cellStyle name="S1 156" xfId="485"/>
    <cellStyle name="S1 157" xfId="486"/>
    <cellStyle name="S1 158" xfId="487"/>
    <cellStyle name="S1 159" xfId="488"/>
    <cellStyle name="S1 16" xfId="489"/>
    <cellStyle name="S1 160" xfId="490"/>
    <cellStyle name="S1 161" xfId="491"/>
    <cellStyle name="S1 162" xfId="492"/>
    <cellStyle name="S1 163" xfId="493"/>
    <cellStyle name="S1 164" xfId="494"/>
    <cellStyle name="S1 165" xfId="495"/>
    <cellStyle name="S1 166" xfId="496"/>
    <cellStyle name="S1 167" xfId="497"/>
    <cellStyle name="S1 168" xfId="498"/>
    <cellStyle name="S1 169" xfId="499"/>
    <cellStyle name="S1 17" xfId="500"/>
    <cellStyle name="S1 170" xfId="501"/>
    <cellStyle name="S1 171" xfId="502"/>
    <cellStyle name="S1 172" xfId="503"/>
    <cellStyle name="S1 173" xfId="504"/>
    <cellStyle name="S1 174" xfId="505"/>
    <cellStyle name="S1 175" xfId="506"/>
    <cellStyle name="S1 176" xfId="507"/>
    <cellStyle name="S1 177" xfId="508"/>
    <cellStyle name="S1 178" xfId="509"/>
    <cellStyle name="S1 179" xfId="510"/>
    <cellStyle name="S1 18" xfId="511"/>
    <cellStyle name="S1 180" xfId="512"/>
    <cellStyle name="S1 181" xfId="513"/>
    <cellStyle name="S1 182" xfId="514"/>
    <cellStyle name="S1 183" xfId="515"/>
    <cellStyle name="S1 184" xfId="516"/>
    <cellStyle name="S1 185" xfId="517"/>
    <cellStyle name="S1 186" xfId="518"/>
    <cellStyle name="S1 187" xfId="519"/>
    <cellStyle name="S1 188" xfId="520"/>
    <cellStyle name="S1 189" xfId="521"/>
    <cellStyle name="S1 19" xfId="522"/>
    <cellStyle name="S1 190" xfId="523"/>
    <cellStyle name="S1 191" xfId="524"/>
    <cellStyle name="S1 192" xfId="525"/>
    <cellStyle name="S1 193" xfId="526"/>
    <cellStyle name="S1 194" xfId="527"/>
    <cellStyle name="S1 195" xfId="528"/>
    <cellStyle name="S1 196" xfId="529"/>
    <cellStyle name="S1 197" xfId="530"/>
    <cellStyle name="S1 198" xfId="531"/>
    <cellStyle name="S1 199" xfId="532"/>
    <cellStyle name="S1 2" xfId="533"/>
    <cellStyle name="S1 20" xfId="534"/>
    <cellStyle name="S1 200" xfId="535"/>
    <cellStyle name="S1 201" xfId="536"/>
    <cellStyle name="S1 202" xfId="537"/>
    <cellStyle name="S1 203" xfId="538"/>
    <cellStyle name="S1 204" xfId="539"/>
    <cellStyle name="S1 205" xfId="540"/>
    <cellStyle name="S1 206" xfId="541"/>
    <cellStyle name="S1 207" xfId="542"/>
    <cellStyle name="S1 208" xfId="543"/>
    <cellStyle name="S1 209" xfId="544"/>
    <cellStyle name="S1 21" xfId="545"/>
    <cellStyle name="S1 210" xfId="546"/>
    <cellStyle name="S1 211" xfId="547"/>
    <cellStyle name="S1 212" xfId="548"/>
    <cellStyle name="S1 213" xfId="549"/>
    <cellStyle name="S1 214" xfId="550"/>
    <cellStyle name="S1 215" xfId="551"/>
    <cellStyle name="S1 216" xfId="552"/>
    <cellStyle name="S1 217" xfId="553"/>
    <cellStyle name="S1 218" xfId="554"/>
    <cellStyle name="S1 219" xfId="555"/>
    <cellStyle name="S1 22" xfId="556"/>
    <cellStyle name="S1 220" xfId="557"/>
    <cellStyle name="S1 221" xfId="558"/>
    <cellStyle name="S1 222" xfId="559"/>
    <cellStyle name="S1 223" xfId="560"/>
    <cellStyle name="S1 224" xfId="561"/>
    <cellStyle name="S1 225" xfId="562"/>
    <cellStyle name="S1 226" xfId="563"/>
    <cellStyle name="S1 227" xfId="564"/>
    <cellStyle name="S1 228" xfId="565"/>
    <cellStyle name="S1 229" xfId="566"/>
    <cellStyle name="S1 23" xfId="567"/>
    <cellStyle name="S1 230" xfId="568"/>
    <cellStyle name="S1 231" xfId="569"/>
    <cellStyle name="S1 232" xfId="570"/>
    <cellStyle name="S1 233" xfId="571"/>
    <cellStyle name="S1 234" xfId="572"/>
    <cellStyle name="S1 235" xfId="573"/>
    <cellStyle name="S1 236" xfId="574"/>
    <cellStyle name="S1 237" xfId="575"/>
    <cellStyle name="S1 238" xfId="576"/>
    <cellStyle name="S1 239" xfId="577"/>
    <cellStyle name="S1 24" xfId="578"/>
    <cellStyle name="S1 240" xfId="579"/>
    <cellStyle name="S1 241" xfId="580"/>
    <cellStyle name="S1 242" xfId="581"/>
    <cellStyle name="S1 243" xfId="582"/>
    <cellStyle name="S1 244" xfId="583"/>
    <cellStyle name="S1 245" xfId="584"/>
    <cellStyle name="S1 246" xfId="585"/>
    <cellStyle name="S1 247" xfId="586"/>
    <cellStyle name="S1 248" xfId="587"/>
    <cellStyle name="S1 249" xfId="588"/>
    <cellStyle name="S1 25" xfId="589"/>
    <cellStyle name="S1 250" xfId="590"/>
    <cellStyle name="S1 251" xfId="591"/>
    <cellStyle name="S1 252" xfId="592"/>
    <cellStyle name="S1 253" xfId="593"/>
    <cellStyle name="S1 254" xfId="594"/>
    <cellStyle name="S1 255" xfId="595"/>
    <cellStyle name="S1 256" xfId="596"/>
    <cellStyle name="S1 257" xfId="597"/>
    <cellStyle name="S1 258" xfId="598"/>
    <cellStyle name="S1 259" xfId="599"/>
    <cellStyle name="S1 26" xfId="600"/>
    <cellStyle name="S1 260" xfId="601"/>
    <cellStyle name="S1 261" xfId="602"/>
    <cellStyle name="S1 262" xfId="603"/>
    <cellStyle name="S1 263" xfId="604"/>
    <cellStyle name="S1 264" xfId="605"/>
    <cellStyle name="S1 265" xfId="606"/>
    <cellStyle name="S1 265 2" xfId="607"/>
    <cellStyle name="S1 266" xfId="608"/>
    <cellStyle name="S1 267" xfId="609"/>
    <cellStyle name="S1 27" xfId="610"/>
    <cellStyle name="S1 28" xfId="611"/>
    <cellStyle name="S1 29" xfId="612"/>
    <cellStyle name="S1 3" xfId="613"/>
    <cellStyle name="S1 30" xfId="614"/>
    <cellStyle name="S1 31" xfId="615"/>
    <cellStyle name="S1 32" xfId="616"/>
    <cellStyle name="S1 33" xfId="617"/>
    <cellStyle name="S1 34" xfId="618"/>
    <cellStyle name="S1 35" xfId="619"/>
    <cellStyle name="S1 36" xfId="620"/>
    <cellStyle name="S1 37" xfId="621"/>
    <cellStyle name="S1 38" xfId="622"/>
    <cellStyle name="S1 39" xfId="623"/>
    <cellStyle name="S1 4" xfId="624"/>
    <cellStyle name="S1 40" xfId="625"/>
    <cellStyle name="S1 41" xfId="626"/>
    <cellStyle name="S1 42" xfId="627"/>
    <cellStyle name="S1 43" xfId="628"/>
    <cellStyle name="S1 44" xfId="629"/>
    <cellStyle name="S1 45" xfId="630"/>
    <cellStyle name="S1 46" xfId="631"/>
    <cellStyle name="S1 47" xfId="632"/>
    <cellStyle name="S1 48" xfId="633"/>
    <cellStyle name="S1 49" xfId="634"/>
    <cellStyle name="S1 5" xfId="635"/>
    <cellStyle name="S1 50" xfId="636"/>
    <cellStyle name="S1 51" xfId="637"/>
    <cellStyle name="S1 52" xfId="638"/>
    <cellStyle name="S1 53" xfId="639"/>
    <cellStyle name="S1 54" xfId="640"/>
    <cellStyle name="S1 55" xfId="641"/>
    <cellStyle name="S1 56" xfId="642"/>
    <cellStyle name="S1 57" xfId="643"/>
    <cellStyle name="S1 58" xfId="644"/>
    <cellStyle name="S1 59" xfId="645"/>
    <cellStyle name="S1 6" xfId="646"/>
    <cellStyle name="S1 60" xfId="647"/>
    <cellStyle name="S1 61" xfId="648"/>
    <cellStyle name="S1 62" xfId="649"/>
    <cellStyle name="S1 63" xfId="650"/>
    <cellStyle name="S1 64" xfId="651"/>
    <cellStyle name="S1 65" xfId="652"/>
    <cellStyle name="S1 66" xfId="653"/>
    <cellStyle name="S1 67" xfId="654"/>
    <cellStyle name="S1 68" xfId="655"/>
    <cellStyle name="S1 69" xfId="656"/>
    <cellStyle name="S1 7" xfId="657"/>
    <cellStyle name="S1 70" xfId="658"/>
    <cellStyle name="S1 71" xfId="659"/>
    <cellStyle name="S1 72" xfId="660"/>
    <cellStyle name="S1 73" xfId="661"/>
    <cellStyle name="S1 74" xfId="662"/>
    <cellStyle name="S1 75" xfId="663"/>
    <cellStyle name="S1 76" xfId="664"/>
    <cellStyle name="S1 77" xfId="665"/>
    <cellStyle name="S1 78" xfId="666"/>
    <cellStyle name="S1 79" xfId="667"/>
    <cellStyle name="S1 8" xfId="668"/>
    <cellStyle name="S1 80" xfId="669"/>
    <cellStyle name="S1 81" xfId="670"/>
    <cellStyle name="S1 82" xfId="671"/>
    <cellStyle name="S1 83" xfId="672"/>
    <cellStyle name="S1 84" xfId="673"/>
    <cellStyle name="S1 85" xfId="674"/>
    <cellStyle name="S1 86" xfId="675"/>
    <cellStyle name="S1 87" xfId="676"/>
    <cellStyle name="S1 88" xfId="677"/>
    <cellStyle name="S1 89" xfId="678"/>
    <cellStyle name="S1 9" xfId="679"/>
    <cellStyle name="S1 90" xfId="680"/>
    <cellStyle name="S1 91" xfId="681"/>
    <cellStyle name="S1 92" xfId="682"/>
    <cellStyle name="S1 93" xfId="683"/>
    <cellStyle name="S1 94" xfId="684"/>
    <cellStyle name="S1 95" xfId="685"/>
    <cellStyle name="S1 96" xfId="686"/>
    <cellStyle name="S1 97" xfId="687"/>
    <cellStyle name="S1 98" xfId="688"/>
    <cellStyle name="S1 99" xfId="689"/>
    <cellStyle name="S1_Pembelian" xfId="690"/>
    <cellStyle name="S10" xfId="691"/>
    <cellStyle name="S10 10" xfId="692"/>
    <cellStyle name="S10 11" xfId="693"/>
    <cellStyle name="S10 12" xfId="694"/>
    <cellStyle name="S10 13" xfId="695"/>
    <cellStyle name="S10 13 2" xfId="696"/>
    <cellStyle name="S10 14" xfId="697"/>
    <cellStyle name="S10 15" xfId="698"/>
    <cellStyle name="S10 16" xfId="699"/>
    <cellStyle name="S10 17" xfId="700"/>
    <cellStyle name="S10 18" xfId="701"/>
    <cellStyle name="S10 19" xfId="702"/>
    <cellStyle name="S10 2" xfId="703"/>
    <cellStyle name="S10 3" xfId="704"/>
    <cellStyle name="S10 3 2" xfId="705"/>
    <cellStyle name="S10 4" xfId="706"/>
    <cellStyle name="S10 5" xfId="707"/>
    <cellStyle name="S10 6" xfId="708"/>
    <cellStyle name="S10 7" xfId="709"/>
    <cellStyle name="S10 8" xfId="710"/>
    <cellStyle name="S10 9" xfId="711"/>
    <cellStyle name="S10_Pembelian" xfId="712"/>
    <cellStyle name="S11" xfId="713"/>
    <cellStyle name="S11 10" xfId="714"/>
    <cellStyle name="S11 10 2" xfId="715"/>
    <cellStyle name="S11 11" xfId="716"/>
    <cellStyle name="S11 12" xfId="717"/>
    <cellStyle name="S11 13" xfId="718"/>
    <cellStyle name="S11 14" xfId="719"/>
    <cellStyle name="S11 14 2" xfId="720"/>
    <cellStyle name="S11 15" xfId="721"/>
    <cellStyle name="S11 16" xfId="722"/>
    <cellStyle name="S11 2" xfId="723"/>
    <cellStyle name="S11 3" xfId="724"/>
    <cellStyle name="S11 3 2" xfId="725"/>
    <cellStyle name="S11 4" xfId="726"/>
    <cellStyle name="S11 5" xfId="727"/>
    <cellStyle name="S11 6" xfId="728"/>
    <cellStyle name="S11 7" xfId="729"/>
    <cellStyle name="S11 8" xfId="730"/>
    <cellStyle name="S11 9" xfId="731"/>
    <cellStyle name="S11_Pembelian" xfId="732"/>
    <cellStyle name="S12" xfId="733"/>
    <cellStyle name="S12 10" xfId="734"/>
    <cellStyle name="S12 11" xfId="735"/>
    <cellStyle name="S12 2" xfId="736"/>
    <cellStyle name="S12 3" xfId="737"/>
    <cellStyle name="S12 4" xfId="738"/>
    <cellStyle name="S12 5" xfId="739"/>
    <cellStyle name="S12 6" xfId="740"/>
    <cellStyle name="S12 6 2" xfId="741"/>
    <cellStyle name="S12 7" xfId="742"/>
    <cellStyle name="S12 8" xfId="743"/>
    <cellStyle name="S12 9" xfId="744"/>
    <cellStyle name="S12_Pembelian" xfId="745"/>
    <cellStyle name="S13" xfId="746"/>
    <cellStyle name="S13 10" xfId="747"/>
    <cellStyle name="S13 11" xfId="748"/>
    <cellStyle name="S13 12" xfId="749"/>
    <cellStyle name="S13 2" xfId="750"/>
    <cellStyle name="S13 3" xfId="751"/>
    <cellStyle name="S13 4" xfId="752"/>
    <cellStyle name="S13 4 2" xfId="753"/>
    <cellStyle name="S13 5" xfId="754"/>
    <cellStyle name="S13 6" xfId="755"/>
    <cellStyle name="S13 7" xfId="756"/>
    <cellStyle name="S13 7 2" xfId="757"/>
    <cellStyle name="S13 8" xfId="758"/>
    <cellStyle name="S13 9" xfId="759"/>
    <cellStyle name="S13_Pembelian" xfId="760"/>
    <cellStyle name="S14" xfId="761"/>
    <cellStyle name="S14 10" xfId="762"/>
    <cellStyle name="S14 2" xfId="763"/>
    <cellStyle name="S14 3" xfId="764"/>
    <cellStyle name="S14 3 2" xfId="765"/>
    <cellStyle name="S14 4" xfId="766"/>
    <cellStyle name="S14 5" xfId="767"/>
    <cellStyle name="S14 6" xfId="768"/>
    <cellStyle name="S14 7" xfId="769"/>
    <cellStyle name="S14 8" xfId="770"/>
    <cellStyle name="S14 9" xfId="771"/>
    <cellStyle name="S14_Pembelian" xfId="772"/>
    <cellStyle name="S15" xfId="773"/>
    <cellStyle name="S15 2" xfId="774"/>
    <cellStyle name="S15 3" xfId="775"/>
    <cellStyle name="S15 3 2" xfId="776"/>
    <cellStyle name="S15 4" xfId="777"/>
    <cellStyle name="S15 4 2" xfId="778"/>
    <cellStyle name="S15 5" xfId="779"/>
    <cellStyle name="S15 6" xfId="780"/>
    <cellStyle name="S15 7" xfId="781"/>
    <cellStyle name="S15_Pembelian" xfId="782"/>
    <cellStyle name="S16" xfId="783"/>
    <cellStyle name="S16 2" xfId="784"/>
    <cellStyle name="S16 3" xfId="785"/>
    <cellStyle name="S16 4" xfId="786"/>
    <cellStyle name="S16 5" xfId="787"/>
    <cellStyle name="S16 6" xfId="788"/>
    <cellStyle name="S16_Pembelian" xfId="789"/>
    <cellStyle name="S17" xfId="790"/>
    <cellStyle name="S17 2" xfId="791"/>
    <cellStyle name="S17 3" xfId="792"/>
    <cellStyle name="S17 4" xfId="793"/>
    <cellStyle name="S17_Pembelian" xfId="794"/>
    <cellStyle name="S18" xfId="795"/>
    <cellStyle name="S18 2" xfId="796"/>
    <cellStyle name="S18 3" xfId="797"/>
    <cellStyle name="S18 4" xfId="798"/>
    <cellStyle name="S18_Pembelian" xfId="799"/>
    <cellStyle name="S2" xfId="800"/>
    <cellStyle name="S2 10" xfId="801"/>
    <cellStyle name="S2 100" xfId="802"/>
    <cellStyle name="S2 101" xfId="803"/>
    <cellStyle name="S2 102" xfId="804"/>
    <cellStyle name="S2 103" xfId="805"/>
    <cellStyle name="S2 104" xfId="806"/>
    <cellStyle name="S2 105" xfId="807"/>
    <cellStyle name="S2 106" xfId="808"/>
    <cellStyle name="S2 107" xfId="809"/>
    <cellStyle name="S2 108" xfId="810"/>
    <cellStyle name="S2 109" xfId="811"/>
    <cellStyle name="S2 11" xfId="812"/>
    <cellStyle name="S2 110" xfId="813"/>
    <cellStyle name="S2 111" xfId="814"/>
    <cellStyle name="S2 112" xfId="815"/>
    <cellStyle name="S2 113" xfId="816"/>
    <cellStyle name="S2 114" xfId="817"/>
    <cellStyle name="S2 115" xfId="818"/>
    <cellStyle name="S2 116" xfId="819"/>
    <cellStyle name="S2 117" xfId="820"/>
    <cellStyle name="S2 118" xfId="821"/>
    <cellStyle name="S2 119" xfId="822"/>
    <cellStyle name="S2 12" xfId="823"/>
    <cellStyle name="S2 120" xfId="824"/>
    <cellStyle name="S2 121" xfId="825"/>
    <cellStyle name="S2 122" xfId="826"/>
    <cellStyle name="S2 123" xfId="827"/>
    <cellStyle name="S2 124" xfId="828"/>
    <cellStyle name="S2 125" xfId="829"/>
    <cellStyle name="S2 126" xfId="830"/>
    <cellStyle name="S2 127" xfId="831"/>
    <cellStyle name="S2 128" xfId="832"/>
    <cellStyle name="S2 129" xfId="833"/>
    <cellStyle name="S2 13" xfId="834"/>
    <cellStyle name="S2 130" xfId="835"/>
    <cellStyle name="S2 131" xfId="836"/>
    <cellStyle name="S2 132" xfId="837"/>
    <cellStyle name="S2 133" xfId="838"/>
    <cellStyle name="S2 134" xfId="839"/>
    <cellStyle name="S2 135" xfId="840"/>
    <cellStyle name="S2 136" xfId="841"/>
    <cellStyle name="S2 137" xfId="842"/>
    <cellStyle name="S2 138" xfId="843"/>
    <cellStyle name="S2 139" xfId="844"/>
    <cellStyle name="S2 14" xfId="845"/>
    <cellStyle name="S2 140" xfId="846"/>
    <cellStyle name="S2 141" xfId="847"/>
    <cellStyle name="S2 142" xfId="848"/>
    <cellStyle name="S2 143" xfId="849"/>
    <cellStyle name="S2 144" xfId="850"/>
    <cellStyle name="S2 145" xfId="851"/>
    <cellStyle name="S2 146" xfId="852"/>
    <cellStyle name="S2 147" xfId="853"/>
    <cellStyle name="S2 148" xfId="854"/>
    <cellStyle name="S2 149" xfId="855"/>
    <cellStyle name="S2 15" xfId="856"/>
    <cellStyle name="S2 150" xfId="857"/>
    <cellStyle name="S2 151" xfId="858"/>
    <cellStyle name="S2 152" xfId="859"/>
    <cellStyle name="S2 153" xfId="860"/>
    <cellStyle name="S2 154" xfId="861"/>
    <cellStyle name="S2 155" xfId="862"/>
    <cellStyle name="S2 156" xfId="863"/>
    <cellStyle name="S2 157" xfId="864"/>
    <cellStyle name="S2 158" xfId="865"/>
    <cellStyle name="S2 159" xfId="866"/>
    <cellStyle name="S2 16" xfId="867"/>
    <cellStyle name="S2 160" xfId="868"/>
    <cellStyle name="S2 161" xfId="869"/>
    <cellStyle name="S2 162" xfId="870"/>
    <cellStyle name="S2 163" xfId="871"/>
    <cellStyle name="S2 164" xfId="872"/>
    <cellStyle name="S2 165" xfId="873"/>
    <cellStyle name="S2 166" xfId="874"/>
    <cellStyle name="S2 167" xfId="875"/>
    <cellStyle name="S2 168" xfId="876"/>
    <cellStyle name="S2 169" xfId="877"/>
    <cellStyle name="S2 17" xfId="878"/>
    <cellStyle name="S2 170" xfId="879"/>
    <cellStyle name="S2 171" xfId="880"/>
    <cellStyle name="S2 172" xfId="881"/>
    <cellStyle name="S2 173" xfId="882"/>
    <cellStyle name="S2 174" xfId="883"/>
    <cellStyle name="S2 175" xfId="884"/>
    <cellStyle name="S2 176" xfId="885"/>
    <cellStyle name="S2 177" xfId="886"/>
    <cellStyle name="S2 178" xfId="887"/>
    <cellStyle name="S2 179" xfId="888"/>
    <cellStyle name="S2 18" xfId="889"/>
    <cellStyle name="S2 180" xfId="890"/>
    <cellStyle name="S2 181" xfId="891"/>
    <cellStyle name="S2 182" xfId="892"/>
    <cellStyle name="S2 183" xfId="893"/>
    <cellStyle name="S2 184" xfId="894"/>
    <cellStyle name="S2 185" xfId="895"/>
    <cellStyle name="S2 186" xfId="896"/>
    <cellStyle name="S2 187" xfId="897"/>
    <cellStyle name="S2 188" xfId="898"/>
    <cellStyle name="S2 189" xfId="899"/>
    <cellStyle name="S2 19" xfId="900"/>
    <cellStyle name="S2 190" xfId="901"/>
    <cellStyle name="S2 191" xfId="902"/>
    <cellStyle name="S2 192" xfId="903"/>
    <cellStyle name="S2 193" xfId="904"/>
    <cellStyle name="S2 194" xfId="905"/>
    <cellStyle name="S2 195" xfId="906"/>
    <cellStyle name="S2 196" xfId="907"/>
    <cellStyle name="S2 197" xfId="908"/>
    <cellStyle name="S2 198" xfId="909"/>
    <cellStyle name="S2 199" xfId="910"/>
    <cellStyle name="S2 2" xfId="911"/>
    <cellStyle name="S2 20" xfId="912"/>
    <cellStyle name="S2 200" xfId="913"/>
    <cellStyle name="S2 201" xfId="914"/>
    <cellStyle name="S2 202" xfId="915"/>
    <cellStyle name="S2 203" xfId="916"/>
    <cellStyle name="S2 204" xfId="917"/>
    <cellStyle name="S2 205" xfId="918"/>
    <cellStyle name="S2 206" xfId="919"/>
    <cellStyle name="S2 207" xfId="920"/>
    <cellStyle name="S2 208" xfId="921"/>
    <cellStyle name="S2 209" xfId="922"/>
    <cellStyle name="S2 21" xfId="923"/>
    <cellStyle name="S2 210" xfId="924"/>
    <cellStyle name="S2 211" xfId="925"/>
    <cellStyle name="S2 212" xfId="926"/>
    <cellStyle name="S2 213" xfId="927"/>
    <cellStyle name="S2 214" xfId="928"/>
    <cellStyle name="S2 215" xfId="929"/>
    <cellStyle name="S2 216" xfId="930"/>
    <cellStyle name="S2 217" xfId="931"/>
    <cellStyle name="S2 218" xfId="932"/>
    <cellStyle name="S2 219" xfId="933"/>
    <cellStyle name="S2 22" xfId="934"/>
    <cellStyle name="S2 220" xfId="935"/>
    <cellStyle name="S2 221" xfId="936"/>
    <cellStyle name="S2 222" xfId="937"/>
    <cellStyle name="S2 223" xfId="938"/>
    <cellStyle name="S2 224" xfId="939"/>
    <cellStyle name="S2 225" xfId="940"/>
    <cellStyle name="S2 226" xfId="941"/>
    <cellStyle name="S2 227" xfId="942"/>
    <cellStyle name="S2 228" xfId="943"/>
    <cellStyle name="S2 229" xfId="944"/>
    <cellStyle name="S2 23" xfId="945"/>
    <cellStyle name="S2 230" xfId="946"/>
    <cellStyle name="S2 231" xfId="947"/>
    <cellStyle name="S2 232" xfId="948"/>
    <cellStyle name="S2 233" xfId="949"/>
    <cellStyle name="S2 234" xfId="950"/>
    <cellStyle name="S2 235" xfId="951"/>
    <cellStyle name="S2 236" xfId="952"/>
    <cellStyle name="S2 237" xfId="953"/>
    <cellStyle name="S2 238" xfId="954"/>
    <cellStyle name="S2 239" xfId="955"/>
    <cellStyle name="S2 24" xfId="956"/>
    <cellStyle name="S2 240" xfId="957"/>
    <cellStyle name="S2 241" xfId="958"/>
    <cellStyle name="S2 242" xfId="959"/>
    <cellStyle name="S2 243" xfId="960"/>
    <cellStyle name="S2 244" xfId="961"/>
    <cellStyle name="S2 245" xfId="962"/>
    <cellStyle name="S2 246" xfId="963"/>
    <cellStyle name="S2 247" xfId="964"/>
    <cellStyle name="S2 248" xfId="965"/>
    <cellStyle name="S2 249" xfId="966"/>
    <cellStyle name="S2 25" xfId="967"/>
    <cellStyle name="S2 250" xfId="968"/>
    <cellStyle name="S2 251" xfId="969"/>
    <cellStyle name="S2 252" xfId="970"/>
    <cellStyle name="S2 253" xfId="971"/>
    <cellStyle name="S2 254" xfId="972"/>
    <cellStyle name="S2 255" xfId="973"/>
    <cellStyle name="S2 256" xfId="974"/>
    <cellStyle name="S2 257" xfId="975"/>
    <cellStyle name="S2 258" xfId="976"/>
    <cellStyle name="S2 259" xfId="977"/>
    <cellStyle name="S2 26" xfId="978"/>
    <cellStyle name="S2 260" xfId="979"/>
    <cellStyle name="S2 261" xfId="980"/>
    <cellStyle name="S2 262" xfId="981"/>
    <cellStyle name="S2 263" xfId="982"/>
    <cellStyle name="S2 264" xfId="983"/>
    <cellStyle name="S2 265" xfId="984"/>
    <cellStyle name="S2 265 2" xfId="985"/>
    <cellStyle name="S2 266" xfId="986"/>
    <cellStyle name="S2 267" xfId="987"/>
    <cellStyle name="S2 27" xfId="988"/>
    <cellStyle name="S2 28" xfId="989"/>
    <cellStyle name="S2 29" xfId="990"/>
    <cellStyle name="S2 3" xfId="991"/>
    <cellStyle name="S2 30" xfId="992"/>
    <cellStyle name="S2 31" xfId="993"/>
    <cellStyle name="S2 32" xfId="994"/>
    <cellStyle name="S2 33" xfId="995"/>
    <cellStyle name="S2 34" xfId="996"/>
    <cellStyle name="S2 35" xfId="997"/>
    <cellStyle name="S2 36" xfId="998"/>
    <cellStyle name="S2 37" xfId="999"/>
    <cellStyle name="S2 38" xfId="1000"/>
    <cellStyle name="S2 39" xfId="1001"/>
    <cellStyle name="S2 4" xfId="1002"/>
    <cellStyle name="S2 40" xfId="1003"/>
    <cellStyle name="S2 41" xfId="1004"/>
    <cellStyle name="S2 42" xfId="1005"/>
    <cellStyle name="S2 43" xfId="1006"/>
    <cellStyle name="S2 44" xfId="1007"/>
    <cellStyle name="S2 45" xfId="1008"/>
    <cellStyle name="S2 46" xfId="1009"/>
    <cellStyle name="S2 47" xfId="1010"/>
    <cellStyle name="S2 48" xfId="1011"/>
    <cellStyle name="S2 49" xfId="1012"/>
    <cellStyle name="S2 5" xfId="1013"/>
    <cellStyle name="S2 50" xfId="1014"/>
    <cellStyle name="S2 51" xfId="1015"/>
    <cellStyle name="S2 52" xfId="1016"/>
    <cellStyle name="S2 53" xfId="1017"/>
    <cellStyle name="S2 54" xfId="1018"/>
    <cellStyle name="S2 55" xfId="1019"/>
    <cellStyle name="S2 56" xfId="1020"/>
    <cellStyle name="S2 57" xfId="1021"/>
    <cellStyle name="S2 58" xfId="1022"/>
    <cellStyle name="S2 59" xfId="1023"/>
    <cellStyle name="S2 6" xfId="1024"/>
    <cellStyle name="S2 60" xfId="1025"/>
    <cellStyle name="S2 61" xfId="1026"/>
    <cellStyle name="S2 62" xfId="1027"/>
    <cellStyle name="S2 63" xfId="1028"/>
    <cellStyle name="S2 64" xfId="1029"/>
    <cellStyle name="S2 65" xfId="1030"/>
    <cellStyle name="S2 66" xfId="1031"/>
    <cellStyle name="S2 67" xfId="1032"/>
    <cellStyle name="S2 68" xfId="1033"/>
    <cellStyle name="S2 69" xfId="1034"/>
    <cellStyle name="S2 7" xfId="1035"/>
    <cellStyle name="S2 70" xfId="1036"/>
    <cellStyle name="S2 71" xfId="1037"/>
    <cellStyle name="S2 72" xfId="1038"/>
    <cellStyle name="S2 73" xfId="1039"/>
    <cellStyle name="S2 74" xfId="1040"/>
    <cellStyle name="S2 75" xfId="1041"/>
    <cellStyle name="S2 76" xfId="1042"/>
    <cellStyle name="S2 77" xfId="1043"/>
    <cellStyle name="S2 78" xfId="1044"/>
    <cellStyle name="S2 79" xfId="1045"/>
    <cellStyle name="S2 8" xfId="1046"/>
    <cellStyle name="S2 80" xfId="1047"/>
    <cellStyle name="S2 81" xfId="1048"/>
    <cellStyle name="S2 82" xfId="1049"/>
    <cellStyle name="S2 83" xfId="1050"/>
    <cellStyle name="S2 84" xfId="1051"/>
    <cellStyle name="S2 85" xfId="1052"/>
    <cellStyle name="S2 86" xfId="1053"/>
    <cellStyle name="S2 87" xfId="1054"/>
    <cellStyle name="S2 88" xfId="1055"/>
    <cellStyle name="S2 89" xfId="1056"/>
    <cellStyle name="S2 9" xfId="1057"/>
    <cellStyle name="S2 90" xfId="1058"/>
    <cellStyle name="S2 91" xfId="1059"/>
    <cellStyle name="S2 92" xfId="1060"/>
    <cellStyle name="S2 93" xfId="1061"/>
    <cellStyle name="S2 94" xfId="1062"/>
    <cellStyle name="S2 95" xfId="1063"/>
    <cellStyle name="S2 96" xfId="1064"/>
    <cellStyle name="S2 97" xfId="1065"/>
    <cellStyle name="S2 98" xfId="1066"/>
    <cellStyle name="S2 99" xfId="1067"/>
    <cellStyle name="S2_Pembelian" xfId="1068"/>
    <cellStyle name="S3" xfId="1069"/>
    <cellStyle name="S3 10" xfId="1070"/>
    <cellStyle name="S3 11" xfId="1071"/>
    <cellStyle name="S3 2" xfId="1072"/>
    <cellStyle name="S3 3" xfId="1073"/>
    <cellStyle name="S3 4" xfId="1074"/>
    <cellStyle name="S3 5" xfId="1075"/>
    <cellStyle name="S3 6" xfId="1076"/>
    <cellStyle name="S3 7" xfId="1077"/>
    <cellStyle name="S3 8" xfId="1078"/>
    <cellStyle name="S3 9" xfId="1079"/>
    <cellStyle name="S3 9 2" xfId="1080"/>
    <cellStyle name="S3_Pembelian" xfId="1081"/>
    <cellStyle name="S4" xfId="1082"/>
    <cellStyle name="S4 10" xfId="1083"/>
    <cellStyle name="S4 11" xfId="1084"/>
    <cellStyle name="S4 12" xfId="1085"/>
    <cellStyle name="S4 12 2" xfId="1086"/>
    <cellStyle name="S4 13" xfId="1087"/>
    <cellStyle name="S4 14" xfId="1088"/>
    <cellStyle name="S4 14 2" xfId="1089"/>
    <cellStyle name="S4 15" xfId="1090"/>
    <cellStyle name="S4 16" xfId="1091"/>
    <cellStyle name="S4 19" xfId="1092"/>
    <cellStyle name="S4 2" xfId="1093"/>
    <cellStyle name="S4 3" xfId="1094"/>
    <cellStyle name="S4 4" xfId="1095"/>
    <cellStyle name="S4 5" xfId="1096"/>
    <cellStyle name="S4 6" xfId="1097"/>
    <cellStyle name="S4 7" xfId="1098"/>
    <cellStyle name="S4 8" xfId="1099"/>
    <cellStyle name="S4 9" xfId="1100"/>
    <cellStyle name="S4 9 2" xfId="1101"/>
    <cellStyle name="S4_Pembelian" xfId="1102"/>
    <cellStyle name="S5" xfId="1103"/>
    <cellStyle name="S5 10" xfId="1104"/>
    <cellStyle name="S5 10 2" xfId="1105"/>
    <cellStyle name="S5 11" xfId="1106"/>
    <cellStyle name="S5 12" xfId="1107"/>
    <cellStyle name="S5 13" xfId="1108"/>
    <cellStyle name="S5 19" xfId="1109"/>
    <cellStyle name="S5 2" xfId="1110"/>
    <cellStyle name="S5 2 2" xfId="1111"/>
    <cellStyle name="S5 3" xfId="1112"/>
    <cellStyle name="S5 3 2" xfId="1113"/>
    <cellStyle name="S5 4" xfId="1114"/>
    <cellStyle name="S5 5" xfId="1115"/>
    <cellStyle name="S5 6" xfId="1116"/>
    <cellStyle name="S5 7" xfId="1117"/>
    <cellStyle name="S5 8" xfId="1118"/>
    <cellStyle name="S5 9" xfId="1119"/>
    <cellStyle name="S5 9 2" xfId="1120"/>
    <cellStyle name="S5_Pembelian" xfId="1121"/>
    <cellStyle name="S6" xfId="1122"/>
    <cellStyle name="S6 10" xfId="1123"/>
    <cellStyle name="S6 11" xfId="1124"/>
    <cellStyle name="S6 11 2" xfId="1125"/>
    <cellStyle name="S6 12" xfId="1126"/>
    <cellStyle name="S6 13" xfId="1127"/>
    <cellStyle name="S6 13 2" xfId="1128"/>
    <cellStyle name="S6 14" xfId="1129"/>
    <cellStyle name="S6 15" xfId="1130"/>
    <cellStyle name="S6 16" xfId="1131"/>
    <cellStyle name="S6 17" xfId="1132"/>
    <cellStyle name="S6 18" xfId="1133"/>
    <cellStyle name="S6 2" xfId="1134"/>
    <cellStyle name="S6 3" xfId="1135"/>
    <cellStyle name="S6 4" xfId="1136"/>
    <cellStyle name="S6 5" xfId="1137"/>
    <cellStyle name="S6 6" xfId="1138"/>
    <cellStyle name="S6 7" xfId="1139"/>
    <cellStyle name="S6 8" xfId="1140"/>
    <cellStyle name="S6 9" xfId="1141"/>
    <cellStyle name="S6_Pembelian" xfId="1142"/>
    <cellStyle name="S7" xfId="1143"/>
    <cellStyle name="S7 10" xfId="1144"/>
    <cellStyle name="S7 10 2" xfId="1145"/>
    <cellStyle name="S7 11" xfId="1146"/>
    <cellStyle name="S7 12" xfId="1147"/>
    <cellStyle name="S7 12 2" xfId="1148"/>
    <cellStyle name="S7 13" xfId="1149"/>
    <cellStyle name="S7 14" xfId="1150"/>
    <cellStyle name="S7 15" xfId="1151"/>
    <cellStyle name="S7 16" xfId="1152"/>
    <cellStyle name="S7 19" xfId="1153"/>
    <cellStyle name="S7 19 2" xfId="1154"/>
    <cellStyle name="S7 2" xfId="1155"/>
    <cellStyle name="S7 3" xfId="1156"/>
    <cellStyle name="S7 4" xfId="1157"/>
    <cellStyle name="S7 5" xfId="1158"/>
    <cellStyle name="S7 6" xfId="1159"/>
    <cellStyle name="S7 7" xfId="1160"/>
    <cellStyle name="S7 8" xfId="1161"/>
    <cellStyle name="S7 9" xfId="1162"/>
    <cellStyle name="S7_Pembelian" xfId="1163"/>
    <cellStyle name="S8" xfId="1164"/>
    <cellStyle name="S8 10" xfId="1165"/>
    <cellStyle name="S8 11" xfId="1166"/>
    <cellStyle name="S8 12" xfId="1167"/>
    <cellStyle name="S8 13" xfId="1168"/>
    <cellStyle name="S8 14" xfId="1169"/>
    <cellStyle name="S8 15" xfId="1170"/>
    <cellStyle name="S8 16" xfId="1171"/>
    <cellStyle name="S8 2" xfId="1172"/>
    <cellStyle name="S8 3" xfId="1173"/>
    <cellStyle name="S8 4" xfId="1174"/>
    <cellStyle name="S8 5" xfId="1175"/>
    <cellStyle name="S8 5 2" xfId="1176"/>
    <cellStyle name="S8 6" xfId="1177"/>
    <cellStyle name="S8 7" xfId="1178"/>
    <cellStyle name="S8 8" xfId="1179"/>
    <cellStyle name="S8 8 2" xfId="1180"/>
    <cellStyle name="S8 8 3" xfId="1181"/>
    <cellStyle name="S8 9" xfId="1182"/>
    <cellStyle name="S8 9 2" xfId="1183"/>
    <cellStyle name="S8_Pembelian" xfId="1184"/>
    <cellStyle name="S9" xfId="1185"/>
    <cellStyle name="S9 10" xfId="1186"/>
    <cellStyle name="S9 11" xfId="1187"/>
    <cellStyle name="S9 11 2" xfId="1188"/>
    <cellStyle name="S9 12" xfId="1189"/>
    <cellStyle name="S9 13" xfId="1190"/>
    <cellStyle name="S9 14" xfId="1191"/>
    <cellStyle name="S9 15" xfId="1192"/>
    <cellStyle name="S9 16" xfId="1193"/>
    <cellStyle name="S9 17" xfId="1194"/>
    <cellStyle name="S9 2" xfId="1195"/>
    <cellStyle name="S9 3" xfId="1196"/>
    <cellStyle name="S9 4" xfId="1197"/>
    <cellStyle name="S9 5" xfId="1198"/>
    <cellStyle name="S9 6" xfId="1199"/>
    <cellStyle name="S9 7" xfId="1200"/>
    <cellStyle name="S9 8" xfId="1201"/>
    <cellStyle name="S9 9" xfId="1202"/>
    <cellStyle name="S9_Pembelian" xfId="1203"/>
  </cellStyles>
  <dxfs count="536"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23287</xdr:colOff>
      <xdr:row>0</xdr:row>
      <xdr:rowOff>23284</xdr:rowOff>
    </xdr:from>
    <xdr:to>
      <xdr:col>0</xdr:col>
      <xdr:colOff>351371</xdr:colOff>
      <xdr:row>0</xdr:row>
      <xdr:rowOff>309034</xdr:rowOff>
    </xdr:to>
    <xdr:sp macro="" textlink="">
      <xdr:nvSpPr>
        <xdr:cNvPr id="2" name="Oval 1">
          <a:extLst>
            <a:ext uri="{FF2B5EF4-FFF2-40B4-BE49-F238E27FC236}">
              <a16:creationId xmlns="" xmlns:a16="http://schemas.microsoft.com/office/drawing/2014/main" id="{00000000-0008-0000-0500-000012000000}"/>
            </a:ext>
          </a:extLst>
        </xdr:cNvPr>
        <xdr:cNvSpPr/>
      </xdr:nvSpPr>
      <xdr:spPr>
        <a:xfrm>
          <a:off x="80437" y="5252509"/>
          <a:ext cx="328084" cy="285750"/>
        </a:xfrm>
        <a:prstGeom prst="ellipse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/>
            <a:t>4</a:t>
          </a:r>
        </a:p>
      </xdr:txBody>
    </xdr:sp>
    <xdr:clientData/>
  </xdr:twoCellAnchor>
  <xdr:twoCellAnchor>
    <xdr:from>
      <xdr:col>0</xdr:col>
      <xdr:colOff>9525</xdr:colOff>
      <xdr:row>4</xdr:row>
      <xdr:rowOff>28575</xdr:rowOff>
    </xdr:from>
    <xdr:to>
      <xdr:col>0</xdr:col>
      <xdr:colOff>337609</xdr:colOff>
      <xdr:row>5</xdr:row>
      <xdr:rowOff>123825</xdr:rowOff>
    </xdr:to>
    <xdr:sp macro="" textlink="">
      <xdr:nvSpPr>
        <xdr:cNvPr id="3" name="Oval 2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/>
      </xdr:nvSpPr>
      <xdr:spPr>
        <a:xfrm>
          <a:off x="180975" y="5419725"/>
          <a:ext cx="328084" cy="285750"/>
        </a:xfrm>
        <a:prstGeom prst="ellipse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/>
            <a:t>4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yahra%20TC/Target/Simulasi%20Target%20Februari%202026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"/>
      <sheetName val="GLOBAL"/>
      <sheetName val="Simulasi"/>
      <sheetName val="TAGPD"/>
      <sheetName val="Sheet2 "/>
      <sheetName val="Sheet2"/>
    </sheetNames>
    <sheetDataSet>
      <sheetData sheetId="0">
        <row r="12">
          <cell r="E12" t="str">
            <v>Maha Karya Sentosa, Toko</v>
          </cell>
          <cell r="I12">
            <v>6916800</v>
          </cell>
          <cell r="L12">
            <v>0</v>
          </cell>
          <cell r="M12">
            <v>6916800</v>
          </cell>
        </row>
        <row r="13">
          <cell r="E13" t="str">
            <v>Maha Karya Sentosa, Toko</v>
          </cell>
          <cell r="I13">
            <v>19200000</v>
          </cell>
          <cell r="L13">
            <v>0</v>
          </cell>
          <cell r="M13">
            <v>19200000</v>
          </cell>
        </row>
        <row r="14">
          <cell r="E14" t="str">
            <v>Ach. Wagiyo Setiantoro</v>
          </cell>
          <cell r="I14">
            <v>10196500</v>
          </cell>
          <cell r="L14">
            <v>0</v>
          </cell>
          <cell r="M14">
            <v>10196500</v>
          </cell>
        </row>
        <row r="15">
          <cell r="E15" t="str">
            <v>Bimo Rukun Tani, UD</v>
          </cell>
          <cell r="I15">
            <v>11640000</v>
          </cell>
          <cell r="L15">
            <v>0</v>
          </cell>
          <cell r="M15">
            <v>11640000</v>
          </cell>
        </row>
        <row r="16">
          <cell r="E16" t="str">
            <v>Maha Karya Sentosa, Toko</v>
          </cell>
          <cell r="I16">
            <v>16000000</v>
          </cell>
          <cell r="L16">
            <v>0</v>
          </cell>
          <cell r="M16">
            <v>16000000</v>
          </cell>
        </row>
        <row r="17">
          <cell r="E17" t="str">
            <v>Bimo Rukun Tani, UD</v>
          </cell>
          <cell r="I17">
            <v>51250000</v>
          </cell>
          <cell r="L17">
            <v>0</v>
          </cell>
          <cell r="M17">
            <v>51250000</v>
          </cell>
        </row>
        <row r="18">
          <cell r="E18" t="str">
            <v>Bimo Rukun Tani, UD</v>
          </cell>
          <cell r="I18">
            <v>8160000</v>
          </cell>
          <cell r="L18">
            <v>0</v>
          </cell>
          <cell r="M18">
            <v>8160000</v>
          </cell>
        </row>
        <row r="19">
          <cell r="E19" t="str">
            <v>Bimo Rukun Tani, UD</v>
          </cell>
          <cell r="I19">
            <v>3980000</v>
          </cell>
          <cell r="L19">
            <v>0</v>
          </cell>
          <cell r="M19">
            <v>3980000</v>
          </cell>
        </row>
        <row r="20">
          <cell r="E20" t="str">
            <v>Green Tani</v>
          </cell>
          <cell r="I20">
            <v>5700000</v>
          </cell>
          <cell r="L20">
            <v>0</v>
          </cell>
          <cell r="M20">
            <v>5700000</v>
          </cell>
        </row>
        <row r="21">
          <cell r="E21" t="str">
            <v>Mapan Agro Sentosa, UD</v>
          </cell>
          <cell r="I21">
            <v>1125000</v>
          </cell>
          <cell r="L21">
            <v>0</v>
          </cell>
          <cell r="M21">
            <v>1125000</v>
          </cell>
        </row>
        <row r="22">
          <cell r="E22" t="str">
            <v>Green Tani</v>
          </cell>
          <cell r="I22">
            <v>9800000</v>
          </cell>
          <cell r="L22">
            <v>0</v>
          </cell>
          <cell r="M22">
            <v>9800000</v>
          </cell>
        </row>
        <row r="23">
          <cell r="E23" t="str">
            <v>Layan Tani II</v>
          </cell>
          <cell r="I23">
            <v>12582500</v>
          </cell>
          <cell r="L23">
            <v>0</v>
          </cell>
          <cell r="M23">
            <v>12582500</v>
          </cell>
        </row>
        <row r="24">
          <cell r="E24" t="str">
            <v>Setia Jaya, UD/Saiful</v>
          </cell>
          <cell r="I24">
            <v>57000000</v>
          </cell>
          <cell r="L24">
            <v>0</v>
          </cell>
          <cell r="M24">
            <v>57000000</v>
          </cell>
        </row>
        <row r="25">
          <cell r="E25" t="str">
            <v>Bimo Rukun Tani, UD</v>
          </cell>
          <cell r="I25">
            <v>22000000</v>
          </cell>
          <cell r="L25">
            <v>0</v>
          </cell>
          <cell r="M25">
            <v>22000000</v>
          </cell>
        </row>
        <row r="26">
          <cell r="E26" t="str">
            <v>Bimo Rukun Tani, UD</v>
          </cell>
          <cell r="I26">
            <v>23445000</v>
          </cell>
          <cell r="L26">
            <v>0</v>
          </cell>
          <cell r="M26">
            <v>23445000</v>
          </cell>
        </row>
        <row r="27">
          <cell r="E27" t="str">
            <v>Bimo Rukun Tani, UD</v>
          </cell>
          <cell r="I27">
            <v>20745000</v>
          </cell>
          <cell r="L27">
            <v>0</v>
          </cell>
          <cell r="M27">
            <v>20745000</v>
          </cell>
        </row>
        <row r="28">
          <cell r="E28" t="str">
            <v>Mapan Agro Sentosa, UD</v>
          </cell>
          <cell r="I28">
            <v>4510000</v>
          </cell>
          <cell r="L28">
            <v>0</v>
          </cell>
          <cell r="M28">
            <v>4510000</v>
          </cell>
        </row>
        <row r="29">
          <cell r="E29" t="str">
            <v>Layan Tani II</v>
          </cell>
          <cell r="I29">
            <v>5360000</v>
          </cell>
          <cell r="L29">
            <v>0</v>
          </cell>
          <cell r="M29">
            <v>5360000</v>
          </cell>
        </row>
        <row r="30">
          <cell r="E30" t="str">
            <v>Layan Tani II</v>
          </cell>
          <cell r="I30">
            <v>3500000</v>
          </cell>
          <cell r="L30">
            <v>0</v>
          </cell>
          <cell r="M30">
            <v>3500000</v>
          </cell>
        </row>
        <row r="31">
          <cell r="E31" t="str">
            <v>Layan Tani II</v>
          </cell>
          <cell r="I31">
            <v>7200000</v>
          </cell>
          <cell r="L31">
            <v>0</v>
          </cell>
          <cell r="M31">
            <v>7200000</v>
          </cell>
        </row>
        <row r="32">
          <cell r="E32" t="str">
            <v>Bimo Rukun Tani, UD</v>
          </cell>
          <cell r="I32">
            <v>4620000</v>
          </cell>
          <cell r="L32">
            <v>0</v>
          </cell>
          <cell r="M32">
            <v>4620000</v>
          </cell>
        </row>
        <row r="33">
          <cell r="E33" t="str">
            <v>Bimo Rukun Tani, UD</v>
          </cell>
          <cell r="I33">
            <v>29250000</v>
          </cell>
          <cell r="L33">
            <v>0</v>
          </cell>
          <cell r="M33">
            <v>29250000</v>
          </cell>
        </row>
        <row r="34">
          <cell r="E34" t="str">
            <v>Mujahidin Delapan, UD</v>
          </cell>
          <cell r="I34">
            <v>13060000</v>
          </cell>
          <cell r="L34">
            <v>0</v>
          </cell>
          <cell r="M34">
            <v>13060000</v>
          </cell>
        </row>
        <row r="35">
          <cell r="E35" t="str">
            <v>Dwi Putra, UD</v>
          </cell>
          <cell r="I35">
            <v>3360000</v>
          </cell>
          <cell r="L35">
            <v>0</v>
          </cell>
          <cell r="M35">
            <v>3360000</v>
          </cell>
        </row>
        <row r="36">
          <cell r="E36" t="str">
            <v>Sumber Rejeki/Tono</v>
          </cell>
          <cell r="I36">
            <v>52735000</v>
          </cell>
          <cell r="L36">
            <v>0</v>
          </cell>
          <cell r="M36">
            <v>52735000</v>
          </cell>
        </row>
        <row r="37">
          <cell r="E37" t="str">
            <v>Sumber Rejeki/Tono</v>
          </cell>
          <cell r="I37">
            <v>17090000</v>
          </cell>
          <cell r="L37">
            <v>0</v>
          </cell>
          <cell r="M37">
            <v>17090000</v>
          </cell>
        </row>
        <row r="38">
          <cell r="E38" t="str">
            <v>Bimo Rukun Tani, UD</v>
          </cell>
          <cell r="I38">
            <v>32000000</v>
          </cell>
          <cell r="L38">
            <v>0</v>
          </cell>
          <cell r="M38">
            <v>32000000</v>
          </cell>
        </row>
        <row r="39">
          <cell r="E39" t="str">
            <v>Bimo Rukun Tani, UD</v>
          </cell>
          <cell r="I39">
            <v>39560000</v>
          </cell>
          <cell r="L39">
            <v>0</v>
          </cell>
          <cell r="M39">
            <v>39560000</v>
          </cell>
        </row>
        <row r="40">
          <cell r="E40" t="str">
            <v>Layan Tani II</v>
          </cell>
          <cell r="I40">
            <v>2650000</v>
          </cell>
          <cell r="L40">
            <v>0</v>
          </cell>
          <cell r="M40">
            <v>2650000</v>
          </cell>
        </row>
        <row r="41">
          <cell r="E41" t="str">
            <v>Sumber Rejeki/Tono</v>
          </cell>
          <cell r="I41">
            <v>31050000</v>
          </cell>
          <cell r="L41">
            <v>0</v>
          </cell>
          <cell r="M41">
            <v>31050000</v>
          </cell>
        </row>
        <row r="42">
          <cell r="E42" t="str">
            <v>Bimo Rukun Tani, UD</v>
          </cell>
          <cell r="I42">
            <v>13860000</v>
          </cell>
          <cell r="L42">
            <v>0</v>
          </cell>
          <cell r="M42">
            <v>13860000</v>
          </cell>
        </row>
        <row r="43">
          <cell r="E43" t="str">
            <v>Dwi Putra, UD</v>
          </cell>
          <cell r="I43">
            <v>8940000</v>
          </cell>
          <cell r="L43">
            <v>0</v>
          </cell>
          <cell r="M43">
            <v>8940000</v>
          </cell>
        </row>
        <row r="44">
          <cell r="E44" t="str">
            <v>Dwi Putra, UD</v>
          </cell>
          <cell r="I44">
            <v>5820000</v>
          </cell>
          <cell r="L44">
            <v>0</v>
          </cell>
          <cell r="M44">
            <v>5820000</v>
          </cell>
        </row>
        <row r="45">
          <cell r="E45" t="str">
            <v>Sumber Rejeki/Tono</v>
          </cell>
          <cell r="I45">
            <v>16000000</v>
          </cell>
          <cell r="L45">
            <v>0</v>
          </cell>
          <cell r="M45">
            <v>16000000</v>
          </cell>
        </row>
        <row r="46">
          <cell r="E46" t="str">
            <v>Mujahidin Delapan, UD</v>
          </cell>
          <cell r="I46">
            <v>10000000</v>
          </cell>
          <cell r="L46">
            <v>0</v>
          </cell>
          <cell r="M46">
            <v>10000000</v>
          </cell>
        </row>
        <row r="47">
          <cell r="E47" t="str">
            <v>Kumpul Tani/Hendro</v>
          </cell>
          <cell r="I47">
            <v>114735000</v>
          </cell>
          <cell r="L47">
            <v>0</v>
          </cell>
          <cell r="M47">
            <v>114735000</v>
          </cell>
        </row>
        <row r="48">
          <cell r="E48" t="str">
            <v>Layan Tani II</v>
          </cell>
          <cell r="I48">
            <v>7100000</v>
          </cell>
          <cell r="L48">
            <v>0</v>
          </cell>
          <cell r="M48">
            <v>7100000</v>
          </cell>
        </row>
        <row r="49">
          <cell r="E49" t="str">
            <v>Layan Tani II</v>
          </cell>
          <cell r="I49">
            <v>6450000</v>
          </cell>
          <cell r="L49">
            <v>0</v>
          </cell>
          <cell r="M49">
            <v>6450000</v>
          </cell>
        </row>
        <row r="50">
          <cell r="E50" t="str">
            <v>Bimo Rukun Tani II</v>
          </cell>
          <cell r="I50">
            <v>23580000</v>
          </cell>
          <cell r="L50">
            <v>0</v>
          </cell>
          <cell r="M50">
            <v>23580000</v>
          </cell>
        </row>
        <row r="51">
          <cell r="E51" t="str">
            <v>Bimo Rukun Tani II</v>
          </cell>
          <cell r="I51">
            <v>16675000</v>
          </cell>
          <cell r="L51">
            <v>0</v>
          </cell>
          <cell r="M51">
            <v>16675000</v>
          </cell>
        </row>
        <row r="52">
          <cell r="E52" t="str">
            <v>Mutiara Tani, UD/Abdur Rahman</v>
          </cell>
          <cell r="I52">
            <v>55000000</v>
          </cell>
          <cell r="L52">
            <v>0</v>
          </cell>
          <cell r="M52">
            <v>55000000</v>
          </cell>
        </row>
        <row r="53">
          <cell r="E53" t="str">
            <v>Kumpul Tani/Hendro</v>
          </cell>
          <cell r="I53">
            <v>54000000</v>
          </cell>
          <cell r="L53">
            <v>0</v>
          </cell>
          <cell r="M53">
            <v>54000000</v>
          </cell>
        </row>
        <row r="54">
          <cell r="E54" t="str">
            <v>Sumber Rejeki/Tono</v>
          </cell>
          <cell r="I54">
            <v>3700000</v>
          </cell>
          <cell r="L54">
            <v>0</v>
          </cell>
          <cell r="M54">
            <v>3700000</v>
          </cell>
        </row>
        <row r="55">
          <cell r="E55" t="str">
            <v>Mujahidin Delapan, UD</v>
          </cell>
          <cell r="I55">
            <v>7400000</v>
          </cell>
          <cell r="L55">
            <v>0</v>
          </cell>
          <cell r="M55">
            <v>7400000</v>
          </cell>
        </row>
        <row r="56">
          <cell r="E56" t="str">
            <v>Mujahidin Delapan, UD</v>
          </cell>
          <cell r="I56">
            <v>17700000</v>
          </cell>
          <cell r="L56">
            <v>0</v>
          </cell>
          <cell r="M56">
            <v>17700000</v>
          </cell>
        </row>
        <row r="57">
          <cell r="E57" t="str">
            <v>Mulyo Tani/Danang</v>
          </cell>
          <cell r="I57">
            <v>321642388</v>
          </cell>
          <cell r="L57">
            <v>0</v>
          </cell>
          <cell r="M57">
            <v>321642388</v>
          </cell>
        </row>
        <row r="58">
          <cell r="E58" t="str">
            <v>Bimo Rukun Tani II</v>
          </cell>
          <cell r="I58">
            <v>2100000</v>
          </cell>
          <cell r="L58">
            <v>0</v>
          </cell>
          <cell r="M58">
            <v>2100000</v>
          </cell>
        </row>
        <row r="59">
          <cell r="E59" t="str">
            <v>Dua Putra, UD/Alvan</v>
          </cell>
          <cell r="I59">
            <v>5000000</v>
          </cell>
          <cell r="L59">
            <v>0</v>
          </cell>
          <cell r="M59">
            <v>5000000</v>
          </cell>
        </row>
        <row r="60">
          <cell r="E60" t="str">
            <v>Kumpul Tani/Hendro</v>
          </cell>
          <cell r="I60">
            <v>14153000</v>
          </cell>
          <cell r="L60">
            <v>0</v>
          </cell>
          <cell r="M60">
            <v>14153000</v>
          </cell>
        </row>
        <row r="61">
          <cell r="E61" t="str">
            <v>Kumpul Tani/Hendro</v>
          </cell>
          <cell r="I61">
            <v>20080000</v>
          </cell>
          <cell r="L61">
            <v>0</v>
          </cell>
          <cell r="M61">
            <v>20080000</v>
          </cell>
        </row>
        <row r="62">
          <cell r="E62" t="str">
            <v>Rimba Kelapa/Ribut Aminah</v>
          </cell>
          <cell r="I62">
            <v>10266000</v>
          </cell>
          <cell r="L62">
            <v>0</v>
          </cell>
          <cell r="M62">
            <v>10266000</v>
          </cell>
        </row>
        <row r="63">
          <cell r="E63" t="str">
            <v>Bimo Rukun Tani, UD</v>
          </cell>
          <cell r="I63">
            <v>3080000</v>
          </cell>
          <cell r="L63">
            <v>0</v>
          </cell>
          <cell r="M63">
            <v>3080000</v>
          </cell>
        </row>
        <row r="64">
          <cell r="E64" t="str">
            <v>Rizki Santoso, UD</v>
          </cell>
          <cell r="I64">
            <v>10000000</v>
          </cell>
          <cell r="L64">
            <v>0</v>
          </cell>
          <cell r="M64">
            <v>10000000</v>
          </cell>
        </row>
        <row r="65">
          <cell r="E65" t="str">
            <v>Rizki Santoso, UD</v>
          </cell>
          <cell r="I65">
            <v>46690000</v>
          </cell>
          <cell r="L65">
            <v>0</v>
          </cell>
          <cell r="M65">
            <v>46690000</v>
          </cell>
        </row>
        <row r="66">
          <cell r="E66" t="str">
            <v>Rizki Santoso, UD</v>
          </cell>
          <cell r="I66">
            <v>13832400</v>
          </cell>
          <cell r="L66">
            <v>0</v>
          </cell>
          <cell r="M66">
            <v>13832400</v>
          </cell>
        </row>
        <row r="67">
          <cell r="E67" t="str">
            <v>Setia Jaya, UD/Saiful</v>
          </cell>
          <cell r="I67">
            <v>13200000</v>
          </cell>
          <cell r="L67">
            <v>0</v>
          </cell>
          <cell r="M67">
            <v>13200000</v>
          </cell>
        </row>
        <row r="68">
          <cell r="E68" t="str">
            <v>Setia Jaya, UD/Saiful</v>
          </cell>
          <cell r="I68">
            <v>7400000</v>
          </cell>
          <cell r="L68">
            <v>0</v>
          </cell>
          <cell r="M68">
            <v>7400000</v>
          </cell>
        </row>
        <row r="69">
          <cell r="E69" t="str">
            <v>Kumpul Tani/Hendro</v>
          </cell>
          <cell r="I69">
            <v>12580000</v>
          </cell>
          <cell r="L69">
            <v>0</v>
          </cell>
          <cell r="M69">
            <v>12580000</v>
          </cell>
        </row>
        <row r="70">
          <cell r="E70" t="str">
            <v>Kumpul Tani/Hendro</v>
          </cell>
          <cell r="I70">
            <v>2280000</v>
          </cell>
          <cell r="L70">
            <v>0</v>
          </cell>
          <cell r="M70">
            <v>2280000</v>
          </cell>
        </row>
        <row r="71">
          <cell r="E71" t="str">
            <v>Mekar Tani/Tunti</v>
          </cell>
          <cell r="I71">
            <v>3180000</v>
          </cell>
          <cell r="L71">
            <v>0</v>
          </cell>
          <cell r="M71">
            <v>3180000</v>
          </cell>
        </row>
        <row r="72">
          <cell r="E72" t="str">
            <v>Mekar Tani/Tunti</v>
          </cell>
          <cell r="I72">
            <v>920000</v>
          </cell>
          <cell r="L72">
            <v>0</v>
          </cell>
          <cell r="M72">
            <v>920000</v>
          </cell>
        </row>
        <row r="73">
          <cell r="E73" t="str">
            <v>Berkat Jaya II/Dony</v>
          </cell>
          <cell r="I73">
            <v>1344000</v>
          </cell>
          <cell r="L73">
            <v>0</v>
          </cell>
          <cell r="M73">
            <v>1344000</v>
          </cell>
        </row>
        <row r="74">
          <cell r="E74" t="str">
            <v>Eka Jaya/David</v>
          </cell>
          <cell r="I74">
            <v>9450000</v>
          </cell>
          <cell r="L74">
            <v>0</v>
          </cell>
          <cell r="M74">
            <v>9450000</v>
          </cell>
        </row>
        <row r="75">
          <cell r="E75" t="str">
            <v>Maha Karya Sentosa, Toko</v>
          </cell>
          <cell r="I75">
            <v>17670000</v>
          </cell>
          <cell r="L75">
            <v>0</v>
          </cell>
          <cell r="M75">
            <v>17670000</v>
          </cell>
        </row>
        <row r="76">
          <cell r="E76" t="str">
            <v>Maha Karya Sentosa, Toko</v>
          </cell>
          <cell r="I76">
            <v>9450000</v>
          </cell>
          <cell r="L76">
            <v>0</v>
          </cell>
          <cell r="M76">
            <v>9450000</v>
          </cell>
        </row>
        <row r="77">
          <cell r="E77" t="str">
            <v>Mujahidin Delapan, UD</v>
          </cell>
          <cell r="I77">
            <v>11500000</v>
          </cell>
          <cell r="L77">
            <v>0</v>
          </cell>
          <cell r="M77">
            <v>11500000</v>
          </cell>
        </row>
        <row r="78">
          <cell r="E78" t="str">
            <v>Mujahidin Delapan, UD</v>
          </cell>
          <cell r="I78">
            <v>10125000</v>
          </cell>
          <cell r="L78">
            <v>0</v>
          </cell>
          <cell r="M78">
            <v>10125000</v>
          </cell>
        </row>
        <row r="79">
          <cell r="E79" t="str">
            <v>Mutiara Tani, UD/Abdur Rahman</v>
          </cell>
          <cell r="I79">
            <v>8175000</v>
          </cell>
          <cell r="L79">
            <v>0</v>
          </cell>
          <cell r="M79">
            <v>8175000</v>
          </cell>
        </row>
        <row r="80">
          <cell r="E80" t="str">
            <v>Mutiara Tani, UD/Abdur Rahman</v>
          </cell>
          <cell r="I80">
            <v>6300000</v>
          </cell>
          <cell r="L80">
            <v>0</v>
          </cell>
          <cell r="M80">
            <v>6300000</v>
          </cell>
        </row>
        <row r="81">
          <cell r="E81" t="str">
            <v>Mutiara Tani, UD/Abdur Rahman</v>
          </cell>
          <cell r="I81">
            <v>4680000</v>
          </cell>
          <cell r="L81">
            <v>0</v>
          </cell>
          <cell r="M81">
            <v>4680000</v>
          </cell>
        </row>
        <row r="82">
          <cell r="E82" t="str">
            <v>Rizki Santoso, UD</v>
          </cell>
          <cell r="I82">
            <v>918000</v>
          </cell>
          <cell r="L82">
            <v>0</v>
          </cell>
          <cell r="M82">
            <v>918000</v>
          </cell>
        </row>
        <row r="83">
          <cell r="E83" t="str">
            <v>Sriwijaya/Yahya</v>
          </cell>
          <cell r="I83">
            <v>12280000</v>
          </cell>
          <cell r="L83">
            <v>0</v>
          </cell>
          <cell r="M83">
            <v>12280000</v>
          </cell>
        </row>
        <row r="84">
          <cell r="E84" t="str">
            <v>Tani Makmur/Sunaryo</v>
          </cell>
          <cell r="I84">
            <v>6357500</v>
          </cell>
          <cell r="L84">
            <v>0</v>
          </cell>
          <cell r="M84">
            <v>6357500</v>
          </cell>
        </row>
        <row r="85">
          <cell r="E85" t="str">
            <v>Utama/Husni</v>
          </cell>
          <cell r="I85">
            <v>4560000</v>
          </cell>
          <cell r="L85">
            <v>0</v>
          </cell>
          <cell r="M85">
            <v>4560000</v>
          </cell>
        </row>
        <row r="86">
          <cell r="E86" t="str">
            <v>Bimo Rukun Tani, UD</v>
          </cell>
          <cell r="I86">
            <v>4200000</v>
          </cell>
          <cell r="L86">
            <v>0</v>
          </cell>
          <cell r="M86">
            <v>4200000</v>
          </cell>
        </row>
        <row r="87">
          <cell r="E87" t="str">
            <v>Dwi Putra, UD</v>
          </cell>
          <cell r="I87">
            <v>10320000</v>
          </cell>
          <cell r="L87">
            <v>0</v>
          </cell>
          <cell r="M87">
            <v>10320000</v>
          </cell>
        </row>
        <row r="88">
          <cell r="E88" t="str">
            <v>Eka Jaya/David</v>
          </cell>
          <cell r="I88">
            <v>46055000</v>
          </cell>
          <cell r="L88">
            <v>0</v>
          </cell>
          <cell r="M88">
            <v>46055000</v>
          </cell>
        </row>
        <row r="89">
          <cell r="E89" t="str">
            <v>Eka Jaya/David</v>
          </cell>
          <cell r="I89">
            <v>13900000</v>
          </cell>
          <cell r="L89">
            <v>0</v>
          </cell>
          <cell r="M89">
            <v>13900000</v>
          </cell>
        </row>
        <row r="90">
          <cell r="E90" t="str">
            <v>Eka Jaya/David</v>
          </cell>
          <cell r="I90">
            <v>8400000</v>
          </cell>
          <cell r="L90">
            <v>0</v>
          </cell>
          <cell r="M90">
            <v>8400000</v>
          </cell>
        </row>
        <row r="91">
          <cell r="E91" t="str">
            <v>Eka Jaya/David</v>
          </cell>
          <cell r="I91">
            <v>5400000</v>
          </cell>
          <cell r="L91">
            <v>0</v>
          </cell>
          <cell r="M91">
            <v>5400000</v>
          </cell>
        </row>
        <row r="92">
          <cell r="E92" t="str">
            <v>Mujahidin Delapan, UD</v>
          </cell>
          <cell r="I92">
            <v>3800000</v>
          </cell>
          <cell r="L92">
            <v>0</v>
          </cell>
          <cell r="M92">
            <v>3800000</v>
          </cell>
        </row>
        <row r="93">
          <cell r="E93" t="str">
            <v>Restu Tani/Rio</v>
          </cell>
          <cell r="I93">
            <v>3180000</v>
          </cell>
          <cell r="L93">
            <v>0</v>
          </cell>
          <cell r="M93">
            <v>3180000</v>
          </cell>
        </row>
        <row r="94">
          <cell r="E94" t="str">
            <v>Rimba Kelapa/Ribut Aminah</v>
          </cell>
          <cell r="I94">
            <v>18880000</v>
          </cell>
          <cell r="L94">
            <v>0</v>
          </cell>
          <cell r="M94">
            <v>18880000</v>
          </cell>
        </row>
        <row r="95">
          <cell r="E95" t="str">
            <v>Rimba Kelapa/Ribut Aminah</v>
          </cell>
          <cell r="I95">
            <v>5316000</v>
          </cell>
          <cell r="L95">
            <v>0</v>
          </cell>
          <cell r="M95">
            <v>5316000</v>
          </cell>
        </row>
        <row r="96">
          <cell r="E96" t="str">
            <v>Rizki Santoso, UD</v>
          </cell>
          <cell r="I96">
            <v>1760000</v>
          </cell>
          <cell r="L96">
            <v>0</v>
          </cell>
          <cell r="M96">
            <v>1760000</v>
          </cell>
        </row>
        <row r="97">
          <cell r="E97" t="str">
            <v>Sriwijaya/Yahya</v>
          </cell>
          <cell r="I97">
            <v>9000000</v>
          </cell>
          <cell r="L97">
            <v>0</v>
          </cell>
          <cell r="M97">
            <v>9000000</v>
          </cell>
        </row>
        <row r="98">
          <cell r="E98" t="str">
            <v>Sriwijaya/Yahya</v>
          </cell>
          <cell r="I98">
            <v>9600000</v>
          </cell>
          <cell r="L98">
            <v>0</v>
          </cell>
          <cell r="M98">
            <v>9600000</v>
          </cell>
        </row>
        <row r="99">
          <cell r="E99" t="str">
            <v>Suci Murni/Tony</v>
          </cell>
          <cell r="I99">
            <v>600000</v>
          </cell>
          <cell r="L99">
            <v>0</v>
          </cell>
          <cell r="M99">
            <v>600000</v>
          </cell>
        </row>
        <row r="100">
          <cell r="E100" t="str">
            <v>Dwi Putra, UD</v>
          </cell>
          <cell r="I100">
            <v>4575000</v>
          </cell>
          <cell r="L100">
            <v>0</v>
          </cell>
          <cell r="M100">
            <v>4575000</v>
          </cell>
        </row>
        <row r="101">
          <cell r="E101" t="str">
            <v>Eka Jaya/David</v>
          </cell>
          <cell r="I101">
            <v>59920000</v>
          </cell>
          <cell r="L101">
            <v>0</v>
          </cell>
          <cell r="M101">
            <v>59920000</v>
          </cell>
        </row>
        <row r="102">
          <cell r="E102" t="str">
            <v>Eka Jaya/David</v>
          </cell>
          <cell r="I102">
            <v>14700000</v>
          </cell>
          <cell r="L102">
            <v>0</v>
          </cell>
          <cell r="M102">
            <v>14700000</v>
          </cell>
        </row>
        <row r="103">
          <cell r="E103" t="str">
            <v>Eka Jaya/David</v>
          </cell>
          <cell r="I103">
            <v>20350000</v>
          </cell>
          <cell r="L103">
            <v>0</v>
          </cell>
          <cell r="M103">
            <v>20350000</v>
          </cell>
        </row>
        <row r="104">
          <cell r="E104" t="str">
            <v>Eka Jaya/David</v>
          </cell>
          <cell r="I104">
            <v>3000000</v>
          </cell>
          <cell r="L104">
            <v>0</v>
          </cell>
          <cell r="M104">
            <v>3000000</v>
          </cell>
        </row>
        <row r="105">
          <cell r="E105" t="str">
            <v>Layan Tani II</v>
          </cell>
          <cell r="I105">
            <v>2750000</v>
          </cell>
          <cell r="L105">
            <v>0</v>
          </cell>
          <cell r="M105">
            <v>2750000</v>
          </cell>
        </row>
        <row r="106">
          <cell r="E106" t="str">
            <v>Mujahidin Delapan, UD</v>
          </cell>
          <cell r="I106">
            <v>2310000</v>
          </cell>
          <cell r="L106">
            <v>0</v>
          </cell>
          <cell r="M106">
            <v>2310000</v>
          </cell>
        </row>
        <row r="107">
          <cell r="E107" t="str">
            <v>Setia Jaya, UD/Saiful</v>
          </cell>
          <cell r="I107">
            <v>76380000</v>
          </cell>
          <cell r="L107">
            <v>0</v>
          </cell>
          <cell r="M107">
            <v>76380000</v>
          </cell>
        </row>
        <row r="108">
          <cell r="E108" t="str">
            <v>Dwi Putra, UD</v>
          </cell>
          <cell r="I108">
            <v>8175000</v>
          </cell>
          <cell r="L108">
            <v>0</v>
          </cell>
          <cell r="M108">
            <v>8175000</v>
          </cell>
        </row>
        <row r="109">
          <cell r="E109" t="str">
            <v>Lestari Jaya</v>
          </cell>
          <cell r="I109">
            <v>2792500</v>
          </cell>
          <cell r="L109">
            <v>0</v>
          </cell>
          <cell r="M109">
            <v>2792500</v>
          </cell>
        </row>
        <row r="110">
          <cell r="E110" t="str">
            <v>Maha Karya Sentosa, Toko</v>
          </cell>
          <cell r="I110">
            <v>30000000</v>
          </cell>
          <cell r="L110">
            <v>0</v>
          </cell>
          <cell r="M110">
            <v>30000000</v>
          </cell>
        </row>
        <row r="111">
          <cell r="E111" t="str">
            <v>Mekar Tani/Tunti</v>
          </cell>
          <cell r="I111">
            <v>675000</v>
          </cell>
          <cell r="L111">
            <v>0</v>
          </cell>
          <cell r="M111">
            <v>675000</v>
          </cell>
        </row>
        <row r="112">
          <cell r="E112" t="str">
            <v>Mekar Tani/Tunti</v>
          </cell>
          <cell r="I112">
            <v>3720000</v>
          </cell>
          <cell r="L112">
            <v>0</v>
          </cell>
          <cell r="M112">
            <v>3720000</v>
          </cell>
        </row>
        <row r="113">
          <cell r="E113" t="str">
            <v>Mulyo Tani/Danang</v>
          </cell>
          <cell r="I113">
            <v>19000000</v>
          </cell>
          <cell r="L113">
            <v>0</v>
          </cell>
          <cell r="M113">
            <v>19000000</v>
          </cell>
        </row>
        <row r="114">
          <cell r="E114" t="str">
            <v>Wes Joyo/Hermas</v>
          </cell>
          <cell r="I114">
            <v>920000</v>
          </cell>
          <cell r="L114">
            <v>0</v>
          </cell>
          <cell r="M114">
            <v>920000</v>
          </cell>
        </row>
        <row r="115">
          <cell r="E115" t="str">
            <v>Bimo Rukun Tani, UD</v>
          </cell>
          <cell r="I115">
            <v>20000000</v>
          </cell>
          <cell r="L115">
            <v>0</v>
          </cell>
          <cell r="M115">
            <v>20000000</v>
          </cell>
        </row>
        <row r="116">
          <cell r="E116" t="str">
            <v>Bintang Tani/Kabul</v>
          </cell>
          <cell r="I116">
            <v>5670000</v>
          </cell>
          <cell r="L116">
            <v>0</v>
          </cell>
          <cell r="M116">
            <v>5670000</v>
          </cell>
        </row>
        <row r="117">
          <cell r="E117" t="str">
            <v>Bintang Tani/Kabul</v>
          </cell>
          <cell r="I117">
            <v>4176000</v>
          </cell>
          <cell r="L117">
            <v>0</v>
          </cell>
          <cell r="M117">
            <v>4176000</v>
          </cell>
        </row>
        <row r="118">
          <cell r="E118" t="str">
            <v>Mapan Agro Sentosa, UD</v>
          </cell>
          <cell r="I118">
            <v>6622500</v>
          </cell>
          <cell r="L118">
            <v>0</v>
          </cell>
          <cell r="M118">
            <v>6622500</v>
          </cell>
        </row>
        <row r="119">
          <cell r="E119" t="str">
            <v>Mulyo Tani/Danang</v>
          </cell>
          <cell r="I119">
            <v>21820000</v>
          </cell>
          <cell r="L119">
            <v>0</v>
          </cell>
          <cell r="M119">
            <v>21820000</v>
          </cell>
        </row>
        <row r="120">
          <cell r="E120" t="str">
            <v>Angka Jaya</v>
          </cell>
          <cell r="I120">
            <v>76800000</v>
          </cell>
          <cell r="L120">
            <v>0</v>
          </cell>
          <cell r="M120">
            <v>76800000</v>
          </cell>
        </row>
        <row r="121">
          <cell r="E121" t="str">
            <v>Bimo Rukun Tani II</v>
          </cell>
          <cell r="I121">
            <v>6784800</v>
          </cell>
          <cell r="L121">
            <v>0</v>
          </cell>
          <cell r="M121">
            <v>6784800</v>
          </cell>
        </row>
        <row r="122">
          <cell r="E122" t="str">
            <v>Cahaya/Shohib</v>
          </cell>
          <cell r="I122">
            <v>775000</v>
          </cell>
          <cell r="L122">
            <v>0</v>
          </cell>
          <cell r="M122">
            <v>775000</v>
          </cell>
        </row>
        <row r="123">
          <cell r="E123" t="str">
            <v>Cahaya/Shohib</v>
          </cell>
          <cell r="I123">
            <v>1387500</v>
          </cell>
          <cell r="L123">
            <v>0</v>
          </cell>
          <cell r="M123">
            <v>1387500</v>
          </cell>
        </row>
        <row r="124">
          <cell r="E124" t="str">
            <v>Eka Jaya/David</v>
          </cell>
          <cell r="I124">
            <v>27800000</v>
          </cell>
          <cell r="L124">
            <v>0</v>
          </cell>
          <cell r="M124">
            <v>27800000</v>
          </cell>
        </row>
        <row r="125">
          <cell r="E125" t="str">
            <v>Eka Jaya/David</v>
          </cell>
          <cell r="I125">
            <v>3600000</v>
          </cell>
          <cell r="L125">
            <v>0</v>
          </cell>
          <cell r="M125">
            <v>3600000</v>
          </cell>
        </row>
        <row r="126">
          <cell r="E126" t="str">
            <v>Eka Jaya/David</v>
          </cell>
          <cell r="I126">
            <v>5832000</v>
          </cell>
          <cell r="L126">
            <v>0</v>
          </cell>
          <cell r="M126">
            <v>5832000</v>
          </cell>
        </row>
        <row r="127">
          <cell r="E127" t="str">
            <v>Mulyo Tani/Danang</v>
          </cell>
          <cell r="I127">
            <v>33750000</v>
          </cell>
          <cell r="L127">
            <v>0</v>
          </cell>
          <cell r="M127">
            <v>33750000</v>
          </cell>
        </row>
        <row r="128">
          <cell r="E128" t="str">
            <v>Mulyo Tani/Danang</v>
          </cell>
          <cell r="I128">
            <v>63432000</v>
          </cell>
          <cell r="L128">
            <v>0</v>
          </cell>
          <cell r="M128">
            <v>63432000</v>
          </cell>
        </row>
        <row r="129">
          <cell r="E129" t="str">
            <v>Mutiara Tani, UD/Abdur Rahman</v>
          </cell>
          <cell r="I129">
            <v>5520000</v>
          </cell>
          <cell r="L129">
            <v>0</v>
          </cell>
          <cell r="M129">
            <v>5520000</v>
          </cell>
        </row>
        <row r="130">
          <cell r="E130" t="str">
            <v>Utama/Husni</v>
          </cell>
          <cell r="I130">
            <v>5400000</v>
          </cell>
          <cell r="L130">
            <v>0</v>
          </cell>
          <cell r="M130">
            <v>5400000</v>
          </cell>
        </row>
        <row r="131">
          <cell r="E131" t="str">
            <v>Wes Joyo/Hermas</v>
          </cell>
          <cell r="I131">
            <v>1496000</v>
          </cell>
          <cell r="L131">
            <v>0</v>
          </cell>
          <cell r="M131">
            <v>1496000</v>
          </cell>
        </row>
        <row r="132">
          <cell r="E132" t="str">
            <v>Dwi Putra, UD</v>
          </cell>
          <cell r="I132">
            <v>3500000</v>
          </cell>
          <cell r="L132">
            <v>0</v>
          </cell>
          <cell r="M132">
            <v>3500000</v>
          </cell>
        </row>
        <row r="133">
          <cell r="E133" t="str">
            <v>Insan Tani, UD/Yohan</v>
          </cell>
          <cell r="I133">
            <v>2660000</v>
          </cell>
          <cell r="L133">
            <v>0</v>
          </cell>
          <cell r="M133">
            <v>2660000</v>
          </cell>
        </row>
        <row r="134">
          <cell r="E134" t="str">
            <v>Mulyo Tani/Danang</v>
          </cell>
          <cell r="I134">
            <v>21614000</v>
          </cell>
          <cell r="L134">
            <v>0</v>
          </cell>
          <cell r="M134">
            <v>21614000</v>
          </cell>
        </row>
        <row r="135">
          <cell r="E135" t="str">
            <v>Mulyo Tani/Danang</v>
          </cell>
          <cell r="I135">
            <v>49260000</v>
          </cell>
          <cell r="L135">
            <v>0</v>
          </cell>
          <cell r="M135">
            <v>49260000</v>
          </cell>
        </row>
        <row r="136">
          <cell r="E136" t="str">
            <v>Mulyo Tani/Danang</v>
          </cell>
          <cell r="I136">
            <v>143050000</v>
          </cell>
          <cell r="L136">
            <v>0</v>
          </cell>
          <cell r="M136">
            <v>143050000</v>
          </cell>
        </row>
        <row r="137">
          <cell r="E137" t="str">
            <v>Mulyo Tani/Danang</v>
          </cell>
          <cell r="I137">
            <v>29160000</v>
          </cell>
          <cell r="L137">
            <v>0</v>
          </cell>
          <cell r="M137">
            <v>29160000</v>
          </cell>
        </row>
        <row r="138">
          <cell r="E138" t="str">
            <v>Suci Murni/Tony</v>
          </cell>
          <cell r="I138">
            <v>4900000</v>
          </cell>
          <cell r="L138">
            <v>0</v>
          </cell>
          <cell r="M138">
            <v>4900000</v>
          </cell>
        </row>
        <row r="139">
          <cell r="E139" t="str">
            <v>Sumber Makmur/Satino</v>
          </cell>
          <cell r="I139">
            <v>1265000</v>
          </cell>
          <cell r="L139">
            <v>0</v>
          </cell>
          <cell r="M139">
            <v>1265000</v>
          </cell>
        </row>
        <row r="140">
          <cell r="E140" t="str">
            <v>Sumber Rejeki, Toko/Srikanah</v>
          </cell>
          <cell r="I140">
            <v>28560000</v>
          </cell>
          <cell r="L140">
            <v>0</v>
          </cell>
          <cell r="M140">
            <v>28560000</v>
          </cell>
        </row>
        <row r="141">
          <cell r="E141" t="str">
            <v>Bimo Rukun Tani II</v>
          </cell>
          <cell r="I141">
            <v>37800000</v>
          </cell>
          <cell r="L141">
            <v>0</v>
          </cell>
          <cell r="M141">
            <v>37800000</v>
          </cell>
        </row>
        <row r="142">
          <cell r="E142" t="str">
            <v>Karisma Tani/Roeslan</v>
          </cell>
          <cell r="I142">
            <v>2060000</v>
          </cell>
          <cell r="L142">
            <v>0</v>
          </cell>
          <cell r="M142">
            <v>2060000</v>
          </cell>
        </row>
        <row r="143">
          <cell r="E143" t="str">
            <v>Layan Tani II</v>
          </cell>
          <cell r="I143">
            <v>2250000</v>
          </cell>
          <cell r="L143">
            <v>0</v>
          </cell>
          <cell r="M143">
            <v>2250000</v>
          </cell>
        </row>
        <row r="144">
          <cell r="E144" t="str">
            <v>Mekar Tani/Tunti</v>
          </cell>
          <cell r="I144">
            <v>9824000</v>
          </cell>
          <cell r="L144">
            <v>0</v>
          </cell>
          <cell r="M144">
            <v>9824000</v>
          </cell>
        </row>
        <row r="145">
          <cell r="E145" t="str">
            <v>Mekar Tani/Tunti</v>
          </cell>
          <cell r="I145">
            <v>4400000</v>
          </cell>
          <cell r="L145">
            <v>0</v>
          </cell>
          <cell r="M145">
            <v>4400000</v>
          </cell>
        </row>
        <row r="146">
          <cell r="E146" t="str">
            <v>Sriwijaya/Yahya</v>
          </cell>
          <cell r="I146">
            <v>19500000</v>
          </cell>
          <cell r="L146">
            <v>0</v>
          </cell>
          <cell r="M146">
            <v>19500000</v>
          </cell>
        </row>
        <row r="147">
          <cell r="E147" t="str">
            <v>Sriwijaya/Yahya</v>
          </cell>
          <cell r="I147">
            <v>19600000</v>
          </cell>
          <cell r="L147">
            <v>0</v>
          </cell>
          <cell r="M147">
            <v>19600000</v>
          </cell>
        </row>
        <row r="148">
          <cell r="E148" t="str">
            <v>Sriwijaya/Yahya</v>
          </cell>
          <cell r="I148">
            <v>5800000</v>
          </cell>
          <cell r="L148">
            <v>0</v>
          </cell>
          <cell r="M148">
            <v>5800000</v>
          </cell>
        </row>
        <row r="149">
          <cell r="E149" t="str">
            <v>Tani Makmur, Toko/Ady</v>
          </cell>
          <cell r="I149">
            <v>1062500</v>
          </cell>
          <cell r="L149">
            <v>0</v>
          </cell>
          <cell r="M149">
            <v>1062500</v>
          </cell>
        </row>
        <row r="150">
          <cell r="E150" t="str">
            <v>Wes Joyo/Hermas</v>
          </cell>
          <cell r="I150">
            <v>1062500</v>
          </cell>
          <cell r="L150">
            <v>0</v>
          </cell>
          <cell r="M150">
            <v>1062500</v>
          </cell>
        </row>
        <row r="151">
          <cell r="E151" t="str">
            <v>Barokah Tani/Syaikur</v>
          </cell>
          <cell r="I151">
            <v>6500000</v>
          </cell>
          <cell r="L151">
            <v>0</v>
          </cell>
          <cell r="M151">
            <v>6500000</v>
          </cell>
        </row>
        <row r="152">
          <cell r="E152" t="str">
            <v>Berkah Tani/Ali Mutohar</v>
          </cell>
          <cell r="I152">
            <v>1425000</v>
          </cell>
          <cell r="L152">
            <v>0</v>
          </cell>
          <cell r="M152">
            <v>1425000</v>
          </cell>
        </row>
        <row r="153">
          <cell r="E153" t="str">
            <v>Bimo Rukun Tani, UD</v>
          </cell>
          <cell r="I153">
            <v>40000000</v>
          </cell>
          <cell r="L153">
            <v>0</v>
          </cell>
          <cell r="M153">
            <v>40000000</v>
          </cell>
        </row>
        <row r="154">
          <cell r="E154" t="str">
            <v>Karisma Tani/Roeslan</v>
          </cell>
          <cell r="I154">
            <v>5810000</v>
          </cell>
          <cell r="L154">
            <v>0</v>
          </cell>
          <cell r="M154">
            <v>5810000</v>
          </cell>
        </row>
        <row r="155">
          <cell r="E155" t="str">
            <v>Kumpul Tani/Hendro</v>
          </cell>
          <cell r="I155">
            <v>6800000</v>
          </cell>
          <cell r="L155">
            <v>0</v>
          </cell>
          <cell r="M155">
            <v>6800000</v>
          </cell>
        </row>
        <row r="156">
          <cell r="E156" t="str">
            <v>Kumpul Tani/Hendro</v>
          </cell>
          <cell r="I156">
            <v>2250000</v>
          </cell>
          <cell r="L156">
            <v>0</v>
          </cell>
          <cell r="M156">
            <v>2250000</v>
          </cell>
        </row>
        <row r="157">
          <cell r="E157" t="str">
            <v>Maha Karya Sentosa, Toko</v>
          </cell>
          <cell r="I157">
            <v>15750000</v>
          </cell>
          <cell r="L157">
            <v>0</v>
          </cell>
          <cell r="M157">
            <v>15750000</v>
          </cell>
        </row>
        <row r="158">
          <cell r="E158" t="str">
            <v>Mekar Tani/Tunti</v>
          </cell>
          <cell r="I158">
            <v>4800000</v>
          </cell>
          <cell r="L158">
            <v>0</v>
          </cell>
          <cell r="M158">
            <v>4800000</v>
          </cell>
        </row>
        <row r="159">
          <cell r="E159" t="str">
            <v>Mujahidin Delapan, UD</v>
          </cell>
          <cell r="I159">
            <v>7020000</v>
          </cell>
          <cell r="L159">
            <v>0</v>
          </cell>
          <cell r="M159">
            <v>7020000</v>
          </cell>
        </row>
        <row r="160">
          <cell r="E160" t="str">
            <v>Mujahidin Delapan, UD</v>
          </cell>
          <cell r="I160">
            <v>2040000</v>
          </cell>
          <cell r="L160">
            <v>0</v>
          </cell>
          <cell r="M160">
            <v>2040000</v>
          </cell>
        </row>
        <row r="161">
          <cell r="E161" t="str">
            <v>Mujahidin Delapan, UD</v>
          </cell>
          <cell r="I161">
            <v>17400000</v>
          </cell>
          <cell r="L161">
            <v>0</v>
          </cell>
          <cell r="M161">
            <v>17400000</v>
          </cell>
        </row>
        <row r="162">
          <cell r="E162" t="str">
            <v>Mutiara Tani, UD/Abdur Rahman</v>
          </cell>
          <cell r="I162">
            <v>16102500</v>
          </cell>
          <cell r="L162">
            <v>0</v>
          </cell>
          <cell r="M162">
            <v>16102500</v>
          </cell>
        </row>
        <row r="163">
          <cell r="E163" t="str">
            <v>Mutiara Tani, UD/Abdur Rahman</v>
          </cell>
          <cell r="I163">
            <v>17850000</v>
          </cell>
          <cell r="L163">
            <v>0</v>
          </cell>
          <cell r="M163">
            <v>17850000</v>
          </cell>
        </row>
        <row r="164">
          <cell r="E164" t="str">
            <v>Mutiara Tani, UD/Abdur Rahman</v>
          </cell>
          <cell r="I164">
            <v>6120000</v>
          </cell>
          <cell r="L164">
            <v>0</v>
          </cell>
          <cell r="M164">
            <v>6120000</v>
          </cell>
        </row>
        <row r="165">
          <cell r="E165" t="str">
            <v>Putra Makmur Abadi, UD</v>
          </cell>
          <cell r="I165">
            <v>7660000</v>
          </cell>
          <cell r="L165">
            <v>0</v>
          </cell>
          <cell r="M165">
            <v>7660000</v>
          </cell>
        </row>
        <row r="166">
          <cell r="E166" t="str">
            <v>Rimba Kelapa/Ribut Aminah</v>
          </cell>
          <cell r="I166">
            <v>23300000</v>
          </cell>
          <cell r="L166">
            <v>0</v>
          </cell>
          <cell r="M166">
            <v>23300000</v>
          </cell>
        </row>
        <row r="167">
          <cell r="E167" t="str">
            <v>Rizki Santoso, UD</v>
          </cell>
          <cell r="I167">
            <v>4915000</v>
          </cell>
          <cell r="L167">
            <v>0</v>
          </cell>
          <cell r="M167">
            <v>4915000</v>
          </cell>
        </row>
        <row r="168">
          <cell r="E168" t="str">
            <v>Rizki Santoso, UD</v>
          </cell>
          <cell r="I168">
            <v>1348750</v>
          </cell>
          <cell r="L168">
            <v>0</v>
          </cell>
          <cell r="M168">
            <v>1348750</v>
          </cell>
        </row>
        <row r="169">
          <cell r="E169" t="str">
            <v>Sari Tani/Adenan</v>
          </cell>
          <cell r="I169">
            <v>1600000</v>
          </cell>
          <cell r="L169">
            <v>0</v>
          </cell>
          <cell r="M169">
            <v>1600000</v>
          </cell>
        </row>
        <row r="170">
          <cell r="E170" t="str">
            <v>Sinare Tani, UD</v>
          </cell>
          <cell r="I170">
            <v>1462500</v>
          </cell>
          <cell r="L170">
            <v>0</v>
          </cell>
          <cell r="M170">
            <v>1462500</v>
          </cell>
        </row>
        <row r="171">
          <cell r="E171" t="str">
            <v>Sumber Rejeki/Tono</v>
          </cell>
          <cell r="I171">
            <v>2100000</v>
          </cell>
          <cell r="L171">
            <v>0</v>
          </cell>
          <cell r="M171">
            <v>2100000</v>
          </cell>
        </row>
        <row r="172">
          <cell r="E172" t="str">
            <v>Utama/Husni</v>
          </cell>
          <cell r="I172">
            <v>3400000</v>
          </cell>
          <cell r="L172">
            <v>0</v>
          </cell>
          <cell r="M172">
            <v>3400000</v>
          </cell>
        </row>
        <row r="173">
          <cell r="E173" t="str">
            <v>Wes Joyo/Hermas</v>
          </cell>
          <cell r="I173">
            <v>12240000</v>
          </cell>
          <cell r="L173">
            <v>0</v>
          </cell>
          <cell r="M173">
            <v>12240000</v>
          </cell>
        </row>
        <row r="174">
          <cell r="E174" t="str">
            <v>Bimo Rukun Tani II</v>
          </cell>
          <cell r="I174">
            <v>2735000</v>
          </cell>
          <cell r="L174">
            <v>0</v>
          </cell>
          <cell r="M174">
            <v>2735000</v>
          </cell>
        </row>
        <row r="175">
          <cell r="E175" t="str">
            <v>Bimo Rukun Tani II</v>
          </cell>
          <cell r="I175">
            <v>5300000</v>
          </cell>
          <cell r="L175">
            <v>0</v>
          </cell>
          <cell r="M175">
            <v>5300000</v>
          </cell>
        </row>
        <row r="176">
          <cell r="E176" t="str">
            <v>Bintang Tani/Kabul</v>
          </cell>
          <cell r="I176">
            <v>2125000</v>
          </cell>
          <cell r="L176">
            <v>0</v>
          </cell>
          <cell r="M176">
            <v>2125000</v>
          </cell>
        </row>
        <row r="177">
          <cell r="E177" t="str">
            <v>Eka Jaya/David</v>
          </cell>
          <cell r="I177">
            <v>38820000</v>
          </cell>
          <cell r="L177">
            <v>0</v>
          </cell>
          <cell r="M177">
            <v>38820000</v>
          </cell>
        </row>
        <row r="178">
          <cell r="E178" t="str">
            <v>Harapan, UD/Julik</v>
          </cell>
          <cell r="I178">
            <v>675000</v>
          </cell>
          <cell r="L178">
            <v>0</v>
          </cell>
          <cell r="M178">
            <v>675000</v>
          </cell>
        </row>
        <row r="179">
          <cell r="E179" t="str">
            <v>Kumpul Tani/Hendro</v>
          </cell>
          <cell r="I179">
            <v>18000000</v>
          </cell>
          <cell r="L179">
            <v>0</v>
          </cell>
          <cell r="M179">
            <v>18000000</v>
          </cell>
        </row>
        <row r="180">
          <cell r="E180" t="str">
            <v>Maha Karya Sentosa, Toko</v>
          </cell>
          <cell r="I180">
            <v>10320000</v>
          </cell>
          <cell r="L180">
            <v>0</v>
          </cell>
          <cell r="M180">
            <v>10320000</v>
          </cell>
        </row>
        <row r="181">
          <cell r="E181" t="str">
            <v>Mekar Tani/Tunti</v>
          </cell>
          <cell r="I181">
            <v>1700000</v>
          </cell>
          <cell r="L181">
            <v>0</v>
          </cell>
          <cell r="M181">
            <v>1700000</v>
          </cell>
        </row>
        <row r="182">
          <cell r="E182" t="str">
            <v>Mutiara Tani, UD/Abdur Rahman</v>
          </cell>
          <cell r="I182">
            <v>18480000</v>
          </cell>
          <cell r="L182">
            <v>0</v>
          </cell>
          <cell r="M182">
            <v>18480000</v>
          </cell>
        </row>
        <row r="183">
          <cell r="E183" t="str">
            <v>Mutiara Tani, UD/Abdur Rahman</v>
          </cell>
          <cell r="I183">
            <v>2520000</v>
          </cell>
          <cell r="L183">
            <v>0</v>
          </cell>
          <cell r="M183">
            <v>2520000</v>
          </cell>
        </row>
        <row r="184">
          <cell r="E184" t="str">
            <v>Suci Murni/Tony</v>
          </cell>
          <cell r="I184">
            <v>1050000</v>
          </cell>
          <cell r="L184">
            <v>0</v>
          </cell>
          <cell r="M184">
            <v>1050000</v>
          </cell>
        </row>
        <row r="185">
          <cell r="E185" t="str">
            <v>Wes Joyo/Hermas</v>
          </cell>
          <cell r="I185">
            <v>1600000</v>
          </cell>
          <cell r="L185">
            <v>0</v>
          </cell>
          <cell r="M185">
            <v>1600000</v>
          </cell>
        </row>
        <row r="186">
          <cell r="E186" t="str">
            <v>Akbar Tani, UD</v>
          </cell>
          <cell r="I186">
            <v>11240000</v>
          </cell>
          <cell r="L186">
            <v>0</v>
          </cell>
          <cell r="M186">
            <v>11240000</v>
          </cell>
        </row>
        <row r="187">
          <cell r="E187" t="str">
            <v>Ar Royan, UD</v>
          </cell>
          <cell r="I187">
            <v>900000</v>
          </cell>
          <cell r="L187">
            <v>0</v>
          </cell>
          <cell r="M187">
            <v>900000</v>
          </cell>
        </row>
        <row r="188">
          <cell r="E188" t="str">
            <v>Bimo Rukun Tani, UD</v>
          </cell>
          <cell r="I188">
            <v>2400000</v>
          </cell>
          <cell r="L188">
            <v>0</v>
          </cell>
          <cell r="M188">
            <v>2400000</v>
          </cell>
        </row>
        <row r="189">
          <cell r="E189" t="str">
            <v>Dino Vita, Toko</v>
          </cell>
          <cell r="I189">
            <v>8400000</v>
          </cell>
          <cell r="L189">
            <v>0</v>
          </cell>
          <cell r="M189">
            <v>8400000</v>
          </cell>
        </row>
        <row r="190">
          <cell r="E190" t="str">
            <v>Kumpul Tani/Hendro</v>
          </cell>
          <cell r="I190">
            <v>31650000</v>
          </cell>
          <cell r="L190">
            <v>0</v>
          </cell>
          <cell r="M190">
            <v>31650000</v>
          </cell>
        </row>
        <row r="191">
          <cell r="E191" t="str">
            <v>Lestari Jaya</v>
          </cell>
          <cell r="I191">
            <v>1040000</v>
          </cell>
          <cell r="L191">
            <v>0</v>
          </cell>
          <cell r="M191">
            <v>1040000</v>
          </cell>
        </row>
        <row r="192">
          <cell r="E192" t="str">
            <v>Prima Tani/Candra Sanjaya</v>
          </cell>
          <cell r="I192">
            <v>408900000</v>
          </cell>
          <cell r="L192">
            <v>0</v>
          </cell>
          <cell r="M192">
            <v>408900000</v>
          </cell>
        </row>
        <row r="193">
          <cell r="E193" t="str">
            <v>Suci Murni/Tony</v>
          </cell>
          <cell r="I193">
            <v>102000000</v>
          </cell>
          <cell r="L193">
            <v>0</v>
          </cell>
          <cell r="M193">
            <v>102000000</v>
          </cell>
        </row>
        <row r="194">
          <cell r="E194" t="str">
            <v>Utama/Husni</v>
          </cell>
          <cell r="I194">
            <v>2355000</v>
          </cell>
          <cell r="L194">
            <v>0</v>
          </cell>
          <cell r="M194">
            <v>2355000</v>
          </cell>
        </row>
        <row r="195">
          <cell r="E195" t="str">
            <v>Wes Joyo/Hermas</v>
          </cell>
          <cell r="I195">
            <v>920000</v>
          </cell>
          <cell r="L195">
            <v>0</v>
          </cell>
          <cell r="M195">
            <v>920000</v>
          </cell>
        </row>
        <row r="196">
          <cell r="E196" t="str">
            <v>Wes Joyo/Hermas</v>
          </cell>
          <cell r="I196">
            <v>4910000</v>
          </cell>
          <cell r="L196">
            <v>0</v>
          </cell>
          <cell r="M196">
            <v>4910000</v>
          </cell>
        </row>
        <row r="197">
          <cell r="E197" t="str">
            <v>Berkah Tani/Ali Mutohar</v>
          </cell>
          <cell r="I197">
            <v>1301000</v>
          </cell>
          <cell r="L197">
            <v>0</v>
          </cell>
          <cell r="M197">
            <v>1301000</v>
          </cell>
        </row>
        <row r="198">
          <cell r="E198" t="str">
            <v>Ar Royan, UD</v>
          </cell>
          <cell r="I198">
            <v>5175000</v>
          </cell>
          <cell r="L198">
            <v>0</v>
          </cell>
          <cell r="M198">
            <v>5175000</v>
          </cell>
        </row>
        <row r="199">
          <cell r="E199" t="str">
            <v>Bintang Tani/Kabul</v>
          </cell>
          <cell r="I199">
            <v>2787500</v>
          </cell>
          <cell r="L199">
            <v>0</v>
          </cell>
          <cell r="M199">
            <v>2787500</v>
          </cell>
        </row>
        <row r="200">
          <cell r="E200" t="str">
            <v>Eka Jaya/David</v>
          </cell>
          <cell r="I200">
            <v>3320000</v>
          </cell>
          <cell r="L200">
            <v>0</v>
          </cell>
          <cell r="M200">
            <v>3320000</v>
          </cell>
        </row>
        <row r="201">
          <cell r="E201" t="str">
            <v>Lestari Jaya</v>
          </cell>
          <cell r="I201">
            <v>1600000</v>
          </cell>
          <cell r="L201">
            <v>0</v>
          </cell>
          <cell r="M201">
            <v>1600000</v>
          </cell>
        </row>
        <row r="202">
          <cell r="E202" t="str">
            <v>Mandiri/Suparni</v>
          </cell>
          <cell r="I202">
            <v>33040000</v>
          </cell>
          <cell r="L202">
            <v>0</v>
          </cell>
          <cell r="M202">
            <v>33040000</v>
          </cell>
        </row>
        <row r="203">
          <cell r="E203" t="str">
            <v>Mitra Tani/Eko Susanto</v>
          </cell>
          <cell r="I203">
            <v>14110000</v>
          </cell>
          <cell r="L203">
            <v>0</v>
          </cell>
          <cell r="M203">
            <v>14110000</v>
          </cell>
        </row>
        <row r="204">
          <cell r="E204" t="str">
            <v>Mulyo Tani/Danang</v>
          </cell>
          <cell r="I204">
            <v>138215000</v>
          </cell>
          <cell r="L204">
            <v>0</v>
          </cell>
          <cell r="M204">
            <v>138215000</v>
          </cell>
        </row>
        <row r="205">
          <cell r="E205" t="str">
            <v>Pasta Graha/Agus</v>
          </cell>
          <cell r="I205">
            <v>20000000</v>
          </cell>
          <cell r="L205">
            <v>9000000</v>
          </cell>
          <cell r="M205">
            <v>11000000</v>
          </cell>
        </row>
        <row r="206">
          <cell r="E206" t="str">
            <v>Rizki Santoso, UD</v>
          </cell>
          <cell r="I206">
            <v>10012500</v>
          </cell>
          <cell r="L206">
            <v>0</v>
          </cell>
          <cell r="M206">
            <v>10012500</v>
          </cell>
        </row>
        <row r="207">
          <cell r="E207" t="str">
            <v>Setia Jaya, UD/Saiful</v>
          </cell>
          <cell r="I207">
            <v>252400000</v>
          </cell>
          <cell r="L207">
            <v>0</v>
          </cell>
          <cell r="M207">
            <v>252400000</v>
          </cell>
        </row>
        <row r="208">
          <cell r="E208" t="str">
            <v>Setia Jaya, UD/Saiful</v>
          </cell>
          <cell r="I208">
            <v>17210000</v>
          </cell>
          <cell r="L208">
            <v>0</v>
          </cell>
          <cell r="M208">
            <v>17210000</v>
          </cell>
        </row>
        <row r="209">
          <cell r="E209" t="str">
            <v>Setia Jaya, UD/Saiful</v>
          </cell>
          <cell r="I209">
            <v>29385000</v>
          </cell>
          <cell r="L209">
            <v>0</v>
          </cell>
          <cell r="M209">
            <v>29385000</v>
          </cell>
        </row>
        <row r="210">
          <cell r="E210" t="str">
            <v>Setia Jaya, UD/Saiful</v>
          </cell>
          <cell r="I210">
            <v>5200000</v>
          </cell>
          <cell r="L210">
            <v>0</v>
          </cell>
          <cell r="M210">
            <v>5200000</v>
          </cell>
        </row>
        <row r="211">
          <cell r="E211" t="str">
            <v>Daeng Tani/Rahmat Hidayah</v>
          </cell>
          <cell r="I211">
            <v>15200000</v>
          </cell>
          <cell r="L211">
            <v>0</v>
          </cell>
          <cell r="M211">
            <v>15200000</v>
          </cell>
        </row>
        <row r="212">
          <cell r="E212" t="str">
            <v>Setia Jaya, UD/Saiful</v>
          </cell>
          <cell r="I212">
            <v>8650000</v>
          </cell>
          <cell r="L212">
            <v>0</v>
          </cell>
          <cell r="M212">
            <v>8650000</v>
          </cell>
        </row>
        <row r="213">
          <cell r="E213" t="str">
            <v>Setia Jaya, UD/Saiful</v>
          </cell>
          <cell r="I213">
            <v>13700000</v>
          </cell>
          <cell r="L213">
            <v>0</v>
          </cell>
          <cell r="M213">
            <v>13700000</v>
          </cell>
        </row>
        <row r="214">
          <cell r="E214" t="str">
            <v>Tawaf, Toko</v>
          </cell>
          <cell r="I214">
            <v>12240000</v>
          </cell>
          <cell r="L214">
            <v>0</v>
          </cell>
          <cell r="M214">
            <v>12240000</v>
          </cell>
        </row>
        <row r="215">
          <cell r="E215" t="str">
            <v>Wes Joyo/Hermas</v>
          </cell>
          <cell r="I215">
            <v>8400000</v>
          </cell>
          <cell r="L215">
            <v>0</v>
          </cell>
          <cell r="M215">
            <v>8400000</v>
          </cell>
        </row>
        <row r="216">
          <cell r="E216" t="str">
            <v>Eka Jaya/David</v>
          </cell>
          <cell r="I216">
            <v>6300000</v>
          </cell>
          <cell r="L216">
            <v>0</v>
          </cell>
          <cell r="M216">
            <v>6300000</v>
          </cell>
        </row>
        <row r="217">
          <cell r="E217" t="str">
            <v>Pusaka Tani Jaya/Supri</v>
          </cell>
          <cell r="I217">
            <v>12322000</v>
          </cell>
          <cell r="L217">
            <v>0</v>
          </cell>
          <cell r="M217">
            <v>12322000</v>
          </cell>
        </row>
        <row r="218">
          <cell r="E218" t="str">
            <v>Rizki Santoso, UD</v>
          </cell>
          <cell r="I218">
            <v>12540000</v>
          </cell>
          <cell r="L218">
            <v>0</v>
          </cell>
          <cell r="M218">
            <v>12540000</v>
          </cell>
        </row>
        <row r="219">
          <cell r="E219" t="str">
            <v>Tani Makmur/Rika</v>
          </cell>
          <cell r="I219">
            <v>5800000</v>
          </cell>
          <cell r="L219">
            <v>0</v>
          </cell>
          <cell r="M219">
            <v>5800000</v>
          </cell>
        </row>
        <row r="220">
          <cell r="E220" t="str">
            <v>Tani Makmur/Rika</v>
          </cell>
          <cell r="I220">
            <v>250000</v>
          </cell>
          <cell r="L220">
            <v>0</v>
          </cell>
          <cell r="M220">
            <v>250000</v>
          </cell>
        </row>
        <row r="221">
          <cell r="E221" t="str">
            <v>Tawaf, Toko</v>
          </cell>
          <cell r="I221">
            <v>292000</v>
          </cell>
          <cell r="L221">
            <v>0</v>
          </cell>
          <cell r="M221">
            <v>292000</v>
          </cell>
        </row>
        <row r="222">
          <cell r="E222" t="str">
            <v>Eka Jaya/David</v>
          </cell>
          <cell r="I222">
            <v>36000000</v>
          </cell>
          <cell r="L222">
            <v>0</v>
          </cell>
          <cell r="M222">
            <v>36000000</v>
          </cell>
        </row>
        <row r="223">
          <cell r="E223" t="str">
            <v>Layan Tani II</v>
          </cell>
          <cell r="I223">
            <v>472500</v>
          </cell>
          <cell r="L223">
            <v>0</v>
          </cell>
          <cell r="M223">
            <v>472500</v>
          </cell>
        </row>
        <row r="224">
          <cell r="E224" t="str">
            <v>Rizki Santoso, UD</v>
          </cell>
          <cell r="I224">
            <v>4402500</v>
          </cell>
          <cell r="L224">
            <v>0</v>
          </cell>
          <cell r="M224">
            <v>4402500</v>
          </cell>
        </row>
        <row r="225">
          <cell r="E225" t="str">
            <v>Tawaf, Toko</v>
          </cell>
          <cell r="I225">
            <v>8160000</v>
          </cell>
          <cell r="L225">
            <v>0</v>
          </cell>
          <cell r="M225">
            <v>8160000</v>
          </cell>
        </row>
        <row r="226">
          <cell r="E226" t="str">
            <v>Dino Vita, Toko</v>
          </cell>
          <cell r="I226">
            <v>12190000</v>
          </cell>
          <cell r="L226">
            <v>0</v>
          </cell>
          <cell r="M226">
            <v>12190000</v>
          </cell>
        </row>
        <row r="227">
          <cell r="E227" t="str">
            <v>Dino Vita, Toko</v>
          </cell>
          <cell r="I227">
            <v>11280000</v>
          </cell>
          <cell r="L227">
            <v>0</v>
          </cell>
          <cell r="M227">
            <v>11280000</v>
          </cell>
        </row>
        <row r="228">
          <cell r="E228" t="str">
            <v>KSU CU Sang Timur/CU Agro</v>
          </cell>
          <cell r="I228">
            <v>13400000</v>
          </cell>
          <cell r="L228">
            <v>0</v>
          </cell>
          <cell r="M228">
            <v>13400000</v>
          </cell>
        </row>
        <row r="229">
          <cell r="E229" t="str">
            <v>Kumpul Tani/Hendro</v>
          </cell>
          <cell r="I229">
            <v>15220000</v>
          </cell>
          <cell r="L229">
            <v>0</v>
          </cell>
          <cell r="M229">
            <v>15220000</v>
          </cell>
        </row>
        <row r="230">
          <cell r="E230" t="str">
            <v>Mekar Tani/Tunti</v>
          </cell>
          <cell r="I230">
            <v>8160000</v>
          </cell>
          <cell r="L230">
            <v>0</v>
          </cell>
          <cell r="M230">
            <v>8160000</v>
          </cell>
        </row>
        <row r="231">
          <cell r="E231" t="str">
            <v>Mitra Tani/Eko Susanto</v>
          </cell>
          <cell r="I231">
            <v>2625000</v>
          </cell>
          <cell r="L231">
            <v>0</v>
          </cell>
          <cell r="M231">
            <v>2625000</v>
          </cell>
        </row>
        <row r="232">
          <cell r="E232" t="str">
            <v>Mutiara Tani, UD/Abdur Rahman</v>
          </cell>
          <cell r="I232">
            <v>16160000</v>
          </cell>
          <cell r="L232">
            <v>0</v>
          </cell>
          <cell r="M232">
            <v>16160000</v>
          </cell>
        </row>
        <row r="233">
          <cell r="E233" t="str">
            <v>Wes Joyo/Hermas</v>
          </cell>
          <cell r="I233">
            <v>5920000</v>
          </cell>
          <cell r="L233">
            <v>0</v>
          </cell>
          <cell r="M233">
            <v>5920000</v>
          </cell>
        </row>
        <row r="234">
          <cell r="E234" t="str">
            <v>Bimo Rukun Tani II</v>
          </cell>
          <cell r="I234">
            <v>19425000</v>
          </cell>
          <cell r="L234">
            <v>0</v>
          </cell>
          <cell r="M234">
            <v>19425000</v>
          </cell>
        </row>
        <row r="235">
          <cell r="E235" t="str">
            <v>Eka Jaya/David</v>
          </cell>
          <cell r="I235">
            <v>4200000</v>
          </cell>
          <cell r="L235">
            <v>0</v>
          </cell>
          <cell r="M235">
            <v>4200000</v>
          </cell>
        </row>
        <row r="236">
          <cell r="E236" t="str">
            <v>Diva Jaya</v>
          </cell>
          <cell r="I236">
            <v>3400000</v>
          </cell>
          <cell r="L236">
            <v>0</v>
          </cell>
          <cell r="M236">
            <v>3400000</v>
          </cell>
        </row>
        <row r="237">
          <cell r="E237" t="str">
            <v>Eka Jaya/David</v>
          </cell>
          <cell r="I237">
            <v>50000000</v>
          </cell>
          <cell r="L237">
            <v>0</v>
          </cell>
          <cell r="M237">
            <v>50000000</v>
          </cell>
        </row>
        <row r="238">
          <cell r="E238" t="str">
            <v>Eka Jaya/David</v>
          </cell>
          <cell r="I238">
            <v>119900000</v>
          </cell>
          <cell r="L238">
            <v>0</v>
          </cell>
          <cell r="M238">
            <v>119900000</v>
          </cell>
        </row>
        <row r="239">
          <cell r="E239" t="str">
            <v>Layan Tani II</v>
          </cell>
          <cell r="I239">
            <v>2750000</v>
          </cell>
          <cell r="L239">
            <v>0</v>
          </cell>
          <cell r="M239">
            <v>2750000</v>
          </cell>
        </row>
        <row r="240">
          <cell r="E240" t="str">
            <v>Sumber Rejeki/Tono</v>
          </cell>
          <cell r="I240">
            <v>19524000</v>
          </cell>
          <cell r="L240">
            <v>0</v>
          </cell>
          <cell r="M240">
            <v>19524000</v>
          </cell>
        </row>
        <row r="241">
          <cell r="E241" t="str">
            <v>Tawaf, Toko</v>
          </cell>
          <cell r="I241">
            <v>345000</v>
          </cell>
          <cell r="L241">
            <v>0</v>
          </cell>
          <cell r="M241">
            <v>345000</v>
          </cell>
        </row>
        <row r="242">
          <cell r="E242" t="str">
            <v>Tawaf, Toko</v>
          </cell>
          <cell r="I242">
            <v>3330000</v>
          </cell>
          <cell r="L242">
            <v>0</v>
          </cell>
          <cell r="M242">
            <v>3330000</v>
          </cell>
        </row>
        <row r="243">
          <cell r="E243" t="str">
            <v>Akbar Tani, UD</v>
          </cell>
          <cell r="I243">
            <v>18600000</v>
          </cell>
          <cell r="L243">
            <v>0</v>
          </cell>
          <cell r="M243">
            <v>18600000</v>
          </cell>
        </row>
        <row r="244">
          <cell r="E244" t="str">
            <v>Bintang Tani/Kabul</v>
          </cell>
          <cell r="I244">
            <v>4837500</v>
          </cell>
          <cell r="L244">
            <v>0</v>
          </cell>
          <cell r="M244">
            <v>4837500</v>
          </cell>
        </row>
        <row r="245">
          <cell r="E245" t="str">
            <v>Dino Vita, Toko</v>
          </cell>
          <cell r="I245">
            <v>6928000</v>
          </cell>
          <cell r="L245">
            <v>0</v>
          </cell>
          <cell r="M245">
            <v>6928000</v>
          </cell>
        </row>
        <row r="246">
          <cell r="E246" t="str">
            <v>Dwi Putra, UD</v>
          </cell>
          <cell r="I246">
            <v>3360000</v>
          </cell>
          <cell r="L246">
            <v>0</v>
          </cell>
          <cell r="M246">
            <v>3360000</v>
          </cell>
        </row>
        <row r="247">
          <cell r="E247" t="str">
            <v>Dwi Putra, UD</v>
          </cell>
          <cell r="I247">
            <v>2808000</v>
          </cell>
          <cell r="L247">
            <v>0</v>
          </cell>
          <cell r="M247">
            <v>2808000</v>
          </cell>
        </row>
        <row r="248">
          <cell r="E248" t="str">
            <v>Eka Jaya/David</v>
          </cell>
          <cell r="I248">
            <v>10625000</v>
          </cell>
          <cell r="L248">
            <v>0</v>
          </cell>
          <cell r="M248">
            <v>10625000</v>
          </cell>
        </row>
        <row r="249">
          <cell r="E249" t="str">
            <v>Eka Jaya/David</v>
          </cell>
          <cell r="I249">
            <v>8400000</v>
          </cell>
          <cell r="L249">
            <v>0</v>
          </cell>
          <cell r="M249">
            <v>8400000</v>
          </cell>
        </row>
        <row r="250">
          <cell r="E250" t="str">
            <v>Handayani, UD</v>
          </cell>
          <cell r="I250">
            <v>850000</v>
          </cell>
          <cell r="L250">
            <v>0</v>
          </cell>
          <cell r="M250">
            <v>850000</v>
          </cell>
        </row>
        <row r="251">
          <cell r="E251" t="str">
            <v>Harapan Jaya/Hadi Maruf</v>
          </cell>
          <cell r="I251">
            <v>4000000</v>
          </cell>
          <cell r="L251">
            <v>0</v>
          </cell>
          <cell r="M251">
            <v>4000000</v>
          </cell>
        </row>
        <row r="252">
          <cell r="E252" t="str">
            <v>Mekar Tani/Tunti</v>
          </cell>
          <cell r="I252">
            <v>5420000</v>
          </cell>
          <cell r="L252">
            <v>0</v>
          </cell>
          <cell r="M252">
            <v>5420000</v>
          </cell>
        </row>
        <row r="253">
          <cell r="E253" t="str">
            <v>Mujahidin Delapan, UD</v>
          </cell>
          <cell r="I253">
            <v>18400000</v>
          </cell>
          <cell r="L253">
            <v>0</v>
          </cell>
          <cell r="M253">
            <v>18400000</v>
          </cell>
        </row>
        <row r="254">
          <cell r="E254" t="str">
            <v>Rimba Kelapa/Ribut Aminah</v>
          </cell>
          <cell r="I254">
            <v>16450000</v>
          </cell>
          <cell r="L254">
            <v>0</v>
          </cell>
          <cell r="M254">
            <v>16450000</v>
          </cell>
        </row>
        <row r="255">
          <cell r="E255" t="str">
            <v>Rimba Kelapa/Ribut Aminah</v>
          </cell>
          <cell r="I255">
            <v>14196000</v>
          </cell>
          <cell r="L255">
            <v>0</v>
          </cell>
          <cell r="M255">
            <v>14196000</v>
          </cell>
        </row>
        <row r="256">
          <cell r="E256" t="str">
            <v>Tunas Jaya, UD/Bacuk</v>
          </cell>
          <cell r="I256">
            <v>3705000</v>
          </cell>
          <cell r="L256">
            <v>0</v>
          </cell>
          <cell r="M256">
            <v>3705000</v>
          </cell>
        </row>
        <row r="257">
          <cell r="E257" t="str">
            <v>Agro Tiara Jaya</v>
          </cell>
          <cell r="I257">
            <v>14850000</v>
          </cell>
          <cell r="L257">
            <v>0</v>
          </cell>
          <cell r="M257">
            <v>14850000</v>
          </cell>
        </row>
        <row r="258">
          <cell r="E258" t="str">
            <v>Kumpul Tani/Hendro</v>
          </cell>
          <cell r="I258">
            <v>15910000</v>
          </cell>
          <cell r="L258">
            <v>0</v>
          </cell>
          <cell r="M258">
            <v>15910000</v>
          </cell>
        </row>
        <row r="259">
          <cell r="E259" t="str">
            <v>Layan Tani II</v>
          </cell>
          <cell r="I259">
            <v>8640000</v>
          </cell>
          <cell r="L259">
            <v>0</v>
          </cell>
          <cell r="M259">
            <v>8640000</v>
          </cell>
        </row>
        <row r="260">
          <cell r="E260" t="str">
            <v>Utama/Husni</v>
          </cell>
          <cell r="I260">
            <v>7150000</v>
          </cell>
          <cell r="L260">
            <v>0</v>
          </cell>
          <cell r="M260">
            <v>7150000</v>
          </cell>
        </row>
        <row r="261">
          <cell r="E261" t="str">
            <v>Agro Tani, UD</v>
          </cell>
          <cell r="I261">
            <v>1400000</v>
          </cell>
          <cell r="L261">
            <v>0</v>
          </cell>
          <cell r="M261">
            <v>1400000</v>
          </cell>
        </row>
        <row r="262">
          <cell r="E262" t="str">
            <v>Bimo Rukun Tani II</v>
          </cell>
          <cell r="I262">
            <v>18000000</v>
          </cell>
          <cell r="L262">
            <v>0</v>
          </cell>
          <cell r="M262">
            <v>18000000</v>
          </cell>
        </row>
        <row r="263">
          <cell r="E263" t="str">
            <v>Eka Jaya/David</v>
          </cell>
          <cell r="I263">
            <v>22050000</v>
          </cell>
          <cell r="L263">
            <v>0</v>
          </cell>
          <cell r="M263">
            <v>22050000</v>
          </cell>
        </row>
        <row r="264">
          <cell r="E264" t="str">
            <v>Insan Tani, UD/Yohan</v>
          </cell>
          <cell r="I264">
            <v>1062500</v>
          </cell>
          <cell r="L264">
            <v>0</v>
          </cell>
          <cell r="M264">
            <v>1062500</v>
          </cell>
        </row>
        <row r="265">
          <cell r="E265" t="str">
            <v>Kumpul Tani/Hendro</v>
          </cell>
          <cell r="I265">
            <v>3500000</v>
          </cell>
          <cell r="L265">
            <v>0</v>
          </cell>
          <cell r="M265">
            <v>3500000</v>
          </cell>
        </row>
        <row r="266">
          <cell r="E266" t="str">
            <v>Mitra Tani/Eko Susanto</v>
          </cell>
          <cell r="I266">
            <v>3920000</v>
          </cell>
          <cell r="L266">
            <v>0</v>
          </cell>
          <cell r="M266">
            <v>3920000</v>
          </cell>
        </row>
        <row r="267">
          <cell r="E267" t="str">
            <v>Mitra Tani/Eko Susanto</v>
          </cell>
          <cell r="I267">
            <v>4957500</v>
          </cell>
          <cell r="L267">
            <v>0</v>
          </cell>
          <cell r="M267">
            <v>4957500</v>
          </cell>
        </row>
        <row r="268">
          <cell r="E268" t="str">
            <v>Mitra Tani/Eko Susanto</v>
          </cell>
          <cell r="I268">
            <v>10532000</v>
          </cell>
          <cell r="L268">
            <v>0</v>
          </cell>
          <cell r="M268">
            <v>10532000</v>
          </cell>
        </row>
        <row r="269">
          <cell r="E269" t="str">
            <v>Mitra Tani/Eko Susanto</v>
          </cell>
          <cell r="I269">
            <v>1355000</v>
          </cell>
          <cell r="L269">
            <v>0</v>
          </cell>
          <cell r="M269">
            <v>1355000</v>
          </cell>
        </row>
        <row r="270">
          <cell r="E270" t="str">
            <v>Mulyo Tani/Danang</v>
          </cell>
          <cell r="I270">
            <v>143096000</v>
          </cell>
          <cell r="L270">
            <v>0</v>
          </cell>
          <cell r="M270">
            <v>143096000</v>
          </cell>
        </row>
        <row r="271">
          <cell r="E271" t="str">
            <v>Pertanian 99/Efendi</v>
          </cell>
          <cell r="I271">
            <v>7315000</v>
          </cell>
          <cell r="L271">
            <v>0</v>
          </cell>
          <cell r="M271">
            <v>7315000</v>
          </cell>
        </row>
        <row r="272">
          <cell r="E272" t="str">
            <v>Pertanian 99/Efendi</v>
          </cell>
          <cell r="I272">
            <v>50000000</v>
          </cell>
          <cell r="L272">
            <v>0</v>
          </cell>
          <cell r="M272">
            <v>50000000</v>
          </cell>
        </row>
        <row r="273">
          <cell r="E273" t="str">
            <v>Pos Tani/Busiyanto</v>
          </cell>
          <cell r="I273">
            <v>1700000</v>
          </cell>
          <cell r="L273">
            <v>0</v>
          </cell>
          <cell r="M273">
            <v>1700000</v>
          </cell>
        </row>
        <row r="274">
          <cell r="E274" t="str">
            <v>Rimba Kelapa/Ribut Aminah</v>
          </cell>
          <cell r="I274">
            <v>5100000</v>
          </cell>
          <cell r="L274">
            <v>0</v>
          </cell>
          <cell r="M274">
            <v>5100000</v>
          </cell>
        </row>
        <row r="275">
          <cell r="E275" t="str">
            <v>Tawaf, Toko</v>
          </cell>
          <cell r="I275">
            <v>1960000</v>
          </cell>
          <cell r="L275">
            <v>0</v>
          </cell>
          <cell r="M275">
            <v>1960000</v>
          </cell>
        </row>
        <row r="276">
          <cell r="E276" t="str">
            <v>Wes Joyo/Hermas</v>
          </cell>
          <cell r="I276">
            <v>8700000</v>
          </cell>
          <cell r="L276">
            <v>0</v>
          </cell>
          <cell r="M276">
            <v>8700000</v>
          </cell>
        </row>
        <row r="277">
          <cell r="E277" t="str">
            <v>Wes Joyo/Hermas</v>
          </cell>
          <cell r="I277">
            <v>5791500</v>
          </cell>
          <cell r="L277">
            <v>0</v>
          </cell>
          <cell r="M277">
            <v>5791500</v>
          </cell>
        </row>
        <row r="278">
          <cell r="E278" t="str">
            <v>Agro Tani, UD</v>
          </cell>
          <cell r="I278">
            <v>2422500</v>
          </cell>
          <cell r="L278">
            <v>0</v>
          </cell>
          <cell r="M278">
            <v>2422500</v>
          </cell>
        </row>
        <row r="279">
          <cell r="E279" t="str">
            <v>Bimo Rukun Tani II</v>
          </cell>
          <cell r="I279">
            <v>5775000</v>
          </cell>
          <cell r="L279">
            <v>0</v>
          </cell>
          <cell r="M279">
            <v>5775000</v>
          </cell>
        </row>
        <row r="280">
          <cell r="E280" t="str">
            <v>Bimo Rukun Tani II</v>
          </cell>
          <cell r="I280">
            <v>12361000</v>
          </cell>
          <cell r="L280">
            <v>0</v>
          </cell>
          <cell r="M280">
            <v>12361000</v>
          </cell>
        </row>
        <row r="281">
          <cell r="E281" t="str">
            <v>Harapan, UD/Julik</v>
          </cell>
          <cell r="I281">
            <v>4300000</v>
          </cell>
          <cell r="L281">
            <v>0</v>
          </cell>
          <cell r="M281">
            <v>4300000</v>
          </cell>
        </row>
        <row r="282">
          <cell r="E282" t="str">
            <v>Karisma Tani/Roeslan</v>
          </cell>
          <cell r="I282">
            <v>1540000</v>
          </cell>
          <cell r="L282">
            <v>0</v>
          </cell>
          <cell r="M282">
            <v>1540000</v>
          </cell>
        </row>
        <row r="283">
          <cell r="E283" t="str">
            <v>Mitra Tani/Eko Susanto</v>
          </cell>
          <cell r="I283">
            <v>408000</v>
          </cell>
          <cell r="L283">
            <v>0</v>
          </cell>
          <cell r="M283">
            <v>408000</v>
          </cell>
        </row>
        <row r="284">
          <cell r="E284" t="str">
            <v>Mujahidin Delapan, UD</v>
          </cell>
          <cell r="I284">
            <v>10125000</v>
          </cell>
          <cell r="L284">
            <v>0</v>
          </cell>
          <cell r="M284">
            <v>10125000</v>
          </cell>
        </row>
        <row r="285">
          <cell r="E285" t="str">
            <v>Mujahidin Delapan, UD</v>
          </cell>
          <cell r="I285">
            <v>1575000</v>
          </cell>
          <cell r="L285">
            <v>0</v>
          </cell>
          <cell r="M285">
            <v>1575000</v>
          </cell>
        </row>
        <row r="286">
          <cell r="E286" t="str">
            <v>Mulyo Tani/Danang</v>
          </cell>
          <cell r="I286">
            <v>25500000</v>
          </cell>
          <cell r="L286">
            <v>0</v>
          </cell>
          <cell r="M286">
            <v>25500000</v>
          </cell>
        </row>
        <row r="287">
          <cell r="E287" t="str">
            <v>Pos Tani/Busiyanto</v>
          </cell>
          <cell r="I287">
            <v>1240000</v>
          </cell>
          <cell r="L287">
            <v>0</v>
          </cell>
          <cell r="M287">
            <v>1240000</v>
          </cell>
        </row>
        <row r="288">
          <cell r="E288" t="str">
            <v>Rizki Santoso, UD</v>
          </cell>
          <cell r="I288">
            <v>3900000</v>
          </cell>
          <cell r="L288">
            <v>0</v>
          </cell>
          <cell r="M288">
            <v>3900000</v>
          </cell>
        </row>
        <row r="289">
          <cell r="E289" t="str">
            <v>Rizki Santoso, UD</v>
          </cell>
          <cell r="I289">
            <v>1390000</v>
          </cell>
          <cell r="L289">
            <v>0</v>
          </cell>
          <cell r="M289">
            <v>1390000</v>
          </cell>
        </row>
        <row r="290">
          <cell r="E290" t="str">
            <v>Sumber Rejeki/Tono</v>
          </cell>
          <cell r="I290">
            <v>1890000</v>
          </cell>
          <cell r="L290">
            <v>0</v>
          </cell>
          <cell r="M290">
            <v>1890000</v>
          </cell>
        </row>
        <row r="291">
          <cell r="E291" t="str">
            <v>Sumber Rejeki/Tono</v>
          </cell>
          <cell r="I291">
            <v>18480000</v>
          </cell>
          <cell r="L291">
            <v>0</v>
          </cell>
          <cell r="M291">
            <v>18480000</v>
          </cell>
        </row>
        <row r="292">
          <cell r="E292" t="str">
            <v>Agro Tiara Jaya</v>
          </cell>
          <cell r="I292">
            <v>47500000</v>
          </cell>
          <cell r="L292">
            <v>0</v>
          </cell>
          <cell r="M292">
            <v>47500000</v>
          </cell>
        </row>
        <row r="293">
          <cell r="E293" t="str">
            <v>Agro Tiara Jaya</v>
          </cell>
          <cell r="I293">
            <v>49200000</v>
          </cell>
          <cell r="L293">
            <v>0</v>
          </cell>
          <cell r="M293">
            <v>49200000</v>
          </cell>
        </row>
        <row r="294">
          <cell r="E294" t="str">
            <v>Bimo Rukun Tani II</v>
          </cell>
          <cell r="I294">
            <v>12240000</v>
          </cell>
          <cell r="L294">
            <v>0</v>
          </cell>
          <cell r="M294">
            <v>12240000</v>
          </cell>
        </row>
        <row r="295">
          <cell r="E295" t="str">
            <v>Bimo Rukun Tani, UD</v>
          </cell>
          <cell r="I295">
            <v>1260000</v>
          </cell>
          <cell r="L295">
            <v>0</v>
          </cell>
          <cell r="M295">
            <v>1260000</v>
          </cell>
        </row>
        <row r="296">
          <cell r="E296" t="str">
            <v>Bimo Rukun Tani, UD</v>
          </cell>
          <cell r="I296">
            <v>7350000</v>
          </cell>
          <cell r="L296">
            <v>0</v>
          </cell>
          <cell r="M296">
            <v>7350000</v>
          </cell>
        </row>
        <row r="297">
          <cell r="E297" t="str">
            <v>Cahaya Mulya</v>
          </cell>
          <cell r="I297">
            <v>4600000</v>
          </cell>
          <cell r="L297">
            <v>0</v>
          </cell>
          <cell r="M297">
            <v>4600000</v>
          </cell>
        </row>
        <row r="298">
          <cell r="E298" t="str">
            <v>Cahaya Mulya</v>
          </cell>
          <cell r="I298">
            <v>23030000</v>
          </cell>
          <cell r="L298">
            <v>0</v>
          </cell>
          <cell r="M298">
            <v>23030000</v>
          </cell>
        </row>
        <row r="299">
          <cell r="E299" t="str">
            <v>Eka Jaya/David</v>
          </cell>
          <cell r="I299">
            <v>43575000</v>
          </cell>
          <cell r="L299">
            <v>0</v>
          </cell>
          <cell r="M299">
            <v>43575000</v>
          </cell>
        </row>
        <row r="300">
          <cell r="E300" t="str">
            <v>Eka Jaya/David</v>
          </cell>
          <cell r="I300">
            <v>1260000</v>
          </cell>
          <cell r="L300">
            <v>0</v>
          </cell>
          <cell r="M300">
            <v>1260000</v>
          </cell>
        </row>
        <row r="301">
          <cell r="E301" t="str">
            <v>Eka Jaya/David</v>
          </cell>
          <cell r="I301">
            <v>7440000</v>
          </cell>
          <cell r="L301">
            <v>0</v>
          </cell>
          <cell r="M301">
            <v>7440000</v>
          </cell>
        </row>
        <row r="302">
          <cell r="E302" t="str">
            <v>Layan Tani II</v>
          </cell>
          <cell r="I302">
            <v>3000000</v>
          </cell>
          <cell r="L302">
            <v>0</v>
          </cell>
          <cell r="M302">
            <v>3000000</v>
          </cell>
        </row>
        <row r="303">
          <cell r="E303" t="str">
            <v>Lestari Jaya</v>
          </cell>
          <cell r="I303">
            <v>10400000</v>
          </cell>
          <cell r="L303">
            <v>0</v>
          </cell>
          <cell r="M303">
            <v>10400000</v>
          </cell>
        </row>
        <row r="304">
          <cell r="E304" t="str">
            <v>Maha Karya Sentosa, Toko</v>
          </cell>
          <cell r="I304">
            <v>3150000</v>
          </cell>
          <cell r="L304">
            <v>0</v>
          </cell>
          <cell r="M304">
            <v>3150000</v>
          </cell>
        </row>
        <row r="305">
          <cell r="E305" t="str">
            <v>Mitra Tani/Hariyanto</v>
          </cell>
          <cell r="I305">
            <v>10000000</v>
          </cell>
          <cell r="L305">
            <v>0</v>
          </cell>
          <cell r="M305">
            <v>10000000</v>
          </cell>
        </row>
        <row r="306">
          <cell r="E306" t="str">
            <v>Pos Tani/Busiyanto</v>
          </cell>
          <cell r="I306">
            <v>3339000</v>
          </cell>
          <cell r="L306">
            <v>0</v>
          </cell>
          <cell r="M306">
            <v>3339000</v>
          </cell>
        </row>
        <row r="307">
          <cell r="E307" t="str">
            <v>Pos Tani/Busiyanto</v>
          </cell>
          <cell r="I307">
            <v>1206000</v>
          </cell>
          <cell r="L307">
            <v>0</v>
          </cell>
          <cell r="M307">
            <v>1206000</v>
          </cell>
        </row>
        <row r="308">
          <cell r="E308" t="str">
            <v>Putra Makmur Abadi, UD</v>
          </cell>
          <cell r="I308">
            <v>2195000</v>
          </cell>
          <cell r="L308">
            <v>0</v>
          </cell>
          <cell r="M308">
            <v>2195000</v>
          </cell>
        </row>
        <row r="309">
          <cell r="E309" t="str">
            <v>Tawaf, Toko</v>
          </cell>
          <cell r="I309">
            <v>300000</v>
          </cell>
          <cell r="L309">
            <v>0</v>
          </cell>
          <cell r="M309">
            <v>300000</v>
          </cell>
        </row>
        <row r="310">
          <cell r="E310" t="str">
            <v>Bimo Rukun Tani II</v>
          </cell>
          <cell r="I310">
            <v>3925000</v>
          </cell>
          <cell r="L310">
            <v>0</v>
          </cell>
          <cell r="M310">
            <v>3925000</v>
          </cell>
        </row>
        <row r="311">
          <cell r="E311" t="str">
            <v>Wes Joyo/Hermas</v>
          </cell>
          <cell r="I311">
            <v>6060000</v>
          </cell>
          <cell r="L311">
            <v>0</v>
          </cell>
          <cell r="M311">
            <v>6060000</v>
          </cell>
        </row>
        <row r="312">
          <cell r="E312" t="str">
            <v>Berkat Jaya Utama</v>
          </cell>
          <cell r="I312">
            <v>1000000</v>
          </cell>
          <cell r="L312">
            <v>0</v>
          </cell>
          <cell r="M312">
            <v>1000000</v>
          </cell>
        </row>
        <row r="313">
          <cell r="E313" t="str">
            <v>Berkat Jaya Utama</v>
          </cell>
          <cell r="I313">
            <v>10125000</v>
          </cell>
          <cell r="L313">
            <v>0</v>
          </cell>
          <cell r="M313">
            <v>10125000</v>
          </cell>
        </row>
        <row r="314">
          <cell r="E314" t="str">
            <v>Bimo Rukun Tani II</v>
          </cell>
          <cell r="I314">
            <v>4050000</v>
          </cell>
          <cell r="L314">
            <v>0</v>
          </cell>
          <cell r="M314">
            <v>4050000</v>
          </cell>
        </row>
        <row r="315">
          <cell r="E315" t="str">
            <v>Bimo Rukun Tani II</v>
          </cell>
          <cell r="I315">
            <v>2488200</v>
          </cell>
          <cell r="L315">
            <v>0</v>
          </cell>
          <cell r="M315">
            <v>2488200</v>
          </cell>
        </row>
        <row r="316">
          <cell r="E316" t="str">
            <v>Bintang Harapan</v>
          </cell>
          <cell r="I316">
            <v>21200000</v>
          </cell>
          <cell r="L316">
            <v>0</v>
          </cell>
          <cell r="M316">
            <v>21200000</v>
          </cell>
        </row>
        <row r="317">
          <cell r="E317" t="str">
            <v>Bintang Harapan</v>
          </cell>
          <cell r="I317">
            <v>5040000</v>
          </cell>
          <cell r="L317">
            <v>0</v>
          </cell>
          <cell r="M317">
            <v>5040000</v>
          </cell>
        </row>
        <row r="318">
          <cell r="E318" t="str">
            <v>Eka Jaya/David</v>
          </cell>
          <cell r="I318">
            <v>22880000</v>
          </cell>
          <cell r="L318">
            <v>0</v>
          </cell>
          <cell r="M318">
            <v>22880000</v>
          </cell>
        </row>
        <row r="319">
          <cell r="E319" t="str">
            <v>Gunung Semeru</v>
          </cell>
          <cell r="I319">
            <v>7000000</v>
          </cell>
          <cell r="L319">
            <v>0</v>
          </cell>
          <cell r="M319">
            <v>7000000</v>
          </cell>
        </row>
        <row r="320">
          <cell r="E320" t="str">
            <v>Lestari Jaya</v>
          </cell>
          <cell r="I320">
            <v>2400000</v>
          </cell>
          <cell r="L320">
            <v>0</v>
          </cell>
          <cell r="M320">
            <v>2400000</v>
          </cell>
        </row>
        <row r="321">
          <cell r="E321" t="str">
            <v>Maha Karya Sentosa, Toko</v>
          </cell>
          <cell r="I321">
            <v>28560000</v>
          </cell>
          <cell r="L321">
            <v>0</v>
          </cell>
          <cell r="M321">
            <v>28560000</v>
          </cell>
        </row>
        <row r="322">
          <cell r="E322" t="str">
            <v>Mbah Semar, Kios</v>
          </cell>
          <cell r="I322">
            <v>2125000</v>
          </cell>
          <cell r="L322">
            <v>0</v>
          </cell>
          <cell r="M322">
            <v>2125000</v>
          </cell>
        </row>
        <row r="323">
          <cell r="E323" t="str">
            <v>Mbah Semar, Kios</v>
          </cell>
          <cell r="I323">
            <v>823500</v>
          </cell>
          <cell r="L323">
            <v>0</v>
          </cell>
          <cell r="M323">
            <v>823500</v>
          </cell>
        </row>
        <row r="324">
          <cell r="E324" t="str">
            <v>Mekar Tani/Tunti</v>
          </cell>
          <cell r="I324">
            <v>4400000</v>
          </cell>
          <cell r="L324">
            <v>0</v>
          </cell>
          <cell r="M324">
            <v>4400000</v>
          </cell>
        </row>
        <row r="325">
          <cell r="E325" t="str">
            <v>Mitra Tani/Alfan</v>
          </cell>
          <cell r="I325">
            <v>3120000</v>
          </cell>
          <cell r="L325">
            <v>0</v>
          </cell>
          <cell r="M325">
            <v>3120000</v>
          </cell>
        </row>
        <row r="326">
          <cell r="E326" t="str">
            <v>Mitra Tani/Riska</v>
          </cell>
          <cell r="I326">
            <v>127500</v>
          </cell>
          <cell r="L326">
            <v>0</v>
          </cell>
          <cell r="M326">
            <v>127500</v>
          </cell>
        </row>
        <row r="327">
          <cell r="E327" t="str">
            <v>Mitra Tani/Riska</v>
          </cell>
          <cell r="I327">
            <v>705000</v>
          </cell>
          <cell r="L327">
            <v>0</v>
          </cell>
          <cell r="M327">
            <v>705000</v>
          </cell>
        </row>
        <row r="328">
          <cell r="E328" t="str">
            <v>Mulyo Tani/Danang</v>
          </cell>
          <cell r="I328">
            <v>325454000</v>
          </cell>
          <cell r="L328">
            <v>0</v>
          </cell>
          <cell r="M328">
            <v>325454000</v>
          </cell>
        </row>
        <row r="329">
          <cell r="E329" t="str">
            <v>Mulyo Tani/Danang</v>
          </cell>
          <cell r="I329">
            <v>228000000</v>
          </cell>
          <cell r="L329">
            <v>0</v>
          </cell>
          <cell r="M329">
            <v>228000000</v>
          </cell>
        </row>
        <row r="330">
          <cell r="E330" t="str">
            <v>Mutiara Tani, UD/Abdur Rahman</v>
          </cell>
          <cell r="I330">
            <v>6300000</v>
          </cell>
          <cell r="L330">
            <v>0</v>
          </cell>
          <cell r="M330">
            <v>6300000</v>
          </cell>
        </row>
        <row r="331">
          <cell r="E331" t="str">
            <v>Prima Tani/Candra Sanjaya</v>
          </cell>
          <cell r="I331">
            <v>91800000</v>
          </cell>
          <cell r="L331">
            <v>0</v>
          </cell>
          <cell r="M331">
            <v>91800000</v>
          </cell>
        </row>
        <row r="332">
          <cell r="E332" t="str">
            <v>Prima Tani/Candra Sanjaya</v>
          </cell>
          <cell r="I332">
            <v>15500000</v>
          </cell>
          <cell r="L332">
            <v>0</v>
          </cell>
          <cell r="M332">
            <v>15500000</v>
          </cell>
        </row>
        <row r="333">
          <cell r="E333" t="str">
            <v>Rizki Santoso, UD</v>
          </cell>
          <cell r="I333">
            <v>5276500</v>
          </cell>
          <cell r="L333">
            <v>0</v>
          </cell>
          <cell r="M333">
            <v>5276500</v>
          </cell>
        </row>
        <row r="334">
          <cell r="E334" t="str">
            <v>Sumber Rejeki/Tono</v>
          </cell>
          <cell r="I334">
            <v>19800000</v>
          </cell>
          <cell r="L334">
            <v>0</v>
          </cell>
          <cell r="M334">
            <v>19800000</v>
          </cell>
        </row>
        <row r="335">
          <cell r="E335" t="str">
            <v>Sumber Rejeki/Tono</v>
          </cell>
          <cell r="I335">
            <v>3460000</v>
          </cell>
          <cell r="L335">
            <v>0</v>
          </cell>
          <cell r="M335">
            <v>3460000</v>
          </cell>
        </row>
        <row r="336">
          <cell r="E336" t="str">
            <v>Tani Sejati/Ahmad Syarifudin</v>
          </cell>
          <cell r="I336">
            <v>1200000</v>
          </cell>
          <cell r="L336">
            <v>0</v>
          </cell>
          <cell r="M336">
            <v>1200000</v>
          </cell>
        </row>
        <row r="337">
          <cell r="E337" t="str">
            <v>Bimo Rukun Tani II</v>
          </cell>
          <cell r="I337">
            <v>26160000</v>
          </cell>
          <cell r="L337">
            <v>0</v>
          </cell>
          <cell r="M337">
            <v>26160000</v>
          </cell>
        </row>
        <row r="338">
          <cell r="E338" t="str">
            <v>Dwi Putra, UD</v>
          </cell>
          <cell r="I338">
            <v>18000000</v>
          </cell>
          <cell r="L338">
            <v>0</v>
          </cell>
          <cell r="M338">
            <v>18000000</v>
          </cell>
        </row>
        <row r="339">
          <cell r="E339" t="str">
            <v>Harapan Jaya/Hadi Maruf</v>
          </cell>
          <cell r="I339">
            <v>11750000</v>
          </cell>
          <cell r="L339">
            <v>0</v>
          </cell>
          <cell r="M339">
            <v>11750000</v>
          </cell>
        </row>
        <row r="340">
          <cell r="E340" t="str">
            <v>Insan Tani, UD/Yohan</v>
          </cell>
          <cell r="I340">
            <v>2252000</v>
          </cell>
          <cell r="L340">
            <v>0</v>
          </cell>
          <cell r="M340">
            <v>2252000</v>
          </cell>
        </row>
        <row r="341">
          <cell r="E341" t="str">
            <v>Karisma Tani/Roeslan</v>
          </cell>
          <cell r="I341">
            <v>1175000</v>
          </cell>
          <cell r="L341">
            <v>0</v>
          </cell>
          <cell r="M341">
            <v>1175000</v>
          </cell>
        </row>
        <row r="342">
          <cell r="E342" t="str">
            <v>Kumpul Tani/Hendro</v>
          </cell>
          <cell r="I342">
            <v>5400000</v>
          </cell>
          <cell r="L342">
            <v>0</v>
          </cell>
          <cell r="M342">
            <v>5400000</v>
          </cell>
        </row>
        <row r="343">
          <cell r="E343" t="str">
            <v>Kumpul Tani/Hendro</v>
          </cell>
          <cell r="I343">
            <v>13120000</v>
          </cell>
          <cell r="L343">
            <v>0</v>
          </cell>
          <cell r="M343">
            <v>13120000</v>
          </cell>
        </row>
        <row r="344">
          <cell r="E344" t="str">
            <v>Layan Tani II</v>
          </cell>
          <cell r="I344">
            <v>5280000</v>
          </cell>
          <cell r="L344">
            <v>0</v>
          </cell>
          <cell r="M344">
            <v>5280000</v>
          </cell>
        </row>
        <row r="345">
          <cell r="E345" t="str">
            <v>Mapan Agro Sentosa, UD</v>
          </cell>
          <cell r="I345">
            <v>15966000</v>
          </cell>
          <cell r="L345">
            <v>0</v>
          </cell>
          <cell r="M345">
            <v>15966000</v>
          </cell>
        </row>
        <row r="346">
          <cell r="E346" t="str">
            <v>Mitra Tani/Riska</v>
          </cell>
          <cell r="I346">
            <v>3400000</v>
          </cell>
          <cell r="L346">
            <v>0</v>
          </cell>
          <cell r="M346">
            <v>3400000</v>
          </cell>
        </row>
        <row r="347">
          <cell r="E347" t="str">
            <v>Mujahidin Delapan, UD</v>
          </cell>
          <cell r="I347">
            <v>5312500</v>
          </cell>
          <cell r="L347">
            <v>0</v>
          </cell>
          <cell r="M347">
            <v>5312500</v>
          </cell>
        </row>
        <row r="348">
          <cell r="E348" t="str">
            <v>Mujahidin Delapan, UD</v>
          </cell>
          <cell r="I348">
            <v>3024000</v>
          </cell>
          <cell r="L348">
            <v>0</v>
          </cell>
          <cell r="M348">
            <v>3024000</v>
          </cell>
        </row>
        <row r="349">
          <cell r="E349" t="str">
            <v>Mutiara Tani, UD/Abdur Rahman</v>
          </cell>
          <cell r="I349">
            <v>4850000</v>
          </cell>
          <cell r="L349">
            <v>0</v>
          </cell>
          <cell r="M349">
            <v>4850000</v>
          </cell>
        </row>
        <row r="350">
          <cell r="E350" t="str">
            <v>Mutiara Tani, UD/Abdur Rahman</v>
          </cell>
          <cell r="I350">
            <v>1800000</v>
          </cell>
          <cell r="L350">
            <v>0</v>
          </cell>
          <cell r="M350">
            <v>1800000</v>
          </cell>
        </row>
        <row r="351">
          <cell r="E351" t="str">
            <v>Mutiara Tani, UD/Abdur Rahman</v>
          </cell>
          <cell r="I351">
            <v>3140000</v>
          </cell>
          <cell r="L351">
            <v>0</v>
          </cell>
          <cell r="M351">
            <v>3140000</v>
          </cell>
        </row>
        <row r="352">
          <cell r="E352" t="str">
            <v>Sinar Fajar, UD</v>
          </cell>
          <cell r="I352">
            <v>1605000</v>
          </cell>
          <cell r="L352">
            <v>0</v>
          </cell>
          <cell r="M352">
            <v>1605000</v>
          </cell>
        </row>
        <row r="353">
          <cell r="E353" t="str">
            <v>Tawaf, Toko</v>
          </cell>
          <cell r="I353">
            <v>1415000</v>
          </cell>
          <cell r="L353">
            <v>0</v>
          </cell>
          <cell r="M353">
            <v>1415000</v>
          </cell>
        </row>
        <row r="354">
          <cell r="E354" t="str">
            <v>Utama/Husni</v>
          </cell>
          <cell r="I354">
            <v>18000000</v>
          </cell>
          <cell r="L354">
            <v>0</v>
          </cell>
          <cell r="M354">
            <v>18000000</v>
          </cell>
        </row>
        <row r="355">
          <cell r="E355" t="str">
            <v>Angka Jaya</v>
          </cell>
          <cell r="I355">
            <v>46200000</v>
          </cell>
          <cell r="L355">
            <v>0</v>
          </cell>
          <cell r="M355">
            <v>46200000</v>
          </cell>
        </row>
        <row r="356">
          <cell r="E356" t="str">
            <v>Eka Jaya/David</v>
          </cell>
          <cell r="I356">
            <v>11120000</v>
          </cell>
          <cell r="L356">
            <v>0</v>
          </cell>
          <cell r="M356">
            <v>11120000</v>
          </cell>
        </row>
        <row r="357">
          <cell r="E357" t="str">
            <v>Gunung Semeru</v>
          </cell>
          <cell r="I357">
            <v>105000000</v>
          </cell>
          <cell r="L357">
            <v>0</v>
          </cell>
          <cell r="M357">
            <v>105000000</v>
          </cell>
        </row>
        <row r="358">
          <cell r="E358" t="str">
            <v>Sari Bumi/Alvin</v>
          </cell>
          <cell r="I358">
            <v>5760000</v>
          </cell>
          <cell r="L358">
            <v>0</v>
          </cell>
          <cell r="M358">
            <v>5760000</v>
          </cell>
        </row>
        <row r="359">
          <cell r="E359" t="str">
            <v>Mitra Tani/Hariyanto</v>
          </cell>
          <cell r="I359">
            <v>47250000</v>
          </cell>
          <cell r="L359">
            <v>0</v>
          </cell>
          <cell r="M359">
            <v>47250000</v>
          </cell>
        </row>
        <row r="360">
          <cell r="E360" t="str">
            <v>Mutiara Tani, UD/Abdur Rahman</v>
          </cell>
          <cell r="I360">
            <v>131000000</v>
          </cell>
          <cell r="L360">
            <v>0</v>
          </cell>
          <cell r="M360">
            <v>131000000</v>
          </cell>
        </row>
        <row r="361">
          <cell r="E361" t="str">
            <v>Sumber Rejeki/Tono</v>
          </cell>
          <cell r="I361">
            <v>17820000</v>
          </cell>
          <cell r="L361">
            <v>0</v>
          </cell>
          <cell r="M361">
            <v>17820000</v>
          </cell>
        </row>
        <row r="362">
          <cell r="E362" t="str">
            <v>Eka Jaya/David</v>
          </cell>
          <cell r="I362">
            <v>2250000</v>
          </cell>
          <cell r="L362">
            <v>0</v>
          </cell>
          <cell r="M362">
            <v>2250000</v>
          </cell>
        </row>
        <row r="363">
          <cell r="E363" t="str">
            <v>Rimba Kelapa/Ribut Aminah</v>
          </cell>
          <cell r="I363">
            <v>1350000</v>
          </cell>
          <cell r="L363">
            <v>0</v>
          </cell>
          <cell r="M363">
            <v>1350000</v>
          </cell>
        </row>
        <row r="364">
          <cell r="E364" t="str">
            <v>Sumber Berkat/Agus</v>
          </cell>
          <cell r="I364">
            <v>8400000</v>
          </cell>
          <cell r="L364">
            <v>0</v>
          </cell>
          <cell r="M364">
            <v>8400000</v>
          </cell>
        </row>
        <row r="365">
          <cell r="E365" t="str">
            <v>Sumber Berkat/Agus</v>
          </cell>
          <cell r="I365">
            <v>13250000</v>
          </cell>
          <cell r="L365">
            <v>0</v>
          </cell>
          <cell r="M365">
            <v>13250000</v>
          </cell>
        </row>
        <row r="366">
          <cell r="E366" t="str">
            <v>Tani Unggul/Johan</v>
          </cell>
          <cell r="I366">
            <v>660000</v>
          </cell>
          <cell r="L366">
            <v>0</v>
          </cell>
          <cell r="M366">
            <v>660000</v>
          </cell>
        </row>
        <row r="367">
          <cell r="L367">
            <v>0</v>
          </cell>
          <cell r="M367">
            <v>0</v>
          </cell>
        </row>
        <row r="368">
          <cell r="L368">
            <v>0</v>
          </cell>
          <cell r="M368">
            <v>0</v>
          </cell>
        </row>
        <row r="369">
          <cell r="L369">
            <v>0</v>
          </cell>
          <cell r="M369">
            <v>0</v>
          </cell>
        </row>
        <row r="370">
          <cell r="L370">
            <v>0</v>
          </cell>
          <cell r="M370">
            <v>0</v>
          </cell>
        </row>
        <row r="371">
          <cell r="L371">
            <v>0</v>
          </cell>
          <cell r="M371">
            <v>0</v>
          </cell>
        </row>
        <row r="372">
          <cell r="L372">
            <v>0</v>
          </cell>
          <cell r="M372">
            <v>0</v>
          </cell>
        </row>
        <row r="373">
          <cell r="L373">
            <v>0</v>
          </cell>
          <cell r="M373">
            <v>0</v>
          </cell>
        </row>
        <row r="374">
          <cell r="L374">
            <v>0</v>
          </cell>
          <cell r="M374">
            <v>0</v>
          </cell>
        </row>
        <row r="375">
          <cell r="L375">
            <v>0</v>
          </cell>
          <cell r="M375">
            <v>0</v>
          </cell>
        </row>
        <row r="376">
          <cell r="L376">
            <v>0</v>
          </cell>
          <cell r="M376">
            <v>0</v>
          </cell>
        </row>
        <row r="377">
          <cell r="L377">
            <v>0</v>
          </cell>
          <cell r="M377">
            <v>0</v>
          </cell>
        </row>
        <row r="378">
          <cell r="L378">
            <v>0</v>
          </cell>
          <cell r="M378">
            <v>0</v>
          </cell>
        </row>
        <row r="379">
          <cell r="L379">
            <v>0</v>
          </cell>
          <cell r="M379">
            <v>0</v>
          </cell>
        </row>
        <row r="380">
          <cell r="L380">
            <v>0</v>
          </cell>
          <cell r="M380">
            <v>0</v>
          </cell>
        </row>
        <row r="381">
          <cell r="L381">
            <v>0</v>
          </cell>
          <cell r="M381">
            <v>0</v>
          </cell>
        </row>
        <row r="382">
          <cell r="L382">
            <v>0</v>
          </cell>
          <cell r="M382">
            <v>0</v>
          </cell>
        </row>
        <row r="383">
          <cell r="L383">
            <v>0</v>
          </cell>
          <cell r="M383">
            <v>0</v>
          </cell>
        </row>
        <row r="384">
          <cell r="L384">
            <v>0</v>
          </cell>
          <cell r="M384">
            <v>0</v>
          </cell>
        </row>
        <row r="385">
          <cell r="L385">
            <v>0</v>
          </cell>
          <cell r="M385">
            <v>0</v>
          </cell>
        </row>
        <row r="386">
          <cell r="L386">
            <v>0</v>
          </cell>
          <cell r="M386">
            <v>0</v>
          </cell>
        </row>
        <row r="387">
          <cell r="L387">
            <v>0</v>
          </cell>
          <cell r="M387">
            <v>0</v>
          </cell>
        </row>
        <row r="388">
          <cell r="L388">
            <v>0</v>
          </cell>
          <cell r="M388">
            <v>0</v>
          </cell>
        </row>
        <row r="389">
          <cell r="L389">
            <v>0</v>
          </cell>
          <cell r="M389">
            <v>0</v>
          </cell>
        </row>
        <row r="390">
          <cell r="L390">
            <v>0</v>
          </cell>
          <cell r="M390">
            <v>0</v>
          </cell>
        </row>
        <row r="391">
          <cell r="L391">
            <v>0</v>
          </cell>
          <cell r="M391">
            <v>0</v>
          </cell>
        </row>
        <row r="392">
          <cell r="L392">
            <v>0</v>
          </cell>
          <cell r="M392">
            <v>0</v>
          </cell>
        </row>
        <row r="393">
          <cell r="L393">
            <v>0</v>
          </cell>
          <cell r="M393">
            <v>0</v>
          </cell>
        </row>
        <row r="394">
          <cell r="L394">
            <v>0</v>
          </cell>
          <cell r="M394">
            <v>0</v>
          </cell>
        </row>
        <row r="395">
          <cell r="L395">
            <v>0</v>
          </cell>
          <cell r="M395">
            <v>0</v>
          </cell>
        </row>
        <row r="396">
          <cell r="L396">
            <v>0</v>
          </cell>
          <cell r="M396">
            <v>0</v>
          </cell>
        </row>
        <row r="397">
          <cell r="L397">
            <v>0</v>
          </cell>
          <cell r="M397">
            <v>0</v>
          </cell>
        </row>
        <row r="398">
          <cell r="L398">
            <v>0</v>
          </cell>
          <cell r="M398">
            <v>0</v>
          </cell>
        </row>
        <row r="399">
          <cell r="L399">
            <v>0</v>
          </cell>
          <cell r="M399">
            <v>0</v>
          </cell>
        </row>
        <row r="400">
          <cell r="L400">
            <v>0</v>
          </cell>
          <cell r="M400">
            <v>0</v>
          </cell>
        </row>
        <row r="401">
          <cell r="L401">
            <v>0</v>
          </cell>
          <cell r="M401">
            <v>0</v>
          </cell>
        </row>
        <row r="402">
          <cell r="L402">
            <v>0</v>
          </cell>
          <cell r="M402">
            <v>0</v>
          </cell>
        </row>
        <row r="403">
          <cell r="L403">
            <v>0</v>
          </cell>
          <cell r="M403">
            <v>0</v>
          </cell>
        </row>
        <row r="404">
          <cell r="L404">
            <v>0</v>
          </cell>
          <cell r="M404">
            <v>0</v>
          </cell>
        </row>
        <row r="405">
          <cell r="L405">
            <v>0</v>
          </cell>
          <cell r="M405">
            <v>0</v>
          </cell>
        </row>
        <row r="406">
          <cell r="L406">
            <v>0</v>
          </cell>
          <cell r="M406">
            <v>0</v>
          </cell>
        </row>
        <row r="407">
          <cell r="L407">
            <v>0</v>
          </cell>
          <cell r="M407">
            <v>0</v>
          </cell>
        </row>
        <row r="408">
          <cell r="L408">
            <v>0</v>
          </cell>
          <cell r="M408">
            <v>0</v>
          </cell>
        </row>
        <row r="409">
          <cell r="L409">
            <v>0</v>
          </cell>
          <cell r="M409">
            <v>0</v>
          </cell>
        </row>
        <row r="410">
          <cell r="L410">
            <v>0</v>
          </cell>
          <cell r="M410">
            <v>0</v>
          </cell>
        </row>
        <row r="411">
          <cell r="L411">
            <v>0</v>
          </cell>
          <cell r="M411">
            <v>0</v>
          </cell>
        </row>
        <row r="412">
          <cell r="L412">
            <v>0</v>
          </cell>
          <cell r="M412">
            <v>0</v>
          </cell>
        </row>
        <row r="413">
          <cell r="L413">
            <v>0</v>
          </cell>
          <cell r="M413">
            <v>0</v>
          </cell>
        </row>
        <row r="414">
          <cell r="L414">
            <v>0</v>
          </cell>
          <cell r="M414">
            <v>0</v>
          </cell>
        </row>
        <row r="415">
          <cell r="L415">
            <v>0</v>
          </cell>
          <cell r="M415">
            <v>0</v>
          </cell>
        </row>
        <row r="416">
          <cell r="L416">
            <v>0</v>
          </cell>
          <cell r="M416">
            <v>0</v>
          </cell>
        </row>
        <row r="417">
          <cell r="L417">
            <v>0</v>
          </cell>
          <cell r="M417">
            <v>0</v>
          </cell>
        </row>
        <row r="418">
          <cell r="L418">
            <v>0</v>
          </cell>
          <cell r="M418">
            <v>0</v>
          </cell>
        </row>
        <row r="419">
          <cell r="L419">
            <v>0</v>
          </cell>
          <cell r="M419">
            <v>0</v>
          </cell>
        </row>
        <row r="420">
          <cell r="L420">
            <v>0</v>
          </cell>
          <cell r="M420">
            <v>0</v>
          </cell>
        </row>
        <row r="421">
          <cell r="L421">
            <v>0</v>
          </cell>
          <cell r="M421">
            <v>0</v>
          </cell>
        </row>
        <row r="422">
          <cell r="L422">
            <v>0</v>
          </cell>
          <cell r="M422">
            <v>0</v>
          </cell>
        </row>
        <row r="423">
          <cell r="L423">
            <v>0</v>
          </cell>
          <cell r="M423">
            <v>0</v>
          </cell>
        </row>
        <row r="424">
          <cell r="L424">
            <v>0</v>
          </cell>
          <cell r="M424">
            <v>0</v>
          </cell>
        </row>
        <row r="425">
          <cell r="L425">
            <v>0</v>
          </cell>
          <cell r="M425">
            <v>0</v>
          </cell>
        </row>
        <row r="426">
          <cell r="L426">
            <v>0</v>
          </cell>
          <cell r="M426">
            <v>0</v>
          </cell>
        </row>
        <row r="427">
          <cell r="L427">
            <v>0</v>
          </cell>
          <cell r="M427">
            <v>0</v>
          </cell>
        </row>
        <row r="428">
          <cell r="L428">
            <v>0</v>
          </cell>
          <cell r="M428">
            <v>0</v>
          </cell>
        </row>
        <row r="429">
          <cell r="L429">
            <v>0</v>
          </cell>
          <cell r="M429">
            <v>0</v>
          </cell>
        </row>
        <row r="430">
          <cell r="L430">
            <v>0</v>
          </cell>
          <cell r="M430">
            <v>0</v>
          </cell>
        </row>
        <row r="431">
          <cell r="L431">
            <v>0</v>
          </cell>
          <cell r="M431">
            <v>0</v>
          </cell>
        </row>
        <row r="432">
          <cell r="L432">
            <v>0</v>
          </cell>
          <cell r="M432">
            <v>0</v>
          </cell>
        </row>
        <row r="433">
          <cell r="L433">
            <v>0</v>
          </cell>
          <cell r="M433">
            <v>0</v>
          </cell>
        </row>
        <row r="434">
          <cell r="L434">
            <v>0</v>
          </cell>
          <cell r="M434">
            <v>0</v>
          </cell>
        </row>
        <row r="435">
          <cell r="L435">
            <v>0</v>
          </cell>
          <cell r="M435">
            <v>0</v>
          </cell>
        </row>
        <row r="436">
          <cell r="L436">
            <v>0</v>
          </cell>
          <cell r="M436">
            <v>0</v>
          </cell>
        </row>
        <row r="437">
          <cell r="L437">
            <v>0</v>
          </cell>
          <cell r="M437">
            <v>0</v>
          </cell>
        </row>
        <row r="438">
          <cell r="L438">
            <v>0</v>
          </cell>
          <cell r="M438">
            <v>0</v>
          </cell>
        </row>
        <row r="439">
          <cell r="L439">
            <v>0</v>
          </cell>
          <cell r="M439">
            <v>0</v>
          </cell>
        </row>
        <row r="440">
          <cell r="L440">
            <v>0</v>
          </cell>
          <cell r="M440">
            <v>0</v>
          </cell>
        </row>
        <row r="441">
          <cell r="L441">
            <v>0</v>
          </cell>
          <cell r="M441">
            <v>0</v>
          </cell>
        </row>
        <row r="442">
          <cell r="L442">
            <v>0</v>
          </cell>
          <cell r="M442">
            <v>0</v>
          </cell>
        </row>
        <row r="443">
          <cell r="L443">
            <v>0</v>
          </cell>
          <cell r="M443">
            <v>0</v>
          </cell>
        </row>
        <row r="444">
          <cell r="L444">
            <v>0</v>
          </cell>
          <cell r="M444">
            <v>0</v>
          </cell>
        </row>
        <row r="445">
          <cell r="L445">
            <v>0</v>
          </cell>
          <cell r="M445">
            <v>0</v>
          </cell>
        </row>
        <row r="446">
          <cell r="L446">
            <v>0</v>
          </cell>
          <cell r="M446">
            <v>0</v>
          </cell>
        </row>
        <row r="447">
          <cell r="L447">
            <v>0</v>
          </cell>
          <cell r="M447">
            <v>0</v>
          </cell>
        </row>
        <row r="448">
          <cell r="L448">
            <v>0</v>
          </cell>
          <cell r="M448">
            <v>0</v>
          </cell>
        </row>
        <row r="449">
          <cell r="L449">
            <v>0</v>
          </cell>
          <cell r="M449">
            <v>0</v>
          </cell>
        </row>
        <row r="450">
          <cell r="L450">
            <v>0</v>
          </cell>
          <cell r="M450">
            <v>0</v>
          </cell>
        </row>
        <row r="451">
          <cell r="L451">
            <v>0</v>
          </cell>
          <cell r="M451">
            <v>0</v>
          </cell>
        </row>
        <row r="452">
          <cell r="L452">
            <v>0</v>
          </cell>
          <cell r="M452">
            <v>0</v>
          </cell>
        </row>
        <row r="453">
          <cell r="L453">
            <v>0</v>
          </cell>
          <cell r="M453">
            <v>0</v>
          </cell>
        </row>
        <row r="454">
          <cell r="L454">
            <v>0</v>
          </cell>
          <cell r="M454">
            <v>0</v>
          </cell>
        </row>
        <row r="455">
          <cell r="L455">
            <v>0</v>
          </cell>
          <cell r="M455">
            <v>0</v>
          </cell>
        </row>
        <row r="456">
          <cell r="L456">
            <v>0</v>
          </cell>
          <cell r="M456">
            <v>0</v>
          </cell>
        </row>
        <row r="457">
          <cell r="L457">
            <v>0</v>
          </cell>
          <cell r="M457">
            <v>0</v>
          </cell>
        </row>
        <row r="458">
          <cell r="L458">
            <v>0</v>
          </cell>
          <cell r="M458">
            <v>0</v>
          </cell>
        </row>
        <row r="459">
          <cell r="L459">
            <v>0</v>
          </cell>
          <cell r="M459">
            <v>0</v>
          </cell>
        </row>
        <row r="460">
          <cell r="L460">
            <v>0</v>
          </cell>
          <cell r="M460">
            <v>0</v>
          </cell>
        </row>
        <row r="461">
          <cell r="L461">
            <v>0</v>
          </cell>
          <cell r="M461">
            <v>0</v>
          </cell>
        </row>
        <row r="462">
          <cell r="L462">
            <v>0</v>
          </cell>
          <cell r="M462">
            <v>0</v>
          </cell>
        </row>
        <row r="463">
          <cell r="L463">
            <v>0</v>
          </cell>
          <cell r="M463">
            <v>0</v>
          </cell>
        </row>
        <row r="464">
          <cell r="L464">
            <v>0</v>
          </cell>
          <cell r="M464">
            <v>0</v>
          </cell>
        </row>
        <row r="465">
          <cell r="L465">
            <v>0</v>
          </cell>
          <cell r="M465">
            <v>0</v>
          </cell>
        </row>
        <row r="466">
          <cell r="L466">
            <v>0</v>
          </cell>
          <cell r="M466">
            <v>0</v>
          </cell>
        </row>
        <row r="467">
          <cell r="L467">
            <v>0</v>
          </cell>
          <cell r="M467">
            <v>0</v>
          </cell>
        </row>
        <row r="468">
          <cell r="L468">
            <v>0</v>
          </cell>
          <cell r="M468">
            <v>0</v>
          </cell>
        </row>
        <row r="469">
          <cell r="L469">
            <v>0</v>
          </cell>
          <cell r="M469">
            <v>0</v>
          </cell>
        </row>
        <row r="470">
          <cell r="L470">
            <v>0</v>
          </cell>
          <cell r="M470">
            <v>0</v>
          </cell>
        </row>
        <row r="471">
          <cell r="L471">
            <v>0</v>
          </cell>
          <cell r="M471">
            <v>0</v>
          </cell>
        </row>
        <row r="472">
          <cell r="L472">
            <v>0</v>
          </cell>
          <cell r="M472">
            <v>0</v>
          </cell>
        </row>
        <row r="473">
          <cell r="L473">
            <v>0</v>
          </cell>
          <cell r="M473">
            <v>0</v>
          </cell>
        </row>
        <row r="474">
          <cell r="L474">
            <v>0</v>
          </cell>
          <cell r="M474">
            <v>0</v>
          </cell>
        </row>
        <row r="475">
          <cell r="L475">
            <v>0</v>
          </cell>
          <cell r="M475">
            <v>0</v>
          </cell>
        </row>
        <row r="476">
          <cell r="L476">
            <v>0</v>
          </cell>
          <cell r="M476">
            <v>0</v>
          </cell>
        </row>
        <row r="477">
          <cell r="L477">
            <v>0</v>
          </cell>
          <cell r="M477">
            <v>0</v>
          </cell>
        </row>
        <row r="478">
          <cell r="L478">
            <v>0</v>
          </cell>
          <cell r="M478">
            <v>0</v>
          </cell>
        </row>
        <row r="479">
          <cell r="L479">
            <v>0</v>
          </cell>
          <cell r="M479">
            <v>0</v>
          </cell>
        </row>
        <row r="480">
          <cell r="L480">
            <v>0</v>
          </cell>
          <cell r="M480">
            <v>0</v>
          </cell>
        </row>
        <row r="481">
          <cell r="L481">
            <v>0</v>
          </cell>
          <cell r="M481">
            <v>0</v>
          </cell>
        </row>
        <row r="482">
          <cell r="L482">
            <v>0</v>
          </cell>
          <cell r="M482">
            <v>0</v>
          </cell>
        </row>
        <row r="483">
          <cell r="L483">
            <v>0</v>
          </cell>
          <cell r="M483">
            <v>0</v>
          </cell>
        </row>
        <row r="484">
          <cell r="L484">
            <v>0</v>
          </cell>
          <cell r="M484">
            <v>0</v>
          </cell>
        </row>
        <row r="485">
          <cell r="L485">
            <v>0</v>
          </cell>
          <cell r="M485">
            <v>0</v>
          </cell>
        </row>
        <row r="486">
          <cell r="L486">
            <v>0</v>
          </cell>
          <cell r="M486">
            <v>0</v>
          </cell>
        </row>
        <row r="487">
          <cell r="L487">
            <v>0</v>
          </cell>
          <cell r="M487">
            <v>0</v>
          </cell>
        </row>
        <row r="488">
          <cell r="L488">
            <v>0</v>
          </cell>
          <cell r="M488">
            <v>0</v>
          </cell>
        </row>
        <row r="489">
          <cell r="L489">
            <v>0</v>
          </cell>
          <cell r="M489">
            <v>0</v>
          </cell>
        </row>
        <row r="490">
          <cell r="L490">
            <v>0</v>
          </cell>
          <cell r="M490">
            <v>0</v>
          </cell>
        </row>
        <row r="491">
          <cell r="L491">
            <v>0</v>
          </cell>
          <cell r="M491">
            <v>0</v>
          </cell>
        </row>
        <row r="492">
          <cell r="L492">
            <v>0</v>
          </cell>
          <cell r="M492">
            <v>0</v>
          </cell>
        </row>
        <row r="493">
          <cell r="L493">
            <v>0</v>
          </cell>
          <cell r="M493">
            <v>0</v>
          </cell>
        </row>
        <row r="494">
          <cell r="L494">
            <v>0</v>
          </cell>
          <cell r="M494">
            <v>0</v>
          </cell>
        </row>
        <row r="495">
          <cell r="L495">
            <v>0</v>
          </cell>
          <cell r="M495">
            <v>0</v>
          </cell>
        </row>
        <row r="496">
          <cell r="L496">
            <v>0</v>
          </cell>
          <cell r="M496">
            <v>0</v>
          </cell>
        </row>
        <row r="497">
          <cell r="L497">
            <v>0</v>
          </cell>
          <cell r="M497">
            <v>0</v>
          </cell>
        </row>
        <row r="498">
          <cell r="L498">
            <v>0</v>
          </cell>
          <cell r="M498">
            <v>0</v>
          </cell>
        </row>
        <row r="499">
          <cell r="L499">
            <v>0</v>
          </cell>
          <cell r="M499">
            <v>0</v>
          </cell>
        </row>
        <row r="500">
          <cell r="L500">
            <v>0</v>
          </cell>
          <cell r="M500">
            <v>0</v>
          </cell>
        </row>
        <row r="501">
          <cell r="L501">
            <v>0</v>
          </cell>
          <cell r="M501">
            <v>0</v>
          </cell>
        </row>
        <row r="502">
          <cell r="L502">
            <v>0</v>
          </cell>
          <cell r="M502">
            <v>0</v>
          </cell>
        </row>
        <row r="503">
          <cell r="L503">
            <v>0</v>
          </cell>
          <cell r="M503">
            <v>0</v>
          </cell>
        </row>
        <row r="504">
          <cell r="L504">
            <v>0</v>
          </cell>
          <cell r="M504">
            <v>0</v>
          </cell>
        </row>
        <row r="505">
          <cell r="L505">
            <v>0</v>
          </cell>
          <cell r="M505">
            <v>0</v>
          </cell>
        </row>
        <row r="506">
          <cell r="L506">
            <v>0</v>
          </cell>
          <cell r="M506">
            <v>0</v>
          </cell>
        </row>
        <row r="507">
          <cell r="L507">
            <v>0</v>
          </cell>
          <cell r="M507">
            <v>0</v>
          </cell>
        </row>
        <row r="508">
          <cell r="L508">
            <v>0</v>
          </cell>
          <cell r="M508">
            <v>0</v>
          </cell>
        </row>
        <row r="509">
          <cell r="L509">
            <v>0</v>
          </cell>
          <cell r="M509">
            <v>0</v>
          </cell>
        </row>
        <row r="510">
          <cell r="L510">
            <v>0</v>
          </cell>
          <cell r="M510">
            <v>0</v>
          </cell>
        </row>
        <row r="511">
          <cell r="L511">
            <v>0</v>
          </cell>
          <cell r="M511">
            <v>0</v>
          </cell>
        </row>
        <row r="512">
          <cell r="L512">
            <v>0</v>
          </cell>
          <cell r="M512">
            <v>0</v>
          </cell>
        </row>
        <row r="513">
          <cell r="L513">
            <v>0</v>
          </cell>
          <cell r="M513">
            <v>0</v>
          </cell>
        </row>
        <row r="514">
          <cell r="L514">
            <v>0</v>
          </cell>
          <cell r="M514">
            <v>0</v>
          </cell>
        </row>
        <row r="515">
          <cell r="L515">
            <v>0</v>
          </cell>
          <cell r="M515">
            <v>0</v>
          </cell>
        </row>
        <row r="516">
          <cell r="L516">
            <v>0</v>
          </cell>
          <cell r="M516">
            <v>0</v>
          </cell>
        </row>
        <row r="517">
          <cell r="L517">
            <v>0</v>
          </cell>
          <cell r="M517">
            <v>0</v>
          </cell>
        </row>
        <row r="518">
          <cell r="L518">
            <v>0</v>
          </cell>
          <cell r="M518">
            <v>0</v>
          </cell>
        </row>
        <row r="519">
          <cell r="L519">
            <v>0</v>
          </cell>
          <cell r="M519">
            <v>0</v>
          </cell>
        </row>
        <row r="520">
          <cell r="L520">
            <v>0</v>
          </cell>
          <cell r="M520">
            <v>0</v>
          </cell>
        </row>
        <row r="521">
          <cell r="L521">
            <v>0</v>
          </cell>
          <cell r="M521">
            <v>0</v>
          </cell>
        </row>
        <row r="522">
          <cell r="L522">
            <v>0</v>
          </cell>
          <cell r="M522">
            <v>0</v>
          </cell>
        </row>
        <row r="523">
          <cell r="L523">
            <v>0</v>
          </cell>
          <cell r="M523">
            <v>0</v>
          </cell>
        </row>
        <row r="524">
          <cell r="L524">
            <v>0</v>
          </cell>
          <cell r="M524">
            <v>0</v>
          </cell>
        </row>
        <row r="525">
          <cell r="L525">
            <v>0</v>
          </cell>
          <cell r="M525">
            <v>0</v>
          </cell>
        </row>
        <row r="526">
          <cell r="L526">
            <v>0</v>
          </cell>
          <cell r="M526">
            <v>0</v>
          </cell>
        </row>
        <row r="527">
          <cell r="L527">
            <v>0</v>
          </cell>
          <cell r="M527">
            <v>0</v>
          </cell>
        </row>
        <row r="528">
          <cell r="L528">
            <v>0</v>
          </cell>
          <cell r="M528">
            <v>0</v>
          </cell>
        </row>
        <row r="529">
          <cell r="L529">
            <v>0</v>
          </cell>
          <cell r="M529">
            <v>0</v>
          </cell>
        </row>
        <row r="530">
          <cell r="L530">
            <v>0</v>
          </cell>
          <cell r="M530">
            <v>0</v>
          </cell>
        </row>
        <row r="531">
          <cell r="L531">
            <v>0</v>
          </cell>
          <cell r="M531">
            <v>0</v>
          </cell>
        </row>
        <row r="532">
          <cell r="L532">
            <v>0</v>
          </cell>
          <cell r="M532">
            <v>0</v>
          </cell>
        </row>
        <row r="533">
          <cell r="L533">
            <v>0</v>
          </cell>
          <cell r="M533">
            <v>0</v>
          </cell>
        </row>
        <row r="534">
          <cell r="L534">
            <v>0</v>
          </cell>
          <cell r="M534">
            <v>0</v>
          </cell>
        </row>
        <row r="535">
          <cell r="L535">
            <v>0</v>
          </cell>
          <cell r="M535">
            <v>0</v>
          </cell>
        </row>
        <row r="536">
          <cell r="L536">
            <v>0</v>
          </cell>
          <cell r="M536">
            <v>0</v>
          </cell>
        </row>
        <row r="537">
          <cell r="L537">
            <v>0</v>
          </cell>
          <cell r="M537">
            <v>0</v>
          </cell>
        </row>
        <row r="538">
          <cell r="L538">
            <v>0</v>
          </cell>
          <cell r="M538">
            <v>0</v>
          </cell>
        </row>
        <row r="539">
          <cell r="L539">
            <v>0</v>
          </cell>
          <cell r="M539">
            <v>0</v>
          </cell>
        </row>
        <row r="540">
          <cell r="L540">
            <v>0</v>
          </cell>
          <cell r="M540">
            <v>0</v>
          </cell>
        </row>
        <row r="541">
          <cell r="L541">
            <v>0</v>
          </cell>
          <cell r="M541">
            <v>0</v>
          </cell>
        </row>
        <row r="542">
          <cell r="L542">
            <v>0</v>
          </cell>
          <cell r="M542">
            <v>0</v>
          </cell>
        </row>
        <row r="543">
          <cell r="L543">
            <v>0</v>
          </cell>
          <cell r="M543">
            <v>0</v>
          </cell>
        </row>
        <row r="544">
          <cell r="L544">
            <v>0</v>
          </cell>
          <cell r="M544">
            <v>0</v>
          </cell>
        </row>
        <row r="545">
          <cell r="L545">
            <v>0</v>
          </cell>
          <cell r="M545">
            <v>0</v>
          </cell>
        </row>
        <row r="546">
          <cell r="L546">
            <v>0</v>
          </cell>
          <cell r="M546">
            <v>0</v>
          </cell>
        </row>
        <row r="547">
          <cell r="L547">
            <v>0</v>
          </cell>
          <cell r="M547">
            <v>0</v>
          </cell>
        </row>
        <row r="548">
          <cell r="L548">
            <v>0</v>
          </cell>
          <cell r="M548">
            <v>0</v>
          </cell>
        </row>
        <row r="549">
          <cell r="L549">
            <v>0</v>
          </cell>
          <cell r="M549">
            <v>0</v>
          </cell>
        </row>
        <row r="550">
          <cell r="L550">
            <v>0</v>
          </cell>
          <cell r="M550">
            <v>0</v>
          </cell>
        </row>
        <row r="551">
          <cell r="L551">
            <v>0</v>
          </cell>
          <cell r="M551">
            <v>0</v>
          </cell>
        </row>
        <row r="552">
          <cell r="L552">
            <v>0</v>
          </cell>
          <cell r="M552">
            <v>0</v>
          </cell>
        </row>
        <row r="553">
          <cell r="L553">
            <v>0</v>
          </cell>
          <cell r="M553">
            <v>0</v>
          </cell>
        </row>
        <row r="554">
          <cell r="L554">
            <v>0</v>
          </cell>
          <cell r="M554">
            <v>0</v>
          </cell>
        </row>
        <row r="555">
          <cell r="L555">
            <v>0</v>
          </cell>
          <cell r="M555">
            <v>0</v>
          </cell>
        </row>
        <row r="556">
          <cell r="L556">
            <v>0</v>
          </cell>
          <cell r="M556">
            <v>0</v>
          </cell>
        </row>
        <row r="557">
          <cell r="L557">
            <v>0</v>
          </cell>
          <cell r="M557">
            <v>0</v>
          </cell>
        </row>
        <row r="558">
          <cell r="L558">
            <v>0</v>
          </cell>
          <cell r="M558">
            <v>0</v>
          </cell>
        </row>
        <row r="559">
          <cell r="L559">
            <v>0</v>
          </cell>
          <cell r="M559">
            <v>0</v>
          </cell>
        </row>
        <row r="560">
          <cell r="L560">
            <v>0</v>
          </cell>
          <cell r="M560">
            <v>0</v>
          </cell>
        </row>
        <row r="561">
          <cell r="L561">
            <v>0</v>
          </cell>
          <cell r="M561">
            <v>0</v>
          </cell>
        </row>
        <row r="562">
          <cell r="L562">
            <v>0</v>
          </cell>
          <cell r="M562">
            <v>0</v>
          </cell>
        </row>
        <row r="563">
          <cell r="L563">
            <v>0</v>
          </cell>
          <cell r="M563">
            <v>0</v>
          </cell>
        </row>
        <row r="564">
          <cell r="L564">
            <v>0</v>
          </cell>
          <cell r="M564">
            <v>0</v>
          </cell>
        </row>
        <row r="565">
          <cell r="L565">
            <v>0</v>
          </cell>
          <cell r="M565">
            <v>0</v>
          </cell>
        </row>
        <row r="566">
          <cell r="L566">
            <v>0</v>
          </cell>
          <cell r="M566">
            <v>0</v>
          </cell>
        </row>
        <row r="567">
          <cell r="L567">
            <v>0</v>
          </cell>
          <cell r="M567">
            <v>0</v>
          </cell>
        </row>
        <row r="568">
          <cell r="L568">
            <v>0</v>
          </cell>
          <cell r="M568">
            <v>0</v>
          </cell>
        </row>
        <row r="569">
          <cell r="L569">
            <v>0</v>
          </cell>
          <cell r="M569">
            <v>0</v>
          </cell>
        </row>
        <row r="570">
          <cell r="L570">
            <v>0</v>
          </cell>
          <cell r="M570">
            <v>0</v>
          </cell>
        </row>
        <row r="571">
          <cell r="L571">
            <v>0</v>
          </cell>
          <cell r="M571">
            <v>0</v>
          </cell>
        </row>
        <row r="572">
          <cell r="L572">
            <v>0</v>
          </cell>
          <cell r="M572">
            <v>0</v>
          </cell>
        </row>
        <row r="573">
          <cell r="L573">
            <v>0</v>
          </cell>
          <cell r="M573">
            <v>0</v>
          </cell>
        </row>
        <row r="574">
          <cell r="L574">
            <v>0</v>
          </cell>
          <cell r="M574">
            <v>0</v>
          </cell>
        </row>
        <row r="575">
          <cell r="L575">
            <v>0</v>
          </cell>
          <cell r="M575">
            <v>0</v>
          </cell>
        </row>
        <row r="576">
          <cell r="L576">
            <v>0</v>
          </cell>
          <cell r="M576">
            <v>0</v>
          </cell>
        </row>
        <row r="577">
          <cell r="L577">
            <v>0</v>
          </cell>
          <cell r="M577">
            <v>0</v>
          </cell>
        </row>
        <row r="578">
          <cell r="L578">
            <v>0</v>
          </cell>
          <cell r="M578">
            <v>0</v>
          </cell>
        </row>
        <row r="579">
          <cell r="L579">
            <v>0</v>
          </cell>
          <cell r="M579">
            <v>0</v>
          </cell>
        </row>
        <row r="580">
          <cell r="L580">
            <v>0</v>
          </cell>
          <cell r="M580">
            <v>0</v>
          </cell>
        </row>
        <row r="581">
          <cell r="L581">
            <v>0</v>
          </cell>
          <cell r="M581">
            <v>0</v>
          </cell>
        </row>
        <row r="582">
          <cell r="L582">
            <v>0</v>
          </cell>
          <cell r="M582">
            <v>0</v>
          </cell>
        </row>
        <row r="583">
          <cell r="L583">
            <v>0</v>
          </cell>
          <cell r="M583">
            <v>0</v>
          </cell>
        </row>
        <row r="584">
          <cell r="L584">
            <v>0</v>
          </cell>
          <cell r="M584">
            <v>0</v>
          </cell>
        </row>
        <row r="585">
          <cell r="L585">
            <v>0</v>
          </cell>
          <cell r="M585">
            <v>0</v>
          </cell>
        </row>
        <row r="586">
          <cell r="L586">
            <v>0</v>
          </cell>
          <cell r="M586">
            <v>0</v>
          </cell>
        </row>
        <row r="587">
          <cell r="L587">
            <v>0</v>
          </cell>
          <cell r="M587">
            <v>0</v>
          </cell>
        </row>
        <row r="588">
          <cell r="L588">
            <v>0</v>
          </cell>
          <cell r="M588">
            <v>0</v>
          </cell>
        </row>
        <row r="589">
          <cell r="L589">
            <v>0</v>
          </cell>
          <cell r="M589">
            <v>0</v>
          </cell>
        </row>
        <row r="590">
          <cell r="L590">
            <v>0</v>
          </cell>
          <cell r="M590">
            <v>0</v>
          </cell>
        </row>
        <row r="591">
          <cell r="L591">
            <v>0</v>
          </cell>
          <cell r="M591">
            <v>0</v>
          </cell>
        </row>
        <row r="592">
          <cell r="L592">
            <v>0</v>
          </cell>
          <cell r="M592">
            <v>0</v>
          </cell>
        </row>
        <row r="593">
          <cell r="L593">
            <v>0</v>
          </cell>
          <cell r="M593">
            <v>0</v>
          </cell>
        </row>
        <row r="594">
          <cell r="L594">
            <v>0</v>
          </cell>
          <cell r="M594">
            <v>0</v>
          </cell>
        </row>
        <row r="595">
          <cell r="L595">
            <v>0</v>
          </cell>
          <cell r="M595">
            <v>0</v>
          </cell>
        </row>
        <row r="596">
          <cell r="L596">
            <v>0</v>
          </cell>
          <cell r="M596">
            <v>0</v>
          </cell>
        </row>
        <row r="597">
          <cell r="L597">
            <v>0</v>
          </cell>
          <cell r="M597">
            <v>0</v>
          </cell>
        </row>
        <row r="598">
          <cell r="L598">
            <v>0</v>
          </cell>
          <cell r="M598">
            <v>0</v>
          </cell>
        </row>
        <row r="599">
          <cell r="L599">
            <v>0</v>
          </cell>
          <cell r="M599">
            <v>0</v>
          </cell>
        </row>
        <row r="600">
          <cell r="L600">
            <v>0</v>
          </cell>
          <cell r="M600">
            <v>0</v>
          </cell>
        </row>
        <row r="601">
          <cell r="L601">
            <v>0</v>
          </cell>
          <cell r="M601">
            <v>0</v>
          </cell>
        </row>
        <row r="602">
          <cell r="L602">
            <v>0</v>
          </cell>
          <cell r="M602">
            <v>0</v>
          </cell>
        </row>
        <row r="603">
          <cell r="L603">
            <v>0</v>
          </cell>
          <cell r="M603">
            <v>0</v>
          </cell>
        </row>
        <row r="604">
          <cell r="L604">
            <v>0</v>
          </cell>
          <cell r="M604">
            <v>0</v>
          </cell>
        </row>
        <row r="605">
          <cell r="L605">
            <v>0</v>
          </cell>
          <cell r="M605">
            <v>0</v>
          </cell>
        </row>
        <row r="606">
          <cell r="L606">
            <v>0</v>
          </cell>
          <cell r="M606">
            <v>0</v>
          </cell>
        </row>
        <row r="607">
          <cell r="L607">
            <v>0</v>
          </cell>
          <cell r="M607">
            <v>0</v>
          </cell>
        </row>
        <row r="608">
          <cell r="L608">
            <v>0</v>
          </cell>
          <cell r="M608">
            <v>0</v>
          </cell>
        </row>
        <row r="609">
          <cell r="L609">
            <v>0</v>
          </cell>
          <cell r="M609">
            <v>0</v>
          </cell>
        </row>
        <row r="610">
          <cell r="L610">
            <v>0</v>
          </cell>
          <cell r="M610">
            <v>0</v>
          </cell>
        </row>
        <row r="611">
          <cell r="L611">
            <v>0</v>
          </cell>
          <cell r="M611">
            <v>0</v>
          </cell>
        </row>
        <row r="612">
          <cell r="L612">
            <v>0</v>
          </cell>
          <cell r="M612">
            <v>0</v>
          </cell>
        </row>
        <row r="613">
          <cell r="L613">
            <v>0</v>
          </cell>
          <cell r="M613">
            <v>0</v>
          </cell>
        </row>
        <row r="614">
          <cell r="L614">
            <v>0</v>
          </cell>
          <cell r="M614">
            <v>0</v>
          </cell>
        </row>
        <row r="615">
          <cell r="L615">
            <v>0</v>
          </cell>
          <cell r="M615">
            <v>0</v>
          </cell>
        </row>
        <row r="616">
          <cell r="L616">
            <v>0</v>
          </cell>
          <cell r="M616">
            <v>0</v>
          </cell>
        </row>
        <row r="617">
          <cell r="L617">
            <v>0</v>
          </cell>
          <cell r="M617">
            <v>0</v>
          </cell>
        </row>
        <row r="618">
          <cell r="L618">
            <v>0</v>
          </cell>
          <cell r="M618">
            <v>0</v>
          </cell>
        </row>
        <row r="619">
          <cell r="L619">
            <v>0</v>
          </cell>
          <cell r="M619">
            <v>0</v>
          </cell>
        </row>
        <row r="620">
          <cell r="L620">
            <v>0</v>
          </cell>
          <cell r="M620">
            <v>0</v>
          </cell>
        </row>
        <row r="621">
          <cell r="L621">
            <v>0</v>
          </cell>
          <cell r="M621">
            <v>0</v>
          </cell>
        </row>
        <row r="622">
          <cell r="L622">
            <v>0</v>
          </cell>
          <cell r="M622">
            <v>0</v>
          </cell>
        </row>
        <row r="623">
          <cell r="L623">
            <v>0</v>
          </cell>
          <cell r="M623">
            <v>0</v>
          </cell>
        </row>
        <row r="624">
          <cell r="L624">
            <v>0</v>
          </cell>
          <cell r="M624">
            <v>0</v>
          </cell>
        </row>
        <row r="625">
          <cell r="L625">
            <v>0</v>
          </cell>
          <cell r="M625">
            <v>0</v>
          </cell>
        </row>
        <row r="626">
          <cell r="L626">
            <v>0</v>
          </cell>
          <cell r="M626">
            <v>0</v>
          </cell>
        </row>
        <row r="627">
          <cell r="L627">
            <v>0</v>
          </cell>
          <cell r="M627">
            <v>0</v>
          </cell>
        </row>
        <row r="628">
          <cell r="L628">
            <v>0</v>
          </cell>
          <cell r="M628">
            <v>0</v>
          </cell>
        </row>
        <row r="629">
          <cell r="L629">
            <v>0</v>
          </cell>
          <cell r="M629">
            <v>0</v>
          </cell>
        </row>
        <row r="630">
          <cell r="L630">
            <v>0</v>
          </cell>
          <cell r="M630">
            <v>0</v>
          </cell>
        </row>
        <row r="631">
          <cell r="L631">
            <v>0</v>
          </cell>
          <cell r="M631">
            <v>0</v>
          </cell>
        </row>
        <row r="632">
          <cell r="L632">
            <v>0</v>
          </cell>
          <cell r="M632">
            <v>0</v>
          </cell>
        </row>
        <row r="633">
          <cell r="L633">
            <v>0</v>
          </cell>
          <cell r="M633">
            <v>0</v>
          </cell>
        </row>
        <row r="634">
          <cell r="L634">
            <v>0</v>
          </cell>
          <cell r="M634">
            <v>0</v>
          </cell>
        </row>
        <row r="635">
          <cell r="L635">
            <v>0</v>
          </cell>
          <cell r="M635">
            <v>0</v>
          </cell>
        </row>
        <row r="636">
          <cell r="L636">
            <v>0</v>
          </cell>
          <cell r="M636">
            <v>0</v>
          </cell>
        </row>
        <row r="637">
          <cell r="L637">
            <v>0</v>
          </cell>
          <cell r="M637">
            <v>0</v>
          </cell>
        </row>
        <row r="638">
          <cell r="L638">
            <v>0</v>
          </cell>
          <cell r="M638">
            <v>0</v>
          </cell>
        </row>
        <row r="639">
          <cell r="L639">
            <v>0</v>
          </cell>
          <cell r="M639">
            <v>0</v>
          </cell>
        </row>
        <row r="640">
          <cell r="L640">
            <v>0</v>
          </cell>
          <cell r="M640">
            <v>0</v>
          </cell>
        </row>
        <row r="641">
          <cell r="L641">
            <v>0</v>
          </cell>
          <cell r="M641">
            <v>0</v>
          </cell>
        </row>
        <row r="642">
          <cell r="L642">
            <v>0</v>
          </cell>
          <cell r="M642">
            <v>0</v>
          </cell>
        </row>
        <row r="643">
          <cell r="L643">
            <v>0</v>
          </cell>
          <cell r="M643">
            <v>0</v>
          </cell>
        </row>
        <row r="644">
          <cell r="L644">
            <v>0</v>
          </cell>
          <cell r="M644">
            <v>0</v>
          </cell>
        </row>
        <row r="645">
          <cell r="L645">
            <v>0</v>
          </cell>
          <cell r="M645">
            <v>0</v>
          </cell>
        </row>
        <row r="646">
          <cell r="L646">
            <v>0</v>
          </cell>
          <cell r="M646">
            <v>0</v>
          </cell>
        </row>
        <row r="647">
          <cell r="L647">
            <v>0</v>
          </cell>
          <cell r="M647">
            <v>0</v>
          </cell>
        </row>
        <row r="648">
          <cell r="L648">
            <v>0</v>
          </cell>
          <cell r="M648">
            <v>0</v>
          </cell>
        </row>
        <row r="649">
          <cell r="L649">
            <v>0</v>
          </cell>
          <cell r="M649">
            <v>0</v>
          </cell>
        </row>
        <row r="650">
          <cell r="L650">
            <v>0</v>
          </cell>
          <cell r="M650">
            <v>0</v>
          </cell>
        </row>
        <row r="651">
          <cell r="L651">
            <v>0</v>
          </cell>
          <cell r="M651">
            <v>0</v>
          </cell>
        </row>
        <row r="652">
          <cell r="L652">
            <v>0</v>
          </cell>
          <cell r="M652">
            <v>0</v>
          </cell>
        </row>
        <row r="653">
          <cell r="L653">
            <v>0</v>
          </cell>
          <cell r="M653">
            <v>0</v>
          </cell>
        </row>
        <row r="654">
          <cell r="L654">
            <v>0</v>
          </cell>
          <cell r="M654">
            <v>0</v>
          </cell>
        </row>
        <row r="655">
          <cell r="L655">
            <v>0</v>
          </cell>
          <cell r="M655">
            <v>0</v>
          </cell>
        </row>
        <row r="656">
          <cell r="L656">
            <v>0</v>
          </cell>
          <cell r="M656">
            <v>0</v>
          </cell>
        </row>
        <row r="657">
          <cell r="L657">
            <v>0</v>
          </cell>
          <cell r="M657">
            <v>0</v>
          </cell>
        </row>
        <row r="658">
          <cell r="L658">
            <v>0</v>
          </cell>
          <cell r="M658">
            <v>0</v>
          </cell>
        </row>
        <row r="659">
          <cell r="L659">
            <v>0</v>
          </cell>
          <cell r="M659">
            <v>0</v>
          </cell>
        </row>
        <row r="660">
          <cell r="L660">
            <v>0</v>
          </cell>
          <cell r="M660">
            <v>0</v>
          </cell>
        </row>
        <row r="661">
          <cell r="L661">
            <v>0</v>
          </cell>
          <cell r="M661">
            <v>0</v>
          </cell>
        </row>
        <row r="662">
          <cell r="L662">
            <v>0</v>
          </cell>
          <cell r="M662">
            <v>0</v>
          </cell>
        </row>
        <row r="663">
          <cell r="L663">
            <v>0</v>
          </cell>
          <cell r="M663">
            <v>0</v>
          </cell>
        </row>
        <row r="664">
          <cell r="L664">
            <v>0</v>
          </cell>
          <cell r="M664">
            <v>0</v>
          </cell>
        </row>
        <row r="665">
          <cell r="L665">
            <v>0</v>
          </cell>
          <cell r="M665">
            <v>0</v>
          </cell>
        </row>
        <row r="666">
          <cell r="L666">
            <v>0</v>
          </cell>
          <cell r="M666">
            <v>0</v>
          </cell>
        </row>
        <row r="667">
          <cell r="L667">
            <v>0</v>
          </cell>
          <cell r="M667">
            <v>0</v>
          </cell>
        </row>
        <row r="668">
          <cell r="L668">
            <v>0</v>
          </cell>
          <cell r="M668">
            <v>0</v>
          </cell>
        </row>
        <row r="669">
          <cell r="L669">
            <v>0</v>
          </cell>
          <cell r="M669">
            <v>0</v>
          </cell>
        </row>
        <row r="670">
          <cell r="L670">
            <v>0</v>
          </cell>
          <cell r="M670">
            <v>0</v>
          </cell>
        </row>
        <row r="671">
          <cell r="L671">
            <v>0</v>
          </cell>
          <cell r="M671">
            <v>0</v>
          </cell>
        </row>
        <row r="672">
          <cell r="L672">
            <v>0</v>
          </cell>
          <cell r="M672">
            <v>0</v>
          </cell>
        </row>
        <row r="673">
          <cell r="L673">
            <v>0</v>
          </cell>
          <cell r="M673">
            <v>0</v>
          </cell>
        </row>
        <row r="674">
          <cell r="L674">
            <v>0</v>
          </cell>
          <cell r="M674">
            <v>0</v>
          </cell>
        </row>
        <row r="675">
          <cell r="L675">
            <v>0</v>
          </cell>
          <cell r="M675">
            <v>0</v>
          </cell>
        </row>
        <row r="676">
          <cell r="L676">
            <v>0</v>
          </cell>
          <cell r="M676">
            <v>0</v>
          </cell>
        </row>
        <row r="677">
          <cell r="L677">
            <v>0</v>
          </cell>
          <cell r="M677">
            <v>0</v>
          </cell>
        </row>
        <row r="678">
          <cell r="L678">
            <v>0</v>
          </cell>
          <cell r="M678">
            <v>0</v>
          </cell>
        </row>
        <row r="679">
          <cell r="L679">
            <v>0</v>
          </cell>
          <cell r="M679">
            <v>0</v>
          </cell>
        </row>
        <row r="680">
          <cell r="L680">
            <v>0</v>
          </cell>
          <cell r="M680">
            <v>0</v>
          </cell>
        </row>
        <row r="681">
          <cell r="L681">
            <v>0</v>
          </cell>
          <cell r="M681">
            <v>0</v>
          </cell>
        </row>
        <row r="682">
          <cell r="L682">
            <v>0</v>
          </cell>
          <cell r="M682">
            <v>0</v>
          </cell>
        </row>
        <row r="683">
          <cell r="L683">
            <v>0</v>
          </cell>
          <cell r="M683">
            <v>0</v>
          </cell>
        </row>
        <row r="684">
          <cell r="L684">
            <v>0</v>
          </cell>
          <cell r="M684">
            <v>0</v>
          </cell>
        </row>
        <row r="685">
          <cell r="L685">
            <v>0</v>
          </cell>
          <cell r="M685">
            <v>0</v>
          </cell>
        </row>
        <row r="686">
          <cell r="L686">
            <v>0</v>
          </cell>
          <cell r="M686">
            <v>0</v>
          </cell>
        </row>
        <row r="687">
          <cell r="L687">
            <v>0</v>
          </cell>
          <cell r="M687">
            <v>0</v>
          </cell>
        </row>
        <row r="688">
          <cell r="L688">
            <v>0</v>
          </cell>
          <cell r="M688">
            <v>0</v>
          </cell>
        </row>
        <row r="689">
          <cell r="L689">
            <v>0</v>
          </cell>
          <cell r="M689">
            <v>0</v>
          </cell>
        </row>
        <row r="690">
          <cell r="L690">
            <v>0</v>
          </cell>
          <cell r="M690">
            <v>0</v>
          </cell>
        </row>
        <row r="691">
          <cell r="L691">
            <v>0</v>
          </cell>
          <cell r="M691">
            <v>0</v>
          </cell>
        </row>
        <row r="692">
          <cell r="L692">
            <v>0</v>
          </cell>
          <cell r="M692">
            <v>0</v>
          </cell>
        </row>
        <row r="693">
          <cell r="L693">
            <v>0</v>
          </cell>
          <cell r="M693">
            <v>0</v>
          </cell>
        </row>
        <row r="694">
          <cell r="L694">
            <v>0</v>
          </cell>
          <cell r="M694">
            <v>0</v>
          </cell>
        </row>
        <row r="695">
          <cell r="L695">
            <v>0</v>
          </cell>
          <cell r="M695">
            <v>0</v>
          </cell>
        </row>
        <row r="696">
          <cell r="L696">
            <v>0</v>
          </cell>
          <cell r="M696">
            <v>0</v>
          </cell>
        </row>
        <row r="697">
          <cell r="L697">
            <v>0</v>
          </cell>
          <cell r="M697">
            <v>0</v>
          </cell>
        </row>
        <row r="698">
          <cell r="L698">
            <v>0</v>
          </cell>
          <cell r="M698">
            <v>0</v>
          </cell>
        </row>
        <row r="699">
          <cell r="L699">
            <v>0</v>
          </cell>
          <cell r="M699">
            <v>0</v>
          </cell>
        </row>
        <row r="700">
          <cell r="L700">
            <v>0</v>
          </cell>
          <cell r="M700">
            <v>0</v>
          </cell>
        </row>
        <row r="701">
          <cell r="L701">
            <v>0</v>
          </cell>
          <cell r="M701">
            <v>0</v>
          </cell>
        </row>
        <row r="702">
          <cell r="L702">
            <v>0</v>
          </cell>
          <cell r="M702">
            <v>0</v>
          </cell>
        </row>
        <row r="703">
          <cell r="L703">
            <v>0</v>
          </cell>
          <cell r="M703">
            <v>0</v>
          </cell>
        </row>
        <row r="704">
          <cell r="L704">
            <v>0</v>
          </cell>
          <cell r="M704">
            <v>0</v>
          </cell>
        </row>
        <row r="705">
          <cell r="L705">
            <v>0</v>
          </cell>
          <cell r="M705">
            <v>0</v>
          </cell>
        </row>
        <row r="706">
          <cell r="L706">
            <v>0</v>
          </cell>
          <cell r="M706">
            <v>0</v>
          </cell>
        </row>
        <row r="707">
          <cell r="L707">
            <v>0</v>
          </cell>
          <cell r="M707">
            <v>0</v>
          </cell>
        </row>
        <row r="708">
          <cell r="L708">
            <v>0</v>
          </cell>
          <cell r="M708">
            <v>0</v>
          </cell>
        </row>
        <row r="709">
          <cell r="L709">
            <v>0</v>
          </cell>
          <cell r="M709">
            <v>0</v>
          </cell>
        </row>
        <row r="710">
          <cell r="L710">
            <v>0</v>
          </cell>
          <cell r="M710">
            <v>0</v>
          </cell>
        </row>
        <row r="711">
          <cell r="L711">
            <v>0</v>
          </cell>
          <cell r="M711">
            <v>0</v>
          </cell>
        </row>
        <row r="712">
          <cell r="L712">
            <v>0</v>
          </cell>
          <cell r="M712">
            <v>0</v>
          </cell>
        </row>
        <row r="713">
          <cell r="L713">
            <v>0</v>
          </cell>
          <cell r="M713">
            <v>0</v>
          </cell>
        </row>
        <row r="714">
          <cell r="L714">
            <v>0</v>
          </cell>
          <cell r="M714">
            <v>0</v>
          </cell>
        </row>
        <row r="715">
          <cell r="L715">
            <v>0</v>
          </cell>
          <cell r="M715">
            <v>0</v>
          </cell>
        </row>
        <row r="716">
          <cell r="L716">
            <v>0</v>
          </cell>
          <cell r="M716">
            <v>0</v>
          </cell>
        </row>
        <row r="717">
          <cell r="L717">
            <v>0</v>
          </cell>
          <cell r="M717">
            <v>0</v>
          </cell>
        </row>
        <row r="718">
          <cell r="L718">
            <v>0</v>
          </cell>
          <cell r="M718">
            <v>0</v>
          </cell>
        </row>
        <row r="719">
          <cell r="L719">
            <v>0</v>
          </cell>
          <cell r="M719">
            <v>0</v>
          </cell>
        </row>
        <row r="720">
          <cell r="L720">
            <v>0</v>
          </cell>
          <cell r="M720">
            <v>0</v>
          </cell>
        </row>
        <row r="721">
          <cell r="L721">
            <v>0</v>
          </cell>
          <cell r="M721">
            <v>0</v>
          </cell>
        </row>
        <row r="722">
          <cell r="L722">
            <v>0</v>
          </cell>
          <cell r="M722">
            <v>0</v>
          </cell>
        </row>
        <row r="723">
          <cell r="L723">
            <v>0</v>
          </cell>
          <cell r="M723">
            <v>0</v>
          </cell>
        </row>
        <row r="724">
          <cell r="L724">
            <v>0</v>
          </cell>
          <cell r="M724">
            <v>0</v>
          </cell>
        </row>
        <row r="725">
          <cell r="L725">
            <v>0</v>
          </cell>
          <cell r="M725">
            <v>0</v>
          </cell>
        </row>
        <row r="726">
          <cell r="L726">
            <v>0</v>
          </cell>
          <cell r="M726">
            <v>0</v>
          </cell>
        </row>
        <row r="727">
          <cell r="L727">
            <v>0</v>
          </cell>
          <cell r="M727">
            <v>0</v>
          </cell>
        </row>
        <row r="728">
          <cell r="L728">
            <v>0</v>
          </cell>
          <cell r="M728">
            <v>0</v>
          </cell>
        </row>
        <row r="729">
          <cell r="L729">
            <v>0</v>
          </cell>
          <cell r="M729">
            <v>0</v>
          </cell>
        </row>
        <row r="730">
          <cell r="L730">
            <v>0</v>
          </cell>
          <cell r="M730">
            <v>0</v>
          </cell>
        </row>
        <row r="731">
          <cell r="L731">
            <v>0</v>
          </cell>
          <cell r="M731">
            <v>0</v>
          </cell>
        </row>
        <row r="732">
          <cell r="L732">
            <v>0</v>
          </cell>
          <cell r="M732">
            <v>0</v>
          </cell>
        </row>
        <row r="733">
          <cell r="L733">
            <v>0</v>
          </cell>
          <cell r="M733">
            <v>0</v>
          </cell>
        </row>
        <row r="734">
          <cell r="L734">
            <v>0</v>
          </cell>
          <cell r="M734">
            <v>0</v>
          </cell>
        </row>
        <row r="735">
          <cell r="L735">
            <v>0</v>
          </cell>
          <cell r="M735">
            <v>0</v>
          </cell>
        </row>
        <row r="736">
          <cell r="L736">
            <v>0</v>
          </cell>
          <cell r="M736">
            <v>0</v>
          </cell>
        </row>
        <row r="737">
          <cell r="L737">
            <v>0</v>
          </cell>
          <cell r="M737">
            <v>0</v>
          </cell>
        </row>
        <row r="738">
          <cell r="L738">
            <v>0</v>
          </cell>
          <cell r="M738">
            <v>0</v>
          </cell>
        </row>
        <row r="739">
          <cell r="L739">
            <v>0</v>
          </cell>
          <cell r="M739">
            <v>0</v>
          </cell>
        </row>
        <row r="740">
          <cell r="L740">
            <v>0</v>
          </cell>
          <cell r="M740">
            <v>0</v>
          </cell>
        </row>
        <row r="741">
          <cell r="L741">
            <v>0</v>
          </cell>
          <cell r="M741">
            <v>0</v>
          </cell>
        </row>
        <row r="742">
          <cell r="L742">
            <v>0</v>
          </cell>
          <cell r="M742">
            <v>0</v>
          </cell>
        </row>
        <row r="743">
          <cell r="L743">
            <v>0</v>
          </cell>
          <cell r="M743">
            <v>0</v>
          </cell>
        </row>
        <row r="744">
          <cell r="L744">
            <v>0</v>
          </cell>
          <cell r="M744">
            <v>0</v>
          </cell>
        </row>
        <row r="745">
          <cell r="L745">
            <v>0</v>
          </cell>
          <cell r="M745">
            <v>0</v>
          </cell>
        </row>
        <row r="746">
          <cell r="L746">
            <v>0</v>
          </cell>
          <cell r="M746">
            <v>0</v>
          </cell>
        </row>
        <row r="747">
          <cell r="L747">
            <v>0</v>
          </cell>
          <cell r="M747">
            <v>0</v>
          </cell>
        </row>
        <row r="748">
          <cell r="L748">
            <v>0</v>
          </cell>
          <cell r="M748">
            <v>0</v>
          </cell>
        </row>
        <row r="749">
          <cell r="L749">
            <v>0</v>
          </cell>
          <cell r="M749">
            <v>0</v>
          </cell>
        </row>
        <row r="750">
          <cell r="L750">
            <v>0</v>
          </cell>
          <cell r="M750">
            <v>0</v>
          </cell>
        </row>
        <row r="751">
          <cell r="L751">
            <v>0</v>
          </cell>
          <cell r="M751">
            <v>0</v>
          </cell>
        </row>
        <row r="752">
          <cell r="L752">
            <v>0</v>
          </cell>
          <cell r="M752">
            <v>0</v>
          </cell>
        </row>
        <row r="753">
          <cell r="L753">
            <v>0</v>
          </cell>
          <cell r="M753">
            <v>0</v>
          </cell>
        </row>
        <row r="754">
          <cell r="L754">
            <v>0</v>
          </cell>
          <cell r="M754">
            <v>0</v>
          </cell>
        </row>
        <row r="755">
          <cell r="L755">
            <v>0</v>
          </cell>
          <cell r="M755">
            <v>0</v>
          </cell>
        </row>
        <row r="756">
          <cell r="L756">
            <v>0</v>
          </cell>
          <cell r="M756">
            <v>0</v>
          </cell>
        </row>
        <row r="757">
          <cell r="L757">
            <v>0</v>
          </cell>
          <cell r="M757">
            <v>0</v>
          </cell>
        </row>
        <row r="758">
          <cell r="L758">
            <v>0</v>
          </cell>
          <cell r="M758">
            <v>0</v>
          </cell>
        </row>
        <row r="759">
          <cell r="L759">
            <v>0</v>
          </cell>
          <cell r="M759">
            <v>0</v>
          </cell>
        </row>
        <row r="760">
          <cell r="L760">
            <v>0</v>
          </cell>
          <cell r="M760">
            <v>0</v>
          </cell>
        </row>
        <row r="761">
          <cell r="L761">
            <v>0</v>
          </cell>
          <cell r="M761">
            <v>0</v>
          </cell>
        </row>
        <row r="762">
          <cell r="L762">
            <v>0</v>
          </cell>
          <cell r="M762">
            <v>0</v>
          </cell>
        </row>
        <row r="763">
          <cell r="L763">
            <v>0</v>
          </cell>
          <cell r="M763">
            <v>0</v>
          </cell>
        </row>
        <row r="764">
          <cell r="L764">
            <v>0</v>
          </cell>
          <cell r="M764">
            <v>0</v>
          </cell>
        </row>
        <row r="765">
          <cell r="L765">
            <v>0</v>
          </cell>
          <cell r="M765">
            <v>0</v>
          </cell>
        </row>
        <row r="766">
          <cell r="L766">
            <v>0</v>
          </cell>
          <cell r="M766">
            <v>0</v>
          </cell>
        </row>
        <row r="767">
          <cell r="L767">
            <v>0</v>
          </cell>
          <cell r="M767">
            <v>0</v>
          </cell>
        </row>
        <row r="768">
          <cell r="L768">
            <v>0</v>
          </cell>
          <cell r="M768">
            <v>0</v>
          </cell>
        </row>
        <row r="769">
          <cell r="L769">
            <v>0</v>
          </cell>
          <cell r="M769">
            <v>0</v>
          </cell>
        </row>
        <row r="770">
          <cell r="L770">
            <v>0</v>
          </cell>
          <cell r="M770">
            <v>0</v>
          </cell>
        </row>
        <row r="771">
          <cell r="L771">
            <v>0</v>
          </cell>
          <cell r="M771">
            <v>0</v>
          </cell>
        </row>
        <row r="772">
          <cell r="L772">
            <v>0</v>
          </cell>
          <cell r="M772">
            <v>0</v>
          </cell>
        </row>
        <row r="773">
          <cell r="L773">
            <v>0</v>
          </cell>
          <cell r="M773">
            <v>0</v>
          </cell>
        </row>
        <row r="774">
          <cell r="L774">
            <v>0</v>
          </cell>
          <cell r="M774">
            <v>0</v>
          </cell>
        </row>
        <row r="775">
          <cell r="L775">
            <v>0</v>
          </cell>
          <cell r="M775">
            <v>0</v>
          </cell>
        </row>
        <row r="776">
          <cell r="L776">
            <v>0</v>
          </cell>
          <cell r="M776">
            <v>0</v>
          </cell>
        </row>
        <row r="777">
          <cell r="L777">
            <v>0</v>
          </cell>
          <cell r="M777">
            <v>0</v>
          </cell>
        </row>
        <row r="778">
          <cell r="L778">
            <v>0</v>
          </cell>
          <cell r="M778">
            <v>0</v>
          </cell>
        </row>
        <row r="779">
          <cell r="L779">
            <v>0</v>
          </cell>
          <cell r="M779">
            <v>0</v>
          </cell>
        </row>
        <row r="780">
          <cell r="L780">
            <v>0</v>
          </cell>
          <cell r="M780">
            <v>0</v>
          </cell>
        </row>
        <row r="781">
          <cell r="L781">
            <v>0</v>
          </cell>
          <cell r="M781">
            <v>0</v>
          </cell>
        </row>
        <row r="782">
          <cell r="L782">
            <v>0</v>
          </cell>
          <cell r="M782">
            <v>0</v>
          </cell>
        </row>
        <row r="783">
          <cell r="L783">
            <v>0</v>
          </cell>
          <cell r="M783">
            <v>0</v>
          </cell>
        </row>
        <row r="784">
          <cell r="L784">
            <v>0</v>
          </cell>
          <cell r="M784">
            <v>0</v>
          </cell>
        </row>
        <row r="785">
          <cell r="L785">
            <v>0</v>
          </cell>
          <cell r="M785">
            <v>0</v>
          </cell>
        </row>
        <row r="786">
          <cell r="L786">
            <v>0</v>
          </cell>
          <cell r="M786">
            <v>0</v>
          </cell>
        </row>
        <row r="787">
          <cell r="L787">
            <v>0</v>
          </cell>
          <cell r="M787">
            <v>0</v>
          </cell>
        </row>
        <row r="788">
          <cell r="L788">
            <v>0</v>
          </cell>
          <cell r="M788">
            <v>0</v>
          </cell>
        </row>
        <row r="789">
          <cell r="L789">
            <v>0</v>
          </cell>
          <cell r="M789">
            <v>0</v>
          </cell>
        </row>
        <row r="790">
          <cell r="L790">
            <v>0</v>
          </cell>
          <cell r="M790">
            <v>0</v>
          </cell>
        </row>
        <row r="791">
          <cell r="L791">
            <v>0</v>
          </cell>
          <cell r="M791">
            <v>0</v>
          </cell>
        </row>
        <row r="792">
          <cell r="L792">
            <v>0</v>
          </cell>
          <cell r="M792">
            <v>0</v>
          </cell>
        </row>
        <row r="793">
          <cell r="L793">
            <v>0</v>
          </cell>
          <cell r="M793">
            <v>0</v>
          </cell>
        </row>
        <row r="794">
          <cell r="L794">
            <v>0</v>
          </cell>
          <cell r="M794">
            <v>0</v>
          </cell>
        </row>
        <row r="795">
          <cell r="L795">
            <v>0</v>
          </cell>
          <cell r="M795">
            <v>0</v>
          </cell>
        </row>
        <row r="796">
          <cell r="L796">
            <v>0</v>
          </cell>
          <cell r="M796">
            <v>0</v>
          </cell>
        </row>
        <row r="797">
          <cell r="L797">
            <v>0</v>
          </cell>
          <cell r="M797">
            <v>0</v>
          </cell>
        </row>
        <row r="798">
          <cell r="L798">
            <v>0</v>
          </cell>
          <cell r="M798">
            <v>0</v>
          </cell>
        </row>
        <row r="799">
          <cell r="L799">
            <v>0</v>
          </cell>
          <cell r="M799">
            <v>0</v>
          </cell>
        </row>
        <row r="800">
          <cell r="L800">
            <v>0</v>
          </cell>
          <cell r="M800">
            <v>0</v>
          </cell>
        </row>
        <row r="801">
          <cell r="L801">
            <v>0</v>
          </cell>
          <cell r="M801">
            <v>0</v>
          </cell>
        </row>
        <row r="802">
          <cell r="L802">
            <v>0</v>
          </cell>
          <cell r="M802">
            <v>0</v>
          </cell>
        </row>
        <row r="803">
          <cell r="L803">
            <v>0</v>
          </cell>
          <cell r="M803">
            <v>0</v>
          </cell>
        </row>
        <row r="804">
          <cell r="L804">
            <v>0</v>
          </cell>
          <cell r="M804">
            <v>0</v>
          </cell>
        </row>
        <row r="805">
          <cell r="L805">
            <v>0</v>
          </cell>
          <cell r="M805">
            <v>0</v>
          </cell>
        </row>
        <row r="806">
          <cell r="L806">
            <v>0</v>
          </cell>
          <cell r="M806">
            <v>0</v>
          </cell>
        </row>
        <row r="807">
          <cell r="L807">
            <v>0</v>
          </cell>
          <cell r="M807">
            <v>0</v>
          </cell>
        </row>
        <row r="808">
          <cell r="L808">
            <v>0</v>
          </cell>
          <cell r="M808">
            <v>0</v>
          </cell>
        </row>
        <row r="809">
          <cell r="L809">
            <v>0</v>
          </cell>
          <cell r="M809">
            <v>0</v>
          </cell>
        </row>
        <row r="810">
          <cell r="L810">
            <v>0</v>
          </cell>
          <cell r="M810">
            <v>0</v>
          </cell>
        </row>
        <row r="811">
          <cell r="L811">
            <v>0</v>
          </cell>
          <cell r="M811">
            <v>0</v>
          </cell>
        </row>
        <row r="812">
          <cell r="L812">
            <v>0</v>
          </cell>
          <cell r="M812">
            <v>0</v>
          </cell>
        </row>
        <row r="813">
          <cell r="L813">
            <v>0</v>
          </cell>
          <cell r="M813">
            <v>0</v>
          </cell>
        </row>
        <row r="814">
          <cell r="L814">
            <v>0</v>
          </cell>
          <cell r="M814">
            <v>0</v>
          </cell>
        </row>
        <row r="815">
          <cell r="L815">
            <v>0</v>
          </cell>
          <cell r="M815">
            <v>0</v>
          </cell>
        </row>
        <row r="816">
          <cell r="L816">
            <v>0</v>
          </cell>
          <cell r="M816">
            <v>0</v>
          </cell>
        </row>
        <row r="817">
          <cell r="L817">
            <v>0</v>
          </cell>
          <cell r="M817">
            <v>0</v>
          </cell>
        </row>
        <row r="818">
          <cell r="L818">
            <v>0</v>
          </cell>
          <cell r="M818">
            <v>0</v>
          </cell>
        </row>
        <row r="819">
          <cell r="L819">
            <v>0</v>
          </cell>
          <cell r="M819">
            <v>0</v>
          </cell>
        </row>
        <row r="820">
          <cell r="L820">
            <v>0</v>
          </cell>
          <cell r="M820">
            <v>0</v>
          </cell>
        </row>
        <row r="821">
          <cell r="L821">
            <v>0</v>
          </cell>
          <cell r="M821">
            <v>0</v>
          </cell>
        </row>
        <row r="822">
          <cell r="L822">
            <v>0</v>
          </cell>
          <cell r="M822">
            <v>0</v>
          </cell>
        </row>
        <row r="823">
          <cell r="L823">
            <v>0</v>
          </cell>
          <cell r="M823">
            <v>0</v>
          </cell>
        </row>
        <row r="824">
          <cell r="L824">
            <v>0</v>
          </cell>
          <cell r="M824">
            <v>0</v>
          </cell>
        </row>
        <row r="825">
          <cell r="L825">
            <v>0</v>
          </cell>
          <cell r="M825">
            <v>0</v>
          </cell>
        </row>
        <row r="826">
          <cell r="L826">
            <v>0</v>
          </cell>
          <cell r="M826">
            <v>0</v>
          </cell>
        </row>
        <row r="827">
          <cell r="L827">
            <v>0</v>
          </cell>
          <cell r="M827">
            <v>0</v>
          </cell>
        </row>
        <row r="828">
          <cell r="L828">
            <v>0</v>
          </cell>
          <cell r="M828">
            <v>0</v>
          </cell>
        </row>
        <row r="829">
          <cell r="L829">
            <v>0</v>
          </cell>
          <cell r="M829">
            <v>0</v>
          </cell>
        </row>
        <row r="830">
          <cell r="L830">
            <v>0</v>
          </cell>
          <cell r="M830">
            <v>0</v>
          </cell>
        </row>
        <row r="831">
          <cell r="L831">
            <v>0</v>
          </cell>
          <cell r="M831">
            <v>0</v>
          </cell>
        </row>
        <row r="832">
          <cell r="L832">
            <v>0</v>
          </cell>
          <cell r="M832">
            <v>0</v>
          </cell>
        </row>
        <row r="833">
          <cell r="L833">
            <v>0</v>
          </cell>
          <cell r="M833">
            <v>0</v>
          </cell>
        </row>
        <row r="834">
          <cell r="L834">
            <v>0</v>
          </cell>
          <cell r="M834">
            <v>0</v>
          </cell>
        </row>
        <row r="835">
          <cell r="L835">
            <v>0</v>
          </cell>
          <cell r="M835">
            <v>0</v>
          </cell>
        </row>
        <row r="836">
          <cell r="L836">
            <v>0</v>
          </cell>
          <cell r="M836">
            <v>0</v>
          </cell>
        </row>
        <row r="837">
          <cell r="L837">
            <v>0</v>
          </cell>
          <cell r="M837">
            <v>0</v>
          </cell>
        </row>
        <row r="838">
          <cell r="L838">
            <v>0</v>
          </cell>
          <cell r="M838">
            <v>0</v>
          </cell>
        </row>
        <row r="839">
          <cell r="L839">
            <v>0</v>
          </cell>
          <cell r="M839">
            <v>0</v>
          </cell>
        </row>
        <row r="840">
          <cell r="L840">
            <v>0</v>
          </cell>
          <cell r="M840">
            <v>0</v>
          </cell>
        </row>
        <row r="841">
          <cell r="L841">
            <v>0</v>
          </cell>
          <cell r="M841">
            <v>0</v>
          </cell>
        </row>
        <row r="842">
          <cell r="L842">
            <v>0</v>
          </cell>
          <cell r="M842">
            <v>0</v>
          </cell>
        </row>
        <row r="843">
          <cell r="L843">
            <v>0</v>
          </cell>
          <cell r="M843">
            <v>0</v>
          </cell>
        </row>
        <row r="844">
          <cell r="L844">
            <v>0</v>
          </cell>
          <cell r="M844">
            <v>0</v>
          </cell>
        </row>
        <row r="845">
          <cell r="L845">
            <v>0</v>
          </cell>
          <cell r="M845">
            <v>0</v>
          </cell>
        </row>
        <row r="846">
          <cell r="L846">
            <v>0</v>
          </cell>
          <cell r="M846">
            <v>0</v>
          </cell>
        </row>
        <row r="847">
          <cell r="L847">
            <v>0</v>
          </cell>
          <cell r="M847">
            <v>0</v>
          </cell>
        </row>
        <row r="848">
          <cell r="L848">
            <v>0</v>
          </cell>
          <cell r="M848">
            <v>0</v>
          </cell>
        </row>
        <row r="849">
          <cell r="L849">
            <v>0</v>
          </cell>
          <cell r="M849">
            <v>0</v>
          </cell>
        </row>
        <row r="850">
          <cell r="L850">
            <v>0</v>
          </cell>
          <cell r="M850">
            <v>0</v>
          </cell>
        </row>
        <row r="851">
          <cell r="L851">
            <v>0</v>
          </cell>
          <cell r="M851">
            <v>0</v>
          </cell>
        </row>
        <row r="852">
          <cell r="L852">
            <v>0</v>
          </cell>
          <cell r="M852">
            <v>0</v>
          </cell>
        </row>
        <row r="853">
          <cell r="L853">
            <v>0</v>
          </cell>
          <cell r="M853">
            <v>0</v>
          </cell>
        </row>
        <row r="854">
          <cell r="L854">
            <v>0</v>
          </cell>
          <cell r="M854">
            <v>0</v>
          </cell>
        </row>
        <row r="855">
          <cell r="L855">
            <v>0</v>
          </cell>
          <cell r="M855">
            <v>0</v>
          </cell>
        </row>
        <row r="856">
          <cell r="L856">
            <v>0</v>
          </cell>
          <cell r="M856">
            <v>0</v>
          </cell>
        </row>
        <row r="857">
          <cell r="L857">
            <v>0</v>
          </cell>
          <cell r="M857">
            <v>0</v>
          </cell>
        </row>
        <row r="858">
          <cell r="L858">
            <v>0</v>
          </cell>
          <cell r="M858">
            <v>0</v>
          </cell>
        </row>
        <row r="859">
          <cell r="L859">
            <v>0</v>
          </cell>
          <cell r="M859">
            <v>0</v>
          </cell>
        </row>
        <row r="860">
          <cell r="L860">
            <v>0</v>
          </cell>
          <cell r="M860">
            <v>0</v>
          </cell>
        </row>
        <row r="861">
          <cell r="L861">
            <v>0</v>
          </cell>
          <cell r="M861">
            <v>0</v>
          </cell>
        </row>
        <row r="862">
          <cell r="L862">
            <v>0</v>
          </cell>
          <cell r="M862">
            <v>0</v>
          </cell>
        </row>
        <row r="863">
          <cell r="L863">
            <v>0</v>
          </cell>
          <cell r="M863">
            <v>0</v>
          </cell>
        </row>
        <row r="864">
          <cell r="L864">
            <v>0</v>
          </cell>
          <cell r="M864">
            <v>0</v>
          </cell>
        </row>
        <row r="865">
          <cell r="L865">
            <v>0</v>
          </cell>
          <cell r="M865">
            <v>0</v>
          </cell>
        </row>
        <row r="866">
          <cell r="L866">
            <v>0</v>
          </cell>
          <cell r="M866">
            <v>0</v>
          </cell>
        </row>
        <row r="867">
          <cell r="L867">
            <v>0</v>
          </cell>
          <cell r="M867">
            <v>0</v>
          </cell>
        </row>
        <row r="868">
          <cell r="L868">
            <v>0</v>
          </cell>
          <cell r="M868">
            <v>0</v>
          </cell>
        </row>
        <row r="869">
          <cell r="L869">
            <v>0</v>
          </cell>
          <cell r="M869">
            <v>0</v>
          </cell>
        </row>
        <row r="870">
          <cell r="L870">
            <v>0</v>
          </cell>
          <cell r="M870">
            <v>0</v>
          </cell>
        </row>
        <row r="871">
          <cell r="L871">
            <v>0</v>
          </cell>
          <cell r="M871">
            <v>0</v>
          </cell>
        </row>
        <row r="872">
          <cell r="L872">
            <v>0</v>
          </cell>
          <cell r="M872">
            <v>0</v>
          </cell>
        </row>
        <row r="873">
          <cell r="L873">
            <v>0</v>
          </cell>
          <cell r="M873">
            <v>0</v>
          </cell>
        </row>
        <row r="874">
          <cell r="L874">
            <v>0</v>
          </cell>
          <cell r="M874">
            <v>0</v>
          </cell>
        </row>
        <row r="875">
          <cell r="L875">
            <v>0</v>
          </cell>
          <cell r="M875">
            <v>0</v>
          </cell>
        </row>
        <row r="876">
          <cell r="L876">
            <v>0</v>
          </cell>
          <cell r="M876">
            <v>0</v>
          </cell>
        </row>
        <row r="877">
          <cell r="L877">
            <v>0</v>
          </cell>
          <cell r="M877">
            <v>0</v>
          </cell>
        </row>
        <row r="878">
          <cell r="L878">
            <v>0</v>
          </cell>
          <cell r="M878">
            <v>0</v>
          </cell>
        </row>
        <row r="879">
          <cell r="L879">
            <v>0</v>
          </cell>
          <cell r="M879">
            <v>0</v>
          </cell>
        </row>
        <row r="880">
          <cell r="L880">
            <v>0</v>
          </cell>
          <cell r="M880">
            <v>0</v>
          </cell>
        </row>
        <row r="881">
          <cell r="L881">
            <v>0</v>
          </cell>
          <cell r="M881">
            <v>0</v>
          </cell>
        </row>
        <row r="882">
          <cell r="L882">
            <v>0</v>
          </cell>
          <cell r="M882">
            <v>0</v>
          </cell>
        </row>
        <row r="883">
          <cell r="L883">
            <v>0</v>
          </cell>
          <cell r="M883">
            <v>0</v>
          </cell>
        </row>
        <row r="884">
          <cell r="L884">
            <v>0</v>
          </cell>
          <cell r="M884">
            <v>0</v>
          </cell>
        </row>
        <row r="885">
          <cell r="L885">
            <v>0</v>
          </cell>
          <cell r="M885">
            <v>0</v>
          </cell>
        </row>
        <row r="886">
          <cell r="L886">
            <v>0</v>
          </cell>
          <cell r="M886">
            <v>0</v>
          </cell>
        </row>
        <row r="887">
          <cell r="L887">
            <v>0</v>
          </cell>
          <cell r="M887">
            <v>0</v>
          </cell>
        </row>
        <row r="888">
          <cell r="L888">
            <v>0</v>
          </cell>
          <cell r="M888">
            <v>0</v>
          </cell>
        </row>
        <row r="889">
          <cell r="L889">
            <v>0</v>
          </cell>
          <cell r="M889">
            <v>0</v>
          </cell>
        </row>
        <row r="890">
          <cell r="L890">
            <v>0</v>
          </cell>
          <cell r="M890">
            <v>0</v>
          </cell>
        </row>
        <row r="891">
          <cell r="L891">
            <v>0</v>
          </cell>
          <cell r="M891">
            <v>0</v>
          </cell>
        </row>
        <row r="892">
          <cell r="L892">
            <v>0</v>
          </cell>
          <cell r="M892">
            <v>0</v>
          </cell>
        </row>
        <row r="893">
          <cell r="L893">
            <v>0</v>
          </cell>
          <cell r="M893">
            <v>0</v>
          </cell>
        </row>
        <row r="894">
          <cell r="L894">
            <v>0</v>
          </cell>
          <cell r="M894">
            <v>0</v>
          </cell>
        </row>
        <row r="895">
          <cell r="L895">
            <v>0</v>
          </cell>
          <cell r="M895">
            <v>0</v>
          </cell>
        </row>
        <row r="896">
          <cell r="L896">
            <v>0</v>
          </cell>
          <cell r="M896">
            <v>0</v>
          </cell>
        </row>
        <row r="897">
          <cell r="L897">
            <v>0</v>
          </cell>
          <cell r="M897">
            <v>0</v>
          </cell>
        </row>
        <row r="898">
          <cell r="L898">
            <v>0</v>
          </cell>
          <cell r="M898">
            <v>0</v>
          </cell>
        </row>
        <row r="899">
          <cell r="L899">
            <v>0</v>
          </cell>
          <cell r="M899">
            <v>0</v>
          </cell>
        </row>
        <row r="900">
          <cell r="L900">
            <v>0</v>
          </cell>
          <cell r="M900">
            <v>0</v>
          </cell>
        </row>
        <row r="901">
          <cell r="L901">
            <v>0</v>
          </cell>
          <cell r="M901">
            <v>0</v>
          </cell>
        </row>
        <row r="902">
          <cell r="L902">
            <v>0</v>
          </cell>
          <cell r="M902">
            <v>0</v>
          </cell>
        </row>
        <row r="903">
          <cell r="L903">
            <v>0</v>
          </cell>
          <cell r="M903">
            <v>0</v>
          </cell>
        </row>
        <row r="904">
          <cell r="L904">
            <v>0</v>
          </cell>
          <cell r="M904">
            <v>0</v>
          </cell>
        </row>
        <row r="905">
          <cell r="L905">
            <v>0</v>
          </cell>
          <cell r="M905">
            <v>0</v>
          </cell>
        </row>
        <row r="906">
          <cell r="L906">
            <v>0</v>
          </cell>
          <cell r="M906">
            <v>0</v>
          </cell>
        </row>
        <row r="907">
          <cell r="L907">
            <v>0</v>
          </cell>
          <cell r="M907">
            <v>0</v>
          </cell>
        </row>
        <row r="908">
          <cell r="L908">
            <v>0</v>
          </cell>
          <cell r="M908">
            <v>0</v>
          </cell>
        </row>
        <row r="909">
          <cell r="L909">
            <v>0</v>
          </cell>
          <cell r="M909">
            <v>0</v>
          </cell>
        </row>
        <row r="910">
          <cell r="L910">
            <v>0</v>
          </cell>
          <cell r="M910">
            <v>0</v>
          </cell>
        </row>
        <row r="911">
          <cell r="L911">
            <v>0</v>
          </cell>
          <cell r="M911">
            <v>0</v>
          </cell>
        </row>
        <row r="912">
          <cell r="L912">
            <v>0</v>
          </cell>
          <cell r="M912">
            <v>0</v>
          </cell>
        </row>
        <row r="913">
          <cell r="L913">
            <v>0</v>
          </cell>
          <cell r="M913">
            <v>0</v>
          </cell>
        </row>
        <row r="914">
          <cell r="L914">
            <v>0</v>
          </cell>
          <cell r="M914">
            <v>0</v>
          </cell>
        </row>
        <row r="915">
          <cell r="L915">
            <v>0</v>
          </cell>
          <cell r="M915">
            <v>0</v>
          </cell>
        </row>
        <row r="916">
          <cell r="L916">
            <v>0</v>
          </cell>
          <cell r="M916">
            <v>0</v>
          </cell>
        </row>
        <row r="917">
          <cell r="L917">
            <v>0</v>
          </cell>
          <cell r="M917">
            <v>0</v>
          </cell>
        </row>
        <row r="918">
          <cell r="L918">
            <v>0</v>
          </cell>
          <cell r="M918">
            <v>0</v>
          </cell>
        </row>
        <row r="919">
          <cell r="L919">
            <v>0</v>
          </cell>
          <cell r="M919">
            <v>0</v>
          </cell>
        </row>
        <row r="920">
          <cell r="L920">
            <v>0</v>
          </cell>
          <cell r="M920">
            <v>0</v>
          </cell>
        </row>
        <row r="921">
          <cell r="L921">
            <v>0</v>
          </cell>
          <cell r="M921">
            <v>0</v>
          </cell>
        </row>
        <row r="922">
          <cell r="L922">
            <v>0</v>
          </cell>
          <cell r="M922">
            <v>0</v>
          </cell>
        </row>
        <row r="923">
          <cell r="L923">
            <v>0</v>
          </cell>
          <cell r="M923">
            <v>0</v>
          </cell>
        </row>
        <row r="924">
          <cell r="L924">
            <v>0</v>
          </cell>
          <cell r="M924">
            <v>0</v>
          </cell>
        </row>
        <row r="925">
          <cell r="L925">
            <v>0</v>
          </cell>
          <cell r="M925">
            <v>0</v>
          </cell>
        </row>
        <row r="926">
          <cell r="L926">
            <v>0</v>
          </cell>
          <cell r="M926">
            <v>0</v>
          </cell>
        </row>
        <row r="927">
          <cell r="L927">
            <v>0</v>
          </cell>
          <cell r="M927">
            <v>0</v>
          </cell>
        </row>
        <row r="928">
          <cell r="L928">
            <v>0</v>
          </cell>
          <cell r="M928">
            <v>0</v>
          </cell>
        </row>
        <row r="929">
          <cell r="L929">
            <v>0</v>
          </cell>
          <cell r="M929">
            <v>0</v>
          </cell>
        </row>
        <row r="930">
          <cell r="L930">
            <v>0</v>
          </cell>
          <cell r="M930">
            <v>0</v>
          </cell>
        </row>
        <row r="931">
          <cell r="L931">
            <v>0</v>
          </cell>
          <cell r="M931">
            <v>0</v>
          </cell>
        </row>
        <row r="932">
          <cell r="L932">
            <v>0</v>
          </cell>
          <cell r="M932">
            <v>0</v>
          </cell>
        </row>
        <row r="933">
          <cell r="L933">
            <v>0</v>
          </cell>
          <cell r="M933">
            <v>0</v>
          </cell>
        </row>
        <row r="934">
          <cell r="L934">
            <v>0</v>
          </cell>
          <cell r="M934">
            <v>0</v>
          </cell>
        </row>
        <row r="935">
          <cell r="L935">
            <v>0</v>
          </cell>
          <cell r="M935">
            <v>0</v>
          </cell>
        </row>
        <row r="936">
          <cell r="L936">
            <v>0</v>
          </cell>
          <cell r="M936">
            <v>0</v>
          </cell>
        </row>
        <row r="937">
          <cell r="L937">
            <v>0</v>
          </cell>
          <cell r="M937">
            <v>0</v>
          </cell>
        </row>
        <row r="938">
          <cell r="L938">
            <v>0</v>
          </cell>
          <cell r="M938">
            <v>0</v>
          </cell>
        </row>
        <row r="939">
          <cell r="L939">
            <v>0</v>
          </cell>
          <cell r="M939">
            <v>0</v>
          </cell>
        </row>
        <row r="940">
          <cell r="L940">
            <v>0</v>
          </cell>
          <cell r="M940">
            <v>0</v>
          </cell>
        </row>
        <row r="941">
          <cell r="L941">
            <v>0</v>
          </cell>
          <cell r="M941">
            <v>0</v>
          </cell>
        </row>
        <row r="942">
          <cell r="L942">
            <v>0</v>
          </cell>
          <cell r="M942">
            <v>0</v>
          </cell>
        </row>
        <row r="943">
          <cell r="L943">
            <v>0</v>
          </cell>
          <cell r="M943">
            <v>0</v>
          </cell>
        </row>
        <row r="944">
          <cell r="L944">
            <v>0</v>
          </cell>
          <cell r="M944">
            <v>0</v>
          </cell>
        </row>
        <row r="945">
          <cell r="L945">
            <v>0</v>
          </cell>
          <cell r="M945">
            <v>0</v>
          </cell>
        </row>
        <row r="946">
          <cell r="L946">
            <v>0</v>
          </cell>
          <cell r="M946">
            <v>0</v>
          </cell>
        </row>
        <row r="947">
          <cell r="L947">
            <v>0</v>
          </cell>
          <cell r="M947">
            <v>0</v>
          </cell>
        </row>
        <row r="948">
          <cell r="L948">
            <v>0</v>
          </cell>
          <cell r="M948">
            <v>0</v>
          </cell>
        </row>
        <row r="949">
          <cell r="L949">
            <v>0</v>
          </cell>
          <cell r="M949">
            <v>0</v>
          </cell>
        </row>
        <row r="950">
          <cell r="L950">
            <v>0</v>
          </cell>
          <cell r="M950">
            <v>0</v>
          </cell>
        </row>
        <row r="951">
          <cell r="L951">
            <v>0</v>
          </cell>
          <cell r="M951">
            <v>0</v>
          </cell>
        </row>
        <row r="952">
          <cell r="L952">
            <v>0</v>
          </cell>
          <cell r="M952">
            <v>0</v>
          </cell>
        </row>
        <row r="953">
          <cell r="L953">
            <v>0</v>
          </cell>
          <cell r="M953">
            <v>0</v>
          </cell>
        </row>
        <row r="954">
          <cell r="L954">
            <v>0</v>
          </cell>
          <cell r="M954">
            <v>0</v>
          </cell>
        </row>
        <row r="955">
          <cell r="L955">
            <v>0</v>
          </cell>
          <cell r="M955">
            <v>0</v>
          </cell>
        </row>
        <row r="956">
          <cell r="L956">
            <v>0</v>
          </cell>
          <cell r="M956">
            <v>0</v>
          </cell>
        </row>
        <row r="957">
          <cell r="L957">
            <v>0</v>
          </cell>
          <cell r="M957">
            <v>0</v>
          </cell>
        </row>
        <row r="958">
          <cell r="L958">
            <v>0</v>
          </cell>
          <cell r="M958">
            <v>0</v>
          </cell>
        </row>
        <row r="959">
          <cell r="L959">
            <v>0</v>
          </cell>
          <cell r="M959">
            <v>0</v>
          </cell>
        </row>
        <row r="960">
          <cell r="L960">
            <v>0</v>
          </cell>
          <cell r="M960">
            <v>0</v>
          </cell>
        </row>
        <row r="961">
          <cell r="L961">
            <v>0</v>
          </cell>
          <cell r="M961">
            <v>0</v>
          </cell>
        </row>
        <row r="962">
          <cell r="L962">
            <v>0</v>
          </cell>
          <cell r="M962">
            <v>0</v>
          </cell>
        </row>
        <row r="963">
          <cell r="L963">
            <v>0</v>
          </cell>
          <cell r="M963">
            <v>0</v>
          </cell>
        </row>
        <row r="964">
          <cell r="L964">
            <v>0</v>
          </cell>
          <cell r="M964">
            <v>0</v>
          </cell>
        </row>
        <row r="965">
          <cell r="L965">
            <v>0</v>
          </cell>
          <cell r="M965">
            <v>0</v>
          </cell>
        </row>
        <row r="966">
          <cell r="L966">
            <v>0</v>
          </cell>
          <cell r="M966">
            <v>0</v>
          </cell>
        </row>
        <row r="967">
          <cell r="L967">
            <v>0</v>
          </cell>
          <cell r="M967">
            <v>0</v>
          </cell>
        </row>
        <row r="968">
          <cell r="L968">
            <v>0</v>
          </cell>
          <cell r="M968">
            <v>0</v>
          </cell>
        </row>
        <row r="969">
          <cell r="L969">
            <v>0</v>
          </cell>
          <cell r="M969">
            <v>0</v>
          </cell>
        </row>
        <row r="970">
          <cell r="L970">
            <v>0</v>
          </cell>
          <cell r="M970">
            <v>0</v>
          </cell>
        </row>
        <row r="971">
          <cell r="L971">
            <v>0</v>
          </cell>
          <cell r="M971">
            <v>0</v>
          </cell>
        </row>
        <row r="972">
          <cell r="L972">
            <v>0</v>
          </cell>
          <cell r="M972">
            <v>0</v>
          </cell>
        </row>
        <row r="973">
          <cell r="L973">
            <v>0</v>
          </cell>
          <cell r="M973">
            <v>0</v>
          </cell>
        </row>
        <row r="974">
          <cell r="L974">
            <v>0</v>
          </cell>
          <cell r="M974">
            <v>0</v>
          </cell>
        </row>
        <row r="975">
          <cell r="L975">
            <v>0</v>
          </cell>
          <cell r="M975">
            <v>0</v>
          </cell>
        </row>
        <row r="976">
          <cell r="L976">
            <v>0</v>
          </cell>
          <cell r="M976">
            <v>0</v>
          </cell>
        </row>
        <row r="977">
          <cell r="L977">
            <v>0</v>
          </cell>
          <cell r="M977">
            <v>0</v>
          </cell>
        </row>
        <row r="978">
          <cell r="L978">
            <v>0</v>
          </cell>
          <cell r="M978">
            <v>0</v>
          </cell>
        </row>
      </sheetData>
      <sheetData sheetId="1"/>
      <sheetData sheetId="2"/>
      <sheetData sheetId="3">
        <row r="8">
          <cell r="E8" t="str">
            <v>T26000050</v>
          </cell>
          <cell r="AP8">
            <v>0</v>
          </cell>
          <cell r="AQ8">
            <v>0</v>
          </cell>
          <cell r="AV8">
            <v>0</v>
          </cell>
        </row>
        <row r="9">
          <cell r="E9" t="str">
            <v>D26001399</v>
          </cell>
          <cell r="AP9">
            <v>0</v>
          </cell>
          <cell r="AQ9">
            <v>0</v>
          </cell>
          <cell r="AV9">
            <v>0</v>
          </cell>
        </row>
        <row r="10">
          <cell r="E10" t="str">
            <v>D26001405</v>
          </cell>
          <cell r="AP10">
            <v>0</v>
          </cell>
          <cell r="AQ10">
            <v>0</v>
          </cell>
          <cell r="AV10">
            <v>0</v>
          </cell>
        </row>
        <row r="11">
          <cell r="E11" t="str">
            <v>B26001402</v>
          </cell>
          <cell r="AP11">
            <v>0</v>
          </cell>
          <cell r="AQ11">
            <v>0</v>
          </cell>
          <cell r="AV11">
            <v>0</v>
          </cell>
        </row>
        <row r="12">
          <cell r="E12" t="str">
            <v>D26000442</v>
          </cell>
          <cell r="AP12">
            <v>0</v>
          </cell>
          <cell r="AQ12">
            <v>0</v>
          </cell>
          <cell r="AV12">
            <v>0</v>
          </cell>
        </row>
        <row r="13">
          <cell r="E13" t="str">
            <v>D26000735</v>
          </cell>
          <cell r="AP13">
            <v>0</v>
          </cell>
          <cell r="AQ13">
            <v>0</v>
          </cell>
          <cell r="AV13">
            <v>0</v>
          </cell>
        </row>
        <row r="14">
          <cell r="E14" t="str">
            <v>D26000961</v>
          </cell>
          <cell r="AP14">
            <v>0</v>
          </cell>
          <cell r="AQ14">
            <v>0</v>
          </cell>
          <cell r="AV14">
            <v>0</v>
          </cell>
        </row>
        <row r="15">
          <cell r="E15" t="str">
            <v>D26001043</v>
          </cell>
          <cell r="AP15">
            <v>0</v>
          </cell>
          <cell r="AQ15">
            <v>0</v>
          </cell>
          <cell r="AV15">
            <v>0</v>
          </cell>
        </row>
        <row r="16">
          <cell r="E16" t="str">
            <v>D26001257</v>
          </cell>
          <cell r="AP16">
            <v>0</v>
          </cell>
          <cell r="AQ16">
            <v>0</v>
          </cell>
          <cell r="AV16">
            <v>0</v>
          </cell>
        </row>
        <row r="17">
          <cell r="E17" t="str">
            <v>D26001258</v>
          </cell>
          <cell r="AP17">
            <v>0</v>
          </cell>
          <cell r="AQ17">
            <v>0</v>
          </cell>
          <cell r="AV17">
            <v>0</v>
          </cell>
        </row>
        <row r="18">
          <cell r="E18" t="str">
            <v>B26001582</v>
          </cell>
          <cell r="AP18">
            <v>0</v>
          </cell>
          <cell r="AQ18">
            <v>0</v>
          </cell>
          <cell r="AV18">
            <v>0</v>
          </cell>
        </row>
        <row r="19">
          <cell r="E19" t="str">
            <v>D25013604</v>
          </cell>
          <cell r="AP19">
            <v>0</v>
          </cell>
          <cell r="AQ19">
            <v>0</v>
          </cell>
          <cell r="AV19">
            <v>0</v>
          </cell>
        </row>
        <row r="20">
          <cell r="E20" t="str">
            <v>B25015898</v>
          </cell>
          <cell r="AP20">
            <v>0</v>
          </cell>
          <cell r="AQ20">
            <v>0</v>
          </cell>
          <cell r="AV20">
            <v>0</v>
          </cell>
        </row>
        <row r="21">
          <cell r="E21" t="str">
            <v>D25019533</v>
          </cell>
          <cell r="AP21">
            <v>0</v>
          </cell>
          <cell r="AQ21">
            <v>0</v>
          </cell>
          <cell r="AV21">
            <v>0</v>
          </cell>
        </row>
        <row r="22">
          <cell r="E22" t="str">
            <v>B25017054</v>
          </cell>
          <cell r="AP22">
            <v>0</v>
          </cell>
          <cell r="AQ22">
            <v>0</v>
          </cell>
          <cell r="AV22">
            <v>0</v>
          </cell>
        </row>
        <row r="23">
          <cell r="E23" t="str">
            <v>B25017068</v>
          </cell>
          <cell r="AP23">
            <v>0</v>
          </cell>
          <cell r="AQ23">
            <v>0</v>
          </cell>
          <cell r="AV23">
            <v>0</v>
          </cell>
        </row>
        <row r="24">
          <cell r="E24" t="str">
            <v>B26000149</v>
          </cell>
          <cell r="AP24">
            <v>0</v>
          </cell>
          <cell r="AQ24">
            <v>0</v>
          </cell>
          <cell r="AV24">
            <v>0</v>
          </cell>
        </row>
        <row r="25">
          <cell r="E25" t="str">
            <v>D25018816</v>
          </cell>
          <cell r="AP25">
            <v>0</v>
          </cell>
          <cell r="AQ25">
            <v>0</v>
          </cell>
          <cell r="AV25">
            <v>0</v>
          </cell>
        </row>
        <row r="26">
          <cell r="E26" t="str">
            <v>B26000698</v>
          </cell>
          <cell r="AP26">
            <v>0</v>
          </cell>
          <cell r="AQ26">
            <v>0</v>
          </cell>
          <cell r="AV26">
            <v>0</v>
          </cell>
        </row>
        <row r="27">
          <cell r="E27" t="str">
            <v>T26000040</v>
          </cell>
          <cell r="AP27">
            <v>0</v>
          </cell>
          <cell r="AQ27">
            <v>0</v>
          </cell>
          <cell r="AV27">
            <v>0</v>
          </cell>
        </row>
        <row r="28">
          <cell r="E28" t="str">
            <v>T25000266</v>
          </cell>
          <cell r="AP28">
            <v>0</v>
          </cell>
          <cell r="AQ28">
            <v>0</v>
          </cell>
          <cell r="AV28">
            <v>0</v>
          </cell>
        </row>
        <row r="29">
          <cell r="E29" t="str">
            <v>B25013635</v>
          </cell>
          <cell r="AP29">
            <v>0</v>
          </cell>
          <cell r="AQ29">
            <v>0</v>
          </cell>
          <cell r="AV29">
            <v>0</v>
          </cell>
        </row>
        <row r="30">
          <cell r="E30" t="str">
            <v>B25013636</v>
          </cell>
          <cell r="AP30">
            <v>0</v>
          </cell>
          <cell r="AQ30">
            <v>0</v>
          </cell>
          <cell r="AV30">
            <v>0</v>
          </cell>
        </row>
        <row r="31">
          <cell r="E31" t="str">
            <v>D25016962</v>
          </cell>
          <cell r="AP31">
            <v>0</v>
          </cell>
          <cell r="AQ31">
            <v>0</v>
          </cell>
          <cell r="AV31">
            <v>0</v>
          </cell>
        </row>
        <row r="32">
          <cell r="E32" t="str">
            <v>B25016685</v>
          </cell>
          <cell r="AP32">
            <v>0</v>
          </cell>
          <cell r="AQ32">
            <v>0</v>
          </cell>
          <cell r="AV32">
            <v>0</v>
          </cell>
        </row>
        <row r="33">
          <cell r="E33" t="str">
            <v>B26000153</v>
          </cell>
          <cell r="AP33">
            <v>0</v>
          </cell>
          <cell r="AQ33">
            <v>0</v>
          </cell>
          <cell r="AV33">
            <v>0</v>
          </cell>
        </row>
        <row r="34">
          <cell r="E34" t="str">
            <v>R25000092</v>
          </cell>
          <cell r="AP34">
            <v>0</v>
          </cell>
          <cell r="AQ34">
            <v>0</v>
          </cell>
          <cell r="AV34">
            <v>0</v>
          </cell>
        </row>
        <row r="35">
          <cell r="E35" t="str">
            <v>D26001073</v>
          </cell>
          <cell r="AP35">
            <v>0</v>
          </cell>
          <cell r="AQ35">
            <v>0</v>
          </cell>
          <cell r="AV35">
            <v>0</v>
          </cell>
        </row>
        <row r="36">
          <cell r="E36" t="str">
            <v>D26001074</v>
          </cell>
          <cell r="AP36">
            <v>0</v>
          </cell>
          <cell r="AQ36">
            <v>0</v>
          </cell>
          <cell r="AV36">
            <v>0</v>
          </cell>
        </row>
        <row r="37">
          <cell r="E37" t="str">
            <v>B25016283</v>
          </cell>
          <cell r="AP37">
            <v>0</v>
          </cell>
          <cell r="AQ37">
            <v>0</v>
          </cell>
          <cell r="AV37">
            <v>0</v>
          </cell>
        </row>
        <row r="38">
          <cell r="E38" t="str">
            <v>B25016284</v>
          </cell>
          <cell r="AP38">
            <v>0</v>
          </cell>
          <cell r="AQ38">
            <v>0</v>
          </cell>
          <cell r="AV38">
            <v>0</v>
          </cell>
        </row>
        <row r="39">
          <cell r="E39" t="str">
            <v>D26001142</v>
          </cell>
          <cell r="AP39">
            <v>0</v>
          </cell>
          <cell r="AQ39">
            <v>0</v>
          </cell>
          <cell r="AV39">
            <v>0</v>
          </cell>
        </row>
        <row r="40">
          <cell r="E40" t="str">
            <v>D26000437</v>
          </cell>
          <cell r="AP40">
            <v>0</v>
          </cell>
          <cell r="AQ40">
            <v>0</v>
          </cell>
          <cell r="AV40">
            <v>0</v>
          </cell>
        </row>
        <row r="41">
          <cell r="E41" t="str">
            <v>D26000449</v>
          </cell>
          <cell r="AP41">
            <v>0</v>
          </cell>
          <cell r="AQ41">
            <v>0</v>
          </cell>
          <cell r="AV41">
            <v>0</v>
          </cell>
        </row>
        <row r="42">
          <cell r="E42" t="str">
            <v>D26001017</v>
          </cell>
          <cell r="AP42">
            <v>0</v>
          </cell>
          <cell r="AQ42">
            <v>0</v>
          </cell>
          <cell r="AV42">
            <v>0</v>
          </cell>
        </row>
        <row r="43">
          <cell r="E43" t="str">
            <v>B26001350</v>
          </cell>
          <cell r="AP43">
            <v>0</v>
          </cell>
          <cell r="AQ43">
            <v>0</v>
          </cell>
          <cell r="AV43">
            <v>0</v>
          </cell>
        </row>
        <row r="44">
          <cell r="E44" t="str">
            <v>D25019438</v>
          </cell>
          <cell r="AP44">
            <v>0</v>
          </cell>
          <cell r="AQ44">
            <v>0</v>
          </cell>
          <cell r="AV44">
            <v>0</v>
          </cell>
        </row>
        <row r="45">
          <cell r="E45" t="str">
            <v>D26000375</v>
          </cell>
          <cell r="AP45">
            <v>0</v>
          </cell>
          <cell r="AQ45">
            <v>0</v>
          </cell>
          <cell r="AV45">
            <v>0</v>
          </cell>
        </row>
        <row r="46">
          <cell r="E46" t="str">
            <v>B26000515</v>
          </cell>
          <cell r="AP46">
            <v>0</v>
          </cell>
          <cell r="AQ46">
            <v>0</v>
          </cell>
          <cell r="AV46">
            <v>0</v>
          </cell>
        </row>
        <row r="47">
          <cell r="E47" t="str">
            <v>B26000670</v>
          </cell>
          <cell r="AP47">
            <v>0</v>
          </cell>
          <cell r="AQ47">
            <v>0</v>
          </cell>
          <cell r="AV47">
            <v>0</v>
          </cell>
        </row>
        <row r="48">
          <cell r="E48" t="str">
            <v>B26001258</v>
          </cell>
          <cell r="AP48">
            <v>0</v>
          </cell>
          <cell r="AQ48">
            <v>0</v>
          </cell>
          <cell r="AV48">
            <v>0</v>
          </cell>
        </row>
        <row r="49">
          <cell r="E49" t="str">
            <v>B26001259</v>
          </cell>
          <cell r="AP49">
            <v>0</v>
          </cell>
          <cell r="AQ49">
            <v>0</v>
          </cell>
          <cell r="AV49">
            <v>0</v>
          </cell>
        </row>
        <row r="50">
          <cell r="E50" t="str">
            <v>B25014427</v>
          </cell>
          <cell r="AP50">
            <v>0</v>
          </cell>
          <cell r="AQ50">
            <v>0</v>
          </cell>
          <cell r="AV50">
            <v>0</v>
          </cell>
        </row>
        <row r="51">
          <cell r="E51" t="str">
            <v>B25015559</v>
          </cell>
          <cell r="AP51">
            <v>0</v>
          </cell>
          <cell r="AQ51">
            <v>0</v>
          </cell>
          <cell r="AV51">
            <v>0</v>
          </cell>
        </row>
        <row r="52">
          <cell r="E52" t="str">
            <v>T25001844</v>
          </cell>
          <cell r="AP52">
            <v>0</v>
          </cell>
          <cell r="AQ52">
            <v>0</v>
          </cell>
          <cell r="AV52">
            <v>0</v>
          </cell>
        </row>
        <row r="53">
          <cell r="E53" t="str">
            <v>D25016973</v>
          </cell>
          <cell r="AP53">
            <v>0</v>
          </cell>
          <cell r="AQ53">
            <v>0</v>
          </cell>
          <cell r="AV53">
            <v>0</v>
          </cell>
        </row>
        <row r="54">
          <cell r="E54" t="str">
            <v>B25014356</v>
          </cell>
          <cell r="AP54">
            <v>0</v>
          </cell>
          <cell r="AQ54">
            <v>0</v>
          </cell>
          <cell r="AV54">
            <v>1695000</v>
          </cell>
        </row>
        <row r="55">
          <cell r="E55" t="str">
            <v>B25014813</v>
          </cell>
          <cell r="AP55">
            <v>0</v>
          </cell>
          <cell r="AQ55">
            <v>0</v>
          </cell>
          <cell r="AV55">
            <v>5000</v>
          </cell>
        </row>
        <row r="56">
          <cell r="E56" t="str">
            <v>B25015629</v>
          </cell>
          <cell r="AP56">
            <v>0</v>
          </cell>
          <cell r="AQ56">
            <v>0</v>
          </cell>
          <cell r="AV56">
            <v>0</v>
          </cell>
        </row>
        <row r="57">
          <cell r="E57" t="str">
            <v>D25018878</v>
          </cell>
          <cell r="AP57">
            <v>0</v>
          </cell>
          <cell r="AQ57">
            <v>0</v>
          </cell>
          <cell r="AV57">
            <v>0</v>
          </cell>
        </row>
        <row r="58">
          <cell r="E58" t="str">
            <v>T25001869</v>
          </cell>
          <cell r="AP58">
            <v>0</v>
          </cell>
          <cell r="AQ58">
            <v>0</v>
          </cell>
          <cell r="AV58">
            <v>0</v>
          </cell>
        </row>
        <row r="59">
          <cell r="E59" t="str">
            <v>D26000099</v>
          </cell>
          <cell r="AP59">
            <v>0</v>
          </cell>
          <cell r="AQ59">
            <v>0</v>
          </cell>
          <cell r="AV59">
            <v>0</v>
          </cell>
        </row>
        <row r="60">
          <cell r="E60" t="str">
            <v>B25016595</v>
          </cell>
          <cell r="AP60">
            <v>0</v>
          </cell>
          <cell r="AQ60">
            <v>0</v>
          </cell>
          <cell r="AV60">
            <v>5100000</v>
          </cell>
        </row>
        <row r="61">
          <cell r="E61" t="str">
            <v>D25019293</v>
          </cell>
          <cell r="AP61">
            <v>0</v>
          </cell>
          <cell r="AQ61">
            <v>0</v>
          </cell>
          <cell r="AV61">
            <v>2841000</v>
          </cell>
        </row>
        <row r="62">
          <cell r="E62" t="str">
            <v>B25016918</v>
          </cell>
          <cell r="AP62">
            <v>0</v>
          </cell>
          <cell r="AQ62">
            <v>0</v>
          </cell>
          <cell r="AV62">
            <v>23875000</v>
          </cell>
        </row>
        <row r="63">
          <cell r="E63" t="str">
            <v>B25016929</v>
          </cell>
          <cell r="AP63">
            <v>0</v>
          </cell>
          <cell r="AQ63">
            <v>0</v>
          </cell>
          <cell r="AV63">
            <v>1860000</v>
          </cell>
        </row>
        <row r="64">
          <cell r="E64" t="str">
            <v>B25016984</v>
          </cell>
          <cell r="AP64">
            <v>0</v>
          </cell>
          <cell r="AQ64">
            <v>0</v>
          </cell>
          <cell r="AV64">
            <v>1875000</v>
          </cell>
        </row>
        <row r="65">
          <cell r="E65" t="str">
            <v>D26000011</v>
          </cell>
          <cell r="AP65">
            <v>0</v>
          </cell>
          <cell r="AQ65">
            <v>0</v>
          </cell>
          <cell r="AV65">
            <v>0</v>
          </cell>
        </row>
        <row r="66">
          <cell r="E66" t="str">
            <v>B26000193</v>
          </cell>
          <cell r="AP66">
            <v>0</v>
          </cell>
          <cell r="AQ66">
            <v>0</v>
          </cell>
          <cell r="AV66">
            <v>0</v>
          </cell>
        </row>
        <row r="67">
          <cell r="E67" t="str">
            <v>D26000353</v>
          </cell>
          <cell r="AP67">
            <v>0</v>
          </cell>
          <cell r="AQ67">
            <v>0</v>
          </cell>
          <cell r="AV67">
            <v>0</v>
          </cell>
        </row>
        <row r="68">
          <cell r="E68" t="str">
            <v>D26000354</v>
          </cell>
          <cell r="AP68">
            <v>0</v>
          </cell>
          <cell r="AQ68">
            <v>0</v>
          </cell>
          <cell r="AV68">
            <v>0</v>
          </cell>
        </row>
        <row r="69">
          <cell r="E69" t="str">
            <v>B26000366</v>
          </cell>
          <cell r="AP69">
            <v>0</v>
          </cell>
          <cell r="AQ69">
            <v>0</v>
          </cell>
          <cell r="AV69">
            <v>0</v>
          </cell>
        </row>
        <row r="70">
          <cell r="E70" t="str">
            <v>B26000620</v>
          </cell>
          <cell r="AP70">
            <v>0</v>
          </cell>
          <cell r="AQ70">
            <v>0</v>
          </cell>
          <cell r="AV70">
            <v>0</v>
          </cell>
        </row>
        <row r="71">
          <cell r="E71" t="str">
            <v>B26000733</v>
          </cell>
          <cell r="AP71">
            <v>0</v>
          </cell>
          <cell r="AQ71">
            <v>0</v>
          </cell>
          <cell r="AV71">
            <v>0</v>
          </cell>
        </row>
        <row r="72">
          <cell r="E72" t="str">
            <v>D26001015</v>
          </cell>
          <cell r="AP72">
            <v>0</v>
          </cell>
          <cell r="AQ72">
            <v>0</v>
          </cell>
          <cell r="AV72">
            <v>0</v>
          </cell>
        </row>
        <row r="73">
          <cell r="E73" t="str">
            <v>B26001001</v>
          </cell>
          <cell r="AP73">
            <v>0</v>
          </cell>
          <cell r="AQ73">
            <v>0</v>
          </cell>
          <cell r="AV73">
            <v>0</v>
          </cell>
        </row>
        <row r="74">
          <cell r="E74" t="str">
            <v>B26001078</v>
          </cell>
          <cell r="AP74">
            <v>0</v>
          </cell>
          <cell r="AQ74">
            <v>0</v>
          </cell>
          <cell r="AV74">
            <v>0</v>
          </cell>
        </row>
        <row r="75">
          <cell r="E75" t="str">
            <v>B26001105</v>
          </cell>
          <cell r="AP75">
            <v>0</v>
          </cell>
          <cell r="AQ75">
            <v>0</v>
          </cell>
          <cell r="AV75">
            <v>0</v>
          </cell>
        </row>
        <row r="76">
          <cell r="E76" t="str">
            <v>N26000013</v>
          </cell>
          <cell r="AP76">
            <v>0</v>
          </cell>
          <cell r="AQ76">
            <v>0</v>
          </cell>
          <cell r="AV76">
            <v>0</v>
          </cell>
        </row>
        <row r="77">
          <cell r="E77" t="str">
            <v>D26001690</v>
          </cell>
          <cell r="AP77">
            <v>0</v>
          </cell>
          <cell r="AQ77">
            <v>0</v>
          </cell>
          <cell r="AV77">
            <v>0</v>
          </cell>
        </row>
        <row r="78">
          <cell r="E78" t="str">
            <v>B25016295</v>
          </cell>
          <cell r="AP78">
            <v>0</v>
          </cell>
          <cell r="AQ78">
            <v>0</v>
          </cell>
          <cell r="AV78">
            <v>0</v>
          </cell>
        </row>
        <row r="79">
          <cell r="E79" t="str">
            <v>D26000143</v>
          </cell>
          <cell r="AP79">
            <v>0</v>
          </cell>
          <cell r="AQ79">
            <v>0</v>
          </cell>
          <cell r="AV79">
            <v>0</v>
          </cell>
        </row>
        <row r="80">
          <cell r="E80" t="str">
            <v>D26000209</v>
          </cell>
          <cell r="AP80">
            <v>0</v>
          </cell>
          <cell r="AQ80">
            <v>0</v>
          </cell>
          <cell r="AV80">
            <v>0</v>
          </cell>
        </row>
        <row r="81">
          <cell r="E81" t="str">
            <v>D26000789</v>
          </cell>
          <cell r="AP81">
            <v>0</v>
          </cell>
          <cell r="AQ81">
            <v>0</v>
          </cell>
          <cell r="AV81">
            <v>0</v>
          </cell>
        </row>
        <row r="82">
          <cell r="E82" t="str">
            <v>B26000824</v>
          </cell>
          <cell r="AP82">
            <v>0</v>
          </cell>
          <cell r="AQ82">
            <v>0</v>
          </cell>
          <cell r="AV82">
            <v>0</v>
          </cell>
        </row>
        <row r="83">
          <cell r="E83" t="str">
            <v>B26001115</v>
          </cell>
          <cell r="AP83">
            <v>0</v>
          </cell>
          <cell r="AQ83">
            <v>0</v>
          </cell>
          <cell r="AV83">
            <v>0</v>
          </cell>
        </row>
        <row r="84">
          <cell r="E84" t="str">
            <v>B26001116</v>
          </cell>
          <cell r="AP84">
            <v>0</v>
          </cell>
          <cell r="AQ84">
            <v>0</v>
          </cell>
          <cell r="AV84">
            <v>0</v>
          </cell>
        </row>
        <row r="85">
          <cell r="E85" t="str">
            <v>T26000098</v>
          </cell>
          <cell r="AP85">
            <v>0</v>
          </cell>
          <cell r="AQ85">
            <v>0</v>
          </cell>
          <cell r="AV85">
            <v>0</v>
          </cell>
        </row>
        <row r="86">
          <cell r="E86" t="str">
            <v>D26001469</v>
          </cell>
          <cell r="AP86">
            <v>0</v>
          </cell>
          <cell r="AQ86">
            <v>0</v>
          </cell>
          <cell r="AV86">
            <v>0</v>
          </cell>
        </row>
        <row r="87">
          <cell r="E87" t="str">
            <v>D26001603</v>
          </cell>
          <cell r="AP87">
            <v>0</v>
          </cell>
          <cell r="AQ87">
            <v>0</v>
          </cell>
          <cell r="AV87">
            <v>0</v>
          </cell>
        </row>
        <row r="88">
          <cell r="E88" t="str">
            <v>B26000465</v>
          </cell>
          <cell r="AP88">
            <v>0</v>
          </cell>
          <cell r="AQ88">
            <v>0</v>
          </cell>
          <cell r="AV88">
            <v>0</v>
          </cell>
        </row>
        <row r="89">
          <cell r="E89" t="str">
            <v>B26000466</v>
          </cell>
          <cell r="AP89">
            <v>0</v>
          </cell>
          <cell r="AQ89">
            <v>0</v>
          </cell>
          <cell r="AV89">
            <v>0</v>
          </cell>
        </row>
        <row r="90">
          <cell r="E90" t="str">
            <v>B26000467</v>
          </cell>
          <cell r="AP90">
            <v>0</v>
          </cell>
          <cell r="AQ90">
            <v>0</v>
          </cell>
          <cell r="AV90">
            <v>0</v>
          </cell>
        </row>
        <row r="91">
          <cell r="E91" t="str">
            <v>B26000468</v>
          </cell>
          <cell r="AP91">
            <v>0</v>
          </cell>
          <cell r="AQ91">
            <v>0</v>
          </cell>
          <cell r="AV91">
            <v>0</v>
          </cell>
        </row>
        <row r="92">
          <cell r="E92" t="str">
            <v>B26000497</v>
          </cell>
          <cell r="AP92">
            <v>0</v>
          </cell>
          <cell r="AQ92">
            <v>0</v>
          </cell>
          <cell r="AV92">
            <v>0</v>
          </cell>
        </row>
        <row r="93">
          <cell r="E93" t="str">
            <v>D26001028</v>
          </cell>
          <cell r="AP93">
            <v>0</v>
          </cell>
          <cell r="AQ93">
            <v>0</v>
          </cell>
          <cell r="AV93">
            <v>0</v>
          </cell>
        </row>
        <row r="94">
          <cell r="E94" t="str">
            <v>B26001023</v>
          </cell>
          <cell r="AP94">
            <v>0</v>
          </cell>
          <cell r="AQ94">
            <v>0</v>
          </cell>
          <cell r="AV94">
            <v>0</v>
          </cell>
        </row>
        <row r="95">
          <cell r="E95" t="str">
            <v>D26001110</v>
          </cell>
          <cell r="AP95">
            <v>0</v>
          </cell>
          <cell r="AQ95">
            <v>0</v>
          </cell>
          <cell r="AV95">
            <v>0</v>
          </cell>
        </row>
        <row r="96">
          <cell r="E96" t="str">
            <v>B25016839</v>
          </cell>
          <cell r="AP96">
            <v>0</v>
          </cell>
          <cell r="AQ96">
            <v>0</v>
          </cell>
          <cell r="AV96">
            <v>0</v>
          </cell>
        </row>
        <row r="97">
          <cell r="E97" t="str">
            <v>D25019387</v>
          </cell>
          <cell r="AP97">
            <v>0</v>
          </cell>
          <cell r="AQ97">
            <v>0</v>
          </cell>
          <cell r="AV97">
            <v>0</v>
          </cell>
        </row>
        <row r="98">
          <cell r="E98" t="str">
            <v>B25016959</v>
          </cell>
          <cell r="AP98">
            <v>0</v>
          </cell>
          <cell r="AQ98">
            <v>0</v>
          </cell>
          <cell r="AV98">
            <v>0</v>
          </cell>
        </row>
        <row r="99">
          <cell r="E99" t="str">
            <v>D26000166</v>
          </cell>
          <cell r="AP99">
            <v>0</v>
          </cell>
          <cell r="AQ99">
            <v>0</v>
          </cell>
          <cell r="AV99">
            <v>0</v>
          </cell>
        </row>
        <row r="100">
          <cell r="E100" t="str">
            <v>D26000191</v>
          </cell>
          <cell r="AP100">
            <v>0</v>
          </cell>
          <cell r="AQ100">
            <v>0</v>
          </cell>
          <cell r="AV100">
            <v>0</v>
          </cell>
        </row>
        <row r="101">
          <cell r="E101" t="str">
            <v>B26000930</v>
          </cell>
          <cell r="AP101">
            <v>0</v>
          </cell>
          <cell r="AQ101">
            <v>0</v>
          </cell>
          <cell r="AV101">
            <v>0</v>
          </cell>
        </row>
        <row r="102">
          <cell r="E102">
            <v>260008</v>
          </cell>
          <cell r="AP102">
            <v>0</v>
          </cell>
          <cell r="AQ102">
            <v>0</v>
          </cell>
          <cell r="AV102">
            <v>0</v>
          </cell>
        </row>
        <row r="103">
          <cell r="E103" t="str">
            <v>B26001067</v>
          </cell>
          <cell r="AP103">
            <v>0</v>
          </cell>
          <cell r="AQ103">
            <v>0</v>
          </cell>
          <cell r="AV103">
            <v>0</v>
          </cell>
        </row>
        <row r="104">
          <cell r="E104" t="str">
            <v>D26001141</v>
          </cell>
          <cell r="AP104">
            <v>0</v>
          </cell>
          <cell r="AQ104">
            <v>0</v>
          </cell>
          <cell r="AV104">
            <v>0</v>
          </cell>
        </row>
        <row r="105">
          <cell r="E105" t="str">
            <v>D25018521</v>
          </cell>
          <cell r="AP105">
            <v>0</v>
          </cell>
          <cell r="AQ105">
            <v>0</v>
          </cell>
          <cell r="AV105">
            <v>0</v>
          </cell>
        </row>
        <row r="106">
          <cell r="E106" t="str">
            <v>B25016305</v>
          </cell>
          <cell r="AP106">
            <v>0</v>
          </cell>
          <cell r="AQ106">
            <v>0</v>
          </cell>
          <cell r="AV106">
            <v>0</v>
          </cell>
        </row>
        <row r="107">
          <cell r="E107" t="str">
            <v>D25019209</v>
          </cell>
          <cell r="AP107">
            <v>0</v>
          </cell>
          <cell r="AQ107">
            <v>0</v>
          </cell>
          <cell r="AV107">
            <v>0</v>
          </cell>
        </row>
        <row r="108">
          <cell r="E108" t="str">
            <v>D25019322</v>
          </cell>
          <cell r="AP108">
            <v>0</v>
          </cell>
          <cell r="AQ108">
            <v>0</v>
          </cell>
          <cell r="AV108">
            <v>0</v>
          </cell>
        </row>
        <row r="109">
          <cell r="E109" t="str">
            <v>B25016814</v>
          </cell>
          <cell r="AP109">
            <v>0</v>
          </cell>
          <cell r="AQ109">
            <v>0</v>
          </cell>
          <cell r="AV109">
            <v>0</v>
          </cell>
        </row>
        <row r="110">
          <cell r="E110" t="str">
            <v>D25019425</v>
          </cell>
          <cell r="AP110">
            <v>0</v>
          </cell>
          <cell r="AQ110">
            <v>0</v>
          </cell>
          <cell r="AV110">
            <v>0</v>
          </cell>
        </row>
        <row r="111">
          <cell r="E111" t="str">
            <v>B26000949</v>
          </cell>
          <cell r="AP111">
            <v>0</v>
          </cell>
          <cell r="AQ111">
            <v>0</v>
          </cell>
          <cell r="AV111">
            <v>0</v>
          </cell>
        </row>
        <row r="112">
          <cell r="E112" t="str">
            <v>B26001134</v>
          </cell>
          <cell r="AP112">
            <v>0</v>
          </cell>
          <cell r="AQ112">
            <v>0</v>
          </cell>
          <cell r="AV112">
            <v>0</v>
          </cell>
        </row>
        <row r="113">
          <cell r="E113" t="str">
            <v>D26001706</v>
          </cell>
          <cell r="AP113">
            <v>0</v>
          </cell>
          <cell r="AQ113">
            <v>0</v>
          </cell>
          <cell r="AV113">
            <v>0</v>
          </cell>
        </row>
        <row r="114">
          <cell r="E114" t="str">
            <v>B25015209</v>
          </cell>
          <cell r="AP114">
            <v>0</v>
          </cell>
          <cell r="AQ114">
            <v>0</v>
          </cell>
          <cell r="AV114">
            <v>0</v>
          </cell>
        </row>
        <row r="115">
          <cell r="E115" t="str">
            <v>B25015334</v>
          </cell>
          <cell r="AP115">
            <v>0</v>
          </cell>
          <cell r="AQ115">
            <v>0</v>
          </cell>
          <cell r="AV115">
            <v>0</v>
          </cell>
        </row>
        <row r="116">
          <cell r="E116" t="str">
            <v>B25015337</v>
          </cell>
          <cell r="AP116">
            <v>0</v>
          </cell>
          <cell r="AQ116">
            <v>0</v>
          </cell>
          <cell r="AV116">
            <v>0</v>
          </cell>
        </row>
        <row r="117">
          <cell r="E117" t="str">
            <v>D25018133</v>
          </cell>
          <cell r="AP117">
            <v>0</v>
          </cell>
          <cell r="AQ117">
            <v>0</v>
          </cell>
          <cell r="AV117">
            <v>0</v>
          </cell>
        </row>
        <row r="118">
          <cell r="E118" t="str">
            <v>D25018782</v>
          </cell>
          <cell r="AP118">
            <v>0</v>
          </cell>
          <cell r="AQ118">
            <v>0</v>
          </cell>
          <cell r="AV118">
            <v>0</v>
          </cell>
        </row>
        <row r="119">
          <cell r="E119" t="str">
            <v>D25019513</v>
          </cell>
          <cell r="AP119">
            <v>0</v>
          </cell>
          <cell r="AQ119">
            <v>0</v>
          </cell>
          <cell r="AV119">
            <v>0</v>
          </cell>
        </row>
        <row r="120">
          <cell r="E120" t="str">
            <v>B26000096</v>
          </cell>
          <cell r="AP120">
            <v>0</v>
          </cell>
          <cell r="AQ120">
            <v>0</v>
          </cell>
          <cell r="AV120">
            <v>0</v>
          </cell>
        </row>
        <row r="121">
          <cell r="E121" t="str">
            <v>B26000131</v>
          </cell>
          <cell r="AP121">
            <v>0</v>
          </cell>
          <cell r="AQ121">
            <v>0</v>
          </cell>
          <cell r="AV121">
            <v>0</v>
          </cell>
        </row>
        <row r="122">
          <cell r="E122" t="str">
            <v>D26000074</v>
          </cell>
          <cell r="AP122">
            <v>0</v>
          </cell>
          <cell r="AQ122">
            <v>0</v>
          </cell>
          <cell r="AV122">
            <v>0</v>
          </cell>
        </row>
        <row r="123">
          <cell r="E123" t="str">
            <v>D26000098</v>
          </cell>
          <cell r="AP123">
            <v>0</v>
          </cell>
          <cell r="AQ123">
            <v>0</v>
          </cell>
          <cell r="AV123">
            <v>0</v>
          </cell>
        </row>
        <row r="124">
          <cell r="E124" t="str">
            <v>D26000109</v>
          </cell>
          <cell r="AP124">
            <v>0</v>
          </cell>
          <cell r="AQ124">
            <v>0</v>
          </cell>
          <cell r="AV124">
            <v>0</v>
          </cell>
        </row>
        <row r="125">
          <cell r="E125" t="str">
            <v>D26000207</v>
          </cell>
          <cell r="AP125">
            <v>0</v>
          </cell>
          <cell r="AQ125">
            <v>0</v>
          </cell>
          <cell r="AV125">
            <v>0</v>
          </cell>
        </row>
        <row r="126">
          <cell r="E126" t="str">
            <v>B26000766</v>
          </cell>
          <cell r="AP126">
            <v>0</v>
          </cell>
          <cell r="AQ126">
            <v>0</v>
          </cell>
          <cell r="AV126">
            <v>0</v>
          </cell>
        </row>
        <row r="127">
          <cell r="E127" t="str">
            <v>D26001183</v>
          </cell>
          <cell r="AP127">
            <v>0</v>
          </cell>
          <cell r="AQ127">
            <v>0</v>
          </cell>
          <cell r="AV127">
            <v>0</v>
          </cell>
        </row>
        <row r="128">
          <cell r="E128" t="str">
            <v>B26001162</v>
          </cell>
          <cell r="AP128">
            <v>0</v>
          </cell>
          <cell r="AQ128">
            <v>0</v>
          </cell>
          <cell r="AV128">
            <v>0</v>
          </cell>
        </row>
        <row r="129">
          <cell r="E129" t="str">
            <v>B26001461</v>
          </cell>
          <cell r="AP129">
            <v>0</v>
          </cell>
          <cell r="AQ129">
            <v>0</v>
          </cell>
          <cell r="AV129">
            <v>0</v>
          </cell>
        </row>
        <row r="130">
          <cell r="E130" t="str">
            <v>D26000288</v>
          </cell>
          <cell r="AP130">
            <v>0</v>
          </cell>
          <cell r="AQ130">
            <v>0</v>
          </cell>
          <cell r="AV130">
            <v>0</v>
          </cell>
        </row>
        <row r="131">
          <cell r="E131" t="str">
            <v>B26001492</v>
          </cell>
          <cell r="AP131">
            <v>0</v>
          </cell>
          <cell r="AQ131">
            <v>0</v>
          </cell>
          <cell r="AV131">
            <v>0</v>
          </cell>
        </row>
        <row r="132">
          <cell r="E132" t="str">
            <v>D26001216</v>
          </cell>
          <cell r="AP132">
            <v>0</v>
          </cell>
          <cell r="AQ132">
            <v>0</v>
          </cell>
          <cell r="AV132">
            <v>0</v>
          </cell>
        </row>
        <row r="133">
          <cell r="E133" t="str">
            <v>B26001011</v>
          </cell>
          <cell r="AP133">
            <v>0</v>
          </cell>
          <cell r="AQ133">
            <v>0</v>
          </cell>
          <cell r="AV133">
            <v>0</v>
          </cell>
        </row>
        <row r="134">
          <cell r="E134" t="str">
            <v>B26001114</v>
          </cell>
          <cell r="AP134">
            <v>0</v>
          </cell>
          <cell r="AQ134">
            <v>0</v>
          </cell>
          <cell r="AV134">
            <v>0</v>
          </cell>
        </row>
        <row r="135">
          <cell r="E135" t="str">
            <v>L23000053</v>
          </cell>
          <cell r="AP135">
            <v>0</v>
          </cell>
          <cell r="AQ135">
            <v>0</v>
          </cell>
          <cell r="AV135">
            <v>0</v>
          </cell>
        </row>
        <row r="136">
          <cell r="E136" t="str">
            <v>D24005367</v>
          </cell>
          <cell r="AP136">
            <v>0</v>
          </cell>
          <cell r="AQ136">
            <v>0</v>
          </cell>
          <cell r="AV136">
            <v>0</v>
          </cell>
        </row>
        <row r="137">
          <cell r="E137" t="str">
            <v>D26000611</v>
          </cell>
          <cell r="AP137">
            <v>0</v>
          </cell>
          <cell r="AQ137">
            <v>0</v>
          </cell>
          <cell r="AV137">
            <v>0</v>
          </cell>
        </row>
        <row r="138">
          <cell r="E138" t="str">
            <v>D25017086</v>
          </cell>
          <cell r="AP138">
            <v>0</v>
          </cell>
          <cell r="AQ138">
            <v>0</v>
          </cell>
          <cell r="AV138">
            <v>0</v>
          </cell>
        </row>
        <row r="139">
          <cell r="E139" t="str">
            <v>D25018288</v>
          </cell>
          <cell r="AP139">
            <v>0</v>
          </cell>
          <cell r="AQ139">
            <v>0</v>
          </cell>
          <cell r="AV139">
            <v>0</v>
          </cell>
        </row>
        <row r="140">
          <cell r="E140" t="str">
            <v>B25016797</v>
          </cell>
          <cell r="AP140">
            <v>0</v>
          </cell>
          <cell r="AQ140">
            <v>0</v>
          </cell>
          <cell r="AV140">
            <v>0</v>
          </cell>
        </row>
        <row r="141">
          <cell r="E141" t="str">
            <v>B26000117</v>
          </cell>
          <cell r="AP141">
            <v>0</v>
          </cell>
          <cell r="AQ141">
            <v>0</v>
          </cell>
          <cell r="AV141">
            <v>0</v>
          </cell>
        </row>
        <row r="142">
          <cell r="E142" t="str">
            <v>B26000136</v>
          </cell>
          <cell r="AP142">
            <v>0</v>
          </cell>
          <cell r="AQ142">
            <v>0</v>
          </cell>
          <cell r="AV142">
            <v>0</v>
          </cell>
        </row>
        <row r="143">
          <cell r="E143" t="str">
            <v>D26000208</v>
          </cell>
          <cell r="AP143">
            <v>0</v>
          </cell>
          <cell r="AQ143">
            <v>0</v>
          </cell>
          <cell r="AV143">
            <v>0</v>
          </cell>
        </row>
        <row r="144">
          <cell r="E144" t="str">
            <v>D26000330</v>
          </cell>
          <cell r="AP144">
            <v>0</v>
          </cell>
          <cell r="AQ144">
            <v>0</v>
          </cell>
          <cell r="AV144">
            <v>0</v>
          </cell>
        </row>
        <row r="145">
          <cell r="E145" t="str">
            <v>B26000590</v>
          </cell>
          <cell r="AP145">
            <v>0</v>
          </cell>
          <cell r="AQ145">
            <v>0</v>
          </cell>
          <cell r="AV145">
            <v>0</v>
          </cell>
        </row>
        <row r="146">
          <cell r="E146" t="str">
            <v>D26001033</v>
          </cell>
          <cell r="AP146">
            <v>0</v>
          </cell>
          <cell r="AQ146">
            <v>0</v>
          </cell>
          <cell r="AV146">
            <v>0</v>
          </cell>
        </row>
        <row r="147">
          <cell r="E147" t="str">
            <v>D26001256</v>
          </cell>
          <cell r="AP147">
            <v>0</v>
          </cell>
          <cell r="AQ147">
            <v>0</v>
          </cell>
          <cell r="AV147">
            <v>0</v>
          </cell>
        </row>
        <row r="148">
          <cell r="E148" t="str">
            <v>B26001599</v>
          </cell>
          <cell r="AP148">
            <v>0</v>
          </cell>
          <cell r="AQ148">
            <v>0</v>
          </cell>
          <cell r="AV148">
            <v>0</v>
          </cell>
        </row>
        <row r="149">
          <cell r="E149" t="str">
            <v>D25017360</v>
          </cell>
          <cell r="AP149">
            <v>0</v>
          </cell>
          <cell r="AQ149">
            <v>0</v>
          </cell>
          <cell r="AV149">
            <v>0</v>
          </cell>
        </row>
        <row r="150">
          <cell r="E150" t="str">
            <v>B25015079</v>
          </cell>
          <cell r="AP150">
            <v>0</v>
          </cell>
          <cell r="AQ150">
            <v>0</v>
          </cell>
          <cell r="AV150">
            <v>0</v>
          </cell>
        </row>
        <row r="151">
          <cell r="E151" t="str">
            <v>D25017962</v>
          </cell>
          <cell r="AP151">
            <v>0</v>
          </cell>
          <cell r="AQ151">
            <v>0</v>
          </cell>
          <cell r="AV151">
            <v>0</v>
          </cell>
        </row>
        <row r="152">
          <cell r="E152" t="str">
            <v>D25018362</v>
          </cell>
          <cell r="AP152">
            <v>0</v>
          </cell>
          <cell r="AQ152">
            <v>0</v>
          </cell>
          <cell r="AV152">
            <v>0</v>
          </cell>
        </row>
        <row r="153">
          <cell r="E153" t="str">
            <v>B25016342</v>
          </cell>
          <cell r="AP153">
            <v>0</v>
          </cell>
          <cell r="AQ153">
            <v>0</v>
          </cell>
          <cell r="AV153">
            <v>0</v>
          </cell>
        </row>
        <row r="154">
          <cell r="E154" t="str">
            <v>D25018975</v>
          </cell>
          <cell r="AP154">
            <v>0</v>
          </cell>
          <cell r="AQ154">
            <v>0</v>
          </cell>
          <cell r="AV154">
            <v>0</v>
          </cell>
        </row>
        <row r="155">
          <cell r="E155" t="str">
            <v>D25019037</v>
          </cell>
          <cell r="AP155">
            <v>0</v>
          </cell>
          <cell r="AQ155">
            <v>0</v>
          </cell>
          <cell r="AV155">
            <v>0</v>
          </cell>
        </row>
        <row r="156">
          <cell r="E156" t="str">
            <v>D25019124</v>
          </cell>
          <cell r="AP156">
            <v>0</v>
          </cell>
          <cell r="AQ156">
            <v>0</v>
          </cell>
          <cell r="AV156">
            <v>0</v>
          </cell>
        </row>
        <row r="157">
          <cell r="E157" t="str">
            <v>B25016713</v>
          </cell>
          <cell r="AP157">
            <v>0</v>
          </cell>
          <cell r="AQ157">
            <v>0</v>
          </cell>
          <cell r="AV157">
            <v>0</v>
          </cell>
        </row>
        <row r="158">
          <cell r="E158" t="str">
            <v>D25019220</v>
          </cell>
          <cell r="AP158">
            <v>0</v>
          </cell>
          <cell r="AQ158">
            <v>0</v>
          </cell>
          <cell r="AV158">
            <v>0</v>
          </cell>
        </row>
        <row r="159">
          <cell r="E159" t="str">
            <v>D25019249</v>
          </cell>
          <cell r="AP159">
            <v>0</v>
          </cell>
          <cell r="AQ159">
            <v>0</v>
          </cell>
          <cell r="AV159">
            <v>0</v>
          </cell>
        </row>
        <row r="160">
          <cell r="E160" t="str">
            <v>D25019291</v>
          </cell>
          <cell r="AP160">
            <v>0</v>
          </cell>
          <cell r="AQ160">
            <v>0</v>
          </cell>
          <cell r="AV160">
            <v>0</v>
          </cell>
        </row>
        <row r="161">
          <cell r="E161" t="str">
            <v>D25019449</v>
          </cell>
          <cell r="AP161">
            <v>0</v>
          </cell>
          <cell r="AQ161">
            <v>0</v>
          </cell>
          <cell r="AV161">
            <v>0</v>
          </cell>
        </row>
        <row r="162">
          <cell r="E162" t="str">
            <v>B26000018</v>
          </cell>
          <cell r="AP162">
            <v>0</v>
          </cell>
          <cell r="AQ162">
            <v>0</v>
          </cell>
          <cell r="AV162">
            <v>0</v>
          </cell>
        </row>
        <row r="163">
          <cell r="E163" t="str">
            <v>B26000036</v>
          </cell>
          <cell r="AP163">
            <v>0</v>
          </cell>
          <cell r="AQ163">
            <v>0</v>
          </cell>
          <cell r="AV163">
            <v>0</v>
          </cell>
        </row>
        <row r="164">
          <cell r="E164" t="str">
            <v>D26000067</v>
          </cell>
          <cell r="AP164">
            <v>0</v>
          </cell>
          <cell r="AQ164">
            <v>0</v>
          </cell>
          <cell r="AV164">
            <v>0</v>
          </cell>
        </row>
        <row r="165">
          <cell r="E165" t="str">
            <v>B26000277</v>
          </cell>
          <cell r="AP165">
            <v>0</v>
          </cell>
          <cell r="AQ165">
            <v>0</v>
          </cell>
          <cell r="AV165">
            <v>0</v>
          </cell>
        </row>
        <row r="166">
          <cell r="E166" t="str">
            <v>B26000503</v>
          </cell>
          <cell r="AP166">
            <v>0</v>
          </cell>
          <cell r="AQ166">
            <v>0</v>
          </cell>
          <cell r="AV166">
            <v>0</v>
          </cell>
        </row>
        <row r="167">
          <cell r="E167" t="str">
            <v>D26000639</v>
          </cell>
          <cell r="AP167">
            <v>0</v>
          </cell>
          <cell r="AQ167">
            <v>0</v>
          </cell>
          <cell r="AV167">
            <v>0</v>
          </cell>
        </row>
        <row r="168">
          <cell r="E168" t="str">
            <v>D26000680</v>
          </cell>
          <cell r="AP168">
            <v>0</v>
          </cell>
          <cell r="AQ168">
            <v>0</v>
          </cell>
          <cell r="AV168">
            <v>0</v>
          </cell>
        </row>
        <row r="169">
          <cell r="E169" t="str">
            <v>D26000704</v>
          </cell>
          <cell r="AP169">
            <v>0</v>
          </cell>
          <cell r="AQ169">
            <v>0</v>
          </cell>
          <cell r="AV169">
            <v>0</v>
          </cell>
        </row>
        <row r="170">
          <cell r="E170" t="str">
            <v>D26001245</v>
          </cell>
          <cell r="AP170">
            <v>0</v>
          </cell>
          <cell r="AQ170">
            <v>0</v>
          </cell>
          <cell r="AV170">
            <v>0</v>
          </cell>
        </row>
        <row r="171">
          <cell r="E171" t="str">
            <v>D26001249</v>
          </cell>
          <cell r="AP171">
            <v>0</v>
          </cell>
          <cell r="AQ171">
            <v>0</v>
          </cell>
          <cell r="AV171">
            <v>0</v>
          </cell>
        </row>
        <row r="172">
          <cell r="E172" t="str">
            <v>D26001321</v>
          </cell>
          <cell r="AP172">
            <v>0</v>
          </cell>
          <cell r="AQ172">
            <v>0</v>
          </cell>
          <cell r="AV172">
            <v>0</v>
          </cell>
        </row>
        <row r="173">
          <cell r="E173" t="str">
            <v>D26001350</v>
          </cell>
          <cell r="AP173">
            <v>0</v>
          </cell>
          <cell r="AQ173">
            <v>0</v>
          </cell>
          <cell r="AV173">
            <v>0</v>
          </cell>
        </row>
        <row r="174">
          <cell r="E174" t="str">
            <v>B26001535</v>
          </cell>
          <cell r="AP174">
            <v>0</v>
          </cell>
          <cell r="AQ174">
            <v>0</v>
          </cell>
          <cell r="AV174">
            <v>0</v>
          </cell>
        </row>
        <row r="175">
          <cell r="E175" t="str">
            <v>D26001617</v>
          </cell>
          <cell r="AP175">
            <v>0</v>
          </cell>
          <cell r="AQ175">
            <v>0</v>
          </cell>
          <cell r="AV175">
            <v>0</v>
          </cell>
        </row>
        <row r="176">
          <cell r="E176" t="str">
            <v>D26000079</v>
          </cell>
          <cell r="AP176">
            <v>0</v>
          </cell>
          <cell r="AQ176">
            <v>0</v>
          </cell>
          <cell r="AV176">
            <v>0</v>
          </cell>
        </row>
        <row r="177">
          <cell r="E177" t="str">
            <v>Z26000280</v>
          </cell>
          <cell r="AP177">
            <v>0</v>
          </cell>
          <cell r="AQ177">
            <v>0</v>
          </cell>
          <cell r="AV177">
            <v>0</v>
          </cell>
        </row>
        <row r="178">
          <cell r="E178" t="str">
            <v>Z26000281</v>
          </cell>
          <cell r="AP178">
            <v>0</v>
          </cell>
          <cell r="AQ178">
            <v>0</v>
          </cell>
          <cell r="AV178">
            <v>0</v>
          </cell>
        </row>
        <row r="179">
          <cell r="E179" t="str">
            <v>T25000256</v>
          </cell>
          <cell r="AP179">
            <v>0</v>
          </cell>
          <cell r="AQ179">
            <v>0</v>
          </cell>
          <cell r="AV179">
            <v>0</v>
          </cell>
        </row>
        <row r="180">
          <cell r="E180" t="str">
            <v>D25013188</v>
          </cell>
          <cell r="AP180">
            <v>0</v>
          </cell>
          <cell r="AQ180">
            <v>0</v>
          </cell>
          <cell r="AV180">
            <v>0</v>
          </cell>
        </row>
        <row r="181">
          <cell r="E181" t="str">
            <v>D25013189</v>
          </cell>
          <cell r="AP181">
            <v>0</v>
          </cell>
          <cell r="AQ181">
            <v>0</v>
          </cell>
          <cell r="AV181">
            <v>0</v>
          </cell>
        </row>
        <row r="182">
          <cell r="E182" t="str">
            <v>D25014399</v>
          </cell>
          <cell r="AP182">
            <v>0</v>
          </cell>
          <cell r="AQ182">
            <v>0</v>
          </cell>
          <cell r="AV182">
            <v>0</v>
          </cell>
        </row>
        <row r="183">
          <cell r="E183" t="str">
            <v>D25014400</v>
          </cell>
          <cell r="AP183">
            <v>0</v>
          </cell>
          <cell r="AQ183">
            <v>0</v>
          </cell>
          <cell r="AV183">
            <v>0</v>
          </cell>
        </row>
        <row r="184">
          <cell r="E184" t="str">
            <v>D25014400</v>
          </cell>
          <cell r="AP184">
            <v>0</v>
          </cell>
          <cell r="AQ184">
            <v>0</v>
          </cell>
          <cell r="AV184">
            <v>0</v>
          </cell>
        </row>
        <row r="185">
          <cell r="E185" t="str">
            <v>D25014401</v>
          </cell>
          <cell r="AP185">
            <v>0</v>
          </cell>
          <cell r="AQ185">
            <v>0</v>
          </cell>
          <cell r="AV185">
            <v>0</v>
          </cell>
        </row>
        <row r="186">
          <cell r="E186" t="str">
            <v>D25014402</v>
          </cell>
          <cell r="AP186">
            <v>0</v>
          </cell>
          <cell r="AQ186">
            <v>0</v>
          </cell>
          <cell r="AV186">
            <v>0</v>
          </cell>
        </row>
        <row r="187">
          <cell r="E187" t="str">
            <v>D25014565</v>
          </cell>
          <cell r="AP187">
            <v>0</v>
          </cell>
          <cell r="AQ187">
            <v>0</v>
          </cell>
          <cell r="AV187">
            <v>0</v>
          </cell>
        </row>
        <row r="188">
          <cell r="E188" t="str">
            <v>D25015128</v>
          </cell>
          <cell r="AP188">
            <v>0</v>
          </cell>
          <cell r="AQ188">
            <v>0</v>
          </cell>
          <cell r="AV188">
            <v>0</v>
          </cell>
        </row>
        <row r="189">
          <cell r="E189" t="str">
            <v>D25015391</v>
          </cell>
          <cell r="AP189">
            <v>0</v>
          </cell>
          <cell r="AQ189">
            <v>0</v>
          </cell>
          <cell r="AV189">
            <v>0</v>
          </cell>
        </row>
        <row r="190">
          <cell r="E190" t="str">
            <v>D25015392</v>
          </cell>
          <cell r="AP190">
            <v>0</v>
          </cell>
          <cell r="AQ190">
            <v>0</v>
          </cell>
          <cell r="AV190">
            <v>0</v>
          </cell>
        </row>
        <row r="191">
          <cell r="E191" t="str">
            <v>B25013376</v>
          </cell>
          <cell r="AP191">
            <v>0</v>
          </cell>
          <cell r="AQ191">
            <v>0</v>
          </cell>
          <cell r="AV191">
            <v>0</v>
          </cell>
        </row>
        <row r="192">
          <cell r="E192" t="str">
            <v>B25013376</v>
          </cell>
          <cell r="AP192">
            <v>0</v>
          </cell>
          <cell r="AQ192">
            <v>0</v>
          </cell>
          <cell r="AV192">
            <v>0</v>
          </cell>
        </row>
        <row r="193">
          <cell r="E193" t="str">
            <v>B25013377</v>
          </cell>
          <cell r="AP193">
            <v>0</v>
          </cell>
          <cell r="AQ193">
            <v>0</v>
          </cell>
          <cell r="AV193">
            <v>0</v>
          </cell>
        </row>
        <row r="194">
          <cell r="E194" t="str">
            <v>D25015771</v>
          </cell>
          <cell r="AP194">
            <v>0</v>
          </cell>
          <cell r="AQ194">
            <v>0</v>
          </cell>
          <cell r="AV194">
            <v>0</v>
          </cell>
        </row>
        <row r="195">
          <cell r="E195" t="str">
            <v>D25015841</v>
          </cell>
          <cell r="AP195">
            <v>0</v>
          </cell>
          <cell r="AQ195">
            <v>0</v>
          </cell>
          <cell r="AV195">
            <v>0</v>
          </cell>
        </row>
        <row r="196">
          <cell r="E196" t="str">
            <v>D25015841</v>
          </cell>
          <cell r="AP196">
            <v>0</v>
          </cell>
          <cell r="AQ196">
            <v>0</v>
          </cell>
          <cell r="AV196">
            <v>0</v>
          </cell>
        </row>
        <row r="197">
          <cell r="E197" t="str">
            <v>D25015855</v>
          </cell>
          <cell r="AP197">
            <v>0</v>
          </cell>
          <cell r="AQ197">
            <v>0</v>
          </cell>
          <cell r="AV197">
            <v>0</v>
          </cell>
        </row>
        <row r="198">
          <cell r="E198" t="str">
            <v>D25016189</v>
          </cell>
          <cell r="AP198">
            <v>0</v>
          </cell>
          <cell r="AQ198">
            <v>0</v>
          </cell>
          <cell r="AV198">
            <v>0</v>
          </cell>
        </row>
        <row r="199">
          <cell r="E199" t="str">
            <v>D25016189</v>
          </cell>
          <cell r="AP199">
            <v>0</v>
          </cell>
          <cell r="AQ199">
            <v>0</v>
          </cell>
          <cell r="AV199">
            <v>0</v>
          </cell>
        </row>
        <row r="200">
          <cell r="E200" t="str">
            <v>D25016190</v>
          </cell>
          <cell r="AP200">
            <v>0</v>
          </cell>
          <cell r="AQ200">
            <v>0</v>
          </cell>
          <cell r="AV200">
            <v>0</v>
          </cell>
        </row>
        <row r="201">
          <cell r="E201" t="str">
            <v>D25016190</v>
          </cell>
          <cell r="AP201">
            <v>0</v>
          </cell>
          <cell r="AQ201">
            <v>0</v>
          </cell>
          <cell r="AV201">
            <v>0</v>
          </cell>
        </row>
        <row r="202">
          <cell r="E202" t="str">
            <v>D25016190</v>
          </cell>
          <cell r="AP202">
            <v>0</v>
          </cell>
          <cell r="AQ202">
            <v>0</v>
          </cell>
          <cell r="AV202">
            <v>0</v>
          </cell>
        </row>
        <row r="203">
          <cell r="E203" t="str">
            <v>D25016191</v>
          </cell>
          <cell r="AP203">
            <v>0</v>
          </cell>
          <cell r="AQ203">
            <v>0</v>
          </cell>
          <cell r="AV203">
            <v>0</v>
          </cell>
        </row>
        <row r="204">
          <cell r="E204" t="str">
            <v>D25016191</v>
          </cell>
          <cell r="AP204">
            <v>0</v>
          </cell>
          <cell r="AQ204">
            <v>0</v>
          </cell>
          <cell r="AV204">
            <v>0</v>
          </cell>
        </row>
        <row r="205">
          <cell r="E205" t="str">
            <v>D25016191</v>
          </cell>
          <cell r="AP205">
            <v>0</v>
          </cell>
          <cell r="AQ205">
            <v>0</v>
          </cell>
          <cell r="AV205">
            <v>0</v>
          </cell>
        </row>
        <row r="206">
          <cell r="E206" t="str">
            <v>D25016191</v>
          </cell>
          <cell r="AP206">
            <v>0</v>
          </cell>
          <cell r="AQ206">
            <v>0</v>
          </cell>
          <cell r="AV206">
            <v>0</v>
          </cell>
        </row>
        <row r="207">
          <cell r="E207" t="str">
            <v>D25016198</v>
          </cell>
          <cell r="AP207">
            <v>0</v>
          </cell>
          <cell r="AQ207">
            <v>0</v>
          </cell>
          <cell r="AV207">
            <v>0</v>
          </cell>
        </row>
        <row r="208">
          <cell r="E208" t="str">
            <v>D25016443</v>
          </cell>
          <cell r="AP208">
            <v>0</v>
          </cell>
          <cell r="AQ208">
            <v>0</v>
          </cell>
          <cell r="AV208">
            <v>0</v>
          </cell>
        </row>
        <row r="209">
          <cell r="E209" t="str">
            <v>B25014324</v>
          </cell>
          <cell r="AP209">
            <v>0</v>
          </cell>
          <cell r="AQ209">
            <v>0</v>
          </cell>
          <cell r="AV209">
            <v>0</v>
          </cell>
        </row>
        <row r="210">
          <cell r="E210" t="str">
            <v>B25014324</v>
          </cell>
          <cell r="AP210">
            <v>0</v>
          </cell>
          <cell r="AQ210">
            <v>0</v>
          </cell>
          <cell r="AV210">
            <v>0</v>
          </cell>
        </row>
        <row r="211">
          <cell r="E211" t="str">
            <v>B25014325</v>
          </cell>
          <cell r="AP211">
            <v>0</v>
          </cell>
          <cell r="AQ211">
            <v>0</v>
          </cell>
          <cell r="AV211">
            <v>0</v>
          </cell>
        </row>
        <row r="212">
          <cell r="E212" t="str">
            <v>B25014325</v>
          </cell>
          <cell r="AP212">
            <v>0</v>
          </cell>
          <cell r="AQ212">
            <v>0</v>
          </cell>
          <cell r="AV212">
            <v>0</v>
          </cell>
        </row>
        <row r="213">
          <cell r="E213" t="str">
            <v>B25014326</v>
          </cell>
          <cell r="AP213">
            <v>0</v>
          </cell>
          <cell r="AQ213">
            <v>0</v>
          </cell>
          <cell r="AV213">
            <v>0</v>
          </cell>
        </row>
        <row r="214">
          <cell r="E214" t="str">
            <v>B25014326</v>
          </cell>
          <cell r="AP214">
            <v>0</v>
          </cell>
          <cell r="AQ214">
            <v>0</v>
          </cell>
          <cell r="AV214">
            <v>0</v>
          </cell>
        </row>
        <row r="215">
          <cell r="E215" t="str">
            <v>D25016655</v>
          </cell>
          <cell r="AP215">
            <v>0</v>
          </cell>
          <cell r="AQ215">
            <v>0</v>
          </cell>
          <cell r="AV215">
            <v>0</v>
          </cell>
        </row>
        <row r="216">
          <cell r="E216" t="str">
            <v>D25016794</v>
          </cell>
          <cell r="AP216">
            <v>0</v>
          </cell>
          <cell r="AQ216">
            <v>0</v>
          </cell>
          <cell r="AV216">
            <v>0</v>
          </cell>
        </row>
        <row r="217">
          <cell r="E217" t="str">
            <v>D25016795</v>
          </cell>
          <cell r="AP217">
            <v>0</v>
          </cell>
          <cell r="AQ217">
            <v>0</v>
          </cell>
          <cell r="AV217">
            <v>0</v>
          </cell>
        </row>
        <row r="218">
          <cell r="E218" t="str">
            <v>D25016961</v>
          </cell>
          <cell r="AP218">
            <v>0</v>
          </cell>
          <cell r="AQ218">
            <v>0</v>
          </cell>
          <cell r="AV218">
            <v>0</v>
          </cell>
        </row>
        <row r="219">
          <cell r="E219" t="str">
            <v>D25016961</v>
          </cell>
          <cell r="AP219">
            <v>0</v>
          </cell>
          <cell r="AQ219">
            <v>0</v>
          </cell>
          <cell r="AV219">
            <v>0</v>
          </cell>
        </row>
        <row r="220">
          <cell r="E220" t="str">
            <v>D25016961</v>
          </cell>
          <cell r="AP220">
            <v>0</v>
          </cell>
          <cell r="AQ220">
            <v>0</v>
          </cell>
          <cell r="AV220">
            <v>0</v>
          </cell>
        </row>
        <row r="221">
          <cell r="E221" t="str">
            <v>D25016963</v>
          </cell>
          <cell r="AP221">
            <v>0</v>
          </cell>
          <cell r="AQ221">
            <v>0</v>
          </cell>
          <cell r="AV221">
            <v>0</v>
          </cell>
        </row>
        <row r="222">
          <cell r="E222" t="str">
            <v>D25016964</v>
          </cell>
          <cell r="AP222">
            <v>0</v>
          </cell>
          <cell r="AQ222">
            <v>0</v>
          </cell>
          <cell r="AV222">
            <v>0</v>
          </cell>
        </row>
        <row r="223">
          <cell r="E223" t="str">
            <v>D25016964</v>
          </cell>
          <cell r="AP223">
            <v>0</v>
          </cell>
          <cell r="AQ223">
            <v>0</v>
          </cell>
          <cell r="AV223">
            <v>0</v>
          </cell>
        </row>
        <row r="224">
          <cell r="E224" t="str">
            <v>D25016965</v>
          </cell>
          <cell r="AP224">
            <v>0</v>
          </cell>
          <cell r="AQ224">
            <v>0</v>
          </cell>
          <cell r="AV224">
            <v>0</v>
          </cell>
        </row>
        <row r="225">
          <cell r="E225" t="str">
            <v>D25016965</v>
          </cell>
          <cell r="AP225">
            <v>0</v>
          </cell>
          <cell r="AQ225">
            <v>0</v>
          </cell>
          <cell r="AV225">
            <v>0</v>
          </cell>
        </row>
        <row r="226">
          <cell r="E226" t="str">
            <v>D25016965</v>
          </cell>
          <cell r="AP226">
            <v>0</v>
          </cell>
          <cell r="AQ226">
            <v>0</v>
          </cell>
          <cell r="AV226">
            <v>0</v>
          </cell>
        </row>
        <row r="227">
          <cell r="E227" t="str">
            <v>D25016965</v>
          </cell>
          <cell r="AP227">
            <v>0</v>
          </cell>
          <cell r="AQ227">
            <v>0</v>
          </cell>
          <cell r="AV227">
            <v>0</v>
          </cell>
        </row>
        <row r="228">
          <cell r="E228" t="str">
            <v>D25017219</v>
          </cell>
          <cell r="AP228">
            <v>0</v>
          </cell>
          <cell r="AQ228">
            <v>0</v>
          </cell>
          <cell r="AV228">
            <v>0</v>
          </cell>
        </row>
        <row r="229">
          <cell r="E229" t="str">
            <v>D25017219</v>
          </cell>
          <cell r="AP229">
            <v>0</v>
          </cell>
          <cell r="AQ229">
            <v>0</v>
          </cell>
          <cell r="AV229">
            <v>0</v>
          </cell>
        </row>
        <row r="230">
          <cell r="E230" t="str">
            <v>D25017238</v>
          </cell>
          <cell r="AP230">
            <v>0</v>
          </cell>
          <cell r="AQ230">
            <v>0</v>
          </cell>
          <cell r="AV230">
            <v>0</v>
          </cell>
        </row>
        <row r="231">
          <cell r="E231" t="str">
            <v>D25017238</v>
          </cell>
          <cell r="AP231">
            <v>0</v>
          </cell>
          <cell r="AQ231">
            <v>0</v>
          </cell>
          <cell r="AV231">
            <v>0</v>
          </cell>
        </row>
        <row r="232">
          <cell r="E232" t="str">
            <v>D25017238</v>
          </cell>
          <cell r="AP232">
            <v>0</v>
          </cell>
          <cell r="AQ232">
            <v>0</v>
          </cell>
          <cell r="AV232">
            <v>0</v>
          </cell>
        </row>
        <row r="233">
          <cell r="E233" t="str">
            <v>D25017238</v>
          </cell>
          <cell r="AP233">
            <v>0</v>
          </cell>
          <cell r="AQ233">
            <v>0</v>
          </cell>
          <cell r="AV233">
            <v>0</v>
          </cell>
        </row>
        <row r="234">
          <cell r="E234" t="str">
            <v>D25017452</v>
          </cell>
          <cell r="AP234">
            <v>0</v>
          </cell>
          <cell r="AQ234">
            <v>0</v>
          </cell>
          <cell r="AV234">
            <v>0</v>
          </cell>
        </row>
        <row r="235">
          <cell r="E235" t="str">
            <v>D25017452</v>
          </cell>
          <cell r="AP235">
            <v>0</v>
          </cell>
          <cell r="AQ235">
            <v>0</v>
          </cell>
          <cell r="AV235">
            <v>0</v>
          </cell>
        </row>
        <row r="236">
          <cell r="E236" t="str">
            <v>D25017452</v>
          </cell>
          <cell r="AP236">
            <v>0</v>
          </cell>
          <cell r="AQ236">
            <v>0</v>
          </cell>
          <cell r="AV236">
            <v>0</v>
          </cell>
        </row>
        <row r="237">
          <cell r="E237" t="str">
            <v>D25017452</v>
          </cell>
          <cell r="AP237">
            <v>0</v>
          </cell>
          <cell r="AQ237">
            <v>0</v>
          </cell>
          <cell r="AV237">
            <v>0</v>
          </cell>
        </row>
        <row r="238">
          <cell r="E238" t="str">
            <v>D25017453</v>
          </cell>
          <cell r="AP238">
            <v>0</v>
          </cell>
          <cell r="AQ238">
            <v>0</v>
          </cell>
          <cell r="AV238">
            <v>0</v>
          </cell>
        </row>
        <row r="239">
          <cell r="E239" t="str">
            <v>D25017788</v>
          </cell>
          <cell r="AP239">
            <v>0</v>
          </cell>
          <cell r="AQ239">
            <v>0</v>
          </cell>
          <cell r="AV239">
            <v>0</v>
          </cell>
        </row>
        <row r="240">
          <cell r="E240" t="str">
            <v>D25017788</v>
          </cell>
          <cell r="AP240">
            <v>0</v>
          </cell>
          <cell r="AQ240">
            <v>0</v>
          </cell>
          <cell r="AV240">
            <v>0</v>
          </cell>
        </row>
        <row r="241">
          <cell r="E241" t="str">
            <v>D25017788</v>
          </cell>
          <cell r="AP241">
            <v>0</v>
          </cell>
          <cell r="AQ241">
            <v>0</v>
          </cell>
          <cell r="AV241">
            <v>0</v>
          </cell>
        </row>
        <row r="242">
          <cell r="E242" t="str">
            <v>D25017788</v>
          </cell>
          <cell r="AP242">
            <v>0</v>
          </cell>
          <cell r="AQ242">
            <v>0</v>
          </cell>
          <cell r="AV242">
            <v>0</v>
          </cell>
        </row>
        <row r="243">
          <cell r="E243" t="str">
            <v>D25017789</v>
          </cell>
          <cell r="AP243">
            <v>0</v>
          </cell>
          <cell r="AQ243">
            <v>0</v>
          </cell>
          <cell r="AV243">
            <v>0</v>
          </cell>
        </row>
        <row r="244">
          <cell r="E244" t="str">
            <v>D25017790</v>
          </cell>
          <cell r="AP244">
            <v>0</v>
          </cell>
          <cell r="AQ244">
            <v>0</v>
          </cell>
          <cell r="AV244">
            <v>0</v>
          </cell>
        </row>
        <row r="245">
          <cell r="E245" t="str">
            <v>D25018075</v>
          </cell>
          <cell r="AP245">
            <v>0</v>
          </cell>
          <cell r="AQ245">
            <v>0</v>
          </cell>
          <cell r="AV245">
            <v>0</v>
          </cell>
        </row>
        <row r="246">
          <cell r="E246" t="str">
            <v>D25018075</v>
          </cell>
          <cell r="AP246">
            <v>0</v>
          </cell>
          <cell r="AQ246">
            <v>0</v>
          </cell>
          <cell r="AV246">
            <v>0</v>
          </cell>
        </row>
        <row r="247">
          <cell r="E247" t="str">
            <v>D25018075</v>
          </cell>
          <cell r="AP247">
            <v>0</v>
          </cell>
          <cell r="AQ247">
            <v>0</v>
          </cell>
          <cell r="AV247">
            <v>0</v>
          </cell>
        </row>
        <row r="248">
          <cell r="E248" t="str">
            <v>D25018076</v>
          </cell>
          <cell r="AP248">
            <v>0</v>
          </cell>
          <cell r="AQ248">
            <v>0</v>
          </cell>
          <cell r="AV248">
            <v>0</v>
          </cell>
        </row>
        <row r="249">
          <cell r="E249" t="str">
            <v>D25018076</v>
          </cell>
          <cell r="AP249">
            <v>0</v>
          </cell>
          <cell r="AQ249">
            <v>0</v>
          </cell>
          <cell r="AV249">
            <v>0</v>
          </cell>
        </row>
        <row r="250">
          <cell r="E250" t="str">
            <v>D25018077</v>
          </cell>
          <cell r="AP250">
            <v>0</v>
          </cell>
          <cell r="AQ250">
            <v>0</v>
          </cell>
          <cell r="AV250">
            <v>0</v>
          </cell>
        </row>
        <row r="251">
          <cell r="E251" t="str">
            <v>B25015852</v>
          </cell>
          <cell r="AP251">
            <v>0</v>
          </cell>
          <cell r="AQ251">
            <v>0</v>
          </cell>
          <cell r="AV251">
            <v>0</v>
          </cell>
        </row>
        <row r="252">
          <cell r="E252" t="str">
            <v>D25018249</v>
          </cell>
          <cell r="AP252">
            <v>0</v>
          </cell>
          <cell r="AQ252">
            <v>0</v>
          </cell>
          <cell r="AV252">
            <v>0</v>
          </cell>
        </row>
        <row r="253">
          <cell r="E253" t="str">
            <v>D25018249</v>
          </cell>
          <cell r="AP253">
            <v>0</v>
          </cell>
          <cell r="AQ253">
            <v>0</v>
          </cell>
          <cell r="AV253">
            <v>0</v>
          </cell>
        </row>
        <row r="254">
          <cell r="E254" t="str">
            <v>D25018249</v>
          </cell>
          <cell r="AP254">
            <v>0</v>
          </cell>
          <cell r="AQ254">
            <v>0</v>
          </cell>
          <cell r="AV254">
            <v>0</v>
          </cell>
        </row>
        <row r="255">
          <cell r="E255" t="str">
            <v>D25018249</v>
          </cell>
          <cell r="AP255">
            <v>0</v>
          </cell>
          <cell r="AQ255">
            <v>0</v>
          </cell>
          <cell r="AV255">
            <v>0</v>
          </cell>
        </row>
        <row r="256">
          <cell r="E256" t="str">
            <v>D25018250</v>
          </cell>
          <cell r="AP256">
            <v>0</v>
          </cell>
          <cell r="AQ256">
            <v>0</v>
          </cell>
          <cell r="AV256">
            <v>0</v>
          </cell>
        </row>
        <row r="257">
          <cell r="E257" t="str">
            <v>D25018468</v>
          </cell>
          <cell r="AP257">
            <v>0</v>
          </cell>
          <cell r="AQ257">
            <v>0</v>
          </cell>
          <cell r="AV257">
            <v>0</v>
          </cell>
        </row>
        <row r="258">
          <cell r="E258" t="str">
            <v>D25018468</v>
          </cell>
          <cell r="AP258">
            <v>0</v>
          </cell>
          <cell r="AQ258">
            <v>0</v>
          </cell>
          <cell r="AV258">
            <v>0</v>
          </cell>
        </row>
        <row r="259">
          <cell r="E259" t="str">
            <v>D25018468</v>
          </cell>
          <cell r="AP259">
            <v>0</v>
          </cell>
          <cell r="AQ259">
            <v>0</v>
          </cell>
          <cell r="AV259">
            <v>0</v>
          </cell>
        </row>
        <row r="260">
          <cell r="E260" t="str">
            <v>D25018526</v>
          </cell>
          <cell r="AP260">
            <v>0</v>
          </cell>
          <cell r="AQ260">
            <v>0</v>
          </cell>
          <cell r="AV260">
            <v>0</v>
          </cell>
        </row>
        <row r="261">
          <cell r="E261" t="str">
            <v>D25018526</v>
          </cell>
          <cell r="AP261">
            <v>0</v>
          </cell>
          <cell r="AQ261">
            <v>0</v>
          </cell>
          <cell r="AV261">
            <v>0</v>
          </cell>
        </row>
        <row r="262">
          <cell r="E262" t="str">
            <v>D25018527</v>
          </cell>
          <cell r="AP262">
            <v>0</v>
          </cell>
          <cell r="AQ262">
            <v>0</v>
          </cell>
          <cell r="AV262">
            <v>0</v>
          </cell>
        </row>
        <row r="263">
          <cell r="E263" t="str">
            <v>B25016302</v>
          </cell>
          <cell r="AP263">
            <v>0</v>
          </cell>
          <cell r="AQ263">
            <v>0</v>
          </cell>
          <cell r="AV263">
            <v>0</v>
          </cell>
        </row>
        <row r="264">
          <cell r="E264" t="str">
            <v>B25016302</v>
          </cell>
          <cell r="AP264">
            <v>0</v>
          </cell>
          <cell r="AQ264">
            <v>0</v>
          </cell>
          <cell r="AV264">
            <v>0</v>
          </cell>
        </row>
        <row r="265">
          <cell r="E265" t="str">
            <v>B25016302</v>
          </cell>
          <cell r="AP265">
            <v>0</v>
          </cell>
          <cell r="AQ265">
            <v>0</v>
          </cell>
          <cell r="AV265">
            <v>0</v>
          </cell>
        </row>
        <row r="266">
          <cell r="E266" t="str">
            <v>B25016303</v>
          </cell>
          <cell r="AP266">
            <v>0</v>
          </cell>
          <cell r="AQ266">
            <v>0</v>
          </cell>
          <cell r="AV266">
            <v>0</v>
          </cell>
        </row>
        <row r="267">
          <cell r="E267" t="str">
            <v>D25018894</v>
          </cell>
          <cell r="AP267">
            <v>0</v>
          </cell>
          <cell r="AQ267">
            <v>0</v>
          </cell>
          <cell r="AV267">
            <v>0</v>
          </cell>
        </row>
        <row r="268">
          <cell r="E268" t="str">
            <v>D25018894</v>
          </cell>
          <cell r="AP268">
            <v>0</v>
          </cell>
          <cell r="AQ268">
            <v>0</v>
          </cell>
          <cell r="AV268">
            <v>0</v>
          </cell>
        </row>
        <row r="269">
          <cell r="E269" t="str">
            <v>D25018894</v>
          </cell>
          <cell r="AP269">
            <v>0</v>
          </cell>
          <cell r="AQ269">
            <v>0</v>
          </cell>
          <cell r="AV269">
            <v>0</v>
          </cell>
        </row>
        <row r="270">
          <cell r="E270" t="str">
            <v>D25018894</v>
          </cell>
          <cell r="AP270">
            <v>0</v>
          </cell>
          <cell r="AQ270">
            <v>0</v>
          </cell>
          <cell r="AV270">
            <v>0</v>
          </cell>
        </row>
        <row r="271">
          <cell r="E271" t="str">
            <v>D25018895</v>
          </cell>
          <cell r="AP271">
            <v>0</v>
          </cell>
          <cell r="AQ271">
            <v>0</v>
          </cell>
          <cell r="AV271">
            <v>0</v>
          </cell>
        </row>
        <row r="272">
          <cell r="E272" t="str">
            <v>D25018895</v>
          </cell>
          <cell r="AP272">
            <v>0</v>
          </cell>
          <cell r="AQ272">
            <v>0</v>
          </cell>
          <cell r="AV272">
            <v>0</v>
          </cell>
        </row>
        <row r="273">
          <cell r="E273" t="str">
            <v>D25018895</v>
          </cell>
          <cell r="AP273">
            <v>0</v>
          </cell>
          <cell r="AQ273">
            <v>0</v>
          </cell>
          <cell r="AV273">
            <v>0</v>
          </cell>
        </row>
        <row r="274">
          <cell r="E274" t="str">
            <v>D25018895</v>
          </cell>
          <cell r="AP274">
            <v>0</v>
          </cell>
          <cell r="AQ274">
            <v>0</v>
          </cell>
          <cell r="AV274">
            <v>0</v>
          </cell>
        </row>
        <row r="275">
          <cell r="E275" t="str">
            <v>B25016442</v>
          </cell>
          <cell r="AP275">
            <v>0</v>
          </cell>
          <cell r="AQ275">
            <v>0</v>
          </cell>
          <cell r="AV275">
            <v>0</v>
          </cell>
        </row>
        <row r="276">
          <cell r="E276" t="str">
            <v>D25019161</v>
          </cell>
          <cell r="AP276">
            <v>0</v>
          </cell>
          <cell r="AQ276">
            <v>0</v>
          </cell>
          <cell r="AV276">
            <v>0</v>
          </cell>
        </row>
        <row r="277">
          <cell r="E277" t="str">
            <v>D25019167</v>
          </cell>
          <cell r="AP277">
            <v>0</v>
          </cell>
          <cell r="AQ277">
            <v>0</v>
          </cell>
          <cell r="AV277">
            <v>0</v>
          </cell>
        </row>
        <row r="278">
          <cell r="E278" t="str">
            <v>D25019167</v>
          </cell>
          <cell r="AP278">
            <v>0</v>
          </cell>
          <cell r="AQ278">
            <v>0</v>
          </cell>
          <cell r="AV278">
            <v>0</v>
          </cell>
        </row>
        <row r="279">
          <cell r="E279" t="str">
            <v>D25019260</v>
          </cell>
          <cell r="AP279">
            <v>0</v>
          </cell>
          <cell r="AQ279">
            <v>0</v>
          </cell>
          <cell r="AV279">
            <v>0</v>
          </cell>
        </row>
        <row r="280">
          <cell r="E280" t="str">
            <v>D25019260</v>
          </cell>
          <cell r="AP280">
            <v>0</v>
          </cell>
          <cell r="AQ280">
            <v>0</v>
          </cell>
          <cell r="AV280">
            <v>0</v>
          </cell>
        </row>
        <row r="281">
          <cell r="E281" t="str">
            <v>D25019260</v>
          </cell>
          <cell r="AP281">
            <v>0</v>
          </cell>
          <cell r="AQ281">
            <v>0</v>
          </cell>
          <cell r="AV281">
            <v>0</v>
          </cell>
        </row>
        <row r="282">
          <cell r="E282" t="str">
            <v>D25019260</v>
          </cell>
          <cell r="AP282">
            <v>0</v>
          </cell>
          <cell r="AQ282">
            <v>0</v>
          </cell>
          <cell r="AV282">
            <v>0</v>
          </cell>
        </row>
        <row r="283">
          <cell r="E283" t="str">
            <v>D25019261</v>
          </cell>
          <cell r="AP283">
            <v>0</v>
          </cell>
          <cell r="AQ283">
            <v>0</v>
          </cell>
          <cell r="AV283">
            <v>0</v>
          </cell>
        </row>
        <row r="284">
          <cell r="E284" t="str">
            <v>D25019262</v>
          </cell>
          <cell r="AP284">
            <v>0</v>
          </cell>
          <cell r="AQ284">
            <v>0</v>
          </cell>
          <cell r="AV284">
            <v>0</v>
          </cell>
        </row>
        <row r="285">
          <cell r="E285" t="str">
            <v>D25019262</v>
          </cell>
          <cell r="AP285">
            <v>0</v>
          </cell>
          <cell r="AQ285">
            <v>0</v>
          </cell>
          <cell r="AV285">
            <v>0</v>
          </cell>
        </row>
        <row r="286">
          <cell r="E286" t="str">
            <v>D25019519</v>
          </cell>
          <cell r="AP286">
            <v>0</v>
          </cell>
          <cell r="AQ286">
            <v>0</v>
          </cell>
          <cell r="AV286">
            <v>0</v>
          </cell>
        </row>
        <row r="287">
          <cell r="E287" t="str">
            <v>D25019519</v>
          </cell>
          <cell r="AP287">
            <v>0</v>
          </cell>
          <cell r="AQ287">
            <v>0</v>
          </cell>
          <cell r="AV287">
            <v>0</v>
          </cell>
        </row>
        <row r="288">
          <cell r="E288" t="str">
            <v>D25019519</v>
          </cell>
          <cell r="AP288">
            <v>0</v>
          </cell>
          <cell r="AQ288">
            <v>0</v>
          </cell>
          <cell r="AV288">
            <v>0</v>
          </cell>
        </row>
        <row r="289">
          <cell r="E289" t="str">
            <v>D25019519</v>
          </cell>
          <cell r="AP289">
            <v>0</v>
          </cell>
          <cell r="AQ289">
            <v>0</v>
          </cell>
          <cell r="AV289">
            <v>0</v>
          </cell>
        </row>
        <row r="290">
          <cell r="E290" t="str">
            <v>D25019519</v>
          </cell>
          <cell r="AP290">
            <v>0</v>
          </cell>
          <cell r="AQ290">
            <v>0</v>
          </cell>
          <cell r="AV290">
            <v>0</v>
          </cell>
        </row>
        <row r="291">
          <cell r="E291" t="str">
            <v>D25019520</v>
          </cell>
          <cell r="AP291">
            <v>0</v>
          </cell>
          <cell r="AQ291">
            <v>0</v>
          </cell>
          <cell r="AV291">
            <v>0</v>
          </cell>
        </row>
        <row r="292">
          <cell r="E292" t="str">
            <v>D25019715</v>
          </cell>
          <cell r="AP292">
            <v>0</v>
          </cell>
          <cell r="AQ292">
            <v>0</v>
          </cell>
          <cell r="AV292">
            <v>0</v>
          </cell>
        </row>
        <row r="293">
          <cell r="E293" t="str">
            <v>D25019715</v>
          </cell>
          <cell r="AP293">
            <v>0</v>
          </cell>
          <cell r="AQ293">
            <v>0</v>
          </cell>
          <cell r="AV293">
            <v>0</v>
          </cell>
        </row>
        <row r="294">
          <cell r="E294" t="str">
            <v>D25019716</v>
          </cell>
          <cell r="AP294">
            <v>0</v>
          </cell>
          <cell r="AQ294">
            <v>0</v>
          </cell>
          <cell r="AV294">
            <v>0</v>
          </cell>
        </row>
        <row r="295">
          <cell r="E295" t="str">
            <v>D25019716</v>
          </cell>
          <cell r="AP295">
            <v>0</v>
          </cell>
          <cell r="AQ295">
            <v>0</v>
          </cell>
          <cell r="AV295">
            <v>0</v>
          </cell>
        </row>
        <row r="296">
          <cell r="E296" t="str">
            <v>D26000239</v>
          </cell>
          <cell r="AP296">
            <v>0</v>
          </cell>
          <cell r="AQ296">
            <v>0</v>
          </cell>
          <cell r="AV296">
            <v>0</v>
          </cell>
        </row>
        <row r="297">
          <cell r="E297" t="str">
            <v>D26000239</v>
          </cell>
          <cell r="AP297">
            <v>0</v>
          </cell>
          <cell r="AQ297">
            <v>0</v>
          </cell>
          <cell r="AV297">
            <v>0</v>
          </cell>
        </row>
        <row r="298">
          <cell r="E298" t="str">
            <v>D26000239</v>
          </cell>
          <cell r="AP298">
            <v>0</v>
          </cell>
          <cell r="AQ298">
            <v>0</v>
          </cell>
          <cell r="AV298">
            <v>0</v>
          </cell>
        </row>
        <row r="299">
          <cell r="E299" t="str">
            <v>D26000240</v>
          </cell>
          <cell r="AP299">
            <v>0</v>
          </cell>
          <cell r="AQ299">
            <v>0</v>
          </cell>
          <cell r="AV299">
            <v>0</v>
          </cell>
        </row>
        <row r="300">
          <cell r="E300" t="str">
            <v>D26000240</v>
          </cell>
          <cell r="AP300">
            <v>0</v>
          </cell>
          <cell r="AQ300">
            <v>0</v>
          </cell>
          <cell r="AV300">
            <v>0</v>
          </cell>
        </row>
        <row r="301">
          <cell r="E301" t="str">
            <v>D26000543</v>
          </cell>
          <cell r="AP301">
            <v>0</v>
          </cell>
          <cell r="AQ301">
            <v>0</v>
          </cell>
          <cell r="AV301">
            <v>0</v>
          </cell>
        </row>
        <row r="302">
          <cell r="E302" t="str">
            <v>D26000543</v>
          </cell>
          <cell r="AP302">
            <v>0</v>
          </cell>
          <cell r="AQ302">
            <v>0</v>
          </cell>
          <cell r="AV302">
            <v>0</v>
          </cell>
        </row>
        <row r="303">
          <cell r="E303" t="str">
            <v>D26000543</v>
          </cell>
          <cell r="AP303">
            <v>0</v>
          </cell>
          <cell r="AQ303">
            <v>0</v>
          </cell>
          <cell r="AV303">
            <v>0</v>
          </cell>
        </row>
        <row r="304">
          <cell r="E304" t="str">
            <v>D26000544</v>
          </cell>
          <cell r="AP304">
            <v>0</v>
          </cell>
          <cell r="AQ304">
            <v>0</v>
          </cell>
          <cell r="AV304">
            <v>0</v>
          </cell>
        </row>
        <row r="305">
          <cell r="E305" t="str">
            <v>D26000544</v>
          </cell>
          <cell r="AP305">
            <v>0</v>
          </cell>
          <cell r="AQ305">
            <v>0</v>
          </cell>
          <cell r="AV305">
            <v>0</v>
          </cell>
        </row>
        <row r="306">
          <cell r="E306" t="str">
            <v>D26000545</v>
          </cell>
          <cell r="AP306">
            <v>0</v>
          </cell>
          <cell r="AQ306">
            <v>0</v>
          </cell>
          <cell r="AV306">
            <v>0</v>
          </cell>
        </row>
        <row r="307">
          <cell r="E307" t="str">
            <v>D26000545</v>
          </cell>
          <cell r="AP307">
            <v>0</v>
          </cell>
          <cell r="AQ307">
            <v>0</v>
          </cell>
          <cell r="AV307">
            <v>0</v>
          </cell>
        </row>
        <row r="308">
          <cell r="E308" t="str">
            <v>D26000990</v>
          </cell>
          <cell r="AP308">
            <v>0</v>
          </cell>
          <cell r="AQ308">
            <v>0</v>
          </cell>
          <cell r="AV308">
            <v>0</v>
          </cell>
        </row>
        <row r="309">
          <cell r="E309" t="str">
            <v>D26000990</v>
          </cell>
          <cell r="AP309">
            <v>0</v>
          </cell>
          <cell r="AQ309">
            <v>0</v>
          </cell>
          <cell r="AV309">
            <v>0</v>
          </cell>
        </row>
        <row r="310">
          <cell r="E310" t="str">
            <v>D26000991</v>
          </cell>
          <cell r="AP310">
            <v>0</v>
          </cell>
          <cell r="AQ310">
            <v>0</v>
          </cell>
          <cell r="AV310">
            <v>0</v>
          </cell>
        </row>
        <row r="311">
          <cell r="E311" t="str">
            <v>D26000991</v>
          </cell>
          <cell r="AP311">
            <v>0</v>
          </cell>
          <cell r="AQ311">
            <v>0</v>
          </cell>
          <cell r="AV311">
            <v>0</v>
          </cell>
        </row>
        <row r="312">
          <cell r="E312" t="str">
            <v>D26000991</v>
          </cell>
          <cell r="AP312">
            <v>0</v>
          </cell>
          <cell r="AQ312">
            <v>0</v>
          </cell>
          <cell r="AV312">
            <v>0</v>
          </cell>
        </row>
        <row r="313">
          <cell r="E313" t="str">
            <v>D26000992</v>
          </cell>
          <cell r="AP313">
            <v>0</v>
          </cell>
          <cell r="AQ313">
            <v>0</v>
          </cell>
          <cell r="AV313">
            <v>0</v>
          </cell>
        </row>
        <row r="314">
          <cell r="E314" t="str">
            <v>D26000992</v>
          </cell>
          <cell r="AP314">
            <v>0</v>
          </cell>
          <cell r="AQ314">
            <v>0</v>
          </cell>
          <cell r="AV314">
            <v>0</v>
          </cell>
        </row>
        <row r="315">
          <cell r="E315" t="str">
            <v>D26000992</v>
          </cell>
          <cell r="AP315">
            <v>0</v>
          </cell>
          <cell r="AQ315">
            <v>0</v>
          </cell>
          <cell r="AV315">
            <v>0</v>
          </cell>
        </row>
        <row r="316">
          <cell r="E316" t="str">
            <v>D26001308</v>
          </cell>
          <cell r="AP316">
            <v>0</v>
          </cell>
          <cell r="AQ316">
            <v>0</v>
          </cell>
          <cell r="AV316">
            <v>0</v>
          </cell>
        </row>
        <row r="317">
          <cell r="E317" t="str">
            <v>D26001308</v>
          </cell>
          <cell r="AP317">
            <v>0</v>
          </cell>
          <cell r="AQ317">
            <v>0</v>
          </cell>
          <cell r="AV317">
            <v>0</v>
          </cell>
        </row>
        <row r="318">
          <cell r="E318" t="str">
            <v>D26001308</v>
          </cell>
          <cell r="AP318">
            <v>0</v>
          </cell>
          <cell r="AQ318">
            <v>0</v>
          </cell>
          <cell r="AV318">
            <v>0</v>
          </cell>
        </row>
        <row r="319">
          <cell r="E319" t="str">
            <v>D26001309</v>
          </cell>
          <cell r="AP319">
            <v>0</v>
          </cell>
          <cell r="AQ319">
            <v>0</v>
          </cell>
          <cell r="AV319">
            <v>0</v>
          </cell>
        </row>
        <row r="320">
          <cell r="E320" t="str">
            <v>D26001550</v>
          </cell>
          <cell r="AP320">
            <v>0</v>
          </cell>
          <cell r="AQ320">
            <v>0</v>
          </cell>
          <cell r="AV320">
            <v>0</v>
          </cell>
        </row>
        <row r="321">
          <cell r="E321" t="str">
            <v>D26001550</v>
          </cell>
          <cell r="AP321">
            <v>0</v>
          </cell>
          <cell r="AQ321">
            <v>0</v>
          </cell>
          <cell r="AV321">
            <v>0</v>
          </cell>
        </row>
        <row r="322">
          <cell r="E322" t="str">
            <v>D26001550</v>
          </cell>
          <cell r="AP322">
            <v>0</v>
          </cell>
          <cell r="AQ322">
            <v>0</v>
          </cell>
          <cell r="AV322">
            <v>0</v>
          </cell>
        </row>
        <row r="323">
          <cell r="E323" t="str">
            <v>D26001550</v>
          </cell>
          <cell r="AP323">
            <v>0</v>
          </cell>
          <cell r="AQ323">
            <v>0</v>
          </cell>
          <cell r="AV323">
            <v>0</v>
          </cell>
        </row>
        <row r="324">
          <cell r="E324" t="str">
            <v>D26001550</v>
          </cell>
          <cell r="AP324">
            <v>0</v>
          </cell>
          <cell r="AQ324">
            <v>0</v>
          </cell>
          <cell r="AV324">
            <v>0</v>
          </cell>
        </row>
        <row r="325">
          <cell r="E325" t="str">
            <v>D26001551</v>
          </cell>
          <cell r="AP325">
            <v>0</v>
          </cell>
          <cell r="AQ325">
            <v>0</v>
          </cell>
          <cell r="AV325">
            <v>0</v>
          </cell>
        </row>
        <row r="326">
          <cell r="E326" t="str">
            <v>D26001552</v>
          </cell>
          <cell r="AP326">
            <v>0</v>
          </cell>
          <cell r="AQ326">
            <v>0</v>
          </cell>
          <cell r="AV326">
            <v>0</v>
          </cell>
        </row>
        <row r="327">
          <cell r="E327" t="str">
            <v>D26001552</v>
          </cell>
          <cell r="AP327">
            <v>0</v>
          </cell>
          <cell r="AQ327">
            <v>0</v>
          </cell>
          <cell r="AV327">
            <v>0</v>
          </cell>
        </row>
        <row r="328">
          <cell r="E328" t="str">
            <v>D26001711</v>
          </cell>
          <cell r="AP328">
            <v>0</v>
          </cell>
          <cell r="AQ328">
            <v>0</v>
          </cell>
          <cell r="AV328">
            <v>0</v>
          </cell>
        </row>
        <row r="329">
          <cell r="E329" t="str">
            <v>D26001712</v>
          </cell>
          <cell r="AP329">
            <v>0</v>
          </cell>
          <cell r="AQ329">
            <v>0</v>
          </cell>
          <cell r="AV329">
            <v>0</v>
          </cell>
        </row>
        <row r="330">
          <cell r="E330" t="str">
            <v>D26001713</v>
          </cell>
          <cell r="AP330">
            <v>0</v>
          </cell>
          <cell r="AQ330">
            <v>0</v>
          </cell>
          <cell r="AV330">
            <v>0</v>
          </cell>
        </row>
        <row r="331">
          <cell r="E331" t="str">
            <v>D25019182</v>
          </cell>
          <cell r="AP331">
            <v>0</v>
          </cell>
          <cell r="AQ331">
            <v>0</v>
          </cell>
          <cell r="AV331">
            <v>0</v>
          </cell>
        </row>
        <row r="332">
          <cell r="E332" t="str">
            <v>B25016701</v>
          </cell>
          <cell r="AP332">
            <v>0</v>
          </cell>
          <cell r="AQ332">
            <v>0</v>
          </cell>
          <cell r="AV332">
            <v>0</v>
          </cell>
        </row>
        <row r="333">
          <cell r="E333" t="str">
            <v>D26001075</v>
          </cell>
          <cell r="AP333">
            <v>0</v>
          </cell>
          <cell r="AQ333">
            <v>0</v>
          </cell>
          <cell r="AV333">
            <v>0</v>
          </cell>
        </row>
        <row r="334">
          <cell r="E334" t="str">
            <v>D26001150</v>
          </cell>
          <cell r="AP334">
            <v>0</v>
          </cell>
          <cell r="AQ334">
            <v>0</v>
          </cell>
          <cell r="AV334">
            <v>0</v>
          </cell>
        </row>
        <row r="335">
          <cell r="E335" t="str">
            <v>T25001886</v>
          </cell>
          <cell r="AP335">
            <v>0</v>
          </cell>
          <cell r="AQ335">
            <v>0</v>
          </cell>
          <cell r="AV335">
            <v>0</v>
          </cell>
        </row>
        <row r="336">
          <cell r="E336" t="str">
            <v>B26000826</v>
          </cell>
          <cell r="AP336">
            <v>0</v>
          </cell>
          <cell r="AQ336">
            <v>0</v>
          </cell>
          <cell r="AV336">
            <v>0</v>
          </cell>
        </row>
        <row r="337">
          <cell r="E337" t="str">
            <v>Z26000202</v>
          </cell>
          <cell r="AP337">
            <v>0</v>
          </cell>
          <cell r="AQ337">
            <v>0</v>
          </cell>
          <cell r="AV337">
            <v>0</v>
          </cell>
        </row>
        <row r="338">
          <cell r="E338" t="str">
            <v>B26000646</v>
          </cell>
          <cell r="AP338">
            <v>0</v>
          </cell>
          <cell r="AQ338">
            <v>0</v>
          </cell>
          <cell r="AV338">
            <v>0</v>
          </cell>
        </row>
        <row r="339">
          <cell r="E339" t="str">
            <v>B26000648</v>
          </cell>
          <cell r="AP339">
            <v>0</v>
          </cell>
          <cell r="AQ339">
            <v>0</v>
          </cell>
          <cell r="AV339">
            <v>0</v>
          </cell>
        </row>
        <row r="340">
          <cell r="E340" t="str">
            <v>B26001037</v>
          </cell>
          <cell r="AP340">
            <v>0</v>
          </cell>
          <cell r="AQ340">
            <v>0</v>
          </cell>
          <cell r="AV340">
            <v>0</v>
          </cell>
        </row>
        <row r="341">
          <cell r="E341" t="str">
            <v>B26001038</v>
          </cell>
          <cell r="AP341">
            <v>0</v>
          </cell>
          <cell r="AQ341">
            <v>0</v>
          </cell>
          <cell r="AV341">
            <v>0</v>
          </cell>
        </row>
        <row r="342">
          <cell r="E342" t="str">
            <v>B26001062</v>
          </cell>
          <cell r="AP342">
            <v>0</v>
          </cell>
          <cell r="AQ342">
            <v>0</v>
          </cell>
          <cell r="AV342">
            <v>0</v>
          </cell>
        </row>
        <row r="343">
          <cell r="E343" t="str">
            <v>D25016698</v>
          </cell>
          <cell r="AP343">
            <v>0</v>
          </cell>
          <cell r="AQ343">
            <v>0</v>
          </cell>
          <cell r="AV343">
            <v>0</v>
          </cell>
        </row>
        <row r="344">
          <cell r="E344" t="str">
            <v>D25018660</v>
          </cell>
          <cell r="AP344">
            <v>0</v>
          </cell>
          <cell r="AQ344">
            <v>0</v>
          </cell>
          <cell r="AV344">
            <v>0</v>
          </cell>
        </row>
        <row r="345">
          <cell r="E345" t="str">
            <v>B25016044</v>
          </cell>
          <cell r="AP345">
            <v>0</v>
          </cell>
          <cell r="AQ345">
            <v>0</v>
          </cell>
          <cell r="AV345">
            <v>0</v>
          </cell>
        </row>
        <row r="346">
          <cell r="E346" t="str">
            <v>D25018669</v>
          </cell>
          <cell r="AP346">
            <v>0</v>
          </cell>
          <cell r="AQ346">
            <v>0</v>
          </cell>
          <cell r="AV346">
            <v>0</v>
          </cell>
        </row>
        <row r="347">
          <cell r="E347" t="str">
            <v>D26000989</v>
          </cell>
          <cell r="AP347">
            <v>0</v>
          </cell>
          <cell r="AQ347">
            <v>0</v>
          </cell>
          <cell r="AV347">
            <v>0</v>
          </cell>
        </row>
        <row r="348">
          <cell r="E348" t="str">
            <v>B26000714</v>
          </cell>
          <cell r="AP348">
            <v>0</v>
          </cell>
          <cell r="AQ348">
            <v>0</v>
          </cell>
          <cell r="AV348">
            <v>0</v>
          </cell>
        </row>
        <row r="349">
          <cell r="E349" t="str">
            <v>B26000182</v>
          </cell>
          <cell r="AP349">
            <v>0</v>
          </cell>
          <cell r="AQ349">
            <v>0</v>
          </cell>
          <cell r="AV349">
            <v>0</v>
          </cell>
        </row>
        <row r="350">
          <cell r="E350" t="str">
            <v>D25006386</v>
          </cell>
          <cell r="AP350">
            <v>0</v>
          </cell>
          <cell r="AQ350">
            <v>0</v>
          </cell>
          <cell r="AV350">
            <v>0</v>
          </cell>
        </row>
        <row r="351">
          <cell r="E351" t="str">
            <v>D26000905</v>
          </cell>
          <cell r="AP351">
            <v>0</v>
          </cell>
          <cell r="AQ351">
            <v>0</v>
          </cell>
          <cell r="AV351">
            <v>0</v>
          </cell>
        </row>
        <row r="352">
          <cell r="E352" t="str">
            <v>B26001177</v>
          </cell>
          <cell r="AP352">
            <v>0</v>
          </cell>
          <cell r="AQ352">
            <v>0</v>
          </cell>
          <cell r="AV352">
            <v>0</v>
          </cell>
        </row>
        <row r="353">
          <cell r="E353" t="str">
            <v>D26001671</v>
          </cell>
          <cell r="AP353">
            <v>0</v>
          </cell>
          <cell r="AQ353">
            <v>0</v>
          </cell>
          <cell r="AV353">
            <v>0</v>
          </cell>
        </row>
        <row r="354">
          <cell r="E354" t="str">
            <v>B25016499</v>
          </cell>
          <cell r="AP354">
            <v>0</v>
          </cell>
          <cell r="AQ354">
            <v>0</v>
          </cell>
          <cell r="AV354">
            <v>0</v>
          </cell>
        </row>
        <row r="355">
          <cell r="E355" t="str">
            <v>B26000151</v>
          </cell>
          <cell r="AP355">
            <v>0</v>
          </cell>
          <cell r="AQ355">
            <v>0</v>
          </cell>
          <cell r="AV355">
            <v>0</v>
          </cell>
        </row>
        <row r="356">
          <cell r="E356" t="str">
            <v>B26000152</v>
          </cell>
          <cell r="AP356">
            <v>0</v>
          </cell>
          <cell r="AQ356">
            <v>0</v>
          </cell>
          <cell r="AV356">
            <v>0</v>
          </cell>
        </row>
        <row r="357">
          <cell r="E357" t="str">
            <v>B26001557</v>
          </cell>
          <cell r="AP357">
            <v>0</v>
          </cell>
          <cell r="AQ357">
            <v>0</v>
          </cell>
          <cell r="AV357">
            <v>0</v>
          </cell>
        </row>
        <row r="358">
          <cell r="E358" t="str">
            <v>D26001708</v>
          </cell>
          <cell r="AP358">
            <v>0</v>
          </cell>
          <cell r="AQ358">
            <v>0</v>
          </cell>
          <cell r="AV358">
            <v>0</v>
          </cell>
        </row>
        <row r="359">
          <cell r="E359" t="str">
            <v>B25014534</v>
          </cell>
          <cell r="AP359">
            <v>0</v>
          </cell>
          <cell r="AQ359">
            <v>0</v>
          </cell>
          <cell r="AV359">
            <v>0</v>
          </cell>
        </row>
        <row r="360">
          <cell r="E360" t="str">
            <v>B25015617</v>
          </cell>
          <cell r="AP360">
            <v>0</v>
          </cell>
          <cell r="AQ360">
            <v>0</v>
          </cell>
          <cell r="AV360">
            <v>0</v>
          </cell>
        </row>
        <row r="361">
          <cell r="E361" t="str">
            <v>B25015996</v>
          </cell>
          <cell r="AP361">
            <v>0</v>
          </cell>
          <cell r="AQ361">
            <v>0</v>
          </cell>
          <cell r="AV361">
            <v>0</v>
          </cell>
        </row>
        <row r="362">
          <cell r="E362" t="str">
            <v>D25019679</v>
          </cell>
          <cell r="AP362">
            <v>0</v>
          </cell>
          <cell r="AQ362">
            <v>0</v>
          </cell>
          <cell r="AV362">
            <v>0</v>
          </cell>
        </row>
        <row r="363">
          <cell r="E363" t="str">
            <v>D25019723</v>
          </cell>
          <cell r="AP363">
            <v>0</v>
          </cell>
          <cell r="AQ363">
            <v>0</v>
          </cell>
          <cell r="AV363">
            <v>0</v>
          </cell>
        </row>
        <row r="364">
          <cell r="E364" t="str">
            <v>B26000334</v>
          </cell>
          <cell r="AP364">
            <v>0</v>
          </cell>
          <cell r="AQ364">
            <v>0</v>
          </cell>
          <cell r="AV364">
            <v>0</v>
          </cell>
        </row>
        <row r="365">
          <cell r="E365" t="str">
            <v>B26000384</v>
          </cell>
          <cell r="AP365">
            <v>0</v>
          </cell>
          <cell r="AQ365">
            <v>0</v>
          </cell>
          <cell r="AV365">
            <v>0</v>
          </cell>
        </row>
        <row r="366">
          <cell r="E366" t="str">
            <v>B26000390</v>
          </cell>
          <cell r="AP366">
            <v>0</v>
          </cell>
          <cell r="AQ366">
            <v>0</v>
          </cell>
          <cell r="AV366">
            <v>0</v>
          </cell>
        </row>
        <row r="367">
          <cell r="E367" t="str">
            <v>B26000860</v>
          </cell>
          <cell r="AP367">
            <v>0</v>
          </cell>
          <cell r="AQ367">
            <v>0</v>
          </cell>
          <cell r="AV367">
            <v>0</v>
          </cell>
        </row>
        <row r="368">
          <cell r="E368" t="str">
            <v>B26000597</v>
          </cell>
          <cell r="AP368">
            <v>0</v>
          </cell>
          <cell r="AQ368">
            <v>0</v>
          </cell>
          <cell r="AV368">
            <v>0</v>
          </cell>
        </row>
        <row r="369">
          <cell r="E369" t="str">
            <v>D26001756</v>
          </cell>
          <cell r="AP369">
            <v>0</v>
          </cell>
          <cell r="AQ369">
            <v>0</v>
          </cell>
          <cell r="AV369">
            <v>0</v>
          </cell>
        </row>
        <row r="370">
          <cell r="E370" t="str">
            <v>D26001757</v>
          </cell>
          <cell r="AP370">
            <v>0</v>
          </cell>
          <cell r="AQ370">
            <v>0</v>
          </cell>
          <cell r="AV370">
            <v>0</v>
          </cell>
        </row>
        <row r="371">
          <cell r="E371" t="str">
            <v>Z25003337</v>
          </cell>
          <cell r="AP371">
            <v>0</v>
          </cell>
          <cell r="AQ371">
            <v>0</v>
          </cell>
          <cell r="AV371">
            <v>0</v>
          </cell>
        </row>
        <row r="372">
          <cell r="E372" t="str">
            <v>Z26000031</v>
          </cell>
          <cell r="AP372">
            <v>0</v>
          </cell>
          <cell r="AQ372">
            <v>0</v>
          </cell>
          <cell r="AV372">
            <v>0</v>
          </cell>
        </row>
        <row r="373">
          <cell r="E373" t="str">
            <v>B25012277</v>
          </cell>
          <cell r="AP373">
            <v>0</v>
          </cell>
          <cell r="AQ373">
            <v>0</v>
          </cell>
          <cell r="AV373">
            <v>0</v>
          </cell>
        </row>
        <row r="374">
          <cell r="E374" t="str">
            <v>D25018390</v>
          </cell>
          <cell r="AP374">
            <v>0</v>
          </cell>
          <cell r="AQ374">
            <v>0</v>
          </cell>
          <cell r="AV374">
            <v>0</v>
          </cell>
        </row>
        <row r="375">
          <cell r="E375" t="str">
            <v>B25016665</v>
          </cell>
          <cell r="AP375">
            <v>0</v>
          </cell>
          <cell r="AQ375">
            <v>0</v>
          </cell>
          <cell r="AV375">
            <v>0</v>
          </cell>
        </row>
        <row r="376">
          <cell r="E376" t="str">
            <v>B25016866</v>
          </cell>
          <cell r="AP376">
            <v>0</v>
          </cell>
          <cell r="AQ376">
            <v>0</v>
          </cell>
          <cell r="AV376">
            <v>0</v>
          </cell>
        </row>
        <row r="377">
          <cell r="E377" t="str">
            <v>D25019475</v>
          </cell>
          <cell r="AP377">
            <v>0</v>
          </cell>
          <cell r="AQ377">
            <v>0</v>
          </cell>
          <cell r="AV377">
            <v>0</v>
          </cell>
        </row>
        <row r="378">
          <cell r="E378" t="str">
            <v>D25019575</v>
          </cell>
          <cell r="AP378">
            <v>0</v>
          </cell>
          <cell r="AQ378">
            <v>0</v>
          </cell>
          <cell r="AV378">
            <v>0</v>
          </cell>
        </row>
        <row r="379">
          <cell r="E379" t="str">
            <v>D25019604</v>
          </cell>
          <cell r="AP379">
            <v>0</v>
          </cell>
          <cell r="AQ379">
            <v>0</v>
          </cell>
          <cell r="AV379">
            <v>0</v>
          </cell>
        </row>
        <row r="380">
          <cell r="E380" t="str">
            <v>D25019606</v>
          </cell>
          <cell r="AP380">
            <v>0</v>
          </cell>
          <cell r="AQ380">
            <v>0</v>
          </cell>
          <cell r="AV380">
            <v>0</v>
          </cell>
        </row>
        <row r="381">
          <cell r="E381" t="str">
            <v>B26000069</v>
          </cell>
          <cell r="AP381">
            <v>0</v>
          </cell>
          <cell r="AQ381">
            <v>0</v>
          </cell>
          <cell r="AV381">
            <v>0</v>
          </cell>
        </row>
        <row r="382">
          <cell r="E382" t="str">
            <v>B26000070</v>
          </cell>
          <cell r="AP382">
            <v>0</v>
          </cell>
          <cell r="AQ382">
            <v>0</v>
          </cell>
          <cell r="AV382">
            <v>0</v>
          </cell>
        </row>
        <row r="383">
          <cell r="E383">
            <v>260006</v>
          </cell>
          <cell r="AP383">
            <v>0</v>
          </cell>
          <cell r="AQ383">
            <v>0</v>
          </cell>
          <cell r="AV383">
            <v>0</v>
          </cell>
        </row>
        <row r="384">
          <cell r="E384" t="str">
            <v>D26000527</v>
          </cell>
          <cell r="AP384">
            <v>0</v>
          </cell>
          <cell r="AQ384">
            <v>0</v>
          </cell>
          <cell r="AV384">
            <v>0</v>
          </cell>
        </row>
        <row r="385">
          <cell r="E385" t="str">
            <v>D26000528</v>
          </cell>
          <cell r="AP385">
            <v>0</v>
          </cell>
          <cell r="AQ385">
            <v>0</v>
          </cell>
          <cell r="AV385">
            <v>0</v>
          </cell>
        </row>
        <row r="386">
          <cell r="E386" t="str">
            <v>D26000529</v>
          </cell>
          <cell r="AP386">
            <v>0</v>
          </cell>
          <cell r="AQ386">
            <v>0</v>
          </cell>
          <cell r="AV386">
            <v>0</v>
          </cell>
        </row>
        <row r="387">
          <cell r="E387" t="str">
            <v>D26000537</v>
          </cell>
          <cell r="AP387">
            <v>0</v>
          </cell>
          <cell r="AQ387">
            <v>0</v>
          </cell>
          <cell r="AV387">
            <v>0</v>
          </cell>
        </row>
        <row r="388">
          <cell r="E388" t="str">
            <v>B26000535</v>
          </cell>
          <cell r="AP388">
            <v>0</v>
          </cell>
          <cell r="AQ388">
            <v>0</v>
          </cell>
          <cell r="AV388">
            <v>0</v>
          </cell>
        </row>
        <row r="389">
          <cell r="E389" t="str">
            <v>D26000574</v>
          </cell>
          <cell r="AP389">
            <v>0</v>
          </cell>
          <cell r="AQ389">
            <v>0</v>
          </cell>
          <cell r="AV389">
            <v>0</v>
          </cell>
        </row>
        <row r="390">
          <cell r="E390" t="str">
            <v>D26000700</v>
          </cell>
          <cell r="AP390">
            <v>0</v>
          </cell>
          <cell r="AQ390">
            <v>0</v>
          </cell>
          <cell r="AV390">
            <v>0</v>
          </cell>
        </row>
        <row r="391">
          <cell r="E391" t="str">
            <v>B26000909</v>
          </cell>
          <cell r="AP391">
            <v>0</v>
          </cell>
          <cell r="AQ391">
            <v>0</v>
          </cell>
          <cell r="AV391">
            <v>0</v>
          </cell>
        </row>
        <row r="392">
          <cell r="E392" t="str">
            <v>B26000910</v>
          </cell>
          <cell r="AP392">
            <v>0</v>
          </cell>
          <cell r="AQ392">
            <v>0</v>
          </cell>
          <cell r="AV392">
            <v>0</v>
          </cell>
        </row>
        <row r="393">
          <cell r="E393" t="str">
            <v>D26000998</v>
          </cell>
          <cell r="AP393">
            <v>0</v>
          </cell>
          <cell r="AQ393">
            <v>0</v>
          </cell>
          <cell r="AV393">
            <v>0</v>
          </cell>
        </row>
        <row r="394">
          <cell r="E394" t="str">
            <v>D26001168</v>
          </cell>
          <cell r="AP394">
            <v>0</v>
          </cell>
          <cell r="AQ394">
            <v>0</v>
          </cell>
          <cell r="AV394">
            <v>0</v>
          </cell>
        </row>
        <row r="395">
          <cell r="E395" t="str">
            <v>D26001203</v>
          </cell>
          <cell r="AP395">
            <v>0</v>
          </cell>
          <cell r="AQ395">
            <v>0</v>
          </cell>
          <cell r="AV395">
            <v>0</v>
          </cell>
        </row>
        <row r="396">
          <cell r="E396" t="str">
            <v>B26001335</v>
          </cell>
          <cell r="AP396">
            <v>0</v>
          </cell>
          <cell r="AQ396">
            <v>0</v>
          </cell>
          <cell r="AV396">
            <v>0</v>
          </cell>
        </row>
        <row r="397">
          <cell r="E397" t="str">
            <v>B26001404</v>
          </cell>
          <cell r="AP397">
            <v>0</v>
          </cell>
          <cell r="AQ397">
            <v>0</v>
          </cell>
          <cell r="AV397">
            <v>0</v>
          </cell>
        </row>
        <row r="398">
          <cell r="E398" t="str">
            <v>B26001514</v>
          </cell>
          <cell r="AP398">
            <v>0</v>
          </cell>
          <cell r="AQ398">
            <v>0</v>
          </cell>
          <cell r="AV398">
            <v>0</v>
          </cell>
        </row>
        <row r="399">
          <cell r="E399" t="str">
            <v>B26001515</v>
          </cell>
          <cell r="AP399">
            <v>0</v>
          </cell>
          <cell r="AQ399">
            <v>0</v>
          </cell>
          <cell r="AV399">
            <v>0</v>
          </cell>
        </row>
        <row r="400">
          <cell r="E400" t="str">
            <v>B26001516</v>
          </cell>
          <cell r="AP400">
            <v>0</v>
          </cell>
          <cell r="AQ400">
            <v>0</v>
          </cell>
          <cell r="AV400">
            <v>0</v>
          </cell>
        </row>
        <row r="401">
          <cell r="E401" t="str">
            <v>B26001549</v>
          </cell>
          <cell r="AP401">
            <v>0</v>
          </cell>
          <cell r="AQ401">
            <v>0</v>
          </cell>
          <cell r="AV401">
            <v>0</v>
          </cell>
        </row>
        <row r="402">
          <cell r="E402" t="str">
            <v>B26000555</v>
          </cell>
          <cell r="AP402">
            <v>0</v>
          </cell>
          <cell r="AQ402">
            <v>0</v>
          </cell>
          <cell r="AV402">
            <v>0</v>
          </cell>
        </row>
        <row r="403">
          <cell r="E403" t="str">
            <v>B26000724</v>
          </cell>
          <cell r="AP403">
            <v>0</v>
          </cell>
          <cell r="AQ403">
            <v>0</v>
          </cell>
          <cell r="AV403">
            <v>0</v>
          </cell>
        </row>
        <row r="404">
          <cell r="E404" t="str">
            <v>Z26000007</v>
          </cell>
          <cell r="AP404">
            <v>0</v>
          </cell>
          <cell r="AQ404">
            <v>0</v>
          </cell>
          <cell r="AV404">
            <v>0</v>
          </cell>
        </row>
        <row r="405">
          <cell r="E405" t="str">
            <v>Z26000011</v>
          </cell>
          <cell r="AP405">
            <v>0</v>
          </cell>
          <cell r="AQ405">
            <v>0</v>
          </cell>
          <cell r="AV405">
            <v>0</v>
          </cell>
        </row>
        <row r="406">
          <cell r="E406" t="str">
            <v>D25019316</v>
          </cell>
          <cell r="AP406">
            <v>0</v>
          </cell>
          <cell r="AQ406">
            <v>0</v>
          </cell>
          <cell r="AV406">
            <v>16855500</v>
          </cell>
        </row>
        <row r="407">
          <cell r="E407" t="str">
            <v>B25016806</v>
          </cell>
          <cell r="AP407">
            <v>0</v>
          </cell>
          <cell r="AQ407">
            <v>0</v>
          </cell>
          <cell r="AV407">
            <v>18600000</v>
          </cell>
        </row>
        <row r="408">
          <cell r="E408" t="str">
            <v>D26001473</v>
          </cell>
          <cell r="AP408">
            <v>0</v>
          </cell>
          <cell r="AQ408">
            <v>0</v>
          </cell>
          <cell r="AV408">
            <v>0</v>
          </cell>
        </row>
        <row r="409">
          <cell r="E409" t="str">
            <v>D26001474</v>
          </cell>
          <cell r="AP409">
            <v>0</v>
          </cell>
          <cell r="AQ409">
            <v>0</v>
          </cell>
          <cell r="AV409">
            <v>0</v>
          </cell>
        </row>
        <row r="410">
          <cell r="E410" t="str">
            <v>B26001423</v>
          </cell>
          <cell r="AP410">
            <v>0</v>
          </cell>
          <cell r="AQ410">
            <v>0</v>
          </cell>
          <cell r="AV410">
            <v>0</v>
          </cell>
        </row>
        <row r="411">
          <cell r="E411" t="str">
            <v>D25017065</v>
          </cell>
          <cell r="AP411">
            <v>0</v>
          </cell>
          <cell r="AQ411">
            <v>0</v>
          </cell>
          <cell r="AV411">
            <v>0</v>
          </cell>
        </row>
        <row r="412">
          <cell r="E412" t="str">
            <v>D25019020</v>
          </cell>
          <cell r="AP412">
            <v>0</v>
          </cell>
          <cell r="AQ412">
            <v>0</v>
          </cell>
          <cell r="AV412">
            <v>0</v>
          </cell>
        </row>
        <row r="413">
          <cell r="E413" t="str">
            <v>D25018709</v>
          </cell>
          <cell r="AP413">
            <v>0</v>
          </cell>
          <cell r="AQ413">
            <v>0</v>
          </cell>
          <cell r="AV413">
            <v>0</v>
          </cell>
        </row>
        <row r="414">
          <cell r="E414" t="str">
            <v>T25001848</v>
          </cell>
          <cell r="AP414">
            <v>0</v>
          </cell>
          <cell r="AQ414">
            <v>0</v>
          </cell>
          <cell r="AV414">
            <v>0</v>
          </cell>
        </row>
        <row r="415">
          <cell r="E415" t="str">
            <v>D25019357</v>
          </cell>
          <cell r="AP415">
            <v>0</v>
          </cell>
          <cell r="AQ415">
            <v>0</v>
          </cell>
          <cell r="AV415">
            <v>0</v>
          </cell>
        </row>
        <row r="416">
          <cell r="E416" t="str">
            <v>D25019358</v>
          </cell>
          <cell r="AP416">
            <v>0</v>
          </cell>
          <cell r="AQ416">
            <v>0</v>
          </cell>
          <cell r="AV416">
            <v>0</v>
          </cell>
        </row>
        <row r="417">
          <cell r="E417" t="str">
            <v>D25019359</v>
          </cell>
          <cell r="AP417">
            <v>0</v>
          </cell>
          <cell r="AQ417">
            <v>0</v>
          </cell>
          <cell r="AV417">
            <v>0</v>
          </cell>
        </row>
        <row r="418">
          <cell r="E418" t="str">
            <v>D26000419</v>
          </cell>
          <cell r="AP418">
            <v>0</v>
          </cell>
          <cell r="AQ418">
            <v>0</v>
          </cell>
          <cell r="AV418">
            <v>0</v>
          </cell>
        </row>
        <row r="419">
          <cell r="E419" t="str">
            <v>B26000844</v>
          </cell>
          <cell r="AP419">
            <v>0</v>
          </cell>
          <cell r="AQ419">
            <v>0</v>
          </cell>
          <cell r="AV419">
            <v>0</v>
          </cell>
        </row>
        <row r="420">
          <cell r="E420" t="str">
            <v>B26001355</v>
          </cell>
          <cell r="AP420">
            <v>0</v>
          </cell>
          <cell r="AQ420">
            <v>0</v>
          </cell>
          <cell r="AV420">
            <v>0</v>
          </cell>
        </row>
        <row r="421">
          <cell r="E421" t="str">
            <v>D26001483</v>
          </cell>
          <cell r="AP421">
            <v>0</v>
          </cell>
          <cell r="AQ421">
            <v>0</v>
          </cell>
          <cell r="AV421">
            <v>0</v>
          </cell>
        </row>
        <row r="422">
          <cell r="E422" t="str">
            <v>D26001484</v>
          </cell>
          <cell r="AP422">
            <v>0</v>
          </cell>
          <cell r="AQ422">
            <v>0</v>
          </cell>
          <cell r="AV422">
            <v>0</v>
          </cell>
        </row>
        <row r="423">
          <cell r="E423" t="str">
            <v>D26001647</v>
          </cell>
          <cell r="AP423">
            <v>0</v>
          </cell>
          <cell r="AQ423">
            <v>0</v>
          </cell>
          <cell r="AV423">
            <v>0</v>
          </cell>
        </row>
        <row r="424">
          <cell r="E424" t="str">
            <v>D25012415</v>
          </cell>
          <cell r="AP424">
            <v>0</v>
          </cell>
          <cell r="AQ424">
            <v>0</v>
          </cell>
          <cell r="AV424">
            <v>0</v>
          </cell>
        </row>
        <row r="425">
          <cell r="E425" t="str">
            <v>R25000117</v>
          </cell>
          <cell r="AP425">
            <v>0</v>
          </cell>
          <cell r="AQ425">
            <v>0</v>
          </cell>
          <cell r="AV425">
            <v>0</v>
          </cell>
        </row>
        <row r="426">
          <cell r="E426" t="str">
            <v>R25000118</v>
          </cell>
          <cell r="AP426">
            <v>0</v>
          </cell>
          <cell r="AQ426">
            <v>0</v>
          </cell>
          <cell r="AV426">
            <v>0</v>
          </cell>
        </row>
        <row r="427">
          <cell r="E427" t="str">
            <v>R25000119</v>
          </cell>
          <cell r="AP427">
            <v>0</v>
          </cell>
          <cell r="AQ427">
            <v>0</v>
          </cell>
          <cell r="AV427">
            <v>0</v>
          </cell>
        </row>
        <row r="428">
          <cell r="E428" t="str">
            <v>R25000122</v>
          </cell>
          <cell r="AP428">
            <v>0</v>
          </cell>
          <cell r="AQ428">
            <v>0</v>
          </cell>
          <cell r="AV428">
            <v>0</v>
          </cell>
        </row>
        <row r="429">
          <cell r="E429" t="str">
            <v>R25000123</v>
          </cell>
          <cell r="AP429">
            <v>0</v>
          </cell>
          <cell r="AQ429">
            <v>0</v>
          </cell>
          <cell r="AV429">
            <v>0</v>
          </cell>
        </row>
        <row r="430">
          <cell r="E430" t="str">
            <v>R25000124</v>
          </cell>
          <cell r="AP430">
            <v>0</v>
          </cell>
          <cell r="AQ430">
            <v>0</v>
          </cell>
          <cell r="AV430">
            <v>0</v>
          </cell>
        </row>
        <row r="431">
          <cell r="E431" t="str">
            <v>R25000128</v>
          </cell>
          <cell r="AP431">
            <v>0</v>
          </cell>
          <cell r="AQ431">
            <v>0</v>
          </cell>
          <cell r="AV431">
            <v>0</v>
          </cell>
        </row>
        <row r="432">
          <cell r="E432" t="str">
            <v>R25000135</v>
          </cell>
          <cell r="AP432">
            <v>0</v>
          </cell>
          <cell r="AQ432">
            <v>0</v>
          </cell>
          <cell r="AV432">
            <v>0</v>
          </cell>
        </row>
        <row r="433">
          <cell r="E433" t="str">
            <v>R25000136</v>
          </cell>
          <cell r="AP433">
            <v>0</v>
          </cell>
          <cell r="AQ433">
            <v>0</v>
          </cell>
          <cell r="AV433">
            <v>0</v>
          </cell>
        </row>
        <row r="434">
          <cell r="E434" t="str">
            <v>R25000137</v>
          </cell>
          <cell r="AP434">
            <v>0</v>
          </cell>
          <cell r="AQ434">
            <v>0</v>
          </cell>
          <cell r="AV434">
            <v>0</v>
          </cell>
        </row>
        <row r="435">
          <cell r="E435" t="str">
            <v>R25000138</v>
          </cell>
          <cell r="AP435">
            <v>0</v>
          </cell>
          <cell r="AQ435">
            <v>0</v>
          </cell>
          <cell r="AV435">
            <v>0</v>
          </cell>
        </row>
        <row r="436">
          <cell r="E436" t="str">
            <v>R25000139</v>
          </cell>
          <cell r="AP436">
            <v>0</v>
          </cell>
          <cell r="AQ436">
            <v>0</v>
          </cell>
          <cell r="AV436">
            <v>0</v>
          </cell>
        </row>
        <row r="437">
          <cell r="E437" t="str">
            <v>R25000140</v>
          </cell>
          <cell r="AP437">
            <v>0</v>
          </cell>
          <cell r="AQ437">
            <v>0</v>
          </cell>
          <cell r="AV437">
            <v>0</v>
          </cell>
        </row>
        <row r="438">
          <cell r="E438" t="str">
            <v>R26000007</v>
          </cell>
          <cell r="AP438">
            <v>0</v>
          </cell>
          <cell r="AQ438">
            <v>0</v>
          </cell>
          <cell r="AV438">
            <v>0</v>
          </cell>
        </row>
        <row r="439">
          <cell r="E439" t="str">
            <v>D25017747</v>
          </cell>
          <cell r="AP439">
            <v>0</v>
          </cell>
          <cell r="AQ439">
            <v>0</v>
          </cell>
          <cell r="AV439">
            <v>0</v>
          </cell>
        </row>
        <row r="440">
          <cell r="E440" t="str">
            <v>D25019190</v>
          </cell>
          <cell r="AP440">
            <v>0</v>
          </cell>
          <cell r="AQ440">
            <v>0</v>
          </cell>
          <cell r="AV440">
            <v>0</v>
          </cell>
        </row>
        <row r="441">
          <cell r="E441" t="str">
            <v>B25013380</v>
          </cell>
          <cell r="AP441">
            <v>0</v>
          </cell>
          <cell r="AQ441">
            <v>0</v>
          </cell>
          <cell r="AV441">
            <v>0</v>
          </cell>
        </row>
        <row r="442">
          <cell r="E442" t="str">
            <v>D25017981</v>
          </cell>
          <cell r="AP442">
            <v>0</v>
          </cell>
          <cell r="AQ442">
            <v>0</v>
          </cell>
          <cell r="AV442">
            <v>0</v>
          </cell>
        </row>
        <row r="443">
          <cell r="E443" t="str">
            <v>D25019585</v>
          </cell>
          <cell r="AP443">
            <v>0</v>
          </cell>
          <cell r="AQ443">
            <v>0</v>
          </cell>
          <cell r="AV443">
            <v>0</v>
          </cell>
        </row>
        <row r="444">
          <cell r="E444" t="str">
            <v>D25019578</v>
          </cell>
          <cell r="AP444">
            <v>0</v>
          </cell>
          <cell r="AQ444">
            <v>0</v>
          </cell>
          <cell r="AV444">
            <v>0</v>
          </cell>
        </row>
        <row r="445">
          <cell r="E445" t="str">
            <v>T26000022</v>
          </cell>
          <cell r="AP445">
            <v>0</v>
          </cell>
          <cell r="AQ445">
            <v>0</v>
          </cell>
          <cell r="AV445">
            <v>0</v>
          </cell>
        </row>
        <row r="446">
          <cell r="E446" t="str">
            <v>B26001034</v>
          </cell>
          <cell r="AP446">
            <v>0</v>
          </cell>
          <cell r="AQ446">
            <v>0</v>
          </cell>
          <cell r="AV446">
            <v>0</v>
          </cell>
        </row>
        <row r="447">
          <cell r="E447" t="str">
            <v>D26001643</v>
          </cell>
          <cell r="AP447">
            <v>0</v>
          </cell>
          <cell r="AQ447">
            <v>0</v>
          </cell>
          <cell r="AV447">
            <v>0</v>
          </cell>
        </row>
        <row r="448">
          <cell r="E448" t="str">
            <v>B26001043</v>
          </cell>
          <cell r="AP448">
            <v>0</v>
          </cell>
          <cell r="AQ448">
            <v>0</v>
          </cell>
          <cell r="AV448">
            <v>0</v>
          </cell>
        </row>
        <row r="449">
          <cell r="E449" t="str">
            <v>B26001044</v>
          </cell>
          <cell r="AP449">
            <v>0</v>
          </cell>
          <cell r="AQ449">
            <v>0</v>
          </cell>
          <cell r="AV449">
            <v>0</v>
          </cell>
        </row>
        <row r="450">
          <cell r="E450" t="str">
            <v>B25016761</v>
          </cell>
          <cell r="AP450">
            <v>0</v>
          </cell>
          <cell r="AQ450">
            <v>0</v>
          </cell>
          <cell r="AV450">
            <v>0</v>
          </cell>
        </row>
        <row r="451">
          <cell r="E451" t="str">
            <v>D25019641</v>
          </cell>
          <cell r="AP451">
            <v>0</v>
          </cell>
          <cell r="AQ451">
            <v>0</v>
          </cell>
          <cell r="AV451">
            <v>0</v>
          </cell>
        </row>
        <row r="452">
          <cell r="E452" t="str">
            <v>D26000096</v>
          </cell>
          <cell r="AP452">
            <v>0</v>
          </cell>
          <cell r="AQ452">
            <v>0</v>
          </cell>
          <cell r="AV452">
            <v>0</v>
          </cell>
        </row>
        <row r="453">
          <cell r="E453" t="str">
            <v>B26000527</v>
          </cell>
          <cell r="AP453">
            <v>0</v>
          </cell>
          <cell r="AQ453">
            <v>0</v>
          </cell>
          <cell r="AV453">
            <v>0</v>
          </cell>
        </row>
        <row r="454">
          <cell r="E454" t="str">
            <v>D26000602</v>
          </cell>
          <cell r="AP454">
            <v>0</v>
          </cell>
          <cell r="AQ454">
            <v>0</v>
          </cell>
          <cell r="AV454">
            <v>0</v>
          </cell>
        </row>
        <row r="455">
          <cell r="E455" t="str">
            <v>D26000702</v>
          </cell>
          <cell r="AP455">
            <v>0</v>
          </cell>
          <cell r="AQ455">
            <v>0</v>
          </cell>
          <cell r="AV455">
            <v>0</v>
          </cell>
        </row>
        <row r="456">
          <cell r="E456" t="str">
            <v>D26001737</v>
          </cell>
          <cell r="AP456">
            <v>0</v>
          </cell>
          <cell r="AQ456">
            <v>0</v>
          </cell>
          <cell r="AV456">
            <v>0</v>
          </cell>
        </row>
        <row r="457">
          <cell r="E457" t="str">
            <v>D26000849</v>
          </cell>
          <cell r="AP457">
            <v>0</v>
          </cell>
          <cell r="AQ457">
            <v>0</v>
          </cell>
          <cell r="AV457">
            <v>0</v>
          </cell>
        </row>
        <row r="458">
          <cell r="E458" t="str">
            <v>B26000883</v>
          </cell>
          <cell r="AP458">
            <v>0</v>
          </cell>
          <cell r="AQ458">
            <v>0</v>
          </cell>
          <cell r="AV458">
            <v>0</v>
          </cell>
        </row>
        <row r="459">
          <cell r="E459" t="str">
            <v>D26001454</v>
          </cell>
          <cell r="AP459">
            <v>0</v>
          </cell>
          <cell r="AQ459">
            <v>0</v>
          </cell>
          <cell r="AV459">
            <v>0</v>
          </cell>
        </row>
        <row r="460">
          <cell r="E460" t="str">
            <v>B25016222</v>
          </cell>
          <cell r="AP460">
            <v>0</v>
          </cell>
          <cell r="AQ460">
            <v>0</v>
          </cell>
          <cell r="AV460">
            <v>0</v>
          </cell>
        </row>
        <row r="461">
          <cell r="E461" t="str">
            <v>T25001847</v>
          </cell>
          <cell r="AP461">
            <v>0</v>
          </cell>
          <cell r="AQ461">
            <v>0</v>
          </cell>
          <cell r="AV461">
            <v>0</v>
          </cell>
        </row>
        <row r="462">
          <cell r="E462" t="str">
            <v>D25017632</v>
          </cell>
          <cell r="AP462">
            <v>0</v>
          </cell>
          <cell r="AQ462">
            <v>0</v>
          </cell>
          <cell r="AV462">
            <v>0</v>
          </cell>
        </row>
        <row r="463">
          <cell r="E463" t="str">
            <v>B25015486</v>
          </cell>
          <cell r="AP463">
            <v>0</v>
          </cell>
          <cell r="AQ463">
            <v>0</v>
          </cell>
          <cell r="AV463">
            <v>0</v>
          </cell>
        </row>
        <row r="464">
          <cell r="E464" t="str">
            <v>B25016160</v>
          </cell>
          <cell r="AP464">
            <v>0</v>
          </cell>
          <cell r="AQ464">
            <v>0</v>
          </cell>
          <cell r="AV464">
            <v>0</v>
          </cell>
        </row>
        <row r="465">
          <cell r="E465" t="str">
            <v>B25016541</v>
          </cell>
          <cell r="AP465">
            <v>0</v>
          </cell>
          <cell r="AQ465">
            <v>0</v>
          </cell>
          <cell r="AV465">
            <v>0</v>
          </cell>
        </row>
        <row r="466">
          <cell r="E466" t="str">
            <v>D25019609</v>
          </cell>
          <cell r="AP466">
            <v>0</v>
          </cell>
          <cell r="AQ466">
            <v>0</v>
          </cell>
          <cell r="AV466">
            <v>0</v>
          </cell>
        </row>
        <row r="467">
          <cell r="E467" t="str">
            <v>B26000809</v>
          </cell>
          <cell r="AP467">
            <v>0</v>
          </cell>
          <cell r="AQ467">
            <v>0</v>
          </cell>
          <cell r="AV467">
            <v>0</v>
          </cell>
        </row>
        <row r="468">
          <cell r="E468" t="str">
            <v>B26001272</v>
          </cell>
          <cell r="AP468">
            <v>0</v>
          </cell>
          <cell r="AQ468">
            <v>0</v>
          </cell>
          <cell r="AV468">
            <v>0</v>
          </cell>
        </row>
        <row r="469">
          <cell r="E469" t="str">
            <v>B25015937</v>
          </cell>
          <cell r="AP469">
            <v>0</v>
          </cell>
          <cell r="AQ469">
            <v>0</v>
          </cell>
          <cell r="AV469">
            <v>0</v>
          </cell>
        </row>
        <row r="470">
          <cell r="E470" t="str">
            <v>D25018391</v>
          </cell>
          <cell r="AP470">
            <v>0</v>
          </cell>
          <cell r="AQ470">
            <v>0</v>
          </cell>
          <cell r="AV470">
            <v>0</v>
          </cell>
        </row>
        <row r="471">
          <cell r="E471" t="str">
            <v>D25018495</v>
          </cell>
          <cell r="AP471">
            <v>0</v>
          </cell>
          <cell r="AQ471">
            <v>0</v>
          </cell>
          <cell r="AV471">
            <v>0</v>
          </cell>
        </row>
        <row r="472">
          <cell r="E472" t="str">
            <v>B25016788</v>
          </cell>
          <cell r="AP472">
            <v>0</v>
          </cell>
          <cell r="AQ472">
            <v>0</v>
          </cell>
          <cell r="AV472">
            <v>0</v>
          </cell>
        </row>
        <row r="473">
          <cell r="E473" t="str">
            <v>B25016801</v>
          </cell>
          <cell r="AP473">
            <v>0</v>
          </cell>
          <cell r="AQ473">
            <v>0</v>
          </cell>
          <cell r="AV473">
            <v>0</v>
          </cell>
        </row>
        <row r="474">
          <cell r="E474" t="str">
            <v>D26000133</v>
          </cell>
          <cell r="AP474">
            <v>0</v>
          </cell>
          <cell r="AQ474">
            <v>0</v>
          </cell>
          <cell r="AV474">
            <v>0</v>
          </cell>
        </row>
        <row r="475">
          <cell r="E475" t="str">
            <v>B26001156</v>
          </cell>
          <cell r="AP475">
            <v>0</v>
          </cell>
          <cell r="AQ475">
            <v>0</v>
          </cell>
          <cell r="AV475">
            <v>0</v>
          </cell>
        </row>
        <row r="476">
          <cell r="E476" t="str">
            <v>B25015809</v>
          </cell>
          <cell r="AP476">
            <v>0</v>
          </cell>
          <cell r="AQ476">
            <v>0</v>
          </cell>
          <cell r="AV476">
            <v>0</v>
          </cell>
        </row>
        <row r="477">
          <cell r="E477" t="str">
            <v>D25018713</v>
          </cell>
          <cell r="AP477">
            <v>0</v>
          </cell>
          <cell r="AQ477">
            <v>0</v>
          </cell>
          <cell r="AV477">
            <v>0</v>
          </cell>
        </row>
        <row r="478">
          <cell r="E478" t="str">
            <v>D25018736</v>
          </cell>
          <cell r="AP478">
            <v>0</v>
          </cell>
          <cell r="AQ478">
            <v>0</v>
          </cell>
          <cell r="AV478">
            <v>0</v>
          </cell>
        </row>
        <row r="479">
          <cell r="E479" t="str">
            <v>D25019374</v>
          </cell>
          <cell r="AP479">
            <v>0</v>
          </cell>
          <cell r="AQ479">
            <v>0</v>
          </cell>
          <cell r="AV479">
            <v>0</v>
          </cell>
        </row>
        <row r="480">
          <cell r="E480" t="str">
            <v>B26001356</v>
          </cell>
          <cell r="AP480">
            <v>0</v>
          </cell>
          <cell r="AQ480">
            <v>0</v>
          </cell>
          <cell r="AV480">
            <v>0</v>
          </cell>
        </row>
        <row r="481">
          <cell r="E481" t="str">
            <v>B26001361</v>
          </cell>
          <cell r="AP481">
            <v>0</v>
          </cell>
          <cell r="AQ481">
            <v>0</v>
          </cell>
          <cell r="AV481">
            <v>0</v>
          </cell>
        </row>
        <row r="482">
          <cell r="E482" t="str">
            <v>B25016810</v>
          </cell>
          <cell r="AP482">
            <v>0</v>
          </cell>
          <cell r="AQ482">
            <v>0</v>
          </cell>
          <cell r="AV482">
            <v>0</v>
          </cell>
        </row>
        <row r="483">
          <cell r="E483" t="str">
            <v>D26000009</v>
          </cell>
          <cell r="AP483">
            <v>0</v>
          </cell>
          <cell r="AQ483">
            <v>0</v>
          </cell>
          <cell r="AV483">
            <v>0</v>
          </cell>
        </row>
        <row r="484">
          <cell r="E484" t="str">
            <v>D26000175</v>
          </cell>
          <cell r="AP484">
            <v>0</v>
          </cell>
          <cell r="AQ484">
            <v>0</v>
          </cell>
          <cell r="AV484">
            <v>0</v>
          </cell>
        </row>
        <row r="485">
          <cell r="E485" t="str">
            <v>D26000291</v>
          </cell>
          <cell r="AP485">
            <v>0</v>
          </cell>
          <cell r="AQ485">
            <v>0</v>
          </cell>
          <cell r="AV485">
            <v>0</v>
          </cell>
        </row>
        <row r="486">
          <cell r="E486" t="str">
            <v>B26000394</v>
          </cell>
          <cell r="AP486">
            <v>0</v>
          </cell>
          <cell r="AQ486">
            <v>0</v>
          </cell>
          <cell r="AV486">
            <v>0</v>
          </cell>
        </row>
        <row r="487">
          <cell r="E487" t="str">
            <v>D26000608</v>
          </cell>
          <cell r="AP487">
            <v>0</v>
          </cell>
          <cell r="AQ487">
            <v>0</v>
          </cell>
          <cell r="AV487">
            <v>0</v>
          </cell>
        </row>
        <row r="488">
          <cell r="E488" t="str">
            <v>D26001544</v>
          </cell>
          <cell r="AP488">
            <v>0</v>
          </cell>
          <cell r="AQ488">
            <v>0</v>
          </cell>
          <cell r="AV488">
            <v>0</v>
          </cell>
        </row>
        <row r="489">
          <cell r="E489" t="str">
            <v>Z26000302</v>
          </cell>
          <cell r="AP489">
            <v>0</v>
          </cell>
          <cell r="AQ489">
            <v>0</v>
          </cell>
          <cell r="AV489">
            <v>0</v>
          </cell>
        </row>
        <row r="490">
          <cell r="E490" t="str">
            <v>B26000551</v>
          </cell>
          <cell r="AP490">
            <v>0</v>
          </cell>
          <cell r="AQ490">
            <v>0</v>
          </cell>
          <cell r="AV490">
            <v>0</v>
          </cell>
        </row>
        <row r="491">
          <cell r="E491" t="str">
            <v>B25014707</v>
          </cell>
          <cell r="AP491">
            <v>0</v>
          </cell>
          <cell r="AQ491">
            <v>0</v>
          </cell>
          <cell r="AV491">
            <v>0</v>
          </cell>
        </row>
        <row r="492">
          <cell r="E492" t="str">
            <v>D25017141</v>
          </cell>
          <cell r="AP492">
            <v>0</v>
          </cell>
          <cell r="AQ492">
            <v>0</v>
          </cell>
          <cell r="AV492">
            <v>0</v>
          </cell>
        </row>
        <row r="493">
          <cell r="E493" t="str">
            <v>B25014931</v>
          </cell>
          <cell r="AP493">
            <v>0</v>
          </cell>
          <cell r="AQ493">
            <v>0</v>
          </cell>
          <cell r="AV493">
            <v>0</v>
          </cell>
        </row>
        <row r="494">
          <cell r="E494" t="str">
            <v>D25017423</v>
          </cell>
          <cell r="AP494">
            <v>0</v>
          </cell>
          <cell r="AQ494">
            <v>0</v>
          </cell>
          <cell r="AV494">
            <v>0</v>
          </cell>
        </row>
        <row r="495">
          <cell r="E495" t="str">
            <v>D25017844</v>
          </cell>
          <cell r="AP495">
            <v>0</v>
          </cell>
          <cell r="AQ495">
            <v>0</v>
          </cell>
          <cell r="AV495">
            <v>0</v>
          </cell>
        </row>
        <row r="496">
          <cell r="E496" t="str">
            <v>D25018214</v>
          </cell>
          <cell r="AP496">
            <v>0</v>
          </cell>
          <cell r="AQ496">
            <v>0</v>
          </cell>
          <cell r="AV496">
            <v>0</v>
          </cell>
        </row>
        <row r="497">
          <cell r="E497" t="str">
            <v>B25015950</v>
          </cell>
          <cell r="AP497">
            <v>0</v>
          </cell>
          <cell r="AQ497">
            <v>0</v>
          </cell>
          <cell r="AV497">
            <v>0</v>
          </cell>
        </row>
        <row r="498">
          <cell r="E498" t="str">
            <v>D25018563</v>
          </cell>
          <cell r="AP498">
            <v>0</v>
          </cell>
          <cell r="AQ498">
            <v>0</v>
          </cell>
          <cell r="AV498">
            <v>0</v>
          </cell>
        </row>
        <row r="499">
          <cell r="E499" t="str">
            <v>D25018926</v>
          </cell>
          <cell r="AP499">
            <v>0</v>
          </cell>
          <cell r="AQ499">
            <v>0</v>
          </cell>
          <cell r="AV499">
            <v>0</v>
          </cell>
        </row>
        <row r="500">
          <cell r="E500" t="str">
            <v>B25016641</v>
          </cell>
          <cell r="AP500">
            <v>0</v>
          </cell>
          <cell r="AQ500">
            <v>0</v>
          </cell>
          <cell r="AV500">
            <v>0</v>
          </cell>
        </row>
        <row r="501">
          <cell r="E501" t="str">
            <v>B25016818</v>
          </cell>
          <cell r="AP501">
            <v>0</v>
          </cell>
          <cell r="AQ501">
            <v>0</v>
          </cell>
          <cell r="AV501">
            <v>0</v>
          </cell>
        </row>
        <row r="502">
          <cell r="E502" t="str">
            <v>D25019593</v>
          </cell>
          <cell r="AP502">
            <v>0</v>
          </cell>
          <cell r="AQ502">
            <v>0</v>
          </cell>
          <cell r="AV502">
            <v>0</v>
          </cell>
        </row>
        <row r="503">
          <cell r="E503" t="str">
            <v>B25017081</v>
          </cell>
          <cell r="AP503">
            <v>0</v>
          </cell>
          <cell r="AQ503">
            <v>0</v>
          </cell>
          <cell r="AV503">
            <v>0</v>
          </cell>
        </row>
        <row r="504">
          <cell r="E504" t="str">
            <v>D25019706</v>
          </cell>
          <cell r="AP504">
            <v>0</v>
          </cell>
          <cell r="AQ504">
            <v>0</v>
          </cell>
          <cell r="AV504">
            <v>0</v>
          </cell>
        </row>
        <row r="505">
          <cell r="E505" t="str">
            <v>D25019710</v>
          </cell>
          <cell r="AP505">
            <v>0</v>
          </cell>
          <cell r="AQ505">
            <v>0</v>
          </cell>
          <cell r="AV505">
            <v>0</v>
          </cell>
        </row>
        <row r="506">
          <cell r="E506" t="str">
            <v>B26000138</v>
          </cell>
          <cell r="AP506">
            <v>0</v>
          </cell>
          <cell r="AQ506">
            <v>0</v>
          </cell>
          <cell r="AV506">
            <v>0</v>
          </cell>
        </row>
        <row r="507">
          <cell r="E507" t="str">
            <v>D26000224</v>
          </cell>
          <cell r="AP507">
            <v>0</v>
          </cell>
          <cell r="AQ507">
            <v>0</v>
          </cell>
          <cell r="AV507">
            <v>0</v>
          </cell>
        </row>
        <row r="508">
          <cell r="E508" t="str">
            <v>D26000755</v>
          </cell>
          <cell r="AP508">
            <v>0</v>
          </cell>
          <cell r="AQ508">
            <v>0</v>
          </cell>
          <cell r="AV508">
            <v>0</v>
          </cell>
        </row>
        <row r="509">
          <cell r="E509" t="str">
            <v>D26000858</v>
          </cell>
          <cell r="AP509">
            <v>0</v>
          </cell>
          <cell r="AQ509">
            <v>0</v>
          </cell>
          <cell r="AV509">
            <v>0</v>
          </cell>
        </row>
        <row r="510">
          <cell r="E510" t="str">
            <v>D26001091</v>
          </cell>
          <cell r="AP510">
            <v>0</v>
          </cell>
          <cell r="AQ510">
            <v>0</v>
          </cell>
          <cell r="AV510">
            <v>0</v>
          </cell>
        </row>
        <row r="511">
          <cell r="E511" t="str">
            <v>B26001141</v>
          </cell>
          <cell r="AP511">
            <v>0</v>
          </cell>
          <cell r="AQ511">
            <v>0</v>
          </cell>
          <cell r="AV511">
            <v>0</v>
          </cell>
        </row>
        <row r="512">
          <cell r="E512" t="str">
            <v>B26001288</v>
          </cell>
          <cell r="AP512">
            <v>0</v>
          </cell>
          <cell r="AQ512">
            <v>0</v>
          </cell>
          <cell r="AV512">
            <v>0</v>
          </cell>
        </row>
        <row r="513">
          <cell r="E513" t="str">
            <v>D26001535</v>
          </cell>
          <cell r="AP513">
            <v>0</v>
          </cell>
          <cell r="AQ513">
            <v>0</v>
          </cell>
          <cell r="AV513">
            <v>0</v>
          </cell>
        </row>
        <row r="514">
          <cell r="E514" t="str">
            <v>D26001594</v>
          </cell>
          <cell r="AP514">
            <v>0</v>
          </cell>
          <cell r="AQ514">
            <v>0</v>
          </cell>
          <cell r="AV514">
            <v>0</v>
          </cell>
        </row>
        <row r="515">
          <cell r="E515" t="str">
            <v>D26001609</v>
          </cell>
          <cell r="AP515">
            <v>0</v>
          </cell>
          <cell r="AQ515">
            <v>0</v>
          </cell>
          <cell r="AV515">
            <v>0</v>
          </cell>
        </row>
        <row r="516">
          <cell r="E516" t="str">
            <v>B26001569</v>
          </cell>
          <cell r="AP516">
            <v>0</v>
          </cell>
          <cell r="AQ516">
            <v>0</v>
          </cell>
          <cell r="AV516">
            <v>0</v>
          </cell>
        </row>
        <row r="517">
          <cell r="E517" t="str">
            <v>D26001683</v>
          </cell>
          <cell r="AP517">
            <v>0</v>
          </cell>
          <cell r="AQ517">
            <v>0</v>
          </cell>
          <cell r="AV517">
            <v>0</v>
          </cell>
        </row>
        <row r="518">
          <cell r="E518" t="str">
            <v>D26001715</v>
          </cell>
          <cell r="AP518">
            <v>0</v>
          </cell>
          <cell r="AQ518">
            <v>0</v>
          </cell>
          <cell r="AV518">
            <v>0</v>
          </cell>
        </row>
        <row r="519">
          <cell r="E519" t="str">
            <v>D25018806</v>
          </cell>
          <cell r="AP519">
            <v>0</v>
          </cell>
          <cell r="AQ519">
            <v>0</v>
          </cell>
          <cell r="AV519">
            <v>0</v>
          </cell>
        </row>
        <row r="520">
          <cell r="E520" t="str">
            <v>B26001086</v>
          </cell>
          <cell r="AP520">
            <v>0</v>
          </cell>
          <cell r="AQ520">
            <v>0</v>
          </cell>
          <cell r="AV520">
            <v>0</v>
          </cell>
        </row>
        <row r="521">
          <cell r="E521" t="str">
            <v>B25016136</v>
          </cell>
          <cell r="AP521">
            <v>0</v>
          </cell>
          <cell r="AQ521">
            <v>0</v>
          </cell>
          <cell r="AV521">
            <v>0</v>
          </cell>
        </row>
        <row r="522">
          <cell r="E522" t="str">
            <v>D25018874</v>
          </cell>
          <cell r="AP522">
            <v>0</v>
          </cell>
          <cell r="AQ522">
            <v>0</v>
          </cell>
          <cell r="AV522">
            <v>0</v>
          </cell>
        </row>
        <row r="523">
          <cell r="E523" t="str">
            <v>B25016479</v>
          </cell>
          <cell r="AP523">
            <v>0</v>
          </cell>
          <cell r="AQ523">
            <v>0</v>
          </cell>
          <cell r="AV523">
            <v>0</v>
          </cell>
        </row>
        <row r="524">
          <cell r="E524" t="str">
            <v>D25018918</v>
          </cell>
          <cell r="AP524">
            <v>0</v>
          </cell>
          <cell r="AQ524">
            <v>0</v>
          </cell>
          <cell r="AV524">
            <v>0</v>
          </cell>
        </row>
        <row r="525">
          <cell r="E525" t="str">
            <v>D25018925</v>
          </cell>
          <cell r="AP525">
            <v>0</v>
          </cell>
          <cell r="AQ525">
            <v>0</v>
          </cell>
          <cell r="AV525">
            <v>0</v>
          </cell>
        </row>
        <row r="526">
          <cell r="E526" t="str">
            <v>B25016524</v>
          </cell>
          <cell r="AP526">
            <v>0</v>
          </cell>
          <cell r="AQ526">
            <v>0</v>
          </cell>
          <cell r="AV526">
            <v>0</v>
          </cell>
        </row>
        <row r="527">
          <cell r="E527" t="str">
            <v>D25019081</v>
          </cell>
          <cell r="AP527">
            <v>0</v>
          </cell>
          <cell r="AQ527">
            <v>0</v>
          </cell>
          <cell r="AV527">
            <v>0</v>
          </cell>
        </row>
        <row r="528">
          <cell r="E528" t="str">
            <v>D25019238</v>
          </cell>
          <cell r="AP528">
            <v>0</v>
          </cell>
          <cell r="AQ528">
            <v>0</v>
          </cell>
          <cell r="AV528">
            <v>0</v>
          </cell>
        </row>
        <row r="529">
          <cell r="E529" t="str">
            <v>B25016827</v>
          </cell>
          <cell r="AP529">
            <v>0</v>
          </cell>
          <cell r="AQ529">
            <v>0</v>
          </cell>
          <cell r="AV529">
            <v>0</v>
          </cell>
        </row>
        <row r="530">
          <cell r="E530" t="str">
            <v>B25016850</v>
          </cell>
          <cell r="AP530">
            <v>0</v>
          </cell>
          <cell r="AQ530">
            <v>0</v>
          </cell>
          <cell r="AV530">
            <v>0</v>
          </cell>
        </row>
        <row r="531">
          <cell r="E531" t="str">
            <v>D25019442</v>
          </cell>
          <cell r="AP531">
            <v>0</v>
          </cell>
          <cell r="AQ531">
            <v>0</v>
          </cell>
          <cell r="AV531">
            <v>0</v>
          </cell>
        </row>
        <row r="532">
          <cell r="E532" t="str">
            <v>T25001888</v>
          </cell>
          <cell r="AP532">
            <v>0</v>
          </cell>
          <cell r="AQ532">
            <v>0</v>
          </cell>
          <cell r="AV532">
            <v>0</v>
          </cell>
        </row>
        <row r="533">
          <cell r="E533" t="str">
            <v>T25001889</v>
          </cell>
          <cell r="AP533">
            <v>0</v>
          </cell>
          <cell r="AQ533">
            <v>0</v>
          </cell>
          <cell r="AV533">
            <v>0</v>
          </cell>
        </row>
        <row r="534">
          <cell r="E534" t="str">
            <v>D25019560</v>
          </cell>
          <cell r="AP534">
            <v>0</v>
          </cell>
          <cell r="AQ534">
            <v>0</v>
          </cell>
          <cell r="AV534">
            <v>0</v>
          </cell>
        </row>
        <row r="535">
          <cell r="E535" t="str">
            <v>D25019582</v>
          </cell>
          <cell r="AP535">
            <v>0</v>
          </cell>
          <cell r="AQ535">
            <v>0</v>
          </cell>
          <cell r="AV535">
            <v>0</v>
          </cell>
        </row>
        <row r="536">
          <cell r="E536" t="str">
            <v>T25001893</v>
          </cell>
          <cell r="AP536">
            <v>0</v>
          </cell>
          <cell r="AQ536">
            <v>0</v>
          </cell>
          <cell r="AV536">
            <v>0</v>
          </cell>
        </row>
        <row r="537">
          <cell r="E537" t="str">
            <v>B25017084</v>
          </cell>
          <cell r="AP537">
            <v>0</v>
          </cell>
          <cell r="AQ537">
            <v>0</v>
          </cell>
          <cell r="AV537">
            <v>0</v>
          </cell>
        </row>
        <row r="538">
          <cell r="E538" t="str">
            <v>D25019625</v>
          </cell>
          <cell r="AP538">
            <v>0</v>
          </cell>
          <cell r="AQ538">
            <v>0</v>
          </cell>
          <cell r="AV538">
            <v>0</v>
          </cell>
        </row>
        <row r="539">
          <cell r="E539" t="str">
            <v>D25019638</v>
          </cell>
          <cell r="AP539">
            <v>0</v>
          </cell>
          <cell r="AQ539">
            <v>0</v>
          </cell>
          <cell r="AV539">
            <v>0</v>
          </cell>
        </row>
        <row r="540">
          <cell r="E540" t="str">
            <v>T25001895</v>
          </cell>
          <cell r="AP540">
            <v>0</v>
          </cell>
          <cell r="AQ540">
            <v>0</v>
          </cell>
          <cell r="AV540">
            <v>0</v>
          </cell>
        </row>
        <row r="541">
          <cell r="E541" t="str">
            <v>B25017141</v>
          </cell>
          <cell r="AP541">
            <v>0</v>
          </cell>
          <cell r="AQ541">
            <v>0</v>
          </cell>
          <cell r="AV541">
            <v>0</v>
          </cell>
        </row>
        <row r="542">
          <cell r="E542" t="str">
            <v>T25001897</v>
          </cell>
          <cell r="AP542">
            <v>0</v>
          </cell>
          <cell r="AQ542">
            <v>0</v>
          </cell>
          <cell r="AV542">
            <v>0</v>
          </cell>
        </row>
        <row r="543">
          <cell r="E543" t="str">
            <v>T25001899</v>
          </cell>
          <cell r="AP543">
            <v>0</v>
          </cell>
          <cell r="AQ543">
            <v>0</v>
          </cell>
          <cell r="AV543">
            <v>0</v>
          </cell>
        </row>
        <row r="544">
          <cell r="E544" t="str">
            <v>D26000034</v>
          </cell>
          <cell r="AP544">
            <v>0</v>
          </cell>
          <cell r="AQ544">
            <v>0</v>
          </cell>
          <cell r="AV544">
            <v>0</v>
          </cell>
        </row>
        <row r="545">
          <cell r="E545" t="str">
            <v>D26000124</v>
          </cell>
          <cell r="AP545">
            <v>0</v>
          </cell>
          <cell r="AQ545">
            <v>0</v>
          </cell>
          <cell r="AV545">
            <v>0</v>
          </cell>
        </row>
        <row r="546">
          <cell r="E546" t="str">
            <v>D26000127</v>
          </cell>
          <cell r="AP546">
            <v>0</v>
          </cell>
          <cell r="AQ546">
            <v>0</v>
          </cell>
          <cell r="AV546">
            <v>0</v>
          </cell>
        </row>
        <row r="547">
          <cell r="E547" t="str">
            <v>T26000002</v>
          </cell>
          <cell r="AP547">
            <v>0</v>
          </cell>
          <cell r="AQ547">
            <v>0</v>
          </cell>
          <cell r="AV547">
            <v>0</v>
          </cell>
        </row>
        <row r="548">
          <cell r="E548" t="str">
            <v>B26000213</v>
          </cell>
          <cell r="AP548">
            <v>0</v>
          </cell>
          <cell r="AQ548">
            <v>0</v>
          </cell>
          <cell r="AV548">
            <v>0</v>
          </cell>
        </row>
        <row r="549">
          <cell r="E549" t="str">
            <v>B26000342</v>
          </cell>
          <cell r="AP549">
            <v>0</v>
          </cell>
          <cell r="AQ549">
            <v>0</v>
          </cell>
          <cell r="AV549">
            <v>0</v>
          </cell>
        </row>
        <row r="550">
          <cell r="E550" t="str">
            <v>B26000406</v>
          </cell>
          <cell r="AP550">
            <v>0</v>
          </cell>
          <cell r="AQ550">
            <v>0</v>
          </cell>
          <cell r="AV550">
            <v>0</v>
          </cell>
        </row>
        <row r="551">
          <cell r="E551" t="str">
            <v>B26000526</v>
          </cell>
          <cell r="AP551">
            <v>0</v>
          </cell>
          <cell r="AQ551">
            <v>0</v>
          </cell>
          <cell r="AV551">
            <v>0</v>
          </cell>
        </row>
        <row r="552">
          <cell r="E552" t="str">
            <v>B26000808</v>
          </cell>
          <cell r="AP552">
            <v>0</v>
          </cell>
          <cell r="AQ552">
            <v>0</v>
          </cell>
          <cell r="AV552">
            <v>0</v>
          </cell>
        </row>
        <row r="553">
          <cell r="E553" t="str">
            <v>B26000857</v>
          </cell>
          <cell r="AP553">
            <v>0</v>
          </cell>
          <cell r="AQ553">
            <v>0</v>
          </cell>
          <cell r="AV553">
            <v>0</v>
          </cell>
        </row>
        <row r="554">
          <cell r="E554" t="str">
            <v>B26000950</v>
          </cell>
          <cell r="AP554">
            <v>0</v>
          </cell>
          <cell r="AQ554">
            <v>0</v>
          </cell>
          <cell r="AV554">
            <v>0</v>
          </cell>
        </row>
        <row r="555">
          <cell r="E555" t="str">
            <v>B26000993</v>
          </cell>
          <cell r="AP555">
            <v>0</v>
          </cell>
          <cell r="AQ555">
            <v>0</v>
          </cell>
          <cell r="AV555">
            <v>0</v>
          </cell>
        </row>
        <row r="556">
          <cell r="E556" t="str">
            <v>D26001061</v>
          </cell>
          <cell r="AP556">
            <v>0</v>
          </cell>
          <cell r="AQ556">
            <v>0</v>
          </cell>
          <cell r="AV556">
            <v>0</v>
          </cell>
        </row>
        <row r="557">
          <cell r="E557" t="str">
            <v>B26001003</v>
          </cell>
          <cell r="AP557">
            <v>0</v>
          </cell>
          <cell r="AQ557">
            <v>0</v>
          </cell>
          <cell r="AV557">
            <v>0</v>
          </cell>
        </row>
        <row r="558">
          <cell r="E558" t="str">
            <v>B26001060</v>
          </cell>
          <cell r="AP558">
            <v>0</v>
          </cell>
          <cell r="AQ558">
            <v>0</v>
          </cell>
          <cell r="AV558">
            <v>0</v>
          </cell>
        </row>
        <row r="559">
          <cell r="E559" t="str">
            <v>B26001291</v>
          </cell>
          <cell r="AP559">
            <v>0</v>
          </cell>
          <cell r="AQ559">
            <v>0</v>
          </cell>
          <cell r="AV559">
            <v>0</v>
          </cell>
        </row>
        <row r="560">
          <cell r="E560" t="str">
            <v>B26001292</v>
          </cell>
          <cell r="AP560">
            <v>0</v>
          </cell>
          <cell r="AQ560">
            <v>0</v>
          </cell>
          <cell r="AV560">
            <v>0</v>
          </cell>
        </row>
        <row r="561">
          <cell r="E561" t="str">
            <v>B26001301</v>
          </cell>
          <cell r="AP561">
            <v>0</v>
          </cell>
          <cell r="AQ561">
            <v>0</v>
          </cell>
          <cell r="AV561">
            <v>0</v>
          </cell>
        </row>
        <row r="562">
          <cell r="E562" t="str">
            <v>B26001328</v>
          </cell>
          <cell r="AP562">
            <v>0</v>
          </cell>
          <cell r="AQ562">
            <v>0</v>
          </cell>
          <cell r="AV562">
            <v>0</v>
          </cell>
        </row>
        <row r="563">
          <cell r="E563" t="str">
            <v>B26001545</v>
          </cell>
          <cell r="AP563">
            <v>0</v>
          </cell>
          <cell r="AQ563">
            <v>0</v>
          </cell>
          <cell r="AV563">
            <v>0</v>
          </cell>
        </row>
        <row r="564">
          <cell r="E564" t="str">
            <v>B26001546</v>
          </cell>
          <cell r="AP564">
            <v>0</v>
          </cell>
          <cell r="AQ564">
            <v>0</v>
          </cell>
          <cell r="AV564">
            <v>0</v>
          </cell>
        </row>
        <row r="565">
          <cell r="E565" t="str">
            <v>B26001584</v>
          </cell>
          <cell r="AP565">
            <v>0</v>
          </cell>
          <cell r="AQ565">
            <v>0</v>
          </cell>
          <cell r="AV565">
            <v>0</v>
          </cell>
        </row>
        <row r="566">
          <cell r="E566" t="str">
            <v>B26001611</v>
          </cell>
          <cell r="AP566">
            <v>0</v>
          </cell>
          <cell r="AQ566">
            <v>0</v>
          </cell>
          <cell r="AV566">
            <v>0</v>
          </cell>
        </row>
        <row r="567">
          <cell r="E567" t="str">
            <v>B26001624</v>
          </cell>
          <cell r="AP567">
            <v>0</v>
          </cell>
          <cell r="AQ567">
            <v>0</v>
          </cell>
          <cell r="AV567">
            <v>0</v>
          </cell>
        </row>
        <row r="568">
          <cell r="E568" t="str">
            <v>B26001630</v>
          </cell>
          <cell r="AP568">
            <v>0</v>
          </cell>
          <cell r="AQ568">
            <v>0</v>
          </cell>
          <cell r="AV568">
            <v>0</v>
          </cell>
        </row>
        <row r="569">
          <cell r="E569" t="str">
            <v>D26001704</v>
          </cell>
          <cell r="AP569">
            <v>0</v>
          </cell>
          <cell r="AQ569">
            <v>0</v>
          </cell>
          <cell r="AV569">
            <v>0</v>
          </cell>
        </row>
        <row r="570">
          <cell r="E570" t="str">
            <v>D26001705</v>
          </cell>
          <cell r="AP570">
            <v>0</v>
          </cell>
          <cell r="AQ570">
            <v>0</v>
          </cell>
          <cell r="AV570">
            <v>0</v>
          </cell>
        </row>
        <row r="571">
          <cell r="E571" t="str">
            <v>D25016916</v>
          </cell>
          <cell r="AP571">
            <v>0</v>
          </cell>
          <cell r="AQ571">
            <v>0</v>
          </cell>
          <cell r="AV571">
            <v>0</v>
          </cell>
        </row>
        <row r="572">
          <cell r="E572" t="str">
            <v>B26000134</v>
          </cell>
          <cell r="AP572">
            <v>0</v>
          </cell>
          <cell r="AQ572">
            <v>0</v>
          </cell>
          <cell r="AV572">
            <v>0</v>
          </cell>
        </row>
        <row r="573">
          <cell r="E573" t="str">
            <v>T26000044</v>
          </cell>
          <cell r="AP573">
            <v>0</v>
          </cell>
          <cell r="AQ573">
            <v>0</v>
          </cell>
          <cell r="AV573">
            <v>0</v>
          </cell>
        </row>
        <row r="574">
          <cell r="E574" t="str">
            <v>B26001175</v>
          </cell>
          <cell r="AP574">
            <v>0</v>
          </cell>
          <cell r="AQ574">
            <v>0</v>
          </cell>
          <cell r="AV574">
            <v>0</v>
          </cell>
        </row>
        <row r="575">
          <cell r="E575" t="str">
            <v>D25018297</v>
          </cell>
          <cell r="AP575">
            <v>0</v>
          </cell>
          <cell r="AQ575">
            <v>0</v>
          </cell>
          <cell r="AV575">
            <v>0</v>
          </cell>
        </row>
        <row r="576">
          <cell r="E576" t="str">
            <v>B25016084</v>
          </cell>
          <cell r="AP576">
            <v>0</v>
          </cell>
          <cell r="AQ576">
            <v>0</v>
          </cell>
          <cell r="AV576">
            <v>0</v>
          </cell>
        </row>
        <row r="577">
          <cell r="E577" t="str">
            <v>B26001020</v>
          </cell>
          <cell r="AP577">
            <v>0</v>
          </cell>
          <cell r="AQ577">
            <v>0</v>
          </cell>
          <cell r="AV577">
            <v>0</v>
          </cell>
        </row>
        <row r="578">
          <cell r="E578" t="str">
            <v>B26001077</v>
          </cell>
          <cell r="AP578">
            <v>0</v>
          </cell>
          <cell r="AQ578">
            <v>0</v>
          </cell>
          <cell r="AV578">
            <v>0</v>
          </cell>
        </row>
        <row r="579">
          <cell r="E579" t="str">
            <v>D25017223</v>
          </cell>
          <cell r="AP579">
            <v>0</v>
          </cell>
          <cell r="AQ579">
            <v>0</v>
          </cell>
          <cell r="AV579">
            <v>0</v>
          </cell>
        </row>
        <row r="580">
          <cell r="E580" t="str">
            <v>D25017245</v>
          </cell>
          <cell r="AP580">
            <v>0</v>
          </cell>
          <cell r="AQ580">
            <v>0</v>
          </cell>
          <cell r="AV580">
            <v>0</v>
          </cell>
        </row>
        <row r="581">
          <cell r="E581" t="str">
            <v>T25001823</v>
          </cell>
          <cell r="AP581">
            <v>0</v>
          </cell>
          <cell r="AQ581">
            <v>0</v>
          </cell>
          <cell r="AV581">
            <v>0</v>
          </cell>
        </row>
        <row r="582">
          <cell r="E582" t="str">
            <v>T25001852k</v>
          </cell>
          <cell r="AP582">
            <v>0</v>
          </cell>
          <cell r="AQ582">
            <v>0</v>
          </cell>
          <cell r="AV582">
            <v>0</v>
          </cell>
        </row>
        <row r="583">
          <cell r="E583" t="str">
            <v>T25001855</v>
          </cell>
          <cell r="AP583">
            <v>0</v>
          </cell>
          <cell r="AQ583">
            <v>0</v>
          </cell>
          <cell r="AV583">
            <v>0</v>
          </cell>
        </row>
        <row r="584">
          <cell r="E584" t="str">
            <v>T25001876K</v>
          </cell>
          <cell r="AP584">
            <v>0</v>
          </cell>
          <cell r="AQ584">
            <v>0</v>
          </cell>
          <cell r="AV584">
            <v>0</v>
          </cell>
        </row>
        <row r="585">
          <cell r="E585" t="str">
            <v>D25019523</v>
          </cell>
          <cell r="AP585">
            <v>0</v>
          </cell>
          <cell r="AQ585">
            <v>0</v>
          </cell>
          <cell r="AV585">
            <v>0</v>
          </cell>
        </row>
        <row r="586">
          <cell r="E586" t="str">
            <v>B26000624</v>
          </cell>
          <cell r="AP586">
            <v>0</v>
          </cell>
          <cell r="AQ586">
            <v>0</v>
          </cell>
          <cell r="AV586">
            <v>0</v>
          </cell>
        </row>
        <row r="587">
          <cell r="E587" t="str">
            <v>D26001188</v>
          </cell>
          <cell r="AP587">
            <v>0</v>
          </cell>
          <cell r="AQ587">
            <v>0</v>
          </cell>
          <cell r="AV587">
            <v>0</v>
          </cell>
        </row>
        <row r="588">
          <cell r="E588" t="str">
            <v>B26001145</v>
          </cell>
          <cell r="AP588">
            <v>0</v>
          </cell>
          <cell r="AQ588">
            <v>0</v>
          </cell>
          <cell r="AV588">
            <v>0</v>
          </cell>
        </row>
        <row r="589">
          <cell r="E589" t="str">
            <v>D26001379</v>
          </cell>
          <cell r="AP589">
            <v>0</v>
          </cell>
          <cell r="AQ589">
            <v>0</v>
          </cell>
          <cell r="AV589">
            <v>0</v>
          </cell>
        </row>
        <row r="590">
          <cell r="E590" t="str">
            <v>D26001511</v>
          </cell>
          <cell r="AP590">
            <v>0</v>
          </cell>
          <cell r="AQ590">
            <v>0</v>
          </cell>
          <cell r="AV590">
            <v>0</v>
          </cell>
        </row>
        <row r="591">
          <cell r="E591" t="str">
            <v>T26000102</v>
          </cell>
          <cell r="AP591">
            <v>0</v>
          </cell>
          <cell r="AQ591">
            <v>0</v>
          </cell>
          <cell r="AV591">
            <v>0</v>
          </cell>
        </row>
        <row r="592">
          <cell r="E592" t="str">
            <v>R26000002</v>
          </cell>
          <cell r="AP592">
            <v>0</v>
          </cell>
          <cell r="AQ592">
            <v>0</v>
          </cell>
          <cell r="AV592">
            <v>0</v>
          </cell>
        </row>
        <row r="593">
          <cell r="E593" t="str">
            <v>D25019537</v>
          </cell>
          <cell r="AP593">
            <v>0</v>
          </cell>
          <cell r="AQ593">
            <v>0</v>
          </cell>
          <cell r="AV593">
            <v>0</v>
          </cell>
        </row>
        <row r="594">
          <cell r="E594" t="str">
            <v>B26000319</v>
          </cell>
          <cell r="AP594">
            <v>0</v>
          </cell>
          <cell r="AQ594">
            <v>0</v>
          </cell>
          <cell r="AV594">
            <v>0</v>
          </cell>
        </row>
        <row r="595">
          <cell r="E595" t="str">
            <v>D26001100</v>
          </cell>
          <cell r="AP595">
            <v>0</v>
          </cell>
          <cell r="AQ595">
            <v>0</v>
          </cell>
          <cell r="AV595">
            <v>0</v>
          </cell>
        </row>
        <row r="596">
          <cell r="E596" t="str">
            <v>B26001632</v>
          </cell>
          <cell r="AP596">
            <v>0</v>
          </cell>
          <cell r="AQ596">
            <v>0</v>
          </cell>
          <cell r="AV596">
            <v>0</v>
          </cell>
        </row>
        <row r="597">
          <cell r="E597" t="str">
            <v>D26000833</v>
          </cell>
          <cell r="AP597">
            <v>0</v>
          </cell>
          <cell r="AQ597">
            <v>0</v>
          </cell>
          <cell r="AV597">
            <v>0</v>
          </cell>
        </row>
        <row r="598">
          <cell r="E598" t="str">
            <v>D26000837</v>
          </cell>
          <cell r="AP598">
            <v>0</v>
          </cell>
          <cell r="AQ598">
            <v>0</v>
          </cell>
          <cell r="AV598">
            <v>0</v>
          </cell>
        </row>
        <row r="599">
          <cell r="E599" t="str">
            <v>R25000110</v>
          </cell>
          <cell r="AP599">
            <v>0</v>
          </cell>
          <cell r="AQ599">
            <v>0</v>
          </cell>
          <cell r="AV599">
            <v>0</v>
          </cell>
        </row>
        <row r="600">
          <cell r="E600" t="str">
            <v>R25000112</v>
          </cell>
          <cell r="AP600">
            <v>0</v>
          </cell>
          <cell r="AQ600">
            <v>0</v>
          </cell>
          <cell r="AV600">
            <v>0</v>
          </cell>
        </row>
        <row r="601">
          <cell r="E601" t="str">
            <v>B25016164</v>
          </cell>
          <cell r="AP601">
            <v>0</v>
          </cell>
          <cell r="AQ601">
            <v>0</v>
          </cell>
          <cell r="AV601">
            <v>0</v>
          </cell>
        </row>
        <row r="602">
          <cell r="E602" t="str">
            <v>B26000017</v>
          </cell>
          <cell r="AP602">
            <v>0</v>
          </cell>
          <cell r="AQ602">
            <v>0</v>
          </cell>
          <cell r="AV602">
            <v>0</v>
          </cell>
        </row>
        <row r="603">
          <cell r="E603" t="str">
            <v>D26000130</v>
          </cell>
          <cell r="AP603">
            <v>0</v>
          </cell>
          <cell r="AQ603">
            <v>0</v>
          </cell>
          <cell r="AV603">
            <v>0</v>
          </cell>
        </row>
        <row r="604">
          <cell r="E604" t="str">
            <v>B26000322</v>
          </cell>
          <cell r="AP604">
            <v>0</v>
          </cell>
          <cell r="AQ604">
            <v>0</v>
          </cell>
          <cell r="AV604">
            <v>0</v>
          </cell>
        </row>
        <row r="605">
          <cell r="E605" t="str">
            <v>B26000848</v>
          </cell>
          <cell r="AP605">
            <v>0</v>
          </cell>
          <cell r="AQ605">
            <v>0</v>
          </cell>
          <cell r="AV605">
            <v>0</v>
          </cell>
        </row>
        <row r="606">
          <cell r="E606" t="str">
            <v>B26001470</v>
          </cell>
          <cell r="AP606">
            <v>0</v>
          </cell>
          <cell r="AQ606">
            <v>0</v>
          </cell>
          <cell r="AV606">
            <v>0</v>
          </cell>
        </row>
        <row r="607">
          <cell r="E607" t="str">
            <v>D25014349</v>
          </cell>
          <cell r="AP607">
            <v>0</v>
          </cell>
          <cell r="AQ607">
            <v>0</v>
          </cell>
          <cell r="AV607">
            <v>0</v>
          </cell>
        </row>
        <row r="608">
          <cell r="E608" t="str">
            <v>T25001500</v>
          </cell>
          <cell r="AP608">
            <v>0</v>
          </cell>
          <cell r="AQ608">
            <v>0</v>
          </cell>
          <cell r="AV608">
            <v>0</v>
          </cell>
        </row>
        <row r="609">
          <cell r="E609" t="str">
            <v>B25014182</v>
          </cell>
          <cell r="AP609">
            <v>0</v>
          </cell>
          <cell r="AQ609">
            <v>0</v>
          </cell>
          <cell r="AV609">
            <v>0</v>
          </cell>
        </row>
        <row r="610">
          <cell r="E610" t="str">
            <v>D25016537</v>
          </cell>
          <cell r="AP610">
            <v>0</v>
          </cell>
          <cell r="AQ610">
            <v>0</v>
          </cell>
          <cell r="AV610">
            <v>0</v>
          </cell>
        </row>
        <row r="611">
          <cell r="E611" t="str">
            <v>B25014607</v>
          </cell>
          <cell r="AP611">
            <v>0</v>
          </cell>
          <cell r="AQ611">
            <v>0</v>
          </cell>
          <cell r="AV611">
            <v>0</v>
          </cell>
        </row>
        <row r="612">
          <cell r="E612" t="str">
            <v>B25014608</v>
          </cell>
          <cell r="AP612">
            <v>0</v>
          </cell>
          <cell r="AQ612">
            <v>0</v>
          </cell>
          <cell r="AV612">
            <v>0</v>
          </cell>
        </row>
        <row r="613">
          <cell r="E613" t="str">
            <v>D25017082</v>
          </cell>
          <cell r="AP613">
            <v>0</v>
          </cell>
          <cell r="AQ613">
            <v>0</v>
          </cell>
          <cell r="AV613">
            <v>0</v>
          </cell>
        </row>
        <row r="614">
          <cell r="E614" t="str">
            <v>D25017821</v>
          </cell>
          <cell r="AP614">
            <v>0</v>
          </cell>
          <cell r="AQ614">
            <v>0</v>
          </cell>
          <cell r="AV614">
            <v>0</v>
          </cell>
        </row>
        <row r="615">
          <cell r="E615" t="str">
            <v>B25015456</v>
          </cell>
          <cell r="AP615">
            <v>0</v>
          </cell>
          <cell r="AQ615">
            <v>0</v>
          </cell>
          <cell r="AV615">
            <v>0</v>
          </cell>
        </row>
        <row r="616">
          <cell r="E616" t="str">
            <v>T25001758</v>
          </cell>
          <cell r="AP616">
            <v>0</v>
          </cell>
          <cell r="AQ616">
            <v>0</v>
          </cell>
          <cell r="AV616">
            <v>0</v>
          </cell>
        </row>
        <row r="617">
          <cell r="E617" t="str">
            <v>B25015814</v>
          </cell>
          <cell r="AP617">
            <v>0</v>
          </cell>
          <cell r="AQ617">
            <v>0</v>
          </cell>
          <cell r="AV617">
            <v>0</v>
          </cell>
        </row>
        <row r="618">
          <cell r="E618" t="str">
            <v>B25015842</v>
          </cell>
          <cell r="AP618">
            <v>0</v>
          </cell>
          <cell r="AQ618">
            <v>0</v>
          </cell>
          <cell r="AV618">
            <v>0</v>
          </cell>
        </row>
        <row r="619">
          <cell r="E619" t="str">
            <v>B25016842</v>
          </cell>
          <cell r="AP619">
            <v>0</v>
          </cell>
          <cell r="AQ619">
            <v>0</v>
          </cell>
          <cell r="AV619">
            <v>0</v>
          </cell>
        </row>
        <row r="620">
          <cell r="E620" t="str">
            <v>D25019422</v>
          </cell>
          <cell r="AP620">
            <v>0</v>
          </cell>
          <cell r="AQ620">
            <v>0</v>
          </cell>
          <cell r="AV620">
            <v>0</v>
          </cell>
        </row>
        <row r="621">
          <cell r="E621" t="str">
            <v>D25019489</v>
          </cell>
          <cell r="AP621">
            <v>0</v>
          </cell>
          <cell r="AQ621">
            <v>0</v>
          </cell>
          <cell r="AV621">
            <v>0</v>
          </cell>
        </row>
        <row r="622">
          <cell r="E622" t="str">
            <v>D25019666</v>
          </cell>
          <cell r="AP622">
            <v>0</v>
          </cell>
          <cell r="AQ622">
            <v>0</v>
          </cell>
          <cell r="AV622">
            <v>0</v>
          </cell>
        </row>
        <row r="623">
          <cell r="E623" t="str">
            <v>D26000624</v>
          </cell>
          <cell r="AP623">
            <v>0</v>
          </cell>
          <cell r="AQ623">
            <v>0</v>
          </cell>
          <cell r="AV623">
            <v>0</v>
          </cell>
        </row>
        <row r="624">
          <cell r="E624" t="str">
            <v>D26001160</v>
          </cell>
          <cell r="AP624">
            <v>0</v>
          </cell>
          <cell r="AQ624">
            <v>0</v>
          </cell>
          <cell r="AV624">
            <v>0</v>
          </cell>
        </row>
        <row r="625">
          <cell r="E625" t="str">
            <v>D26001161</v>
          </cell>
          <cell r="AP625">
            <v>0</v>
          </cell>
          <cell r="AQ625">
            <v>0</v>
          </cell>
          <cell r="AV625">
            <v>0</v>
          </cell>
        </row>
        <row r="626">
          <cell r="E626" t="str">
            <v>D26001338</v>
          </cell>
          <cell r="AP626">
            <v>0</v>
          </cell>
          <cell r="AQ626">
            <v>0</v>
          </cell>
          <cell r="AV626">
            <v>0</v>
          </cell>
        </row>
        <row r="627">
          <cell r="E627" t="str">
            <v>D25017231</v>
          </cell>
          <cell r="AP627">
            <v>0</v>
          </cell>
          <cell r="AQ627">
            <v>0</v>
          </cell>
          <cell r="AV627">
            <v>0</v>
          </cell>
        </row>
        <row r="628">
          <cell r="E628" t="str">
            <v>D25018661</v>
          </cell>
          <cell r="AP628">
            <v>0</v>
          </cell>
          <cell r="AQ628">
            <v>0</v>
          </cell>
          <cell r="AV628">
            <v>0</v>
          </cell>
        </row>
        <row r="629">
          <cell r="E629" t="str">
            <v>B25016677</v>
          </cell>
          <cell r="AP629">
            <v>0</v>
          </cell>
          <cell r="AQ629">
            <v>0</v>
          </cell>
          <cell r="AV629">
            <v>0</v>
          </cell>
        </row>
        <row r="630">
          <cell r="E630" t="str">
            <v>B25017088</v>
          </cell>
          <cell r="AP630">
            <v>0</v>
          </cell>
          <cell r="AQ630">
            <v>0</v>
          </cell>
          <cell r="AV630">
            <v>0</v>
          </cell>
        </row>
        <row r="631">
          <cell r="E631" t="str">
            <v>D25019689</v>
          </cell>
          <cell r="AP631">
            <v>0</v>
          </cell>
          <cell r="AQ631">
            <v>0</v>
          </cell>
          <cell r="AV631">
            <v>0</v>
          </cell>
        </row>
        <row r="632">
          <cell r="E632" t="str">
            <v>D26000388</v>
          </cell>
          <cell r="AP632">
            <v>0</v>
          </cell>
          <cell r="AQ632">
            <v>0</v>
          </cell>
          <cell r="AV632">
            <v>0</v>
          </cell>
        </row>
        <row r="633">
          <cell r="E633" t="str">
            <v>B26000677</v>
          </cell>
          <cell r="AP633">
            <v>0</v>
          </cell>
          <cell r="AQ633">
            <v>0</v>
          </cell>
          <cell r="AV633">
            <v>0</v>
          </cell>
        </row>
        <row r="634">
          <cell r="E634" t="str">
            <v>D26001068</v>
          </cell>
          <cell r="AP634">
            <v>0</v>
          </cell>
          <cell r="AQ634">
            <v>0</v>
          </cell>
          <cell r="AV634">
            <v>0</v>
          </cell>
        </row>
        <row r="635">
          <cell r="E635" t="str">
            <v>D25014948</v>
          </cell>
          <cell r="AP635">
            <v>0</v>
          </cell>
          <cell r="AQ635">
            <v>0</v>
          </cell>
          <cell r="AV635">
            <v>0</v>
          </cell>
        </row>
        <row r="636">
          <cell r="E636" t="str">
            <v>D25015234</v>
          </cell>
          <cell r="AP636">
            <v>0</v>
          </cell>
          <cell r="AQ636">
            <v>0</v>
          </cell>
          <cell r="AV636">
            <v>0</v>
          </cell>
        </row>
        <row r="637">
          <cell r="E637" t="str">
            <v>B25013096</v>
          </cell>
          <cell r="AP637">
            <v>0</v>
          </cell>
          <cell r="AQ637">
            <v>0</v>
          </cell>
          <cell r="AV637">
            <v>0</v>
          </cell>
        </row>
        <row r="638">
          <cell r="E638" t="str">
            <v>B25013448</v>
          </cell>
          <cell r="AP638">
            <v>0</v>
          </cell>
          <cell r="AQ638">
            <v>0</v>
          </cell>
          <cell r="AV638">
            <v>0</v>
          </cell>
        </row>
        <row r="639">
          <cell r="E639" t="str">
            <v>D25015924</v>
          </cell>
          <cell r="AP639">
            <v>0</v>
          </cell>
          <cell r="AQ639">
            <v>0</v>
          </cell>
          <cell r="AV639">
            <v>0</v>
          </cell>
        </row>
        <row r="640">
          <cell r="E640" t="str">
            <v>D25016080</v>
          </cell>
          <cell r="AP640">
            <v>0</v>
          </cell>
          <cell r="AQ640">
            <v>0</v>
          </cell>
          <cell r="AV640">
            <v>0</v>
          </cell>
        </row>
        <row r="641">
          <cell r="E641" t="str">
            <v>D25016533</v>
          </cell>
          <cell r="AP641">
            <v>0</v>
          </cell>
          <cell r="AQ641">
            <v>0</v>
          </cell>
          <cell r="AV641">
            <v>0</v>
          </cell>
        </row>
        <row r="642">
          <cell r="E642" t="str">
            <v>D25016996</v>
          </cell>
          <cell r="AP642">
            <v>0</v>
          </cell>
          <cell r="AQ642">
            <v>0</v>
          </cell>
          <cell r="AV642">
            <v>0</v>
          </cell>
        </row>
        <row r="643">
          <cell r="E643" t="str">
            <v>D25016997</v>
          </cell>
          <cell r="AP643">
            <v>0</v>
          </cell>
          <cell r="AQ643">
            <v>0</v>
          </cell>
          <cell r="AV643">
            <v>0</v>
          </cell>
        </row>
        <row r="644">
          <cell r="E644" t="str">
            <v>D25017102</v>
          </cell>
          <cell r="AP644">
            <v>0</v>
          </cell>
          <cell r="AQ644">
            <v>0</v>
          </cell>
          <cell r="AV644">
            <v>0</v>
          </cell>
        </row>
        <row r="645">
          <cell r="E645" t="str">
            <v>B25014869</v>
          </cell>
          <cell r="AP645">
            <v>0</v>
          </cell>
          <cell r="AQ645">
            <v>0</v>
          </cell>
          <cell r="AV645">
            <v>0</v>
          </cell>
        </row>
        <row r="646">
          <cell r="E646" t="str">
            <v>D25017610</v>
          </cell>
          <cell r="AP646">
            <v>0</v>
          </cell>
          <cell r="AQ646">
            <v>0</v>
          </cell>
          <cell r="AV646">
            <v>0</v>
          </cell>
        </row>
        <row r="647">
          <cell r="E647" t="str">
            <v>D25017855</v>
          </cell>
          <cell r="AP647">
            <v>0</v>
          </cell>
          <cell r="AQ647">
            <v>0</v>
          </cell>
          <cell r="AV647">
            <v>0</v>
          </cell>
        </row>
        <row r="648">
          <cell r="E648" t="str">
            <v>B25015717</v>
          </cell>
          <cell r="AP648">
            <v>0</v>
          </cell>
          <cell r="AQ648">
            <v>0</v>
          </cell>
          <cell r="AV648">
            <v>0</v>
          </cell>
        </row>
        <row r="649">
          <cell r="E649" t="str">
            <v>D25018080</v>
          </cell>
          <cell r="AP649">
            <v>0</v>
          </cell>
          <cell r="AQ649">
            <v>0</v>
          </cell>
          <cell r="AV649">
            <v>0</v>
          </cell>
        </row>
        <row r="650">
          <cell r="E650" t="str">
            <v>D25018085</v>
          </cell>
          <cell r="AP650">
            <v>0</v>
          </cell>
          <cell r="AQ650">
            <v>0</v>
          </cell>
          <cell r="AV650">
            <v>0</v>
          </cell>
        </row>
        <row r="651">
          <cell r="E651" t="str">
            <v>D25018086</v>
          </cell>
          <cell r="AP651">
            <v>0</v>
          </cell>
          <cell r="AQ651">
            <v>0</v>
          </cell>
          <cell r="AV651">
            <v>0</v>
          </cell>
        </row>
        <row r="652">
          <cell r="E652" t="str">
            <v>D25018439</v>
          </cell>
          <cell r="AP652">
            <v>0</v>
          </cell>
          <cell r="AQ652">
            <v>0</v>
          </cell>
          <cell r="AV652">
            <v>0</v>
          </cell>
        </row>
        <row r="653">
          <cell r="E653" t="str">
            <v>B25016097</v>
          </cell>
          <cell r="AP653">
            <v>0</v>
          </cell>
          <cell r="AQ653">
            <v>0</v>
          </cell>
          <cell r="AV653">
            <v>0</v>
          </cell>
        </row>
        <row r="654">
          <cell r="E654" t="str">
            <v>D25018769</v>
          </cell>
          <cell r="AP654">
            <v>0</v>
          </cell>
          <cell r="AQ654">
            <v>0</v>
          </cell>
          <cell r="AV654">
            <v>0</v>
          </cell>
        </row>
        <row r="655">
          <cell r="E655" t="str">
            <v>D25018770</v>
          </cell>
          <cell r="AP655">
            <v>0</v>
          </cell>
          <cell r="AQ655">
            <v>0</v>
          </cell>
          <cell r="AV655">
            <v>0</v>
          </cell>
        </row>
        <row r="656">
          <cell r="E656" t="str">
            <v>D25018813</v>
          </cell>
          <cell r="AP656">
            <v>0</v>
          </cell>
          <cell r="AQ656">
            <v>0</v>
          </cell>
          <cell r="AV656">
            <v>0</v>
          </cell>
        </row>
        <row r="657">
          <cell r="E657" t="str">
            <v>D25018838</v>
          </cell>
          <cell r="AP657">
            <v>0</v>
          </cell>
          <cell r="AQ657">
            <v>0</v>
          </cell>
          <cell r="AV657">
            <v>0</v>
          </cell>
        </row>
        <row r="658">
          <cell r="E658" t="str">
            <v>D25019180</v>
          </cell>
          <cell r="AP658">
            <v>0</v>
          </cell>
          <cell r="AQ658">
            <v>0</v>
          </cell>
          <cell r="AV658">
            <v>0</v>
          </cell>
        </row>
        <row r="659">
          <cell r="E659" t="str">
            <v>D25019218</v>
          </cell>
          <cell r="AP659">
            <v>0</v>
          </cell>
          <cell r="AQ659">
            <v>0</v>
          </cell>
          <cell r="AV659">
            <v>0</v>
          </cell>
        </row>
        <row r="660">
          <cell r="E660" t="str">
            <v>B25016789</v>
          </cell>
          <cell r="AP660">
            <v>0</v>
          </cell>
          <cell r="AQ660">
            <v>0</v>
          </cell>
          <cell r="AV660">
            <v>0</v>
          </cell>
        </row>
        <row r="661">
          <cell r="E661" t="str">
            <v>B25016790</v>
          </cell>
          <cell r="AP661">
            <v>0</v>
          </cell>
          <cell r="AQ661">
            <v>0</v>
          </cell>
          <cell r="AV661">
            <v>0</v>
          </cell>
        </row>
        <row r="662">
          <cell r="E662" t="str">
            <v>D25019273</v>
          </cell>
          <cell r="AP662">
            <v>0</v>
          </cell>
          <cell r="AQ662">
            <v>0</v>
          </cell>
          <cell r="AV662">
            <v>0</v>
          </cell>
        </row>
        <row r="663">
          <cell r="E663" t="str">
            <v>D25019547</v>
          </cell>
          <cell r="AP663">
            <v>0</v>
          </cell>
          <cell r="AQ663">
            <v>0</v>
          </cell>
          <cell r="AV663">
            <v>0</v>
          </cell>
        </row>
        <row r="664">
          <cell r="E664" t="str">
            <v>D25019548</v>
          </cell>
          <cell r="AP664">
            <v>0</v>
          </cell>
          <cell r="AQ664">
            <v>0</v>
          </cell>
          <cell r="AV664">
            <v>0</v>
          </cell>
        </row>
        <row r="665">
          <cell r="E665" t="str">
            <v>D26000094</v>
          </cell>
          <cell r="AP665">
            <v>0</v>
          </cell>
          <cell r="AQ665">
            <v>0</v>
          </cell>
          <cell r="AV665">
            <v>0</v>
          </cell>
        </row>
        <row r="666">
          <cell r="E666" t="str">
            <v>D26001266</v>
          </cell>
          <cell r="AP666">
            <v>0</v>
          </cell>
          <cell r="AQ666">
            <v>0</v>
          </cell>
          <cell r="AV666">
            <v>0</v>
          </cell>
        </row>
        <row r="667">
          <cell r="E667" t="str">
            <v>D26001588</v>
          </cell>
          <cell r="AP667">
            <v>0</v>
          </cell>
          <cell r="AQ667">
            <v>0</v>
          </cell>
          <cell r="AV667">
            <v>0</v>
          </cell>
        </row>
        <row r="668">
          <cell r="E668" t="str">
            <v>D26001629</v>
          </cell>
          <cell r="AP668">
            <v>0</v>
          </cell>
          <cell r="AQ668">
            <v>0</v>
          </cell>
          <cell r="AV668">
            <v>0</v>
          </cell>
        </row>
        <row r="669">
          <cell r="E669" t="str">
            <v>D26001630</v>
          </cell>
          <cell r="AP669">
            <v>0</v>
          </cell>
          <cell r="AQ669">
            <v>0</v>
          </cell>
          <cell r="AV669">
            <v>0</v>
          </cell>
        </row>
        <row r="670">
          <cell r="E670" t="str">
            <v>D26001673</v>
          </cell>
          <cell r="AP670">
            <v>0</v>
          </cell>
          <cell r="AQ670">
            <v>0</v>
          </cell>
          <cell r="AV670">
            <v>0</v>
          </cell>
        </row>
        <row r="671">
          <cell r="E671" t="str">
            <v>B26001596</v>
          </cell>
          <cell r="AP671">
            <v>0</v>
          </cell>
          <cell r="AQ671">
            <v>0</v>
          </cell>
          <cell r="AV671">
            <v>0</v>
          </cell>
        </row>
        <row r="672">
          <cell r="E672" t="str">
            <v>B25014894</v>
          </cell>
          <cell r="AP672">
            <v>0</v>
          </cell>
          <cell r="AQ672">
            <v>0</v>
          </cell>
          <cell r="AV672">
            <v>0</v>
          </cell>
        </row>
        <row r="673">
          <cell r="E673" t="str">
            <v>D25018772</v>
          </cell>
          <cell r="AP673">
            <v>0</v>
          </cell>
          <cell r="AQ673">
            <v>0</v>
          </cell>
          <cell r="AV673">
            <v>0</v>
          </cell>
        </row>
        <row r="674">
          <cell r="E674" t="str">
            <v>Z26000276</v>
          </cell>
          <cell r="AP674">
            <v>0</v>
          </cell>
          <cell r="AQ674">
            <v>0</v>
          </cell>
          <cell r="AV674">
            <v>0</v>
          </cell>
        </row>
        <row r="675">
          <cell r="E675" t="str">
            <v>Z26000277</v>
          </cell>
          <cell r="AP675">
            <v>0</v>
          </cell>
          <cell r="AQ675">
            <v>0</v>
          </cell>
          <cell r="AV675">
            <v>0</v>
          </cell>
        </row>
        <row r="676">
          <cell r="E676" t="str">
            <v>B26000075</v>
          </cell>
          <cell r="AP676">
            <v>0</v>
          </cell>
          <cell r="AQ676">
            <v>0</v>
          </cell>
          <cell r="AV676">
            <v>0</v>
          </cell>
        </row>
        <row r="677">
          <cell r="E677" t="str">
            <v>B26001577</v>
          </cell>
          <cell r="AP677">
            <v>0</v>
          </cell>
          <cell r="AQ677">
            <v>0</v>
          </cell>
          <cell r="AV677">
            <v>0</v>
          </cell>
        </row>
        <row r="678">
          <cell r="E678" t="str">
            <v>D25018699</v>
          </cell>
          <cell r="AP678">
            <v>0</v>
          </cell>
          <cell r="AQ678">
            <v>0</v>
          </cell>
          <cell r="AV678">
            <v>0</v>
          </cell>
        </row>
        <row r="679">
          <cell r="E679" t="str">
            <v>D25019326</v>
          </cell>
          <cell r="AP679">
            <v>0</v>
          </cell>
          <cell r="AQ679">
            <v>0</v>
          </cell>
          <cell r="AV679">
            <v>0</v>
          </cell>
        </row>
        <row r="680">
          <cell r="E680" t="str">
            <v>D26000844</v>
          </cell>
          <cell r="AP680">
            <v>0</v>
          </cell>
          <cell r="AQ680">
            <v>0</v>
          </cell>
          <cell r="AV680">
            <v>0</v>
          </cell>
        </row>
        <row r="681">
          <cell r="E681" t="str">
            <v>T25001420</v>
          </cell>
          <cell r="AP681">
            <v>0</v>
          </cell>
          <cell r="AQ681">
            <v>0</v>
          </cell>
          <cell r="AV681">
            <v>0</v>
          </cell>
        </row>
        <row r="682">
          <cell r="E682" t="str">
            <v>T25001781</v>
          </cell>
          <cell r="AP682">
            <v>0</v>
          </cell>
          <cell r="AQ682">
            <v>0</v>
          </cell>
          <cell r="AV682">
            <v>0</v>
          </cell>
        </row>
        <row r="683">
          <cell r="E683" t="str">
            <v>D26000566</v>
          </cell>
          <cell r="AP683">
            <v>0</v>
          </cell>
          <cell r="AQ683">
            <v>0</v>
          </cell>
          <cell r="AV683">
            <v>0</v>
          </cell>
        </row>
        <row r="684">
          <cell r="E684" t="str">
            <v>D26000629</v>
          </cell>
          <cell r="AP684">
            <v>0</v>
          </cell>
          <cell r="AQ684">
            <v>0</v>
          </cell>
          <cell r="AV684">
            <v>0</v>
          </cell>
        </row>
        <row r="685">
          <cell r="E685" t="str">
            <v>D26001695</v>
          </cell>
          <cell r="AP685">
            <v>0</v>
          </cell>
          <cell r="AQ685">
            <v>0</v>
          </cell>
          <cell r="AV685">
            <v>0</v>
          </cell>
        </row>
        <row r="686">
          <cell r="E686" t="str">
            <v>D26001759</v>
          </cell>
          <cell r="AP686">
            <v>0</v>
          </cell>
          <cell r="AQ686">
            <v>0</v>
          </cell>
          <cell r="AV686">
            <v>0</v>
          </cell>
        </row>
        <row r="687">
          <cell r="E687" t="str">
            <v>D25018788</v>
          </cell>
          <cell r="AP687">
            <v>0</v>
          </cell>
          <cell r="AQ687">
            <v>0</v>
          </cell>
          <cell r="AV687">
            <v>0</v>
          </cell>
        </row>
        <row r="688">
          <cell r="E688" t="str">
            <v>B25016487</v>
          </cell>
          <cell r="AP688">
            <v>0</v>
          </cell>
          <cell r="AQ688">
            <v>0</v>
          </cell>
          <cell r="AV688">
            <v>0</v>
          </cell>
        </row>
        <row r="689">
          <cell r="E689" t="str">
            <v>D25019482</v>
          </cell>
          <cell r="AP689">
            <v>0</v>
          </cell>
          <cell r="AQ689">
            <v>0</v>
          </cell>
          <cell r="AV689">
            <v>0</v>
          </cell>
        </row>
        <row r="690">
          <cell r="E690" t="str">
            <v>D26000025</v>
          </cell>
          <cell r="AP690">
            <v>0</v>
          </cell>
          <cell r="AQ690">
            <v>0</v>
          </cell>
          <cell r="AV690">
            <v>0</v>
          </cell>
        </row>
        <row r="691">
          <cell r="E691" t="str">
            <v>D26000189</v>
          </cell>
          <cell r="AP691">
            <v>0</v>
          </cell>
          <cell r="AQ691">
            <v>0</v>
          </cell>
          <cell r="AV691">
            <v>0</v>
          </cell>
        </row>
        <row r="692">
          <cell r="E692" t="str">
            <v>B26000554</v>
          </cell>
          <cell r="AP692">
            <v>0</v>
          </cell>
          <cell r="AQ692">
            <v>0</v>
          </cell>
          <cell r="AV692">
            <v>0</v>
          </cell>
        </row>
        <row r="693">
          <cell r="E693" t="str">
            <v>D26000643</v>
          </cell>
          <cell r="AP693">
            <v>0</v>
          </cell>
          <cell r="AQ693">
            <v>0</v>
          </cell>
          <cell r="AV693">
            <v>0</v>
          </cell>
        </row>
        <row r="694">
          <cell r="E694" t="str">
            <v>B25012415</v>
          </cell>
          <cell r="AP694">
            <v>0</v>
          </cell>
          <cell r="AQ694">
            <v>0</v>
          </cell>
          <cell r="AV694">
            <v>0</v>
          </cell>
        </row>
        <row r="695">
          <cell r="E695" t="str">
            <v>D25018298</v>
          </cell>
          <cell r="AP695">
            <v>0</v>
          </cell>
          <cell r="AQ695">
            <v>0</v>
          </cell>
          <cell r="AV695">
            <v>0</v>
          </cell>
        </row>
        <row r="696">
          <cell r="E696" t="str">
            <v>B26000027</v>
          </cell>
          <cell r="AP696">
            <v>0</v>
          </cell>
          <cell r="AQ696">
            <v>0</v>
          </cell>
          <cell r="AV696">
            <v>0</v>
          </cell>
        </row>
        <row r="697">
          <cell r="E697" t="str">
            <v>D25019611</v>
          </cell>
          <cell r="AP697">
            <v>0</v>
          </cell>
          <cell r="AQ697">
            <v>0</v>
          </cell>
          <cell r="AV697">
            <v>0</v>
          </cell>
        </row>
        <row r="698">
          <cell r="E698" t="str">
            <v>D25019631</v>
          </cell>
          <cell r="AP698">
            <v>0</v>
          </cell>
          <cell r="AQ698">
            <v>0</v>
          </cell>
          <cell r="AV698">
            <v>0</v>
          </cell>
        </row>
        <row r="699">
          <cell r="E699" t="str">
            <v>D25019670</v>
          </cell>
          <cell r="AP699">
            <v>0</v>
          </cell>
          <cell r="AQ699">
            <v>0</v>
          </cell>
          <cell r="AV699">
            <v>0</v>
          </cell>
        </row>
        <row r="700">
          <cell r="E700" t="str">
            <v>B25016413</v>
          </cell>
          <cell r="AP700">
            <v>0</v>
          </cell>
          <cell r="AQ700">
            <v>0</v>
          </cell>
          <cell r="AV700">
            <v>0</v>
          </cell>
        </row>
        <row r="701">
          <cell r="E701" t="str">
            <v>B25014588</v>
          </cell>
          <cell r="AP701">
            <v>0</v>
          </cell>
          <cell r="AQ701">
            <v>0</v>
          </cell>
          <cell r="AV701">
            <v>0</v>
          </cell>
        </row>
        <row r="702">
          <cell r="E702" t="str">
            <v>B25014724</v>
          </cell>
          <cell r="AP702">
            <v>0</v>
          </cell>
          <cell r="AQ702">
            <v>0</v>
          </cell>
          <cell r="AV702">
            <v>0</v>
          </cell>
        </row>
        <row r="703">
          <cell r="E703" t="str">
            <v>B25014791</v>
          </cell>
          <cell r="AP703">
            <v>0</v>
          </cell>
          <cell r="AQ703">
            <v>0</v>
          </cell>
          <cell r="AV703">
            <v>0</v>
          </cell>
        </row>
        <row r="704">
          <cell r="E704" t="str">
            <v>B25014795</v>
          </cell>
          <cell r="AP704">
            <v>0</v>
          </cell>
          <cell r="AQ704">
            <v>0</v>
          </cell>
          <cell r="AV704">
            <v>0</v>
          </cell>
        </row>
        <row r="705">
          <cell r="E705" t="str">
            <v>D25017192</v>
          </cell>
          <cell r="AP705">
            <v>0</v>
          </cell>
          <cell r="AQ705">
            <v>0</v>
          </cell>
          <cell r="AV705">
            <v>0</v>
          </cell>
        </row>
        <row r="706">
          <cell r="E706" t="str">
            <v>D25017199</v>
          </cell>
          <cell r="AP706">
            <v>0</v>
          </cell>
          <cell r="AQ706">
            <v>0</v>
          </cell>
          <cell r="AV706">
            <v>0</v>
          </cell>
        </row>
        <row r="707">
          <cell r="E707" t="str">
            <v>B25014956</v>
          </cell>
          <cell r="AP707">
            <v>0</v>
          </cell>
          <cell r="AQ707">
            <v>0</v>
          </cell>
          <cell r="AV707">
            <v>0</v>
          </cell>
        </row>
        <row r="708">
          <cell r="E708" t="str">
            <v>D25017383</v>
          </cell>
          <cell r="AP708">
            <v>0</v>
          </cell>
          <cell r="AQ708">
            <v>0</v>
          </cell>
          <cell r="AV708">
            <v>0</v>
          </cell>
        </row>
        <row r="709">
          <cell r="E709" t="str">
            <v>D25017395</v>
          </cell>
          <cell r="AP709">
            <v>0</v>
          </cell>
          <cell r="AQ709">
            <v>0</v>
          </cell>
          <cell r="AV709">
            <v>0</v>
          </cell>
        </row>
        <row r="710">
          <cell r="E710" t="str">
            <v>D25017616</v>
          </cell>
          <cell r="AP710">
            <v>0</v>
          </cell>
          <cell r="AQ710">
            <v>0</v>
          </cell>
          <cell r="AV710">
            <v>0</v>
          </cell>
        </row>
        <row r="711">
          <cell r="E711" t="str">
            <v>B25015231</v>
          </cell>
          <cell r="AP711">
            <v>0</v>
          </cell>
          <cell r="AQ711">
            <v>0</v>
          </cell>
          <cell r="AV711">
            <v>0</v>
          </cell>
        </row>
        <row r="712">
          <cell r="E712" t="str">
            <v>B25015232</v>
          </cell>
          <cell r="AP712">
            <v>0</v>
          </cell>
          <cell r="AQ712">
            <v>0</v>
          </cell>
          <cell r="AV712">
            <v>0</v>
          </cell>
        </row>
        <row r="713">
          <cell r="E713" t="str">
            <v>D25017670</v>
          </cell>
          <cell r="AP713">
            <v>0</v>
          </cell>
          <cell r="AQ713">
            <v>0</v>
          </cell>
          <cell r="AV713">
            <v>0</v>
          </cell>
        </row>
        <row r="714">
          <cell r="E714" t="str">
            <v>D25017719</v>
          </cell>
          <cell r="AP714">
            <v>0</v>
          </cell>
          <cell r="AQ714">
            <v>0</v>
          </cell>
          <cell r="AV714">
            <v>0</v>
          </cell>
        </row>
        <row r="715">
          <cell r="E715" t="str">
            <v>B25015304</v>
          </cell>
          <cell r="AP715">
            <v>0</v>
          </cell>
          <cell r="AQ715">
            <v>0</v>
          </cell>
          <cell r="AV715">
            <v>0</v>
          </cell>
        </row>
        <row r="716">
          <cell r="E716" t="str">
            <v>B25015318</v>
          </cell>
          <cell r="AP716">
            <v>0</v>
          </cell>
          <cell r="AQ716">
            <v>0</v>
          </cell>
          <cell r="AV716">
            <v>0</v>
          </cell>
        </row>
        <row r="717">
          <cell r="E717" t="str">
            <v>B25015319</v>
          </cell>
          <cell r="AP717">
            <v>0</v>
          </cell>
          <cell r="AQ717">
            <v>0</v>
          </cell>
          <cell r="AV717">
            <v>0</v>
          </cell>
        </row>
        <row r="718">
          <cell r="E718" t="str">
            <v>B25015415</v>
          </cell>
          <cell r="AP718">
            <v>0</v>
          </cell>
          <cell r="AQ718">
            <v>0</v>
          </cell>
          <cell r="AV718">
            <v>0</v>
          </cell>
        </row>
        <row r="719">
          <cell r="E719" t="str">
            <v>D25017912</v>
          </cell>
          <cell r="AP719">
            <v>0</v>
          </cell>
          <cell r="AQ719">
            <v>0</v>
          </cell>
          <cell r="AV719">
            <v>0</v>
          </cell>
        </row>
        <row r="720">
          <cell r="E720" t="str">
            <v>B25015523</v>
          </cell>
          <cell r="AP720">
            <v>0</v>
          </cell>
          <cell r="AQ720">
            <v>0</v>
          </cell>
          <cell r="AV720">
            <v>0</v>
          </cell>
        </row>
        <row r="721">
          <cell r="E721" t="str">
            <v>D25018187</v>
          </cell>
          <cell r="AP721">
            <v>0</v>
          </cell>
          <cell r="AQ721">
            <v>0</v>
          </cell>
          <cell r="AV721">
            <v>0</v>
          </cell>
        </row>
        <row r="722">
          <cell r="E722" t="str">
            <v>D25018248</v>
          </cell>
          <cell r="AP722">
            <v>0</v>
          </cell>
          <cell r="AQ722">
            <v>0</v>
          </cell>
          <cell r="AV722">
            <v>0</v>
          </cell>
        </row>
        <row r="723">
          <cell r="E723" t="str">
            <v>D25018273</v>
          </cell>
          <cell r="AP723">
            <v>0</v>
          </cell>
          <cell r="AQ723">
            <v>0</v>
          </cell>
          <cell r="AV723">
            <v>0</v>
          </cell>
        </row>
        <row r="724">
          <cell r="E724" t="str">
            <v>N25000073</v>
          </cell>
          <cell r="AP724">
            <v>0</v>
          </cell>
          <cell r="AQ724">
            <v>0</v>
          </cell>
          <cell r="AV724">
            <v>0</v>
          </cell>
        </row>
        <row r="725">
          <cell r="E725" t="str">
            <v>B25015953</v>
          </cell>
          <cell r="AP725">
            <v>0</v>
          </cell>
          <cell r="AQ725">
            <v>0</v>
          </cell>
          <cell r="AV725">
            <v>0</v>
          </cell>
        </row>
        <row r="726">
          <cell r="E726" t="str">
            <v>D25018350</v>
          </cell>
          <cell r="AP726">
            <v>0</v>
          </cell>
          <cell r="AQ726">
            <v>0</v>
          </cell>
          <cell r="AV726">
            <v>0</v>
          </cell>
        </row>
        <row r="727">
          <cell r="E727" t="str">
            <v>D25018354</v>
          </cell>
          <cell r="AP727">
            <v>0</v>
          </cell>
          <cell r="AQ727">
            <v>0</v>
          </cell>
          <cell r="AV727">
            <v>0</v>
          </cell>
        </row>
        <row r="728">
          <cell r="E728" t="str">
            <v>B25016052</v>
          </cell>
          <cell r="AP728">
            <v>0</v>
          </cell>
          <cell r="AQ728">
            <v>0</v>
          </cell>
          <cell r="AV728">
            <v>0</v>
          </cell>
        </row>
        <row r="729">
          <cell r="E729" t="str">
            <v>D25018680</v>
          </cell>
          <cell r="AP729">
            <v>0</v>
          </cell>
          <cell r="AQ729">
            <v>0</v>
          </cell>
          <cell r="AV729">
            <v>0</v>
          </cell>
        </row>
        <row r="730">
          <cell r="E730" t="str">
            <v>B25016296</v>
          </cell>
          <cell r="AP730">
            <v>0</v>
          </cell>
          <cell r="AQ730">
            <v>0</v>
          </cell>
          <cell r="AV730">
            <v>0</v>
          </cell>
        </row>
        <row r="731">
          <cell r="E731" t="str">
            <v>D25018697</v>
          </cell>
          <cell r="AP731">
            <v>0</v>
          </cell>
          <cell r="AQ731">
            <v>0</v>
          </cell>
          <cell r="AV731">
            <v>0</v>
          </cell>
        </row>
        <row r="732">
          <cell r="E732" t="str">
            <v>D25018734</v>
          </cell>
          <cell r="AP732">
            <v>0</v>
          </cell>
          <cell r="AQ732">
            <v>0</v>
          </cell>
          <cell r="AV732">
            <v>0</v>
          </cell>
        </row>
        <row r="733">
          <cell r="E733" t="str">
            <v>D25018763</v>
          </cell>
          <cell r="AP733">
            <v>0</v>
          </cell>
          <cell r="AQ733">
            <v>0</v>
          </cell>
          <cell r="AV733">
            <v>0</v>
          </cell>
        </row>
        <row r="734">
          <cell r="E734" t="str">
            <v>D25018876</v>
          </cell>
          <cell r="AP734">
            <v>0</v>
          </cell>
          <cell r="AQ734">
            <v>0</v>
          </cell>
          <cell r="AV734">
            <v>0</v>
          </cell>
        </row>
        <row r="735">
          <cell r="E735" t="str">
            <v>B25016497</v>
          </cell>
          <cell r="AP735">
            <v>0</v>
          </cell>
          <cell r="AQ735">
            <v>0</v>
          </cell>
          <cell r="AV735">
            <v>0</v>
          </cell>
        </row>
        <row r="736">
          <cell r="E736" t="str">
            <v>B25016502</v>
          </cell>
          <cell r="AP736">
            <v>0</v>
          </cell>
          <cell r="AQ736">
            <v>0</v>
          </cell>
          <cell r="AV736">
            <v>0</v>
          </cell>
        </row>
        <row r="737">
          <cell r="E737" t="str">
            <v>D25019009</v>
          </cell>
          <cell r="AP737">
            <v>0</v>
          </cell>
          <cell r="AQ737">
            <v>0</v>
          </cell>
          <cell r="AV737">
            <v>0</v>
          </cell>
        </row>
        <row r="738">
          <cell r="E738" t="str">
            <v>B25016772</v>
          </cell>
          <cell r="AP738">
            <v>0</v>
          </cell>
          <cell r="AQ738">
            <v>0</v>
          </cell>
          <cell r="AV738">
            <v>0</v>
          </cell>
        </row>
        <row r="739">
          <cell r="E739" t="str">
            <v>D25019274</v>
          </cell>
          <cell r="AP739">
            <v>0</v>
          </cell>
          <cell r="AQ739">
            <v>0</v>
          </cell>
          <cell r="AV739">
            <v>0</v>
          </cell>
        </row>
        <row r="740">
          <cell r="E740" t="str">
            <v>B25017014</v>
          </cell>
          <cell r="AP740">
            <v>0</v>
          </cell>
          <cell r="AQ740">
            <v>0</v>
          </cell>
          <cell r="AV740">
            <v>0</v>
          </cell>
        </row>
        <row r="741">
          <cell r="E741" t="str">
            <v>D25019561</v>
          </cell>
          <cell r="AP741">
            <v>0</v>
          </cell>
          <cell r="AQ741">
            <v>0</v>
          </cell>
          <cell r="AV741">
            <v>0</v>
          </cell>
        </row>
        <row r="742">
          <cell r="E742" t="str">
            <v>B25017039</v>
          </cell>
          <cell r="AP742">
            <v>0</v>
          </cell>
          <cell r="AQ742">
            <v>0</v>
          </cell>
          <cell r="AV742">
            <v>0</v>
          </cell>
        </row>
        <row r="743">
          <cell r="E743" t="str">
            <v>B25017045</v>
          </cell>
          <cell r="AP743">
            <v>0</v>
          </cell>
          <cell r="AQ743">
            <v>0</v>
          </cell>
          <cell r="AV743">
            <v>0</v>
          </cell>
        </row>
        <row r="744">
          <cell r="E744" t="str">
            <v>B25017053</v>
          </cell>
          <cell r="AP744">
            <v>0</v>
          </cell>
          <cell r="AQ744">
            <v>0</v>
          </cell>
          <cell r="AV744">
            <v>0</v>
          </cell>
        </row>
        <row r="745">
          <cell r="E745" t="str">
            <v>D25019633</v>
          </cell>
          <cell r="AP745">
            <v>0</v>
          </cell>
          <cell r="AQ745">
            <v>0</v>
          </cell>
          <cell r="AV745">
            <v>0</v>
          </cell>
        </row>
        <row r="746">
          <cell r="E746" t="str">
            <v>B25017108</v>
          </cell>
          <cell r="AP746">
            <v>0</v>
          </cell>
          <cell r="AQ746">
            <v>0</v>
          </cell>
          <cell r="AV746">
            <v>0</v>
          </cell>
        </row>
        <row r="747">
          <cell r="E747" t="str">
            <v>D26000134</v>
          </cell>
          <cell r="AP747">
            <v>0</v>
          </cell>
          <cell r="AQ747">
            <v>0</v>
          </cell>
          <cell r="AV747">
            <v>0</v>
          </cell>
        </row>
        <row r="748">
          <cell r="E748" t="str">
            <v>B26000170</v>
          </cell>
          <cell r="AP748">
            <v>0</v>
          </cell>
          <cell r="AQ748">
            <v>0</v>
          </cell>
          <cell r="AV748">
            <v>0</v>
          </cell>
        </row>
        <row r="749">
          <cell r="E749" t="str">
            <v>B26000173</v>
          </cell>
          <cell r="AP749">
            <v>0</v>
          </cell>
          <cell r="AQ749">
            <v>0</v>
          </cell>
          <cell r="AV749">
            <v>0</v>
          </cell>
        </row>
        <row r="750">
          <cell r="E750" t="str">
            <v>B26000241</v>
          </cell>
          <cell r="AP750">
            <v>0</v>
          </cell>
          <cell r="AQ750">
            <v>0</v>
          </cell>
          <cell r="AV750">
            <v>0</v>
          </cell>
        </row>
        <row r="751">
          <cell r="E751" t="str">
            <v>B26000345</v>
          </cell>
          <cell r="AP751">
            <v>0</v>
          </cell>
          <cell r="AQ751">
            <v>0</v>
          </cell>
          <cell r="AV751">
            <v>0</v>
          </cell>
        </row>
        <row r="752">
          <cell r="E752" t="str">
            <v>B26000346</v>
          </cell>
          <cell r="AP752">
            <v>0</v>
          </cell>
          <cell r="AQ752">
            <v>0</v>
          </cell>
          <cell r="AV752">
            <v>0</v>
          </cell>
        </row>
        <row r="753">
          <cell r="E753" t="str">
            <v>B26000382</v>
          </cell>
          <cell r="AP753">
            <v>0</v>
          </cell>
          <cell r="AQ753">
            <v>0</v>
          </cell>
          <cell r="AV753">
            <v>0</v>
          </cell>
        </row>
        <row r="754">
          <cell r="E754" t="str">
            <v>B26000635</v>
          </cell>
          <cell r="AP754">
            <v>0</v>
          </cell>
          <cell r="AQ754">
            <v>0</v>
          </cell>
          <cell r="AV754">
            <v>0</v>
          </cell>
        </row>
        <row r="755">
          <cell r="E755" t="str">
            <v>B26000688</v>
          </cell>
          <cell r="AP755">
            <v>0</v>
          </cell>
          <cell r="AQ755">
            <v>0</v>
          </cell>
          <cell r="AV755">
            <v>0</v>
          </cell>
        </row>
        <row r="756">
          <cell r="E756" t="str">
            <v>D26000805</v>
          </cell>
          <cell r="AP756">
            <v>0</v>
          </cell>
          <cell r="AQ756">
            <v>0</v>
          </cell>
          <cell r="AV756">
            <v>0</v>
          </cell>
        </row>
        <row r="757">
          <cell r="E757" t="str">
            <v>D26000859</v>
          </cell>
          <cell r="AP757">
            <v>0</v>
          </cell>
          <cell r="AQ757">
            <v>0</v>
          </cell>
          <cell r="AV757">
            <v>0</v>
          </cell>
        </row>
        <row r="758">
          <cell r="E758" t="str">
            <v>B26000821</v>
          </cell>
          <cell r="AP758">
            <v>0</v>
          </cell>
          <cell r="AQ758">
            <v>0</v>
          </cell>
          <cell r="AV758">
            <v>0</v>
          </cell>
        </row>
        <row r="759">
          <cell r="E759" t="str">
            <v>B26000846</v>
          </cell>
          <cell r="AP759">
            <v>0</v>
          </cell>
          <cell r="AQ759">
            <v>0</v>
          </cell>
          <cell r="AV759">
            <v>0</v>
          </cell>
        </row>
        <row r="760">
          <cell r="E760" t="str">
            <v>B26000901</v>
          </cell>
          <cell r="AP760">
            <v>0</v>
          </cell>
          <cell r="AQ760">
            <v>0</v>
          </cell>
          <cell r="AV760">
            <v>0</v>
          </cell>
        </row>
        <row r="761">
          <cell r="E761" t="str">
            <v>B26000902</v>
          </cell>
          <cell r="AP761">
            <v>0</v>
          </cell>
          <cell r="AQ761">
            <v>0</v>
          </cell>
          <cell r="AV761">
            <v>0</v>
          </cell>
        </row>
        <row r="762">
          <cell r="E762" t="str">
            <v>B26000944</v>
          </cell>
          <cell r="AP762">
            <v>0</v>
          </cell>
          <cell r="AQ762">
            <v>0</v>
          </cell>
          <cell r="AV762">
            <v>0</v>
          </cell>
        </row>
        <row r="763">
          <cell r="E763" t="str">
            <v>D26001057</v>
          </cell>
          <cell r="AP763">
            <v>0</v>
          </cell>
          <cell r="AQ763">
            <v>0</v>
          </cell>
          <cell r="AV763">
            <v>0</v>
          </cell>
        </row>
        <row r="764">
          <cell r="E764" t="str">
            <v>D26001103</v>
          </cell>
          <cell r="AP764">
            <v>0</v>
          </cell>
          <cell r="AQ764">
            <v>0</v>
          </cell>
          <cell r="AV764">
            <v>0</v>
          </cell>
        </row>
        <row r="765">
          <cell r="E765" t="str">
            <v>D26001148</v>
          </cell>
          <cell r="AP765">
            <v>0</v>
          </cell>
          <cell r="AQ765">
            <v>0</v>
          </cell>
          <cell r="AV765">
            <v>0</v>
          </cell>
        </row>
        <row r="766">
          <cell r="E766" t="str">
            <v>B26001169</v>
          </cell>
          <cell r="AP766">
            <v>0</v>
          </cell>
          <cell r="AQ766">
            <v>0</v>
          </cell>
          <cell r="AV766">
            <v>0</v>
          </cell>
        </row>
        <row r="767">
          <cell r="E767" t="str">
            <v>D26001404</v>
          </cell>
          <cell r="AP767">
            <v>0</v>
          </cell>
          <cell r="AQ767">
            <v>0</v>
          </cell>
          <cell r="AV767">
            <v>0</v>
          </cell>
        </row>
        <row r="768">
          <cell r="E768" t="str">
            <v>D26001427</v>
          </cell>
          <cell r="AP768">
            <v>0</v>
          </cell>
          <cell r="AQ768">
            <v>0</v>
          </cell>
          <cell r="AV768">
            <v>0</v>
          </cell>
        </row>
        <row r="769">
          <cell r="E769" t="str">
            <v>B26001452</v>
          </cell>
          <cell r="AP769">
            <v>0</v>
          </cell>
          <cell r="AQ769">
            <v>0</v>
          </cell>
          <cell r="AV769">
            <v>0</v>
          </cell>
        </row>
        <row r="770">
          <cell r="E770" t="str">
            <v>D26001539</v>
          </cell>
          <cell r="AP770">
            <v>0</v>
          </cell>
          <cell r="AQ770">
            <v>0</v>
          </cell>
          <cell r="AV770">
            <v>0</v>
          </cell>
        </row>
        <row r="771">
          <cell r="E771" t="str">
            <v>N26000015</v>
          </cell>
          <cell r="AP771">
            <v>0</v>
          </cell>
          <cell r="AQ771">
            <v>0</v>
          </cell>
          <cell r="AV771">
            <v>0</v>
          </cell>
        </row>
        <row r="772">
          <cell r="E772" t="str">
            <v>D26001613</v>
          </cell>
          <cell r="AP772">
            <v>0</v>
          </cell>
          <cell r="AQ772">
            <v>0</v>
          </cell>
          <cell r="AV772">
            <v>0</v>
          </cell>
        </row>
        <row r="773">
          <cell r="E773" t="str">
            <v>D26001669</v>
          </cell>
          <cell r="AP773">
            <v>0</v>
          </cell>
          <cell r="AQ773">
            <v>0</v>
          </cell>
          <cell r="AV773">
            <v>0</v>
          </cell>
        </row>
        <row r="774">
          <cell r="E774" t="str">
            <v>B26001619</v>
          </cell>
          <cell r="AP774">
            <v>0</v>
          </cell>
          <cell r="AQ774">
            <v>0</v>
          </cell>
          <cell r="AV774">
            <v>0</v>
          </cell>
        </row>
        <row r="775">
          <cell r="E775" t="str">
            <v>B26001633</v>
          </cell>
          <cell r="AP775">
            <v>0</v>
          </cell>
          <cell r="AQ775">
            <v>0</v>
          </cell>
          <cell r="AV775">
            <v>0</v>
          </cell>
        </row>
        <row r="776">
          <cell r="E776" t="str">
            <v>B26001634</v>
          </cell>
          <cell r="AP776">
            <v>0</v>
          </cell>
          <cell r="AQ776">
            <v>0</v>
          </cell>
          <cell r="AV776">
            <v>0</v>
          </cell>
        </row>
        <row r="777">
          <cell r="E777" t="str">
            <v>B25015269</v>
          </cell>
          <cell r="AP777">
            <v>0</v>
          </cell>
          <cell r="AQ777">
            <v>0</v>
          </cell>
          <cell r="AV777">
            <v>0</v>
          </cell>
        </row>
        <row r="778">
          <cell r="E778" t="str">
            <v>B25015270</v>
          </cell>
          <cell r="AP778">
            <v>0</v>
          </cell>
          <cell r="AQ778">
            <v>0</v>
          </cell>
          <cell r="AV778">
            <v>0</v>
          </cell>
        </row>
        <row r="779">
          <cell r="E779" t="str">
            <v>D25017684</v>
          </cell>
          <cell r="AP779">
            <v>0</v>
          </cell>
          <cell r="AQ779">
            <v>0</v>
          </cell>
          <cell r="AV779">
            <v>0</v>
          </cell>
        </row>
        <row r="780">
          <cell r="E780" t="str">
            <v>T25001754</v>
          </cell>
          <cell r="AP780">
            <v>0</v>
          </cell>
          <cell r="AQ780">
            <v>0</v>
          </cell>
          <cell r="AV780">
            <v>0</v>
          </cell>
        </row>
        <row r="781">
          <cell r="E781" t="str">
            <v>D25017920</v>
          </cell>
          <cell r="AP781">
            <v>0</v>
          </cell>
          <cell r="AQ781">
            <v>0</v>
          </cell>
          <cell r="AV781">
            <v>0</v>
          </cell>
        </row>
        <row r="782">
          <cell r="E782" t="str">
            <v>D25018112</v>
          </cell>
          <cell r="AP782">
            <v>0</v>
          </cell>
          <cell r="AQ782">
            <v>0</v>
          </cell>
          <cell r="AV782">
            <v>0</v>
          </cell>
        </row>
        <row r="783">
          <cell r="E783" t="str">
            <v>D25018463</v>
          </cell>
          <cell r="AP783">
            <v>0</v>
          </cell>
          <cell r="AQ783">
            <v>0</v>
          </cell>
          <cell r="AV783">
            <v>0</v>
          </cell>
        </row>
        <row r="784">
          <cell r="E784" t="str">
            <v>B25016134</v>
          </cell>
          <cell r="AP784">
            <v>0</v>
          </cell>
          <cell r="AQ784">
            <v>0</v>
          </cell>
          <cell r="AV784">
            <v>0</v>
          </cell>
        </row>
        <row r="785">
          <cell r="E785" t="str">
            <v>B25016274</v>
          </cell>
          <cell r="AP785">
            <v>0</v>
          </cell>
          <cell r="AQ785">
            <v>0</v>
          </cell>
          <cell r="AV785">
            <v>0</v>
          </cell>
        </row>
        <row r="786">
          <cell r="E786" t="str">
            <v>B25016379</v>
          </cell>
          <cell r="AP786">
            <v>0</v>
          </cell>
          <cell r="AQ786">
            <v>0</v>
          </cell>
          <cell r="AV786">
            <v>0</v>
          </cell>
        </row>
        <row r="787">
          <cell r="E787" t="str">
            <v>D25018868</v>
          </cell>
          <cell r="AP787">
            <v>0</v>
          </cell>
          <cell r="AQ787">
            <v>0</v>
          </cell>
          <cell r="AV787">
            <v>0</v>
          </cell>
        </row>
        <row r="788">
          <cell r="E788" t="str">
            <v>D25019071</v>
          </cell>
          <cell r="AP788">
            <v>0</v>
          </cell>
          <cell r="AQ788">
            <v>0</v>
          </cell>
          <cell r="AV788">
            <v>0</v>
          </cell>
        </row>
        <row r="789">
          <cell r="E789" t="str">
            <v>D25019310</v>
          </cell>
          <cell r="AP789">
            <v>0</v>
          </cell>
          <cell r="AQ789">
            <v>0</v>
          </cell>
          <cell r="AV789">
            <v>0</v>
          </cell>
        </row>
        <row r="790">
          <cell r="E790" t="str">
            <v>T25001890</v>
          </cell>
          <cell r="AP790">
            <v>0</v>
          </cell>
          <cell r="AQ790">
            <v>0</v>
          </cell>
          <cell r="AV790">
            <v>0</v>
          </cell>
        </row>
        <row r="791">
          <cell r="E791" t="str">
            <v>B25016917</v>
          </cell>
          <cell r="AP791">
            <v>0</v>
          </cell>
          <cell r="AQ791">
            <v>0</v>
          </cell>
          <cell r="AV791">
            <v>0</v>
          </cell>
        </row>
        <row r="792">
          <cell r="E792" t="str">
            <v>B25016953</v>
          </cell>
          <cell r="AP792">
            <v>0</v>
          </cell>
          <cell r="AQ792">
            <v>0</v>
          </cell>
          <cell r="AV792">
            <v>0</v>
          </cell>
        </row>
        <row r="793">
          <cell r="E793" t="str">
            <v>B25016954</v>
          </cell>
          <cell r="AP793">
            <v>0</v>
          </cell>
          <cell r="AQ793">
            <v>0</v>
          </cell>
          <cell r="AV793">
            <v>0</v>
          </cell>
        </row>
        <row r="794">
          <cell r="E794" t="str">
            <v>D25019577</v>
          </cell>
          <cell r="AP794">
            <v>0</v>
          </cell>
          <cell r="AQ794">
            <v>0</v>
          </cell>
          <cell r="AV794">
            <v>0</v>
          </cell>
        </row>
        <row r="795">
          <cell r="E795" t="str">
            <v>D25019632</v>
          </cell>
          <cell r="AP795">
            <v>0</v>
          </cell>
          <cell r="AQ795">
            <v>0</v>
          </cell>
          <cell r="AV795">
            <v>0</v>
          </cell>
        </row>
        <row r="796">
          <cell r="E796" t="str">
            <v>D25019655</v>
          </cell>
          <cell r="AP796">
            <v>0</v>
          </cell>
          <cell r="AQ796">
            <v>0</v>
          </cell>
          <cell r="AV796">
            <v>0</v>
          </cell>
        </row>
        <row r="797">
          <cell r="E797" t="str">
            <v>B25017134</v>
          </cell>
          <cell r="AP797">
            <v>0</v>
          </cell>
          <cell r="AQ797">
            <v>0</v>
          </cell>
          <cell r="AV797">
            <v>0</v>
          </cell>
        </row>
        <row r="798">
          <cell r="E798" t="str">
            <v>B26001260</v>
          </cell>
          <cell r="AP798">
            <v>0</v>
          </cell>
          <cell r="AQ798">
            <v>0</v>
          </cell>
          <cell r="AV798">
            <v>0</v>
          </cell>
        </row>
        <row r="799">
          <cell r="E799" t="str">
            <v>B26001261</v>
          </cell>
          <cell r="AP799">
            <v>0</v>
          </cell>
          <cell r="AQ799">
            <v>0</v>
          </cell>
          <cell r="AV799">
            <v>0</v>
          </cell>
        </row>
        <row r="800">
          <cell r="E800" t="str">
            <v>B26001279</v>
          </cell>
          <cell r="AP800">
            <v>0</v>
          </cell>
          <cell r="AQ800">
            <v>0</v>
          </cell>
          <cell r="AV800">
            <v>0</v>
          </cell>
        </row>
        <row r="801">
          <cell r="E801" t="str">
            <v>D26001464</v>
          </cell>
          <cell r="AP801">
            <v>0</v>
          </cell>
          <cell r="AQ801">
            <v>0</v>
          </cell>
          <cell r="AV801">
            <v>0</v>
          </cell>
        </row>
        <row r="802">
          <cell r="E802" t="str">
            <v>B26001473</v>
          </cell>
          <cell r="AP802">
            <v>0</v>
          </cell>
          <cell r="AQ802">
            <v>0</v>
          </cell>
          <cell r="AV802">
            <v>0</v>
          </cell>
        </row>
        <row r="803">
          <cell r="E803" t="str">
            <v>B26001563</v>
          </cell>
          <cell r="AP803">
            <v>0</v>
          </cell>
          <cell r="AQ803">
            <v>0</v>
          </cell>
          <cell r="AV803">
            <v>0</v>
          </cell>
        </row>
        <row r="804">
          <cell r="E804" t="str">
            <v>B26001564</v>
          </cell>
          <cell r="AP804">
            <v>0</v>
          </cell>
          <cell r="AQ804">
            <v>0</v>
          </cell>
          <cell r="AV804">
            <v>0</v>
          </cell>
        </row>
        <row r="805">
          <cell r="E805" t="str">
            <v>B25013715</v>
          </cell>
          <cell r="AP805">
            <v>0</v>
          </cell>
          <cell r="AQ805">
            <v>0</v>
          </cell>
          <cell r="AV805">
            <v>0</v>
          </cell>
        </row>
        <row r="806">
          <cell r="E806" t="str">
            <v>B25014025</v>
          </cell>
          <cell r="AP806">
            <v>0</v>
          </cell>
          <cell r="AQ806">
            <v>0</v>
          </cell>
          <cell r="AV806">
            <v>0</v>
          </cell>
        </row>
        <row r="807">
          <cell r="E807" t="str">
            <v>B25014284</v>
          </cell>
          <cell r="AP807">
            <v>0</v>
          </cell>
          <cell r="AQ807">
            <v>0</v>
          </cell>
          <cell r="AV807">
            <v>0</v>
          </cell>
        </row>
        <row r="808">
          <cell r="E808" t="str">
            <v>D25016563</v>
          </cell>
          <cell r="AP808">
            <v>0</v>
          </cell>
          <cell r="AQ808">
            <v>0</v>
          </cell>
          <cell r="AV808">
            <v>0</v>
          </cell>
        </row>
        <row r="809">
          <cell r="E809" t="str">
            <v>D25016564</v>
          </cell>
          <cell r="AP809">
            <v>0</v>
          </cell>
          <cell r="AQ809">
            <v>0</v>
          </cell>
          <cell r="AV809">
            <v>0</v>
          </cell>
        </row>
        <row r="810">
          <cell r="E810" t="str">
            <v>B25014473</v>
          </cell>
          <cell r="AP810">
            <v>0</v>
          </cell>
          <cell r="AQ810">
            <v>0</v>
          </cell>
          <cell r="AV810">
            <v>0</v>
          </cell>
        </row>
        <row r="811">
          <cell r="E811" t="str">
            <v>B25014474</v>
          </cell>
          <cell r="AP811">
            <v>0</v>
          </cell>
          <cell r="AQ811">
            <v>0</v>
          </cell>
          <cell r="AV811">
            <v>0</v>
          </cell>
        </row>
        <row r="812">
          <cell r="E812" t="str">
            <v>B25014475</v>
          </cell>
          <cell r="AP812">
            <v>0</v>
          </cell>
          <cell r="AQ812">
            <v>0</v>
          </cell>
          <cell r="AV812">
            <v>0</v>
          </cell>
        </row>
        <row r="813">
          <cell r="E813" t="str">
            <v>B25014486</v>
          </cell>
          <cell r="AP813">
            <v>0</v>
          </cell>
          <cell r="AQ813">
            <v>0</v>
          </cell>
          <cell r="AV813">
            <v>0</v>
          </cell>
        </row>
        <row r="814">
          <cell r="E814" t="str">
            <v>B25014620</v>
          </cell>
          <cell r="AP814">
            <v>0</v>
          </cell>
          <cell r="AQ814">
            <v>0</v>
          </cell>
          <cell r="AV814">
            <v>0</v>
          </cell>
        </row>
        <row r="815">
          <cell r="E815" t="str">
            <v>D25017006</v>
          </cell>
          <cell r="AP815">
            <v>0</v>
          </cell>
          <cell r="AQ815">
            <v>0</v>
          </cell>
          <cell r="AV815">
            <v>0</v>
          </cell>
        </row>
        <row r="816">
          <cell r="E816" t="str">
            <v>D25017007</v>
          </cell>
          <cell r="AP816">
            <v>0</v>
          </cell>
          <cell r="AQ816">
            <v>0</v>
          </cell>
          <cell r="AV816">
            <v>0</v>
          </cell>
        </row>
        <row r="817">
          <cell r="E817">
            <v>250181</v>
          </cell>
          <cell r="AP817">
            <v>0</v>
          </cell>
          <cell r="AQ817">
            <v>0</v>
          </cell>
          <cell r="AV817">
            <v>0</v>
          </cell>
        </row>
        <row r="818">
          <cell r="E818" t="str">
            <v>D25017216</v>
          </cell>
          <cell r="AP818">
            <v>0</v>
          </cell>
          <cell r="AQ818">
            <v>0</v>
          </cell>
          <cell r="AV818">
            <v>0</v>
          </cell>
        </row>
        <row r="819">
          <cell r="E819" t="str">
            <v>D25017288</v>
          </cell>
          <cell r="AP819">
            <v>0</v>
          </cell>
          <cell r="AQ819">
            <v>0</v>
          </cell>
          <cell r="AV819">
            <v>0</v>
          </cell>
        </row>
        <row r="820">
          <cell r="E820" t="str">
            <v>D25018150</v>
          </cell>
          <cell r="AP820">
            <v>0</v>
          </cell>
          <cell r="AQ820">
            <v>0</v>
          </cell>
          <cell r="AV820">
            <v>0</v>
          </cell>
        </row>
        <row r="821">
          <cell r="E821" t="str">
            <v>D25018927</v>
          </cell>
          <cell r="AP821">
            <v>0</v>
          </cell>
          <cell r="AQ821">
            <v>0</v>
          </cell>
          <cell r="AV821">
            <v>0</v>
          </cell>
        </row>
        <row r="822">
          <cell r="E822" t="str">
            <v>B25017021</v>
          </cell>
          <cell r="AP822">
            <v>0</v>
          </cell>
          <cell r="AQ822">
            <v>0</v>
          </cell>
          <cell r="AV822">
            <v>0</v>
          </cell>
        </row>
        <row r="823">
          <cell r="E823" t="str">
            <v>B25017029</v>
          </cell>
          <cell r="AP823">
            <v>0</v>
          </cell>
          <cell r="AQ823">
            <v>0</v>
          </cell>
          <cell r="AV823">
            <v>0</v>
          </cell>
        </row>
        <row r="824">
          <cell r="E824" t="str">
            <v>B26000563</v>
          </cell>
          <cell r="AP824">
            <v>0</v>
          </cell>
          <cell r="AQ824">
            <v>0</v>
          </cell>
          <cell r="AV824">
            <v>0</v>
          </cell>
        </row>
        <row r="825">
          <cell r="E825" t="str">
            <v>B26000564</v>
          </cell>
          <cell r="AP825">
            <v>0</v>
          </cell>
          <cell r="AQ825">
            <v>0</v>
          </cell>
          <cell r="AV825">
            <v>0</v>
          </cell>
        </row>
        <row r="826">
          <cell r="E826" t="str">
            <v>B26000717</v>
          </cell>
          <cell r="AP826">
            <v>0</v>
          </cell>
          <cell r="AQ826">
            <v>0</v>
          </cell>
          <cell r="AV826">
            <v>0</v>
          </cell>
        </row>
        <row r="827">
          <cell r="E827" t="str">
            <v>B26000888</v>
          </cell>
          <cell r="AP827">
            <v>0</v>
          </cell>
          <cell r="AQ827">
            <v>0</v>
          </cell>
          <cell r="AV827">
            <v>0</v>
          </cell>
        </row>
        <row r="828">
          <cell r="E828" t="str">
            <v>D26000960</v>
          </cell>
          <cell r="AP828">
            <v>0</v>
          </cell>
          <cell r="AQ828">
            <v>0</v>
          </cell>
          <cell r="AV828">
            <v>0</v>
          </cell>
        </row>
        <row r="829">
          <cell r="E829" t="str">
            <v>D26001019</v>
          </cell>
          <cell r="AP829">
            <v>0</v>
          </cell>
          <cell r="AQ829">
            <v>0</v>
          </cell>
          <cell r="AV829">
            <v>0</v>
          </cell>
        </row>
        <row r="830">
          <cell r="E830" t="str">
            <v>D26001020</v>
          </cell>
          <cell r="AP830">
            <v>0</v>
          </cell>
          <cell r="AQ830">
            <v>0</v>
          </cell>
          <cell r="AV830">
            <v>0</v>
          </cell>
        </row>
        <row r="831">
          <cell r="E831" t="str">
            <v>B25016861</v>
          </cell>
          <cell r="AP831">
            <v>0</v>
          </cell>
          <cell r="AQ831">
            <v>0</v>
          </cell>
          <cell r="AV831">
            <v>0</v>
          </cell>
        </row>
        <row r="832">
          <cell r="E832" t="str">
            <v>D26000200</v>
          </cell>
          <cell r="AP832">
            <v>0</v>
          </cell>
          <cell r="AQ832">
            <v>0</v>
          </cell>
          <cell r="AV832">
            <v>0</v>
          </cell>
        </row>
        <row r="833">
          <cell r="E833" t="str">
            <v>B26000297</v>
          </cell>
          <cell r="AP833">
            <v>0</v>
          </cell>
          <cell r="AQ833">
            <v>0</v>
          </cell>
          <cell r="AV833">
            <v>0</v>
          </cell>
        </row>
        <row r="834">
          <cell r="E834" t="str">
            <v>B26000743</v>
          </cell>
          <cell r="AP834">
            <v>0</v>
          </cell>
          <cell r="AQ834">
            <v>0</v>
          </cell>
          <cell r="AV834">
            <v>0</v>
          </cell>
        </row>
        <row r="835">
          <cell r="E835" t="str">
            <v>D26000981</v>
          </cell>
          <cell r="AP835">
            <v>0</v>
          </cell>
          <cell r="AQ835">
            <v>0</v>
          </cell>
          <cell r="AV835">
            <v>0</v>
          </cell>
        </row>
        <row r="836">
          <cell r="E836" t="str">
            <v>D26001365</v>
          </cell>
          <cell r="AP836">
            <v>0</v>
          </cell>
          <cell r="AQ836">
            <v>0</v>
          </cell>
          <cell r="AV836">
            <v>0</v>
          </cell>
        </row>
        <row r="837">
          <cell r="E837" t="str">
            <v>D26001465</v>
          </cell>
          <cell r="AP837">
            <v>0</v>
          </cell>
          <cell r="AQ837">
            <v>0</v>
          </cell>
          <cell r="AV837">
            <v>0</v>
          </cell>
        </row>
        <row r="838">
          <cell r="E838" t="str">
            <v>D25019431</v>
          </cell>
          <cell r="AP838">
            <v>0</v>
          </cell>
          <cell r="AQ838">
            <v>0</v>
          </cell>
          <cell r="AV838">
            <v>0</v>
          </cell>
        </row>
        <row r="839">
          <cell r="E839" t="str">
            <v>D26000015</v>
          </cell>
          <cell r="AP839">
            <v>0</v>
          </cell>
          <cell r="AQ839">
            <v>0</v>
          </cell>
          <cell r="AV839">
            <v>0</v>
          </cell>
        </row>
        <row r="840">
          <cell r="E840" t="str">
            <v>D26000016</v>
          </cell>
          <cell r="AP840">
            <v>0</v>
          </cell>
          <cell r="AQ840">
            <v>0</v>
          </cell>
          <cell r="AV840">
            <v>0</v>
          </cell>
        </row>
        <row r="841">
          <cell r="E841" t="str">
            <v>D26000262</v>
          </cell>
          <cell r="AP841">
            <v>0</v>
          </cell>
          <cell r="AQ841">
            <v>0</v>
          </cell>
          <cell r="AV841">
            <v>0</v>
          </cell>
        </row>
        <row r="842">
          <cell r="E842" t="str">
            <v>D26000427</v>
          </cell>
          <cell r="AP842">
            <v>0</v>
          </cell>
          <cell r="AQ842">
            <v>0</v>
          </cell>
          <cell r="AV842">
            <v>0</v>
          </cell>
        </row>
        <row r="843">
          <cell r="E843" t="str">
            <v>D26001036</v>
          </cell>
          <cell r="AP843">
            <v>0</v>
          </cell>
          <cell r="AQ843">
            <v>0</v>
          </cell>
          <cell r="AV843">
            <v>0</v>
          </cell>
        </row>
        <row r="844">
          <cell r="E844" t="str">
            <v>B25017067</v>
          </cell>
          <cell r="AP844">
            <v>0</v>
          </cell>
          <cell r="AQ844">
            <v>0</v>
          </cell>
          <cell r="AV844">
            <v>0</v>
          </cell>
        </row>
        <row r="845">
          <cell r="E845" t="str">
            <v>D25019643</v>
          </cell>
          <cell r="AP845">
            <v>0</v>
          </cell>
          <cell r="AQ845">
            <v>0</v>
          </cell>
          <cell r="AV845">
            <v>0</v>
          </cell>
        </row>
        <row r="846">
          <cell r="E846" t="str">
            <v>T26000017</v>
          </cell>
          <cell r="AP846">
            <v>0</v>
          </cell>
          <cell r="AQ846">
            <v>0</v>
          </cell>
          <cell r="AV846">
            <v>0</v>
          </cell>
        </row>
        <row r="847">
          <cell r="E847" t="str">
            <v>B26000285</v>
          </cell>
          <cell r="AP847">
            <v>0</v>
          </cell>
          <cell r="AQ847">
            <v>0</v>
          </cell>
          <cell r="AV847">
            <v>0</v>
          </cell>
        </row>
        <row r="848">
          <cell r="E848" t="str">
            <v>D26000292</v>
          </cell>
          <cell r="AP848">
            <v>0</v>
          </cell>
          <cell r="AQ848">
            <v>0</v>
          </cell>
          <cell r="AV848">
            <v>0</v>
          </cell>
        </row>
        <row r="849">
          <cell r="E849" t="str">
            <v>B26000383</v>
          </cell>
          <cell r="AP849">
            <v>0</v>
          </cell>
          <cell r="AQ849">
            <v>0</v>
          </cell>
          <cell r="AV849">
            <v>0</v>
          </cell>
        </row>
        <row r="850">
          <cell r="E850" t="str">
            <v>B26000794</v>
          </cell>
          <cell r="AP850">
            <v>0</v>
          </cell>
          <cell r="AQ850">
            <v>0</v>
          </cell>
          <cell r="AV850">
            <v>0</v>
          </cell>
        </row>
        <row r="851">
          <cell r="E851" t="str">
            <v>B26001540</v>
          </cell>
          <cell r="AP851">
            <v>0</v>
          </cell>
          <cell r="AQ851">
            <v>0</v>
          </cell>
          <cell r="AV851">
            <v>0</v>
          </cell>
        </row>
        <row r="852">
          <cell r="E852" t="str">
            <v>B26001542</v>
          </cell>
          <cell r="AP852">
            <v>0</v>
          </cell>
          <cell r="AQ852">
            <v>0</v>
          </cell>
          <cell r="AV852">
            <v>0</v>
          </cell>
        </row>
        <row r="853">
          <cell r="E853" t="str">
            <v>B26000165</v>
          </cell>
          <cell r="AP853">
            <v>0</v>
          </cell>
          <cell r="AQ853">
            <v>0</v>
          </cell>
          <cell r="AV853">
            <v>0</v>
          </cell>
        </row>
        <row r="854">
          <cell r="E854" t="str">
            <v>D26000559</v>
          </cell>
          <cell r="AP854">
            <v>0</v>
          </cell>
          <cell r="AQ854">
            <v>0</v>
          </cell>
          <cell r="AV854">
            <v>0</v>
          </cell>
        </row>
        <row r="855">
          <cell r="E855" t="str">
            <v>D25017215</v>
          </cell>
          <cell r="AP855">
            <v>0</v>
          </cell>
          <cell r="AQ855">
            <v>0</v>
          </cell>
          <cell r="AV855">
            <v>0</v>
          </cell>
        </row>
        <row r="856">
          <cell r="E856" t="str">
            <v>B25014980</v>
          </cell>
          <cell r="AP856">
            <v>0</v>
          </cell>
          <cell r="AQ856">
            <v>0</v>
          </cell>
          <cell r="AV856">
            <v>0</v>
          </cell>
        </row>
        <row r="857">
          <cell r="E857" t="str">
            <v>D25017286</v>
          </cell>
          <cell r="AP857">
            <v>0</v>
          </cell>
          <cell r="AQ857">
            <v>0</v>
          </cell>
          <cell r="AV857">
            <v>0</v>
          </cell>
        </row>
        <row r="858">
          <cell r="E858" t="str">
            <v>B25015081</v>
          </cell>
          <cell r="AP858">
            <v>0</v>
          </cell>
          <cell r="AQ858">
            <v>0</v>
          </cell>
          <cell r="AV858">
            <v>0</v>
          </cell>
        </row>
        <row r="859">
          <cell r="E859" t="str">
            <v>D25017402</v>
          </cell>
          <cell r="AP859">
            <v>0</v>
          </cell>
          <cell r="AQ859">
            <v>0</v>
          </cell>
          <cell r="AV859">
            <v>0</v>
          </cell>
        </row>
        <row r="860">
          <cell r="E860" t="str">
            <v>D25017410</v>
          </cell>
          <cell r="AP860">
            <v>0</v>
          </cell>
          <cell r="AQ860">
            <v>0</v>
          </cell>
          <cell r="AV860">
            <v>0</v>
          </cell>
        </row>
        <row r="861">
          <cell r="E861" t="str">
            <v>B25015151</v>
          </cell>
          <cell r="AP861">
            <v>0</v>
          </cell>
          <cell r="AQ861">
            <v>0</v>
          </cell>
          <cell r="AV861">
            <v>0</v>
          </cell>
        </row>
        <row r="862">
          <cell r="E862" t="str">
            <v>D25017521</v>
          </cell>
          <cell r="AP862">
            <v>0</v>
          </cell>
          <cell r="AQ862">
            <v>0</v>
          </cell>
          <cell r="AV862">
            <v>0</v>
          </cell>
        </row>
        <row r="863">
          <cell r="E863" t="str">
            <v>D25017599</v>
          </cell>
          <cell r="AP863">
            <v>0</v>
          </cell>
          <cell r="AQ863">
            <v>0</v>
          </cell>
          <cell r="AV863">
            <v>0</v>
          </cell>
        </row>
        <row r="864">
          <cell r="E864" t="str">
            <v>B25015236</v>
          </cell>
          <cell r="AP864">
            <v>0</v>
          </cell>
          <cell r="AQ864">
            <v>0</v>
          </cell>
          <cell r="AV864">
            <v>0</v>
          </cell>
        </row>
        <row r="865">
          <cell r="E865" t="str">
            <v>D25017740</v>
          </cell>
          <cell r="AP865">
            <v>0</v>
          </cell>
          <cell r="AQ865">
            <v>0</v>
          </cell>
          <cell r="AV865">
            <v>0</v>
          </cell>
        </row>
        <row r="866">
          <cell r="E866" t="str">
            <v>B25015383</v>
          </cell>
          <cell r="AP866">
            <v>0</v>
          </cell>
          <cell r="AQ866">
            <v>0</v>
          </cell>
          <cell r="AV866">
            <v>0</v>
          </cell>
        </row>
        <row r="867">
          <cell r="E867" t="str">
            <v>B25015413</v>
          </cell>
          <cell r="AP867">
            <v>0</v>
          </cell>
          <cell r="AQ867">
            <v>0</v>
          </cell>
          <cell r="AV867">
            <v>0</v>
          </cell>
        </row>
        <row r="868">
          <cell r="E868" t="str">
            <v>D25017944</v>
          </cell>
          <cell r="AP868">
            <v>0</v>
          </cell>
          <cell r="AQ868">
            <v>0</v>
          </cell>
          <cell r="AV868">
            <v>0</v>
          </cell>
        </row>
        <row r="869">
          <cell r="E869" t="str">
            <v>B25015552</v>
          </cell>
          <cell r="AP869">
            <v>0</v>
          </cell>
          <cell r="AQ869">
            <v>0</v>
          </cell>
          <cell r="AV869">
            <v>0</v>
          </cell>
        </row>
        <row r="870">
          <cell r="E870" t="str">
            <v>D25018015</v>
          </cell>
          <cell r="AP870">
            <v>0</v>
          </cell>
          <cell r="AQ870">
            <v>0</v>
          </cell>
          <cell r="AV870">
            <v>0</v>
          </cell>
        </row>
        <row r="871">
          <cell r="E871" t="str">
            <v>D25018055</v>
          </cell>
          <cell r="AP871">
            <v>0</v>
          </cell>
          <cell r="AQ871">
            <v>0</v>
          </cell>
          <cell r="AV871">
            <v>0</v>
          </cell>
        </row>
        <row r="872">
          <cell r="E872" t="str">
            <v>B25015689</v>
          </cell>
          <cell r="AP872">
            <v>0</v>
          </cell>
          <cell r="AQ872">
            <v>0</v>
          </cell>
          <cell r="AV872">
            <v>0</v>
          </cell>
        </row>
        <row r="873">
          <cell r="E873" t="str">
            <v>D25018270</v>
          </cell>
          <cell r="AP873">
            <v>0</v>
          </cell>
          <cell r="AQ873">
            <v>0</v>
          </cell>
          <cell r="AV873">
            <v>0</v>
          </cell>
        </row>
        <row r="874">
          <cell r="E874" t="str">
            <v>D25018367</v>
          </cell>
          <cell r="AP874">
            <v>0</v>
          </cell>
          <cell r="AQ874">
            <v>0</v>
          </cell>
          <cell r="AV874">
            <v>0</v>
          </cell>
        </row>
        <row r="875">
          <cell r="E875" t="str">
            <v>B25016032</v>
          </cell>
          <cell r="AP875">
            <v>0</v>
          </cell>
          <cell r="AQ875">
            <v>0</v>
          </cell>
          <cell r="AV875">
            <v>0</v>
          </cell>
        </row>
        <row r="876">
          <cell r="E876" t="str">
            <v>B25016075</v>
          </cell>
          <cell r="AP876">
            <v>0</v>
          </cell>
          <cell r="AQ876">
            <v>0</v>
          </cell>
          <cell r="AV876">
            <v>0</v>
          </cell>
        </row>
        <row r="877">
          <cell r="E877" t="str">
            <v>B25016076</v>
          </cell>
          <cell r="AP877">
            <v>0</v>
          </cell>
          <cell r="AQ877">
            <v>0</v>
          </cell>
          <cell r="AV877">
            <v>0</v>
          </cell>
        </row>
        <row r="878">
          <cell r="E878" t="str">
            <v>D25018479</v>
          </cell>
          <cell r="AP878">
            <v>0</v>
          </cell>
          <cell r="AQ878">
            <v>0</v>
          </cell>
          <cell r="AV878">
            <v>0</v>
          </cell>
        </row>
        <row r="879">
          <cell r="E879" t="str">
            <v>B25016145</v>
          </cell>
          <cell r="AP879">
            <v>0</v>
          </cell>
          <cell r="AQ879">
            <v>0</v>
          </cell>
          <cell r="AV879">
            <v>0</v>
          </cell>
        </row>
        <row r="880">
          <cell r="E880" t="str">
            <v>B25016217</v>
          </cell>
          <cell r="AP880">
            <v>0</v>
          </cell>
          <cell r="AQ880">
            <v>0</v>
          </cell>
          <cell r="AV880">
            <v>0</v>
          </cell>
        </row>
        <row r="881">
          <cell r="E881" t="str">
            <v>B25016223</v>
          </cell>
          <cell r="AP881">
            <v>0</v>
          </cell>
          <cell r="AQ881">
            <v>0</v>
          </cell>
          <cell r="AV881">
            <v>0</v>
          </cell>
        </row>
        <row r="882">
          <cell r="E882" t="str">
            <v>B25016364</v>
          </cell>
          <cell r="AP882">
            <v>0</v>
          </cell>
          <cell r="AQ882">
            <v>0</v>
          </cell>
          <cell r="AV882">
            <v>0</v>
          </cell>
        </row>
        <row r="883">
          <cell r="E883" t="str">
            <v>D25018791</v>
          </cell>
          <cell r="AP883">
            <v>0</v>
          </cell>
          <cell r="AQ883">
            <v>0</v>
          </cell>
          <cell r="AV883">
            <v>0</v>
          </cell>
        </row>
        <row r="884">
          <cell r="E884" t="str">
            <v>D25018883</v>
          </cell>
          <cell r="AP884">
            <v>0</v>
          </cell>
          <cell r="AQ884">
            <v>0</v>
          </cell>
          <cell r="AV884">
            <v>0</v>
          </cell>
        </row>
        <row r="885">
          <cell r="E885" t="str">
            <v>B25016493</v>
          </cell>
          <cell r="AP885">
            <v>0</v>
          </cell>
          <cell r="AQ885">
            <v>0</v>
          </cell>
          <cell r="AV885">
            <v>0</v>
          </cell>
        </row>
        <row r="886">
          <cell r="E886" t="str">
            <v>B25016520</v>
          </cell>
          <cell r="AP886">
            <v>0</v>
          </cell>
          <cell r="AQ886">
            <v>0</v>
          </cell>
          <cell r="AV886">
            <v>0</v>
          </cell>
        </row>
        <row r="887">
          <cell r="E887" t="str">
            <v>D25019158</v>
          </cell>
          <cell r="AP887">
            <v>0</v>
          </cell>
          <cell r="AQ887">
            <v>0</v>
          </cell>
          <cell r="AV887">
            <v>0</v>
          </cell>
        </row>
        <row r="888">
          <cell r="E888" t="str">
            <v>B25016811</v>
          </cell>
          <cell r="AP888">
            <v>0</v>
          </cell>
          <cell r="AQ888">
            <v>0</v>
          </cell>
          <cell r="AV888">
            <v>0</v>
          </cell>
        </row>
        <row r="889">
          <cell r="E889" t="str">
            <v>D25019421</v>
          </cell>
          <cell r="AP889">
            <v>0</v>
          </cell>
          <cell r="AQ889">
            <v>0</v>
          </cell>
          <cell r="AV889">
            <v>0</v>
          </cell>
        </row>
        <row r="890">
          <cell r="E890" t="str">
            <v>B26000084</v>
          </cell>
          <cell r="AP890">
            <v>0</v>
          </cell>
          <cell r="AQ890">
            <v>0</v>
          </cell>
          <cell r="AV890">
            <v>0</v>
          </cell>
        </row>
        <row r="891">
          <cell r="E891" t="str">
            <v>D26000151</v>
          </cell>
          <cell r="AP891">
            <v>0</v>
          </cell>
          <cell r="AQ891">
            <v>0</v>
          </cell>
          <cell r="AV891">
            <v>0</v>
          </cell>
        </row>
        <row r="892">
          <cell r="E892" t="str">
            <v>D26000247</v>
          </cell>
          <cell r="AP892">
            <v>0</v>
          </cell>
          <cell r="AQ892">
            <v>0</v>
          </cell>
          <cell r="AV892">
            <v>0</v>
          </cell>
        </row>
        <row r="893">
          <cell r="E893" t="str">
            <v>B26000344</v>
          </cell>
          <cell r="AP893">
            <v>0</v>
          </cell>
          <cell r="AQ893">
            <v>0</v>
          </cell>
          <cell r="AV893">
            <v>0</v>
          </cell>
        </row>
        <row r="894">
          <cell r="E894" t="str">
            <v>B26000401</v>
          </cell>
          <cell r="AP894">
            <v>0</v>
          </cell>
          <cell r="AQ894">
            <v>0</v>
          </cell>
          <cell r="AV894">
            <v>0</v>
          </cell>
        </row>
        <row r="895">
          <cell r="E895" t="str">
            <v>D26000540</v>
          </cell>
          <cell r="AP895">
            <v>0</v>
          </cell>
          <cell r="AQ895">
            <v>0</v>
          </cell>
          <cell r="AV895">
            <v>0</v>
          </cell>
        </row>
        <row r="896">
          <cell r="E896" t="str">
            <v>B26000986</v>
          </cell>
          <cell r="AP896">
            <v>0</v>
          </cell>
          <cell r="AQ896">
            <v>0</v>
          </cell>
          <cell r="AV896">
            <v>0</v>
          </cell>
        </row>
        <row r="897">
          <cell r="E897" t="str">
            <v>D26001078</v>
          </cell>
          <cell r="AP897">
            <v>0</v>
          </cell>
          <cell r="AQ897">
            <v>0</v>
          </cell>
          <cell r="AV897">
            <v>0</v>
          </cell>
        </row>
        <row r="898">
          <cell r="E898" t="str">
            <v>B26001068</v>
          </cell>
          <cell r="AP898">
            <v>0</v>
          </cell>
          <cell r="AQ898">
            <v>0</v>
          </cell>
          <cell r="AV898">
            <v>0</v>
          </cell>
        </row>
        <row r="899">
          <cell r="E899" t="str">
            <v>B26001147</v>
          </cell>
          <cell r="AP899">
            <v>0</v>
          </cell>
          <cell r="AQ899">
            <v>0</v>
          </cell>
          <cell r="AV899">
            <v>0</v>
          </cell>
        </row>
        <row r="900">
          <cell r="E900" t="str">
            <v>B26001202</v>
          </cell>
          <cell r="AP900">
            <v>0</v>
          </cell>
          <cell r="AQ900">
            <v>0</v>
          </cell>
          <cell r="AV900">
            <v>0</v>
          </cell>
        </row>
        <row r="901">
          <cell r="E901" t="str">
            <v>B26001245</v>
          </cell>
          <cell r="AP901">
            <v>0</v>
          </cell>
          <cell r="AQ901">
            <v>0</v>
          </cell>
          <cell r="AV901">
            <v>0</v>
          </cell>
        </row>
        <row r="902">
          <cell r="E902" t="str">
            <v>D26001540</v>
          </cell>
          <cell r="AP902">
            <v>0</v>
          </cell>
          <cell r="AQ902">
            <v>0</v>
          </cell>
          <cell r="AV902">
            <v>0</v>
          </cell>
        </row>
        <row r="903">
          <cell r="E903" t="str">
            <v>B26001610</v>
          </cell>
          <cell r="AP903">
            <v>0</v>
          </cell>
          <cell r="AQ903">
            <v>0</v>
          </cell>
          <cell r="AV903">
            <v>0</v>
          </cell>
        </row>
        <row r="904">
          <cell r="E904" t="str">
            <v>B26001614</v>
          </cell>
          <cell r="AP904">
            <v>0</v>
          </cell>
          <cell r="AQ904">
            <v>0</v>
          </cell>
          <cell r="AV904">
            <v>0</v>
          </cell>
        </row>
        <row r="905">
          <cell r="E905" t="str">
            <v>D25019107</v>
          </cell>
          <cell r="AP905">
            <v>0</v>
          </cell>
          <cell r="AQ905">
            <v>0</v>
          </cell>
          <cell r="AV905">
            <v>0</v>
          </cell>
        </row>
        <row r="906">
          <cell r="E906" t="str">
            <v>B25016648</v>
          </cell>
          <cell r="AP906">
            <v>0</v>
          </cell>
          <cell r="AQ906">
            <v>0</v>
          </cell>
          <cell r="AV906">
            <v>0</v>
          </cell>
        </row>
        <row r="907">
          <cell r="E907" t="str">
            <v>B26000184</v>
          </cell>
          <cell r="AP907">
            <v>0</v>
          </cell>
          <cell r="AQ907">
            <v>0</v>
          </cell>
          <cell r="AV907">
            <v>0</v>
          </cell>
        </row>
        <row r="908">
          <cell r="E908" t="str">
            <v>B26000185</v>
          </cell>
          <cell r="AP908">
            <v>0</v>
          </cell>
          <cell r="AQ908">
            <v>0</v>
          </cell>
          <cell r="AV908">
            <v>0</v>
          </cell>
        </row>
        <row r="909">
          <cell r="E909" t="str">
            <v>D26000879</v>
          </cell>
          <cell r="AP909">
            <v>0</v>
          </cell>
          <cell r="AQ909">
            <v>0</v>
          </cell>
          <cell r="AV909">
            <v>0</v>
          </cell>
        </row>
        <row r="910">
          <cell r="E910" t="str">
            <v>D26000880</v>
          </cell>
          <cell r="AP910">
            <v>0</v>
          </cell>
          <cell r="AQ910">
            <v>0</v>
          </cell>
          <cell r="AV910">
            <v>0</v>
          </cell>
        </row>
        <row r="911">
          <cell r="E911" t="str">
            <v>B26000837</v>
          </cell>
          <cell r="AP911">
            <v>0</v>
          </cell>
          <cell r="AQ911">
            <v>0</v>
          </cell>
          <cell r="AV911">
            <v>0</v>
          </cell>
        </row>
        <row r="912">
          <cell r="E912" t="str">
            <v>D26001174</v>
          </cell>
          <cell r="AP912">
            <v>0</v>
          </cell>
          <cell r="AQ912">
            <v>0</v>
          </cell>
          <cell r="AV912">
            <v>0</v>
          </cell>
        </row>
        <row r="913">
          <cell r="E913" t="str">
            <v>D26001179</v>
          </cell>
          <cell r="AP913">
            <v>0</v>
          </cell>
          <cell r="AQ913">
            <v>0</v>
          </cell>
          <cell r="AV913">
            <v>0</v>
          </cell>
        </row>
        <row r="914">
          <cell r="E914" t="str">
            <v>N26000012</v>
          </cell>
          <cell r="AP914">
            <v>0</v>
          </cell>
          <cell r="AQ914">
            <v>0</v>
          </cell>
          <cell r="AV914">
            <v>0</v>
          </cell>
        </row>
        <row r="915">
          <cell r="E915" t="str">
            <v>B26001346</v>
          </cell>
          <cell r="AP915">
            <v>0</v>
          </cell>
          <cell r="AQ915">
            <v>0</v>
          </cell>
          <cell r="AV915">
            <v>0</v>
          </cell>
        </row>
        <row r="916">
          <cell r="E916" t="str">
            <v>B26001347</v>
          </cell>
          <cell r="AP916">
            <v>0</v>
          </cell>
          <cell r="AQ916">
            <v>0</v>
          </cell>
          <cell r="AV916">
            <v>0</v>
          </cell>
        </row>
        <row r="917">
          <cell r="E917" t="str">
            <v>B26001497</v>
          </cell>
          <cell r="AP917">
            <v>0</v>
          </cell>
          <cell r="AQ917">
            <v>0</v>
          </cell>
          <cell r="AV917">
            <v>0</v>
          </cell>
        </row>
        <row r="918">
          <cell r="E918" t="str">
            <v>B26001498</v>
          </cell>
          <cell r="AP918">
            <v>0</v>
          </cell>
          <cell r="AQ918">
            <v>0</v>
          </cell>
          <cell r="AV918">
            <v>0</v>
          </cell>
        </row>
        <row r="919">
          <cell r="E919" t="str">
            <v>B26001510</v>
          </cell>
          <cell r="AP919">
            <v>0</v>
          </cell>
          <cell r="AQ919">
            <v>0</v>
          </cell>
          <cell r="AV919">
            <v>0</v>
          </cell>
        </row>
        <row r="920">
          <cell r="E920" t="str">
            <v>B26001511</v>
          </cell>
          <cell r="AP920">
            <v>0</v>
          </cell>
          <cell r="AQ920">
            <v>0</v>
          </cell>
          <cell r="AV920">
            <v>0</v>
          </cell>
        </row>
        <row r="921">
          <cell r="E921" t="str">
            <v>D26000760</v>
          </cell>
          <cell r="AP921">
            <v>0</v>
          </cell>
          <cell r="AQ921">
            <v>0</v>
          </cell>
          <cell r="AV921">
            <v>0</v>
          </cell>
        </row>
        <row r="922">
          <cell r="E922" t="str">
            <v>D26000761</v>
          </cell>
          <cell r="AP922">
            <v>0</v>
          </cell>
          <cell r="AQ922">
            <v>0</v>
          </cell>
          <cell r="AV922">
            <v>0</v>
          </cell>
        </row>
        <row r="923">
          <cell r="E923" t="str">
            <v>D26000762</v>
          </cell>
          <cell r="AP923">
            <v>0</v>
          </cell>
          <cell r="AQ923">
            <v>0</v>
          </cell>
          <cell r="AV923">
            <v>0</v>
          </cell>
        </row>
        <row r="924">
          <cell r="E924" t="str">
            <v>D26001498</v>
          </cell>
          <cell r="AP924">
            <v>0</v>
          </cell>
          <cell r="AQ924">
            <v>0</v>
          </cell>
          <cell r="AV924">
            <v>0</v>
          </cell>
        </row>
        <row r="925">
          <cell r="E925" t="str">
            <v>B26000813</v>
          </cell>
          <cell r="AP925">
            <v>0</v>
          </cell>
          <cell r="AQ925">
            <v>0</v>
          </cell>
          <cell r="AV925">
            <v>0</v>
          </cell>
        </row>
        <row r="926">
          <cell r="E926" t="str">
            <v>B25014453</v>
          </cell>
          <cell r="AP926">
            <v>0</v>
          </cell>
          <cell r="AQ926">
            <v>0</v>
          </cell>
          <cell r="AV926">
            <v>0</v>
          </cell>
        </row>
        <row r="927">
          <cell r="E927" t="str">
            <v>B25014483</v>
          </cell>
          <cell r="AP927">
            <v>0</v>
          </cell>
          <cell r="AQ927">
            <v>0</v>
          </cell>
          <cell r="AV927">
            <v>0</v>
          </cell>
        </row>
        <row r="928">
          <cell r="E928" t="str">
            <v>B25014673</v>
          </cell>
          <cell r="AP928">
            <v>0</v>
          </cell>
          <cell r="AQ928">
            <v>0</v>
          </cell>
          <cell r="AV928">
            <v>0</v>
          </cell>
        </row>
        <row r="929">
          <cell r="E929" t="str">
            <v>D25017473</v>
          </cell>
          <cell r="AP929">
            <v>0</v>
          </cell>
          <cell r="AQ929">
            <v>0</v>
          </cell>
          <cell r="AV929">
            <v>0</v>
          </cell>
        </row>
        <row r="930">
          <cell r="E930" t="str">
            <v>B25015740</v>
          </cell>
          <cell r="AP930">
            <v>0</v>
          </cell>
          <cell r="AQ930">
            <v>0</v>
          </cell>
          <cell r="AV930">
            <v>0</v>
          </cell>
        </row>
        <row r="931">
          <cell r="E931" t="str">
            <v>D25018146</v>
          </cell>
          <cell r="AP931">
            <v>0</v>
          </cell>
          <cell r="AQ931">
            <v>0</v>
          </cell>
          <cell r="AV931">
            <v>0</v>
          </cell>
        </row>
        <row r="932">
          <cell r="E932" t="str">
            <v>B25016419</v>
          </cell>
          <cell r="AP932">
            <v>0</v>
          </cell>
          <cell r="AQ932">
            <v>0</v>
          </cell>
          <cell r="AV932">
            <v>0</v>
          </cell>
        </row>
        <row r="933">
          <cell r="E933" t="str">
            <v>D25018985</v>
          </cell>
          <cell r="AP933">
            <v>0</v>
          </cell>
          <cell r="AQ933">
            <v>0</v>
          </cell>
          <cell r="AV933">
            <v>0</v>
          </cell>
        </row>
        <row r="934">
          <cell r="E934" t="str">
            <v>D25018994</v>
          </cell>
          <cell r="AP934">
            <v>0</v>
          </cell>
          <cell r="AQ934">
            <v>0</v>
          </cell>
          <cell r="AV934">
            <v>0</v>
          </cell>
        </row>
        <row r="935">
          <cell r="E935" t="str">
            <v>B26000198</v>
          </cell>
          <cell r="AP935">
            <v>0</v>
          </cell>
          <cell r="AQ935">
            <v>0</v>
          </cell>
          <cell r="AV935">
            <v>0</v>
          </cell>
        </row>
        <row r="936">
          <cell r="E936" t="str">
            <v>B26000496</v>
          </cell>
          <cell r="AP936">
            <v>0</v>
          </cell>
          <cell r="AQ936">
            <v>0</v>
          </cell>
          <cell r="AV936">
            <v>0</v>
          </cell>
        </row>
        <row r="937">
          <cell r="E937" t="str">
            <v>B26000914</v>
          </cell>
          <cell r="AP937">
            <v>0</v>
          </cell>
          <cell r="AQ937">
            <v>0</v>
          </cell>
          <cell r="AV937">
            <v>0</v>
          </cell>
        </row>
        <row r="938">
          <cell r="E938" t="str">
            <v>B26001150</v>
          </cell>
          <cell r="AP938">
            <v>0</v>
          </cell>
          <cell r="AQ938">
            <v>0</v>
          </cell>
          <cell r="AV938">
            <v>0</v>
          </cell>
        </row>
        <row r="939">
          <cell r="E939" t="str">
            <v>D26001233</v>
          </cell>
          <cell r="AP939">
            <v>0</v>
          </cell>
          <cell r="AQ939">
            <v>0</v>
          </cell>
          <cell r="AV939">
            <v>0</v>
          </cell>
        </row>
        <row r="940">
          <cell r="E940">
            <v>260009</v>
          </cell>
          <cell r="AP940">
            <v>0</v>
          </cell>
          <cell r="AQ940">
            <v>0</v>
          </cell>
          <cell r="AV940">
            <v>0</v>
          </cell>
        </row>
        <row r="941">
          <cell r="E941" t="str">
            <v>T26000032</v>
          </cell>
          <cell r="AP941">
            <v>0</v>
          </cell>
          <cell r="AQ941">
            <v>0</v>
          </cell>
          <cell r="AV941">
            <v>0</v>
          </cell>
        </row>
        <row r="942">
          <cell r="E942" t="str">
            <v>D26000502</v>
          </cell>
          <cell r="AP942">
            <v>0</v>
          </cell>
          <cell r="AQ942">
            <v>0</v>
          </cell>
          <cell r="AV942">
            <v>0</v>
          </cell>
        </row>
        <row r="943">
          <cell r="E943" t="str">
            <v>D26001038</v>
          </cell>
          <cell r="AP943">
            <v>0</v>
          </cell>
          <cell r="AQ943">
            <v>0</v>
          </cell>
          <cell r="AV943">
            <v>0</v>
          </cell>
        </row>
        <row r="944">
          <cell r="E944" t="str">
            <v>B26001445</v>
          </cell>
          <cell r="AP944">
            <v>0</v>
          </cell>
          <cell r="AQ944">
            <v>0</v>
          </cell>
          <cell r="AV944">
            <v>0</v>
          </cell>
        </row>
        <row r="945">
          <cell r="E945" t="str">
            <v>B26001533</v>
          </cell>
          <cell r="AP945">
            <v>0</v>
          </cell>
          <cell r="AQ945">
            <v>0</v>
          </cell>
          <cell r="AV945">
            <v>0</v>
          </cell>
        </row>
        <row r="946">
          <cell r="E946" t="str">
            <v>D26001610</v>
          </cell>
          <cell r="AP946">
            <v>0</v>
          </cell>
          <cell r="AQ946">
            <v>0</v>
          </cell>
          <cell r="AV946">
            <v>0</v>
          </cell>
        </row>
        <row r="947">
          <cell r="E947" t="str">
            <v>D25017170</v>
          </cell>
          <cell r="AP947">
            <v>0</v>
          </cell>
          <cell r="AQ947">
            <v>0</v>
          </cell>
          <cell r="AV947">
            <v>0</v>
          </cell>
        </row>
        <row r="948">
          <cell r="E948" t="str">
            <v>D25019292</v>
          </cell>
          <cell r="AP948">
            <v>0</v>
          </cell>
          <cell r="AQ948">
            <v>0</v>
          </cell>
          <cell r="AV948">
            <v>0</v>
          </cell>
        </row>
        <row r="949">
          <cell r="E949" t="str">
            <v>B25016822</v>
          </cell>
          <cell r="AP949">
            <v>0</v>
          </cell>
          <cell r="AQ949">
            <v>0</v>
          </cell>
          <cell r="AV949">
            <v>0</v>
          </cell>
        </row>
        <row r="950">
          <cell r="E950" t="str">
            <v>D25019508</v>
          </cell>
          <cell r="AP950">
            <v>0</v>
          </cell>
          <cell r="AQ950">
            <v>0</v>
          </cell>
          <cell r="AV950">
            <v>0</v>
          </cell>
        </row>
        <row r="951">
          <cell r="E951" t="str">
            <v>D25019509</v>
          </cell>
          <cell r="AP951">
            <v>0</v>
          </cell>
          <cell r="AQ951">
            <v>0</v>
          </cell>
          <cell r="AV951">
            <v>0</v>
          </cell>
        </row>
        <row r="952">
          <cell r="E952" t="str">
            <v>D25019536</v>
          </cell>
          <cell r="AP952">
            <v>0</v>
          </cell>
          <cell r="AQ952">
            <v>0</v>
          </cell>
          <cell r="AV952">
            <v>0</v>
          </cell>
        </row>
        <row r="953">
          <cell r="E953" t="str">
            <v>B26000207</v>
          </cell>
          <cell r="AP953">
            <v>0</v>
          </cell>
          <cell r="AQ953">
            <v>0</v>
          </cell>
          <cell r="AV953">
            <v>0</v>
          </cell>
        </row>
        <row r="954">
          <cell r="E954" t="str">
            <v>D26000233</v>
          </cell>
          <cell r="AP954">
            <v>0</v>
          </cell>
          <cell r="AQ954">
            <v>0</v>
          </cell>
          <cell r="AV954">
            <v>0</v>
          </cell>
        </row>
        <row r="955">
          <cell r="E955" t="str">
            <v>D26000637</v>
          </cell>
          <cell r="AP955">
            <v>0</v>
          </cell>
          <cell r="AQ955">
            <v>0</v>
          </cell>
          <cell r="AV955">
            <v>0</v>
          </cell>
        </row>
        <row r="956">
          <cell r="E956" t="str">
            <v>B26001031</v>
          </cell>
          <cell r="AP956">
            <v>0</v>
          </cell>
          <cell r="AQ956">
            <v>0</v>
          </cell>
          <cell r="AV956">
            <v>0</v>
          </cell>
        </row>
        <row r="957">
          <cell r="E957" t="str">
            <v>B26001189</v>
          </cell>
          <cell r="AP957">
            <v>0</v>
          </cell>
          <cell r="AQ957">
            <v>0</v>
          </cell>
          <cell r="AV957">
            <v>0</v>
          </cell>
        </row>
        <row r="958">
          <cell r="E958" t="str">
            <v>D26001514</v>
          </cell>
          <cell r="AP958">
            <v>0</v>
          </cell>
          <cell r="AQ958">
            <v>0</v>
          </cell>
          <cell r="AV958">
            <v>0</v>
          </cell>
        </row>
        <row r="959">
          <cell r="E959" t="str">
            <v>D25018470</v>
          </cell>
          <cell r="AP959">
            <v>0</v>
          </cell>
          <cell r="AQ959">
            <v>0</v>
          </cell>
          <cell r="AV959">
            <v>0</v>
          </cell>
        </row>
        <row r="960">
          <cell r="E960" t="str">
            <v>B25016647</v>
          </cell>
          <cell r="AP960">
            <v>0</v>
          </cell>
          <cell r="AQ960">
            <v>0</v>
          </cell>
          <cell r="AV960">
            <v>0</v>
          </cell>
        </row>
        <row r="961">
          <cell r="E961" t="str">
            <v>D25019502</v>
          </cell>
          <cell r="AP961">
            <v>0</v>
          </cell>
          <cell r="AQ961">
            <v>0</v>
          </cell>
          <cell r="AV961">
            <v>0</v>
          </cell>
        </row>
        <row r="962">
          <cell r="E962" t="str">
            <v>D26000303</v>
          </cell>
          <cell r="AP962">
            <v>0</v>
          </cell>
          <cell r="AQ962">
            <v>0</v>
          </cell>
          <cell r="AV962">
            <v>0</v>
          </cell>
        </row>
        <row r="963">
          <cell r="E963" t="str">
            <v>B26001524</v>
          </cell>
          <cell r="AP963">
            <v>0</v>
          </cell>
          <cell r="AQ963">
            <v>0</v>
          </cell>
          <cell r="AV963">
            <v>0</v>
          </cell>
        </row>
        <row r="964">
          <cell r="E964" t="str">
            <v>B25017124</v>
          </cell>
          <cell r="AP964">
            <v>0</v>
          </cell>
          <cell r="AQ964">
            <v>0</v>
          </cell>
          <cell r="AV964">
            <v>0</v>
          </cell>
        </row>
        <row r="965">
          <cell r="E965" t="str">
            <v>B25017145</v>
          </cell>
          <cell r="AP965">
            <v>0</v>
          </cell>
          <cell r="AQ965">
            <v>0</v>
          </cell>
          <cell r="AV965">
            <v>0</v>
          </cell>
        </row>
        <row r="966">
          <cell r="E966" t="str">
            <v>B26000008</v>
          </cell>
          <cell r="AP966">
            <v>0</v>
          </cell>
          <cell r="AQ966">
            <v>0</v>
          </cell>
          <cell r="AV966">
            <v>0</v>
          </cell>
        </row>
        <row r="967">
          <cell r="E967" t="str">
            <v>D26000289</v>
          </cell>
          <cell r="AP967">
            <v>0</v>
          </cell>
          <cell r="AQ967">
            <v>0</v>
          </cell>
          <cell r="AV967">
            <v>0</v>
          </cell>
        </row>
        <row r="968">
          <cell r="E968" t="str">
            <v>B26000304</v>
          </cell>
          <cell r="AP968">
            <v>0</v>
          </cell>
          <cell r="AQ968">
            <v>0</v>
          </cell>
          <cell r="AV968">
            <v>0</v>
          </cell>
        </row>
        <row r="969">
          <cell r="E969" t="str">
            <v>D26000338</v>
          </cell>
          <cell r="AP969">
            <v>0</v>
          </cell>
          <cell r="AQ969">
            <v>0</v>
          </cell>
          <cell r="AV969">
            <v>0</v>
          </cell>
        </row>
        <row r="970">
          <cell r="E970" t="str">
            <v>B26000350</v>
          </cell>
          <cell r="AP970">
            <v>0</v>
          </cell>
          <cell r="AQ970">
            <v>0</v>
          </cell>
          <cell r="AV970">
            <v>0</v>
          </cell>
        </row>
        <row r="971">
          <cell r="E971" t="str">
            <v>D26000423</v>
          </cell>
          <cell r="AP971">
            <v>0</v>
          </cell>
          <cell r="AQ971">
            <v>0</v>
          </cell>
          <cell r="AV971">
            <v>0</v>
          </cell>
        </row>
        <row r="972">
          <cell r="E972" t="str">
            <v>B26000521</v>
          </cell>
          <cell r="AP972">
            <v>0</v>
          </cell>
          <cell r="AQ972">
            <v>0</v>
          </cell>
          <cell r="AV972">
            <v>0</v>
          </cell>
        </row>
        <row r="973">
          <cell r="E973" t="str">
            <v>D26000613</v>
          </cell>
          <cell r="AP973">
            <v>0</v>
          </cell>
          <cell r="AQ973">
            <v>0</v>
          </cell>
          <cell r="AV973">
            <v>0</v>
          </cell>
        </row>
        <row r="974">
          <cell r="E974" t="str">
            <v>D26000676</v>
          </cell>
          <cell r="AP974">
            <v>0</v>
          </cell>
          <cell r="AQ974">
            <v>0</v>
          </cell>
          <cell r="AV974">
            <v>0</v>
          </cell>
        </row>
        <row r="975">
          <cell r="E975" t="str">
            <v>B26000650</v>
          </cell>
          <cell r="AP975">
            <v>0</v>
          </cell>
          <cell r="AQ975">
            <v>0</v>
          </cell>
          <cell r="AV975">
            <v>0</v>
          </cell>
        </row>
        <row r="976">
          <cell r="E976" t="str">
            <v>D26000713</v>
          </cell>
          <cell r="AP976">
            <v>0</v>
          </cell>
          <cell r="AQ976">
            <v>0</v>
          </cell>
          <cell r="AV976">
            <v>0</v>
          </cell>
        </row>
        <row r="977">
          <cell r="E977" t="str">
            <v>B26000691</v>
          </cell>
          <cell r="AP977">
            <v>0</v>
          </cell>
          <cell r="AQ977">
            <v>0</v>
          </cell>
          <cell r="AV977">
            <v>0</v>
          </cell>
        </row>
        <row r="978">
          <cell r="E978" t="str">
            <v>D26000969</v>
          </cell>
          <cell r="AP978">
            <v>0</v>
          </cell>
          <cell r="AQ978">
            <v>0</v>
          </cell>
          <cell r="AV978">
            <v>0</v>
          </cell>
        </row>
        <row r="979">
          <cell r="E979" t="str">
            <v>B26001006</v>
          </cell>
          <cell r="AP979">
            <v>0</v>
          </cell>
          <cell r="AQ979">
            <v>0</v>
          </cell>
          <cell r="AV979">
            <v>0</v>
          </cell>
        </row>
        <row r="980">
          <cell r="E980" t="str">
            <v>D26001232</v>
          </cell>
          <cell r="AP980">
            <v>0</v>
          </cell>
          <cell r="AQ980">
            <v>0</v>
          </cell>
          <cell r="AV980">
            <v>0</v>
          </cell>
        </row>
        <row r="981">
          <cell r="E981" t="str">
            <v>B26001216</v>
          </cell>
          <cell r="AP981">
            <v>0</v>
          </cell>
          <cell r="AQ981">
            <v>0</v>
          </cell>
          <cell r="AV981">
            <v>0</v>
          </cell>
        </row>
        <row r="982">
          <cell r="E982" t="str">
            <v>D26001299</v>
          </cell>
          <cell r="AP982">
            <v>0</v>
          </cell>
          <cell r="AQ982">
            <v>0</v>
          </cell>
          <cell r="AV982">
            <v>0</v>
          </cell>
        </row>
        <row r="983">
          <cell r="E983" t="str">
            <v>D26001337</v>
          </cell>
          <cell r="AP983">
            <v>0</v>
          </cell>
          <cell r="AQ983">
            <v>0</v>
          </cell>
          <cell r="AV983">
            <v>0</v>
          </cell>
        </row>
        <row r="984">
          <cell r="E984" t="str">
            <v>B26001267</v>
          </cell>
          <cell r="AP984">
            <v>0</v>
          </cell>
          <cell r="AQ984">
            <v>0</v>
          </cell>
          <cell r="AV984">
            <v>0</v>
          </cell>
        </row>
        <row r="985">
          <cell r="E985" t="str">
            <v>B26001268</v>
          </cell>
          <cell r="AP985">
            <v>0</v>
          </cell>
          <cell r="AQ985">
            <v>0</v>
          </cell>
          <cell r="AV985">
            <v>0</v>
          </cell>
        </row>
        <row r="986">
          <cell r="E986" t="str">
            <v>B26001299</v>
          </cell>
          <cell r="AP986">
            <v>0</v>
          </cell>
          <cell r="AQ986">
            <v>0</v>
          </cell>
          <cell r="AV986">
            <v>0</v>
          </cell>
        </row>
        <row r="987">
          <cell r="E987" t="str">
            <v>D26001358</v>
          </cell>
          <cell r="AP987">
            <v>0</v>
          </cell>
          <cell r="AQ987">
            <v>0</v>
          </cell>
          <cell r="AV987">
            <v>0</v>
          </cell>
        </row>
        <row r="988">
          <cell r="E988" t="str">
            <v>B26001381</v>
          </cell>
          <cell r="AP988">
            <v>0</v>
          </cell>
          <cell r="AQ988">
            <v>0</v>
          </cell>
          <cell r="AV988">
            <v>0</v>
          </cell>
        </row>
        <row r="989">
          <cell r="E989" t="str">
            <v>D26001538</v>
          </cell>
          <cell r="AP989">
            <v>0</v>
          </cell>
          <cell r="AQ989">
            <v>0</v>
          </cell>
          <cell r="AV989">
            <v>0</v>
          </cell>
        </row>
        <row r="990">
          <cell r="E990" t="str">
            <v>B26001588</v>
          </cell>
          <cell r="AP990">
            <v>0</v>
          </cell>
          <cell r="AQ990">
            <v>0</v>
          </cell>
          <cell r="AV990">
            <v>0</v>
          </cell>
        </row>
        <row r="991">
          <cell r="E991" t="str">
            <v>B26001589</v>
          </cell>
          <cell r="AP991">
            <v>0</v>
          </cell>
          <cell r="AQ991">
            <v>0</v>
          </cell>
          <cell r="AV991">
            <v>0</v>
          </cell>
        </row>
        <row r="992">
          <cell r="E992" t="str">
            <v>T25001779</v>
          </cell>
          <cell r="AP992">
            <v>0</v>
          </cell>
          <cell r="AQ992">
            <v>0</v>
          </cell>
          <cell r="AV992">
            <v>0</v>
          </cell>
        </row>
        <row r="993">
          <cell r="E993" t="str">
            <v>D25018317</v>
          </cell>
          <cell r="AP993">
            <v>0</v>
          </cell>
          <cell r="AQ993">
            <v>0</v>
          </cell>
          <cell r="AV993">
            <v>0</v>
          </cell>
        </row>
        <row r="994">
          <cell r="E994" t="str">
            <v>D25018318</v>
          </cell>
          <cell r="AP994">
            <v>0</v>
          </cell>
          <cell r="AQ994">
            <v>0</v>
          </cell>
          <cell r="AV994">
            <v>0</v>
          </cell>
        </row>
        <row r="995">
          <cell r="E995" t="str">
            <v>D25018319</v>
          </cell>
          <cell r="AP995">
            <v>0</v>
          </cell>
          <cell r="AQ995">
            <v>0</v>
          </cell>
          <cell r="AV995">
            <v>0</v>
          </cell>
        </row>
        <row r="996">
          <cell r="E996" t="str">
            <v>D25018403</v>
          </cell>
          <cell r="AP996">
            <v>0</v>
          </cell>
          <cell r="AQ996">
            <v>0</v>
          </cell>
          <cell r="AV996">
            <v>0</v>
          </cell>
        </row>
        <row r="997">
          <cell r="E997" t="str">
            <v>B25016132</v>
          </cell>
          <cell r="AP997">
            <v>0</v>
          </cell>
          <cell r="AQ997">
            <v>0</v>
          </cell>
          <cell r="AV997">
            <v>0</v>
          </cell>
        </row>
        <row r="998">
          <cell r="E998" t="str">
            <v>B25016149</v>
          </cell>
          <cell r="AP998">
            <v>0</v>
          </cell>
          <cell r="AQ998">
            <v>0</v>
          </cell>
          <cell r="AV998">
            <v>0</v>
          </cell>
        </row>
        <row r="999">
          <cell r="E999" t="str">
            <v>B25016153</v>
          </cell>
          <cell r="AP999">
            <v>0</v>
          </cell>
          <cell r="AQ999">
            <v>0</v>
          </cell>
          <cell r="AV999">
            <v>0</v>
          </cell>
        </row>
        <row r="1000">
          <cell r="E1000" t="str">
            <v>D25018608</v>
          </cell>
          <cell r="AP1000">
            <v>0</v>
          </cell>
          <cell r="AQ1000">
            <v>0</v>
          </cell>
          <cell r="AV1000">
            <v>0</v>
          </cell>
        </row>
        <row r="1001">
          <cell r="E1001" t="str">
            <v>D25018693</v>
          </cell>
          <cell r="AP1001">
            <v>0</v>
          </cell>
          <cell r="AQ1001">
            <v>0</v>
          </cell>
          <cell r="AV1001">
            <v>0</v>
          </cell>
        </row>
        <row r="1002">
          <cell r="E1002" t="str">
            <v>D25018794</v>
          </cell>
          <cell r="AP1002">
            <v>0</v>
          </cell>
          <cell r="AQ1002">
            <v>0</v>
          </cell>
          <cell r="AV1002">
            <v>0</v>
          </cell>
        </row>
        <row r="1003">
          <cell r="E1003" t="str">
            <v>D25018795</v>
          </cell>
          <cell r="AP1003">
            <v>0</v>
          </cell>
          <cell r="AQ1003">
            <v>0</v>
          </cell>
          <cell r="AV1003">
            <v>0</v>
          </cell>
        </row>
        <row r="1004">
          <cell r="E1004" t="str">
            <v>B25016609</v>
          </cell>
          <cell r="AP1004">
            <v>0</v>
          </cell>
          <cell r="AQ1004">
            <v>0</v>
          </cell>
          <cell r="AV1004">
            <v>0</v>
          </cell>
        </row>
        <row r="1005">
          <cell r="E1005" t="str">
            <v>B25016637</v>
          </cell>
          <cell r="AP1005">
            <v>0</v>
          </cell>
          <cell r="AQ1005">
            <v>0</v>
          </cell>
          <cell r="AV1005">
            <v>0</v>
          </cell>
        </row>
        <row r="1006">
          <cell r="E1006" t="str">
            <v>D25019217</v>
          </cell>
          <cell r="AP1006">
            <v>0</v>
          </cell>
          <cell r="AQ1006">
            <v>0</v>
          </cell>
          <cell r="AV1006">
            <v>0</v>
          </cell>
        </row>
        <row r="1007">
          <cell r="E1007" t="str">
            <v>B25016896</v>
          </cell>
          <cell r="AP1007">
            <v>0</v>
          </cell>
          <cell r="AQ1007">
            <v>0</v>
          </cell>
          <cell r="AV1007">
            <v>0</v>
          </cell>
        </row>
        <row r="1008">
          <cell r="E1008" t="str">
            <v>B25016897</v>
          </cell>
          <cell r="AP1008">
            <v>0</v>
          </cell>
          <cell r="AQ1008">
            <v>0</v>
          </cell>
          <cell r="AV1008">
            <v>0</v>
          </cell>
        </row>
        <row r="1009">
          <cell r="E1009" t="str">
            <v>B25017070</v>
          </cell>
          <cell r="AP1009">
            <v>0</v>
          </cell>
          <cell r="AQ1009">
            <v>0</v>
          </cell>
          <cell r="AV1009">
            <v>0</v>
          </cell>
        </row>
        <row r="1010">
          <cell r="E1010" t="str">
            <v>D26000070</v>
          </cell>
          <cell r="AP1010">
            <v>0</v>
          </cell>
          <cell r="AQ1010">
            <v>0</v>
          </cell>
          <cell r="AV1010">
            <v>0</v>
          </cell>
        </row>
        <row r="1011">
          <cell r="E1011" t="str">
            <v>D26000171</v>
          </cell>
          <cell r="AP1011">
            <v>0</v>
          </cell>
          <cell r="AQ1011">
            <v>0</v>
          </cell>
          <cell r="AV1011">
            <v>0</v>
          </cell>
        </row>
        <row r="1012">
          <cell r="E1012" t="str">
            <v>B26000275</v>
          </cell>
          <cell r="AP1012">
            <v>0</v>
          </cell>
          <cell r="AQ1012">
            <v>0</v>
          </cell>
          <cell r="AV1012">
            <v>0</v>
          </cell>
        </row>
        <row r="1013">
          <cell r="E1013" t="str">
            <v>B26000391</v>
          </cell>
          <cell r="AP1013">
            <v>0</v>
          </cell>
          <cell r="AQ1013">
            <v>0</v>
          </cell>
          <cell r="AV1013">
            <v>0</v>
          </cell>
        </row>
        <row r="1014">
          <cell r="E1014" t="str">
            <v>D26000687</v>
          </cell>
          <cell r="AP1014">
            <v>0</v>
          </cell>
          <cell r="AQ1014">
            <v>0</v>
          </cell>
          <cell r="AV1014">
            <v>0</v>
          </cell>
        </row>
        <row r="1015">
          <cell r="E1015" t="str">
            <v>B26000720</v>
          </cell>
          <cell r="AP1015">
            <v>0</v>
          </cell>
          <cell r="AQ1015">
            <v>0</v>
          </cell>
          <cell r="AV1015">
            <v>0</v>
          </cell>
        </row>
        <row r="1016">
          <cell r="E1016" t="str">
            <v>B26000748</v>
          </cell>
          <cell r="AP1016">
            <v>0</v>
          </cell>
          <cell r="AQ1016">
            <v>0</v>
          </cell>
          <cell r="AV1016">
            <v>0</v>
          </cell>
        </row>
        <row r="1017">
          <cell r="E1017" t="str">
            <v>B26000776</v>
          </cell>
          <cell r="AP1017">
            <v>0</v>
          </cell>
          <cell r="AQ1017">
            <v>0</v>
          </cell>
          <cell r="AV1017">
            <v>0</v>
          </cell>
        </row>
        <row r="1018">
          <cell r="E1018" t="str">
            <v>B26000866</v>
          </cell>
          <cell r="AP1018">
            <v>0</v>
          </cell>
          <cell r="AQ1018">
            <v>0</v>
          </cell>
          <cell r="AV1018">
            <v>0</v>
          </cell>
        </row>
        <row r="1019">
          <cell r="E1019" t="str">
            <v>D26000946</v>
          </cell>
          <cell r="AP1019">
            <v>0</v>
          </cell>
          <cell r="AQ1019">
            <v>0</v>
          </cell>
          <cell r="AV1019">
            <v>0</v>
          </cell>
        </row>
        <row r="1020">
          <cell r="E1020" t="str">
            <v>B26001227</v>
          </cell>
          <cell r="AP1020">
            <v>0</v>
          </cell>
          <cell r="AQ1020">
            <v>0</v>
          </cell>
          <cell r="AV1020">
            <v>0</v>
          </cell>
        </row>
        <row r="1021">
          <cell r="E1021" t="str">
            <v>B26001240</v>
          </cell>
          <cell r="AP1021">
            <v>0</v>
          </cell>
          <cell r="AQ1021">
            <v>0</v>
          </cell>
          <cell r="AV1021">
            <v>0</v>
          </cell>
        </row>
        <row r="1022">
          <cell r="E1022" t="str">
            <v>B26001285</v>
          </cell>
          <cell r="AP1022">
            <v>0</v>
          </cell>
          <cell r="AQ1022">
            <v>0</v>
          </cell>
          <cell r="AV1022">
            <v>0</v>
          </cell>
        </row>
        <row r="1023">
          <cell r="E1023" t="str">
            <v>D26001403</v>
          </cell>
          <cell r="AP1023">
            <v>0</v>
          </cell>
          <cell r="AQ1023">
            <v>0</v>
          </cell>
          <cell r="AV1023">
            <v>0</v>
          </cell>
        </row>
        <row r="1024">
          <cell r="E1024" t="str">
            <v>B26001463</v>
          </cell>
          <cell r="AP1024">
            <v>0</v>
          </cell>
          <cell r="AQ1024">
            <v>0</v>
          </cell>
          <cell r="AV1024">
            <v>0</v>
          </cell>
        </row>
        <row r="1025">
          <cell r="E1025" t="str">
            <v>D26001691</v>
          </cell>
          <cell r="AP1025">
            <v>0</v>
          </cell>
          <cell r="AQ1025">
            <v>0</v>
          </cell>
          <cell r="AV1025">
            <v>0</v>
          </cell>
        </row>
        <row r="1026">
          <cell r="E1026" t="str">
            <v>B26001184</v>
          </cell>
          <cell r="AP1026">
            <v>0</v>
          </cell>
          <cell r="AQ1026">
            <v>0</v>
          </cell>
          <cell r="AV1026">
            <v>0</v>
          </cell>
        </row>
        <row r="1027">
          <cell r="E1027" t="str">
            <v>B26000060</v>
          </cell>
          <cell r="AP1027">
            <v>0</v>
          </cell>
          <cell r="AQ1027">
            <v>0</v>
          </cell>
          <cell r="AV1027">
            <v>0</v>
          </cell>
        </row>
        <row r="1028">
          <cell r="E1028" t="str">
            <v>B26001103</v>
          </cell>
          <cell r="AP1028">
            <v>0</v>
          </cell>
          <cell r="AQ1028">
            <v>0</v>
          </cell>
          <cell r="AV1028">
            <v>0</v>
          </cell>
        </row>
        <row r="1029">
          <cell r="E1029" t="str">
            <v>D25017204</v>
          </cell>
          <cell r="AP1029">
            <v>0</v>
          </cell>
          <cell r="AQ1029">
            <v>0</v>
          </cell>
          <cell r="AV1029">
            <v>0</v>
          </cell>
        </row>
        <row r="1030">
          <cell r="E1030" t="str">
            <v>D25017712</v>
          </cell>
          <cell r="AP1030">
            <v>0</v>
          </cell>
          <cell r="AQ1030">
            <v>0</v>
          </cell>
          <cell r="AV1030">
            <v>0</v>
          </cell>
        </row>
        <row r="1031">
          <cell r="E1031" t="str">
            <v>B26000012</v>
          </cell>
          <cell r="AP1031">
            <v>0</v>
          </cell>
          <cell r="AQ1031">
            <v>0</v>
          </cell>
          <cell r="AV1031">
            <v>0</v>
          </cell>
        </row>
        <row r="1032">
          <cell r="E1032" t="str">
            <v>B26000534</v>
          </cell>
          <cell r="AP1032">
            <v>0</v>
          </cell>
          <cell r="AQ1032">
            <v>0</v>
          </cell>
          <cell r="AV1032">
            <v>0</v>
          </cell>
        </row>
        <row r="1033">
          <cell r="E1033" t="str">
            <v>B26000987</v>
          </cell>
          <cell r="AP1033">
            <v>0</v>
          </cell>
          <cell r="AQ1033">
            <v>0</v>
          </cell>
          <cell r="AV1033">
            <v>0</v>
          </cell>
        </row>
        <row r="1034">
          <cell r="E1034" t="str">
            <v>B26001168</v>
          </cell>
          <cell r="AP1034">
            <v>0</v>
          </cell>
          <cell r="AQ1034">
            <v>0</v>
          </cell>
          <cell r="AV1034">
            <v>0</v>
          </cell>
        </row>
        <row r="1035">
          <cell r="E1035" t="str">
            <v>B25017072</v>
          </cell>
          <cell r="AP1035">
            <v>0</v>
          </cell>
          <cell r="AQ1035">
            <v>0</v>
          </cell>
          <cell r="AV1035">
            <v>0</v>
          </cell>
        </row>
        <row r="1036">
          <cell r="E1036" t="str">
            <v>B26000003</v>
          </cell>
          <cell r="AP1036">
            <v>0</v>
          </cell>
          <cell r="AQ1036">
            <v>0</v>
          </cell>
          <cell r="AV1036">
            <v>0</v>
          </cell>
        </row>
        <row r="1037">
          <cell r="E1037" t="str">
            <v>D26000452</v>
          </cell>
          <cell r="AP1037">
            <v>0</v>
          </cell>
          <cell r="AQ1037">
            <v>0</v>
          </cell>
          <cell r="AV1037">
            <v>0</v>
          </cell>
        </row>
        <row r="1038">
          <cell r="E1038" t="str">
            <v>D25019430</v>
          </cell>
          <cell r="AP1038">
            <v>0</v>
          </cell>
          <cell r="AQ1038">
            <v>0</v>
          </cell>
          <cell r="AV1038">
            <v>0</v>
          </cell>
        </row>
        <row r="1039">
          <cell r="E1039" t="str">
            <v>B25017010</v>
          </cell>
          <cell r="AP1039">
            <v>0</v>
          </cell>
          <cell r="AQ1039">
            <v>0</v>
          </cell>
          <cell r="AV1039">
            <v>0</v>
          </cell>
        </row>
        <row r="1040">
          <cell r="E1040" t="str">
            <v>B25017011</v>
          </cell>
          <cell r="AP1040">
            <v>0</v>
          </cell>
          <cell r="AQ1040">
            <v>0</v>
          </cell>
          <cell r="AV1040">
            <v>0</v>
          </cell>
        </row>
        <row r="1041">
          <cell r="E1041" t="str">
            <v>D26000137</v>
          </cell>
          <cell r="AP1041">
            <v>0</v>
          </cell>
          <cell r="AQ1041">
            <v>0</v>
          </cell>
          <cell r="AV1041">
            <v>0</v>
          </cell>
        </row>
        <row r="1042">
          <cell r="E1042" t="str">
            <v>B26000438</v>
          </cell>
          <cell r="AP1042">
            <v>0</v>
          </cell>
          <cell r="AQ1042">
            <v>0</v>
          </cell>
          <cell r="AV1042">
            <v>0</v>
          </cell>
        </row>
        <row r="1043">
          <cell r="E1043" t="str">
            <v>B26000439</v>
          </cell>
          <cell r="AP1043">
            <v>0</v>
          </cell>
          <cell r="AQ1043">
            <v>0</v>
          </cell>
          <cell r="AV1043">
            <v>0</v>
          </cell>
        </row>
        <row r="1044">
          <cell r="E1044" t="str">
            <v>B26000442</v>
          </cell>
          <cell r="AP1044">
            <v>0</v>
          </cell>
          <cell r="AQ1044">
            <v>0</v>
          </cell>
          <cell r="AV1044">
            <v>0</v>
          </cell>
        </row>
        <row r="1045">
          <cell r="E1045" t="str">
            <v>B26000445</v>
          </cell>
          <cell r="AP1045">
            <v>0</v>
          </cell>
          <cell r="AQ1045">
            <v>0</v>
          </cell>
          <cell r="AV1045">
            <v>0</v>
          </cell>
        </row>
        <row r="1046">
          <cell r="E1046" t="str">
            <v>D26000696</v>
          </cell>
          <cell r="AP1046">
            <v>0</v>
          </cell>
          <cell r="AQ1046">
            <v>0</v>
          </cell>
          <cell r="AV1046">
            <v>0</v>
          </cell>
        </row>
        <row r="1047">
          <cell r="E1047" t="str">
            <v>D26000698</v>
          </cell>
          <cell r="AP1047">
            <v>0</v>
          </cell>
          <cell r="AQ1047">
            <v>0</v>
          </cell>
          <cell r="AV1047">
            <v>0</v>
          </cell>
        </row>
        <row r="1048">
          <cell r="E1048" t="str">
            <v>D26001126</v>
          </cell>
          <cell r="AP1048">
            <v>0</v>
          </cell>
          <cell r="AQ1048">
            <v>0</v>
          </cell>
          <cell r="AV1048">
            <v>0</v>
          </cell>
        </row>
        <row r="1049">
          <cell r="E1049" t="str">
            <v>B26001124</v>
          </cell>
          <cell r="AP1049">
            <v>0</v>
          </cell>
          <cell r="AQ1049">
            <v>0</v>
          </cell>
          <cell r="AV1049">
            <v>0</v>
          </cell>
        </row>
        <row r="1050">
          <cell r="E1050" t="str">
            <v>B26001126</v>
          </cell>
          <cell r="AP1050">
            <v>0</v>
          </cell>
          <cell r="AQ1050">
            <v>0</v>
          </cell>
          <cell r="AV1050">
            <v>0</v>
          </cell>
        </row>
        <row r="1051">
          <cell r="E1051" t="str">
            <v>B26001128</v>
          </cell>
          <cell r="AP1051">
            <v>0</v>
          </cell>
          <cell r="AQ1051">
            <v>0</v>
          </cell>
          <cell r="AV1051">
            <v>0</v>
          </cell>
        </row>
        <row r="1052">
          <cell r="E1052" t="str">
            <v>D26001529</v>
          </cell>
          <cell r="AP1052">
            <v>0</v>
          </cell>
          <cell r="AQ1052">
            <v>0</v>
          </cell>
          <cell r="AV1052">
            <v>0</v>
          </cell>
        </row>
        <row r="1053">
          <cell r="E1053" t="str">
            <v>D25011387</v>
          </cell>
          <cell r="AP1053">
            <v>0</v>
          </cell>
          <cell r="AQ1053">
            <v>0</v>
          </cell>
          <cell r="AV1053">
            <v>0</v>
          </cell>
        </row>
        <row r="1054">
          <cell r="E1054" t="str">
            <v>B25009852</v>
          </cell>
          <cell r="AP1054">
            <v>0</v>
          </cell>
          <cell r="AQ1054">
            <v>0</v>
          </cell>
          <cell r="AV1054">
            <v>0</v>
          </cell>
        </row>
        <row r="1055">
          <cell r="E1055" t="str">
            <v>B25015251</v>
          </cell>
          <cell r="AP1055">
            <v>0</v>
          </cell>
          <cell r="AQ1055">
            <v>0</v>
          </cell>
          <cell r="AV1055">
            <v>0</v>
          </cell>
        </row>
        <row r="1056">
          <cell r="E1056" t="str">
            <v>D26000095</v>
          </cell>
          <cell r="AP1056">
            <v>0</v>
          </cell>
          <cell r="AQ1056">
            <v>0</v>
          </cell>
          <cell r="AV1056">
            <v>0</v>
          </cell>
        </row>
        <row r="1057">
          <cell r="E1057" t="str">
            <v>B26000435</v>
          </cell>
          <cell r="AP1057">
            <v>0</v>
          </cell>
          <cell r="AQ1057">
            <v>0</v>
          </cell>
          <cell r="AV1057">
            <v>0</v>
          </cell>
        </row>
        <row r="1058">
          <cell r="E1058" t="str">
            <v>B26000767</v>
          </cell>
          <cell r="AP1058">
            <v>0</v>
          </cell>
          <cell r="AQ1058">
            <v>0</v>
          </cell>
          <cell r="AV1058">
            <v>0</v>
          </cell>
        </row>
        <row r="1059">
          <cell r="E1059" t="str">
            <v>D26001251</v>
          </cell>
          <cell r="AP1059">
            <v>0</v>
          </cell>
          <cell r="AQ1059">
            <v>0</v>
          </cell>
          <cell r="AV1059">
            <v>0</v>
          </cell>
        </row>
        <row r="1060">
          <cell r="E1060" t="str">
            <v>D26001556</v>
          </cell>
          <cell r="AP1060">
            <v>0</v>
          </cell>
          <cell r="AQ1060">
            <v>0</v>
          </cell>
          <cell r="AV1060">
            <v>0</v>
          </cell>
        </row>
        <row r="1061">
          <cell r="E1061" t="str">
            <v>D26001557</v>
          </cell>
          <cell r="AP1061">
            <v>0</v>
          </cell>
          <cell r="AQ1061">
            <v>0</v>
          </cell>
          <cell r="AV1061">
            <v>0</v>
          </cell>
        </row>
        <row r="1062">
          <cell r="E1062" t="str">
            <v>B25015808</v>
          </cell>
          <cell r="AP1062">
            <v>0</v>
          </cell>
          <cell r="AQ1062">
            <v>0</v>
          </cell>
          <cell r="AV1062">
            <v>0</v>
          </cell>
        </row>
        <row r="1063">
          <cell r="E1063" t="str">
            <v>T25001794</v>
          </cell>
          <cell r="AP1063">
            <v>0</v>
          </cell>
          <cell r="AQ1063">
            <v>0</v>
          </cell>
          <cell r="AV1063">
            <v>0</v>
          </cell>
        </row>
        <row r="1064">
          <cell r="E1064" t="str">
            <v>D25018744</v>
          </cell>
          <cell r="AP1064">
            <v>0</v>
          </cell>
          <cell r="AQ1064">
            <v>0</v>
          </cell>
          <cell r="AV1064">
            <v>0</v>
          </cell>
        </row>
        <row r="1065">
          <cell r="E1065" t="str">
            <v>D25017893</v>
          </cell>
          <cell r="AP1065">
            <v>0</v>
          </cell>
          <cell r="AQ1065">
            <v>0</v>
          </cell>
          <cell r="AV1065">
            <v>0</v>
          </cell>
        </row>
        <row r="1066">
          <cell r="E1066" t="str">
            <v>B25015444</v>
          </cell>
          <cell r="AP1066">
            <v>0</v>
          </cell>
          <cell r="AQ1066">
            <v>0</v>
          </cell>
          <cell r="AV1066">
            <v>0</v>
          </cell>
        </row>
        <row r="1067">
          <cell r="E1067" t="str">
            <v>B25015958</v>
          </cell>
          <cell r="AP1067">
            <v>0</v>
          </cell>
          <cell r="AQ1067">
            <v>0</v>
          </cell>
          <cell r="AV1067">
            <v>0</v>
          </cell>
        </row>
        <row r="1068">
          <cell r="E1068" t="str">
            <v>B25016375</v>
          </cell>
          <cell r="AP1068">
            <v>0</v>
          </cell>
          <cell r="AQ1068">
            <v>0</v>
          </cell>
          <cell r="AV1068">
            <v>0</v>
          </cell>
        </row>
        <row r="1069">
          <cell r="E1069" t="str">
            <v>B25016838</v>
          </cell>
          <cell r="AP1069">
            <v>0</v>
          </cell>
          <cell r="AQ1069">
            <v>0</v>
          </cell>
          <cell r="AV1069">
            <v>0</v>
          </cell>
        </row>
        <row r="1070">
          <cell r="E1070" t="str">
            <v>D25019378</v>
          </cell>
          <cell r="AP1070">
            <v>0</v>
          </cell>
          <cell r="AQ1070">
            <v>0</v>
          </cell>
          <cell r="AV1070">
            <v>0</v>
          </cell>
        </row>
        <row r="1071">
          <cell r="E1071" t="str">
            <v>D26000090</v>
          </cell>
          <cell r="AP1071">
            <v>0</v>
          </cell>
          <cell r="AQ1071">
            <v>0</v>
          </cell>
          <cell r="AV1071">
            <v>0</v>
          </cell>
        </row>
        <row r="1072">
          <cell r="E1072" t="str">
            <v>D25019656</v>
          </cell>
          <cell r="AP1072">
            <v>0</v>
          </cell>
          <cell r="AQ1072">
            <v>0</v>
          </cell>
          <cell r="AV1072">
            <v>0</v>
          </cell>
        </row>
        <row r="1073">
          <cell r="E1073" t="str">
            <v>T25001564</v>
          </cell>
          <cell r="AP1073">
            <v>0</v>
          </cell>
          <cell r="AQ1073">
            <v>0</v>
          </cell>
          <cell r="AV1073">
            <v>0</v>
          </cell>
        </row>
        <row r="1074">
          <cell r="E1074" t="str">
            <v>B25013893</v>
          </cell>
          <cell r="AP1074">
            <v>0</v>
          </cell>
          <cell r="AQ1074">
            <v>0</v>
          </cell>
          <cell r="AV1074">
            <v>0</v>
          </cell>
        </row>
        <row r="1075">
          <cell r="E1075" t="str">
            <v>D25019014</v>
          </cell>
          <cell r="AP1075">
            <v>0</v>
          </cell>
          <cell r="AQ1075">
            <v>0</v>
          </cell>
          <cell r="AV1075">
            <v>0</v>
          </cell>
        </row>
        <row r="1076">
          <cell r="E1076" t="str">
            <v>D25019015</v>
          </cell>
          <cell r="AP1076">
            <v>0</v>
          </cell>
          <cell r="AQ1076">
            <v>0</v>
          </cell>
          <cell r="AV1076">
            <v>0</v>
          </cell>
        </row>
        <row r="1077">
          <cell r="E1077" t="str">
            <v>B26000176</v>
          </cell>
          <cell r="AP1077">
            <v>0</v>
          </cell>
          <cell r="AQ1077">
            <v>0</v>
          </cell>
          <cell r="AV1077">
            <v>0</v>
          </cell>
        </row>
        <row r="1078">
          <cell r="E1078" t="str">
            <v>B26000177</v>
          </cell>
          <cell r="AP1078">
            <v>0</v>
          </cell>
          <cell r="AQ1078">
            <v>0</v>
          </cell>
          <cell r="AV1078">
            <v>0</v>
          </cell>
        </row>
        <row r="1079">
          <cell r="E1079" t="str">
            <v>B26000178</v>
          </cell>
          <cell r="AP1079">
            <v>0</v>
          </cell>
          <cell r="AQ1079">
            <v>0</v>
          </cell>
          <cell r="AV1079">
            <v>0</v>
          </cell>
        </row>
        <row r="1080">
          <cell r="E1080" t="str">
            <v>D25015607</v>
          </cell>
          <cell r="AP1080">
            <v>0</v>
          </cell>
          <cell r="AQ1080">
            <v>0</v>
          </cell>
          <cell r="AV1080">
            <v>0</v>
          </cell>
        </row>
        <row r="1081">
          <cell r="E1081" t="str">
            <v>D26001368</v>
          </cell>
          <cell r="AP1081">
            <v>0</v>
          </cell>
          <cell r="AQ1081">
            <v>0</v>
          </cell>
          <cell r="AV1081">
            <v>0</v>
          </cell>
        </row>
        <row r="1082">
          <cell r="E1082" t="str">
            <v>D26001543</v>
          </cell>
          <cell r="AP1082">
            <v>0</v>
          </cell>
          <cell r="AQ1082">
            <v>0</v>
          </cell>
          <cell r="AV1082">
            <v>0</v>
          </cell>
        </row>
        <row r="1083">
          <cell r="E1083" t="str">
            <v>D26001741</v>
          </cell>
          <cell r="AP1083">
            <v>0</v>
          </cell>
          <cell r="AQ1083">
            <v>0</v>
          </cell>
          <cell r="AV1083">
            <v>0</v>
          </cell>
        </row>
        <row r="1084">
          <cell r="E1084" t="str">
            <v>B25014546</v>
          </cell>
          <cell r="AP1084">
            <v>0</v>
          </cell>
          <cell r="AQ1084">
            <v>0</v>
          </cell>
          <cell r="AV1084">
            <v>0</v>
          </cell>
        </row>
        <row r="1085">
          <cell r="E1085" t="str">
            <v>T25001672</v>
          </cell>
          <cell r="AP1085">
            <v>0</v>
          </cell>
          <cell r="AQ1085">
            <v>0</v>
          </cell>
          <cell r="AV1085">
            <v>0</v>
          </cell>
        </row>
        <row r="1086">
          <cell r="E1086">
            <v>260003</v>
          </cell>
          <cell r="AP1086">
            <v>0</v>
          </cell>
          <cell r="AQ1086">
            <v>0</v>
          </cell>
          <cell r="AV1086">
            <v>0</v>
          </cell>
        </row>
        <row r="1087">
          <cell r="E1087" t="str">
            <v>D26000243</v>
          </cell>
          <cell r="AP1087">
            <v>0</v>
          </cell>
          <cell r="AQ1087">
            <v>0</v>
          </cell>
          <cell r="AV1087">
            <v>0</v>
          </cell>
        </row>
        <row r="1088">
          <cell r="E1088" t="str">
            <v>D26000244</v>
          </cell>
          <cell r="AP1088">
            <v>0</v>
          </cell>
          <cell r="AQ1088">
            <v>0</v>
          </cell>
          <cell r="AV1088">
            <v>0</v>
          </cell>
        </row>
        <row r="1089">
          <cell r="E1089" t="str">
            <v>D26000246</v>
          </cell>
          <cell r="AP1089">
            <v>0</v>
          </cell>
          <cell r="AQ1089">
            <v>0</v>
          </cell>
          <cell r="AV1089">
            <v>0</v>
          </cell>
        </row>
        <row r="1090">
          <cell r="E1090" t="str">
            <v>D26000250</v>
          </cell>
          <cell r="AP1090">
            <v>0</v>
          </cell>
          <cell r="AQ1090">
            <v>0</v>
          </cell>
          <cell r="AV1090">
            <v>0</v>
          </cell>
        </row>
        <row r="1091">
          <cell r="E1091" t="str">
            <v>B26000089</v>
          </cell>
          <cell r="AP1091">
            <v>0</v>
          </cell>
          <cell r="AQ1091">
            <v>0</v>
          </cell>
          <cell r="AV1091">
            <v>0</v>
          </cell>
        </row>
        <row r="1092">
          <cell r="E1092" t="str">
            <v>D26000798</v>
          </cell>
          <cell r="AP1092">
            <v>0</v>
          </cell>
          <cell r="AQ1092">
            <v>0</v>
          </cell>
          <cell r="AV1092">
            <v>0</v>
          </cell>
        </row>
        <row r="1093">
          <cell r="E1093" t="str">
            <v>D26001265</v>
          </cell>
          <cell r="AP1093">
            <v>0</v>
          </cell>
          <cell r="AQ1093">
            <v>0</v>
          </cell>
          <cell r="AV1093">
            <v>0</v>
          </cell>
        </row>
        <row r="1094">
          <cell r="E1094" t="str">
            <v>D26001286</v>
          </cell>
          <cell r="AP1094">
            <v>0</v>
          </cell>
          <cell r="AQ1094">
            <v>0</v>
          </cell>
          <cell r="AV1094">
            <v>0</v>
          </cell>
        </row>
        <row r="1095">
          <cell r="E1095" t="str">
            <v>B25013863</v>
          </cell>
          <cell r="AP1095">
            <v>0</v>
          </cell>
          <cell r="AQ1095">
            <v>0</v>
          </cell>
          <cell r="AV1095">
            <v>21200000</v>
          </cell>
        </row>
        <row r="1096">
          <cell r="E1096" t="str">
            <v>B25014067</v>
          </cell>
          <cell r="AP1096">
            <v>0</v>
          </cell>
          <cell r="AQ1096">
            <v>0</v>
          </cell>
          <cell r="AV1096">
            <v>27000000</v>
          </cell>
        </row>
        <row r="1097">
          <cell r="E1097" t="str">
            <v>B25014858</v>
          </cell>
          <cell r="AP1097">
            <v>0</v>
          </cell>
          <cell r="AQ1097">
            <v>0</v>
          </cell>
          <cell r="AV1097">
            <v>9510000</v>
          </cell>
        </row>
        <row r="1098">
          <cell r="E1098" t="str">
            <v>D25019205</v>
          </cell>
          <cell r="AP1098">
            <v>0</v>
          </cell>
          <cell r="AQ1098">
            <v>0</v>
          </cell>
          <cell r="AV1098">
            <v>0</v>
          </cell>
        </row>
        <row r="1099">
          <cell r="E1099" t="str">
            <v>D26000957</v>
          </cell>
          <cell r="AP1099">
            <v>0</v>
          </cell>
          <cell r="AQ1099">
            <v>0</v>
          </cell>
          <cell r="AV1099">
            <v>0</v>
          </cell>
        </row>
        <row r="1100">
          <cell r="E1100" t="str">
            <v>D26001547</v>
          </cell>
          <cell r="AP1100">
            <v>0</v>
          </cell>
          <cell r="AQ1100">
            <v>0</v>
          </cell>
          <cell r="AV1100">
            <v>0</v>
          </cell>
        </row>
        <row r="1101">
          <cell r="E1101" t="str">
            <v>D26001595</v>
          </cell>
          <cell r="AP1101">
            <v>0</v>
          </cell>
          <cell r="AQ1101">
            <v>0</v>
          </cell>
          <cell r="AV1101">
            <v>0</v>
          </cell>
        </row>
        <row r="1102">
          <cell r="E1102" t="str">
            <v>D26001102</v>
          </cell>
          <cell r="AP1102">
            <v>0</v>
          </cell>
          <cell r="AQ1102">
            <v>0</v>
          </cell>
          <cell r="AV1102">
            <v>0</v>
          </cell>
        </row>
        <row r="1103">
          <cell r="E1103" t="str">
            <v>D26001132</v>
          </cell>
          <cell r="AP1103">
            <v>0</v>
          </cell>
          <cell r="AQ1103">
            <v>0</v>
          </cell>
          <cell r="AV1103">
            <v>0</v>
          </cell>
        </row>
        <row r="1104">
          <cell r="E1104" t="str">
            <v>B26001307</v>
          </cell>
          <cell r="AP1104">
            <v>0</v>
          </cell>
          <cell r="AQ1104">
            <v>0</v>
          </cell>
          <cell r="AV1104">
            <v>0</v>
          </cell>
        </row>
        <row r="1105">
          <cell r="E1105" t="str">
            <v>D26000380</v>
          </cell>
          <cell r="AP1105">
            <v>0</v>
          </cell>
          <cell r="AQ1105">
            <v>0</v>
          </cell>
          <cell r="AV1105">
            <v>0</v>
          </cell>
        </row>
        <row r="1106">
          <cell r="E1106" t="str">
            <v>D26000381</v>
          </cell>
          <cell r="AP1106">
            <v>0</v>
          </cell>
          <cell r="AQ1106">
            <v>0</v>
          </cell>
          <cell r="AV1106">
            <v>0</v>
          </cell>
        </row>
        <row r="1107">
          <cell r="E1107" t="str">
            <v>T26000029</v>
          </cell>
          <cell r="AP1107">
            <v>0</v>
          </cell>
          <cell r="AQ1107">
            <v>0</v>
          </cell>
          <cell r="AV1107">
            <v>0</v>
          </cell>
        </row>
        <row r="1108">
          <cell r="E1108" t="str">
            <v>B26000716</v>
          </cell>
          <cell r="AP1108">
            <v>0</v>
          </cell>
          <cell r="AQ1108">
            <v>0</v>
          </cell>
          <cell r="AV1108">
            <v>0</v>
          </cell>
        </row>
        <row r="1109">
          <cell r="E1109" t="str">
            <v>B26000825</v>
          </cell>
          <cell r="AP1109">
            <v>0</v>
          </cell>
          <cell r="AQ1109">
            <v>0</v>
          </cell>
          <cell r="AV1109">
            <v>0</v>
          </cell>
        </row>
        <row r="1110">
          <cell r="E1110" t="str">
            <v>B26000974</v>
          </cell>
          <cell r="AP1110">
            <v>0</v>
          </cell>
          <cell r="AQ1110">
            <v>0</v>
          </cell>
          <cell r="AV1110">
            <v>0</v>
          </cell>
        </row>
        <row r="1111">
          <cell r="E1111" t="str">
            <v>D25018137</v>
          </cell>
          <cell r="AP1111">
            <v>0</v>
          </cell>
          <cell r="AQ1111">
            <v>0</v>
          </cell>
          <cell r="AV1111">
            <v>0</v>
          </cell>
        </row>
        <row r="1112">
          <cell r="E1112" t="str">
            <v>D25019051</v>
          </cell>
          <cell r="AP1112">
            <v>0</v>
          </cell>
          <cell r="AQ1112">
            <v>0</v>
          </cell>
          <cell r="AV1112">
            <v>0</v>
          </cell>
        </row>
        <row r="1113">
          <cell r="E1113" t="str">
            <v>T24001625</v>
          </cell>
          <cell r="AP1113">
            <v>0</v>
          </cell>
          <cell r="AQ1113">
            <v>0</v>
          </cell>
          <cell r="AV1113">
            <v>0</v>
          </cell>
        </row>
        <row r="1114">
          <cell r="E1114" t="str">
            <v>D24017664</v>
          </cell>
          <cell r="AP1114">
            <v>0</v>
          </cell>
          <cell r="AQ1114">
            <v>0</v>
          </cell>
          <cell r="AV1114">
            <v>0</v>
          </cell>
        </row>
        <row r="1115">
          <cell r="E1115" t="str">
            <v>D25017240</v>
          </cell>
          <cell r="AP1115">
            <v>0</v>
          </cell>
          <cell r="AQ1115">
            <v>0</v>
          </cell>
          <cell r="AV1115">
            <v>0</v>
          </cell>
        </row>
        <row r="1116">
          <cell r="E1116" t="str">
            <v>D25017241</v>
          </cell>
          <cell r="AP1116">
            <v>0</v>
          </cell>
          <cell r="AQ1116">
            <v>0</v>
          </cell>
          <cell r="AV1116">
            <v>0</v>
          </cell>
        </row>
        <row r="1117">
          <cell r="E1117" t="str">
            <v>D25017454</v>
          </cell>
          <cell r="AP1117">
            <v>0</v>
          </cell>
          <cell r="AQ1117">
            <v>0</v>
          </cell>
          <cell r="AV1117">
            <v>0</v>
          </cell>
        </row>
        <row r="1118">
          <cell r="E1118" t="str">
            <v>D25017458</v>
          </cell>
          <cell r="AP1118">
            <v>0</v>
          </cell>
          <cell r="AQ1118">
            <v>0</v>
          </cell>
          <cell r="AV1118">
            <v>0</v>
          </cell>
        </row>
        <row r="1119">
          <cell r="E1119" t="str">
            <v>T25001722</v>
          </cell>
          <cell r="AP1119">
            <v>0</v>
          </cell>
          <cell r="AQ1119">
            <v>0</v>
          </cell>
          <cell r="AV1119">
            <v>0</v>
          </cell>
        </row>
        <row r="1120">
          <cell r="E1120" t="str">
            <v>B25015276</v>
          </cell>
          <cell r="AP1120">
            <v>0</v>
          </cell>
          <cell r="AQ1120">
            <v>0</v>
          </cell>
          <cell r="AV1120">
            <v>0</v>
          </cell>
        </row>
        <row r="1121">
          <cell r="E1121" t="str">
            <v>B25015442</v>
          </cell>
          <cell r="AP1121">
            <v>0</v>
          </cell>
          <cell r="AQ1121">
            <v>0</v>
          </cell>
          <cell r="AV1121">
            <v>0</v>
          </cell>
        </row>
        <row r="1122">
          <cell r="E1122" t="str">
            <v>D25017959</v>
          </cell>
          <cell r="AP1122">
            <v>0</v>
          </cell>
          <cell r="AQ1122">
            <v>0</v>
          </cell>
          <cell r="AV1122">
            <v>0</v>
          </cell>
        </row>
        <row r="1123">
          <cell r="E1123" t="str">
            <v>D25018410</v>
          </cell>
          <cell r="AP1123">
            <v>0</v>
          </cell>
          <cell r="AQ1123">
            <v>0</v>
          </cell>
          <cell r="AV1123">
            <v>0</v>
          </cell>
        </row>
        <row r="1124">
          <cell r="E1124" t="str">
            <v>B25016093</v>
          </cell>
          <cell r="AP1124">
            <v>0</v>
          </cell>
          <cell r="AQ1124">
            <v>0</v>
          </cell>
          <cell r="AV1124">
            <v>0</v>
          </cell>
        </row>
        <row r="1125">
          <cell r="E1125" t="str">
            <v>D25018716</v>
          </cell>
          <cell r="AP1125">
            <v>0</v>
          </cell>
          <cell r="AQ1125">
            <v>0</v>
          </cell>
          <cell r="AV1125">
            <v>0</v>
          </cell>
        </row>
        <row r="1126">
          <cell r="E1126" t="str">
            <v>D25019055</v>
          </cell>
          <cell r="AP1126">
            <v>0</v>
          </cell>
          <cell r="AQ1126">
            <v>0</v>
          </cell>
          <cell r="AV1126">
            <v>0</v>
          </cell>
        </row>
        <row r="1127">
          <cell r="E1127" t="str">
            <v>B25016834</v>
          </cell>
          <cell r="AP1127">
            <v>0</v>
          </cell>
          <cell r="AQ1127">
            <v>0</v>
          </cell>
          <cell r="AV1127">
            <v>0</v>
          </cell>
        </row>
        <row r="1128">
          <cell r="E1128" t="str">
            <v>D25019534</v>
          </cell>
          <cell r="AP1128">
            <v>0</v>
          </cell>
          <cell r="AQ1128">
            <v>0</v>
          </cell>
          <cell r="AV1128">
            <v>0</v>
          </cell>
        </row>
        <row r="1129">
          <cell r="E1129" t="str">
            <v>D25019598</v>
          </cell>
          <cell r="AP1129">
            <v>0</v>
          </cell>
          <cell r="AQ1129">
            <v>0</v>
          </cell>
          <cell r="AV1129">
            <v>0</v>
          </cell>
        </row>
        <row r="1130">
          <cell r="E1130" t="str">
            <v>D25019599</v>
          </cell>
          <cell r="AP1130">
            <v>0</v>
          </cell>
          <cell r="AQ1130">
            <v>0</v>
          </cell>
          <cell r="AV1130">
            <v>0</v>
          </cell>
        </row>
        <row r="1131">
          <cell r="E1131" t="str">
            <v>D26000145</v>
          </cell>
          <cell r="AP1131">
            <v>0</v>
          </cell>
          <cell r="AQ1131">
            <v>0</v>
          </cell>
          <cell r="AV1131">
            <v>0</v>
          </cell>
        </row>
        <row r="1132">
          <cell r="E1132" t="str">
            <v>D26000152</v>
          </cell>
          <cell r="AP1132">
            <v>0</v>
          </cell>
          <cell r="AQ1132">
            <v>0</v>
          </cell>
          <cell r="AV1132">
            <v>0</v>
          </cell>
        </row>
        <row r="1133">
          <cell r="E1133" t="str">
            <v>D26000153</v>
          </cell>
          <cell r="AP1133">
            <v>0</v>
          </cell>
          <cell r="AQ1133">
            <v>0</v>
          </cell>
          <cell r="AV1133">
            <v>0</v>
          </cell>
        </row>
        <row r="1134">
          <cell r="E1134" t="str">
            <v>D26000154</v>
          </cell>
          <cell r="AP1134">
            <v>0</v>
          </cell>
          <cell r="AQ1134">
            <v>0</v>
          </cell>
          <cell r="AV1134">
            <v>0</v>
          </cell>
        </row>
        <row r="1135">
          <cell r="E1135" t="str">
            <v>D26000257</v>
          </cell>
          <cell r="AP1135">
            <v>0</v>
          </cell>
          <cell r="AQ1135">
            <v>0</v>
          </cell>
          <cell r="AV1135">
            <v>0</v>
          </cell>
        </row>
        <row r="1136">
          <cell r="E1136" t="str">
            <v>D26000590</v>
          </cell>
          <cell r="AP1136">
            <v>0</v>
          </cell>
          <cell r="AQ1136">
            <v>0</v>
          </cell>
          <cell r="AV1136">
            <v>0</v>
          </cell>
        </row>
        <row r="1137">
          <cell r="E1137" t="str">
            <v>B26000573</v>
          </cell>
          <cell r="AP1137">
            <v>0</v>
          </cell>
          <cell r="AQ1137">
            <v>0</v>
          </cell>
          <cell r="AV1137">
            <v>0</v>
          </cell>
        </row>
        <row r="1138">
          <cell r="E1138" t="str">
            <v>D26000830</v>
          </cell>
          <cell r="AP1138">
            <v>0</v>
          </cell>
          <cell r="AQ1138">
            <v>0</v>
          </cell>
          <cell r="AV1138">
            <v>0</v>
          </cell>
        </row>
        <row r="1139">
          <cell r="E1139" t="str">
            <v>B26000819</v>
          </cell>
          <cell r="AP1139">
            <v>0</v>
          </cell>
          <cell r="AQ1139">
            <v>0</v>
          </cell>
          <cell r="AV1139">
            <v>0</v>
          </cell>
        </row>
        <row r="1140">
          <cell r="E1140" t="str">
            <v>B26000881</v>
          </cell>
          <cell r="AP1140">
            <v>0</v>
          </cell>
          <cell r="AQ1140">
            <v>0</v>
          </cell>
          <cell r="AV1140">
            <v>0</v>
          </cell>
        </row>
        <row r="1141">
          <cell r="E1141" t="str">
            <v>D26000937</v>
          </cell>
          <cell r="AP1141">
            <v>0</v>
          </cell>
          <cell r="AQ1141">
            <v>0</v>
          </cell>
          <cell r="AV1141">
            <v>0</v>
          </cell>
        </row>
        <row r="1142">
          <cell r="E1142" t="str">
            <v>T26000065</v>
          </cell>
          <cell r="AP1142">
            <v>0</v>
          </cell>
          <cell r="AQ1142">
            <v>0</v>
          </cell>
          <cell r="AV1142">
            <v>0</v>
          </cell>
        </row>
        <row r="1143">
          <cell r="E1143" t="str">
            <v>D26001210</v>
          </cell>
          <cell r="AP1143">
            <v>0</v>
          </cell>
          <cell r="AQ1143">
            <v>0</v>
          </cell>
          <cell r="AV1143">
            <v>0</v>
          </cell>
        </row>
        <row r="1144">
          <cell r="E1144" t="str">
            <v>B26001129</v>
          </cell>
          <cell r="AP1144">
            <v>0</v>
          </cell>
          <cell r="AQ1144">
            <v>0</v>
          </cell>
          <cell r="AV1144">
            <v>0</v>
          </cell>
        </row>
        <row r="1145">
          <cell r="E1145" t="str">
            <v>D26001333</v>
          </cell>
          <cell r="AP1145">
            <v>0</v>
          </cell>
          <cell r="AQ1145">
            <v>0</v>
          </cell>
          <cell r="AV1145">
            <v>0</v>
          </cell>
        </row>
        <row r="1146">
          <cell r="E1146" t="str">
            <v>D26001437</v>
          </cell>
          <cell r="AP1146">
            <v>0</v>
          </cell>
          <cell r="AQ1146">
            <v>0</v>
          </cell>
          <cell r="AV1146">
            <v>0</v>
          </cell>
        </row>
        <row r="1147">
          <cell r="E1147" t="str">
            <v>D26001533</v>
          </cell>
          <cell r="AP1147">
            <v>0</v>
          </cell>
          <cell r="AQ1147">
            <v>0</v>
          </cell>
          <cell r="AV1147">
            <v>0</v>
          </cell>
        </row>
        <row r="1148">
          <cell r="E1148" t="str">
            <v>D26001534</v>
          </cell>
          <cell r="AP1148">
            <v>0</v>
          </cell>
          <cell r="AQ1148">
            <v>0</v>
          </cell>
          <cell r="AV1148">
            <v>0</v>
          </cell>
        </row>
        <row r="1149">
          <cell r="E1149" t="str">
            <v>B26001519</v>
          </cell>
          <cell r="AP1149">
            <v>0</v>
          </cell>
          <cell r="AQ1149">
            <v>0</v>
          </cell>
          <cell r="AV1149">
            <v>0</v>
          </cell>
        </row>
        <row r="1150">
          <cell r="E1150" t="str">
            <v>D26001636</v>
          </cell>
          <cell r="AP1150">
            <v>0</v>
          </cell>
          <cell r="AQ1150">
            <v>0</v>
          </cell>
          <cell r="AV1150">
            <v>0</v>
          </cell>
        </row>
        <row r="1151">
          <cell r="E1151" t="str">
            <v>T26000104</v>
          </cell>
          <cell r="AP1151">
            <v>0</v>
          </cell>
          <cell r="AQ1151">
            <v>0</v>
          </cell>
          <cell r="AV1151">
            <v>0</v>
          </cell>
        </row>
        <row r="1152">
          <cell r="E1152" t="str">
            <v>D26001752</v>
          </cell>
          <cell r="AP1152">
            <v>0</v>
          </cell>
          <cell r="AQ1152">
            <v>0</v>
          </cell>
          <cell r="AV1152">
            <v>0</v>
          </cell>
        </row>
        <row r="1153">
          <cell r="E1153" t="str">
            <v>D25018504</v>
          </cell>
          <cell r="AP1153">
            <v>0</v>
          </cell>
          <cell r="AQ1153">
            <v>0</v>
          </cell>
          <cell r="AV1153">
            <v>0</v>
          </cell>
        </row>
        <row r="1154">
          <cell r="E1154" t="str">
            <v>B26000800</v>
          </cell>
          <cell r="AP1154">
            <v>0</v>
          </cell>
          <cell r="AQ1154">
            <v>0</v>
          </cell>
          <cell r="AV1154">
            <v>0</v>
          </cell>
        </row>
        <row r="1155">
          <cell r="E1155" t="str">
            <v>D26001655</v>
          </cell>
          <cell r="AP1155">
            <v>0</v>
          </cell>
          <cell r="AQ1155">
            <v>0</v>
          </cell>
          <cell r="AV1155">
            <v>0</v>
          </cell>
        </row>
        <row r="1156">
          <cell r="E1156" t="str">
            <v>D26000219</v>
          </cell>
          <cell r="AP1156">
            <v>0</v>
          </cell>
          <cell r="AQ1156">
            <v>0</v>
          </cell>
          <cell r="AV1156">
            <v>0</v>
          </cell>
        </row>
        <row r="1157">
          <cell r="E1157" t="str">
            <v>B26001024</v>
          </cell>
          <cell r="AP1157">
            <v>0</v>
          </cell>
          <cell r="AQ1157">
            <v>0</v>
          </cell>
          <cell r="AV1157">
            <v>0</v>
          </cell>
        </row>
        <row r="1158">
          <cell r="E1158" t="str">
            <v>B26001367</v>
          </cell>
          <cell r="AP1158">
            <v>0</v>
          </cell>
          <cell r="AQ1158">
            <v>0</v>
          </cell>
          <cell r="AV1158">
            <v>0</v>
          </cell>
        </row>
        <row r="1159">
          <cell r="E1159" t="str">
            <v>B26001368</v>
          </cell>
          <cell r="AP1159">
            <v>0</v>
          </cell>
          <cell r="AQ1159">
            <v>0</v>
          </cell>
          <cell r="AV1159">
            <v>0</v>
          </cell>
        </row>
        <row r="1160">
          <cell r="E1160" t="str">
            <v>B26001427</v>
          </cell>
          <cell r="AP1160">
            <v>0</v>
          </cell>
          <cell r="AQ1160">
            <v>0</v>
          </cell>
          <cell r="AV1160">
            <v>0</v>
          </cell>
        </row>
        <row r="1161">
          <cell r="E1161" t="str">
            <v>T26000063</v>
          </cell>
          <cell r="AP1161">
            <v>0</v>
          </cell>
          <cell r="AQ1161">
            <v>0</v>
          </cell>
          <cell r="AV1161">
            <v>0</v>
          </cell>
        </row>
        <row r="1162">
          <cell r="E1162" t="str">
            <v>Z25002724</v>
          </cell>
          <cell r="AP1162">
            <v>0</v>
          </cell>
          <cell r="AQ1162">
            <v>0</v>
          </cell>
          <cell r="AV1162">
            <v>0</v>
          </cell>
        </row>
        <row r="1163">
          <cell r="E1163" t="str">
            <v>D25017604</v>
          </cell>
          <cell r="AP1163">
            <v>0</v>
          </cell>
          <cell r="AQ1163">
            <v>0</v>
          </cell>
          <cell r="AV1163">
            <v>0</v>
          </cell>
        </row>
        <row r="1164">
          <cell r="E1164" t="str">
            <v>D25017676</v>
          </cell>
          <cell r="AP1164">
            <v>0</v>
          </cell>
          <cell r="AQ1164">
            <v>0</v>
          </cell>
          <cell r="AV1164">
            <v>0</v>
          </cell>
        </row>
        <row r="1165">
          <cell r="E1165" t="str">
            <v>D25017717</v>
          </cell>
          <cell r="AP1165">
            <v>0</v>
          </cell>
          <cell r="AQ1165">
            <v>0</v>
          </cell>
          <cell r="AV1165">
            <v>0</v>
          </cell>
        </row>
        <row r="1166">
          <cell r="E1166" t="str">
            <v>D25017753</v>
          </cell>
          <cell r="AP1166">
            <v>0</v>
          </cell>
          <cell r="AQ1166">
            <v>0</v>
          </cell>
          <cell r="AV1166">
            <v>0</v>
          </cell>
        </row>
        <row r="1167">
          <cell r="E1167" t="str">
            <v>D25017787</v>
          </cell>
          <cell r="AP1167">
            <v>0</v>
          </cell>
          <cell r="AQ1167">
            <v>0</v>
          </cell>
          <cell r="AV1167">
            <v>0</v>
          </cell>
        </row>
        <row r="1168">
          <cell r="E1168" t="str">
            <v>D25017817</v>
          </cell>
          <cell r="AP1168">
            <v>0</v>
          </cell>
          <cell r="AQ1168">
            <v>0</v>
          </cell>
          <cell r="AV1168">
            <v>0</v>
          </cell>
        </row>
        <row r="1169">
          <cell r="E1169" t="str">
            <v>D25017818</v>
          </cell>
          <cell r="AP1169">
            <v>0</v>
          </cell>
          <cell r="AQ1169">
            <v>0</v>
          </cell>
          <cell r="AV1169">
            <v>0</v>
          </cell>
        </row>
        <row r="1170">
          <cell r="E1170" t="str">
            <v>B25015360</v>
          </cell>
          <cell r="AP1170">
            <v>0</v>
          </cell>
          <cell r="AQ1170">
            <v>0</v>
          </cell>
          <cell r="AV1170">
            <v>0</v>
          </cell>
        </row>
        <row r="1171">
          <cell r="E1171" t="str">
            <v>B25015424</v>
          </cell>
          <cell r="AP1171">
            <v>0</v>
          </cell>
          <cell r="AQ1171">
            <v>0</v>
          </cell>
          <cell r="AV1171">
            <v>0</v>
          </cell>
        </row>
        <row r="1172">
          <cell r="E1172" t="str">
            <v>B25015436</v>
          </cell>
          <cell r="AP1172">
            <v>0</v>
          </cell>
          <cell r="AQ1172">
            <v>0</v>
          </cell>
          <cell r="AV1172">
            <v>0</v>
          </cell>
        </row>
        <row r="1173">
          <cell r="E1173" t="str">
            <v>D25017839</v>
          </cell>
          <cell r="AP1173">
            <v>0</v>
          </cell>
          <cell r="AQ1173">
            <v>0</v>
          </cell>
          <cell r="AV1173">
            <v>0</v>
          </cell>
        </row>
        <row r="1174">
          <cell r="E1174" t="str">
            <v>D25017985</v>
          </cell>
          <cell r="AP1174">
            <v>0</v>
          </cell>
          <cell r="AQ1174">
            <v>0</v>
          </cell>
          <cell r="AV1174">
            <v>0</v>
          </cell>
        </row>
        <row r="1175">
          <cell r="E1175" t="str">
            <v>B25015596</v>
          </cell>
          <cell r="AP1175">
            <v>0</v>
          </cell>
          <cell r="AQ1175">
            <v>0</v>
          </cell>
          <cell r="AV1175">
            <v>0</v>
          </cell>
        </row>
        <row r="1176">
          <cell r="E1176" t="str">
            <v>D25018121</v>
          </cell>
          <cell r="AP1176">
            <v>0</v>
          </cell>
          <cell r="AQ1176">
            <v>0</v>
          </cell>
          <cell r="AV1176">
            <v>0</v>
          </cell>
        </row>
        <row r="1177">
          <cell r="E1177" t="str">
            <v>D25018128</v>
          </cell>
          <cell r="AP1177">
            <v>0</v>
          </cell>
          <cell r="AQ1177">
            <v>0</v>
          </cell>
          <cell r="AV1177">
            <v>0</v>
          </cell>
        </row>
        <row r="1178">
          <cell r="E1178" t="str">
            <v>B25015983</v>
          </cell>
          <cell r="AP1178">
            <v>0</v>
          </cell>
          <cell r="AQ1178">
            <v>0</v>
          </cell>
          <cell r="AV1178">
            <v>0</v>
          </cell>
        </row>
        <row r="1179">
          <cell r="E1179" t="str">
            <v>D25018460</v>
          </cell>
          <cell r="AP1179">
            <v>0</v>
          </cell>
          <cell r="AQ1179">
            <v>0</v>
          </cell>
          <cell r="AV1179">
            <v>0</v>
          </cell>
        </row>
        <row r="1180">
          <cell r="E1180" t="str">
            <v>D25018475</v>
          </cell>
          <cell r="AP1180">
            <v>0</v>
          </cell>
          <cell r="AQ1180">
            <v>0</v>
          </cell>
          <cell r="AV1180">
            <v>0</v>
          </cell>
        </row>
        <row r="1181">
          <cell r="E1181" t="str">
            <v>D25018537</v>
          </cell>
          <cell r="AP1181">
            <v>0</v>
          </cell>
          <cell r="AQ1181">
            <v>0</v>
          </cell>
          <cell r="AV1181">
            <v>0</v>
          </cell>
        </row>
        <row r="1182">
          <cell r="E1182" t="str">
            <v>D25018561</v>
          </cell>
          <cell r="AP1182">
            <v>0</v>
          </cell>
          <cell r="AQ1182">
            <v>0</v>
          </cell>
          <cell r="AV1182">
            <v>0</v>
          </cell>
        </row>
        <row r="1183">
          <cell r="E1183" t="str">
            <v>B25016286</v>
          </cell>
          <cell r="AP1183">
            <v>0</v>
          </cell>
          <cell r="AQ1183">
            <v>0</v>
          </cell>
          <cell r="AV1183">
            <v>0</v>
          </cell>
        </row>
        <row r="1184">
          <cell r="E1184" t="str">
            <v>D25018733</v>
          </cell>
          <cell r="AP1184">
            <v>0</v>
          </cell>
          <cell r="AQ1184">
            <v>0</v>
          </cell>
          <cell r="AV1184">
            <v>0</v>
          </cell>
        </row>
        <row r="1185">
          <cell r="E1185" t="str">
            <v>D25018751</v>
          </cell>
          <cell r="AP1185">
            <v>0</v>
          </cell>
          <cell r="AQ1185">
            <v>0</v>
          </cell>
          <cell r="AV1185">
            <v>0</v>
          </cell>
        </row>
        <row r="1186">
          <cell r="E1186" t="str">
            <v>B25016434</v>
          </cell>
          <cell r="AP1186">
            <v>0</v>
          </cell>
          <cell r="AQ1186">
            <v>0</v>
          </cell>
          <cell r="AV1186">
            <v>0</v>
          </cell>
        </row>
        <row r="1187">
          <cell r="E1187" t="str">
            <v>B25016498</v>
          </cell>
          <cell r="AP1187">
            <v>0</v>
          </cell>
          <cell r="AQ1187">
            <v>0</v>
          </cell>
          <cell r="AV1187">
            <v>0</v>
          </cell>
        </row>
        <row r="1188">
          <cell r="E1188" t="str">
            <v>D25018991</v>
          </cell>
          <cell r="AP1188">
            <v>0</v>
          </cell>
          <cell r="AQ1188">
            <v>0</v>
          </cell>
          <cell r="AV1188">
            <v>0</v>
          </cell>
        </row>
        <row r="1189">
          <cell r="E1189" t="str">
            <v>B25016567</v>
          </cell>
          <cell r="AP1189">
            <v>0</v>
          </cell>
          <cell r="AQ1189">
            <v>0</v>
          </cell>
          <cell r="AV1189">
            <v>0</v>
          </cell>
        </row>
        <row r="1190">
          <cell r="E1190" t="str">
            <v>B25016636</v>
          </cell>
          <cell r="AP1190">
            <v>0</v>
          </cell>
          <cell r="AQ1190">
            <v>0</v>
          </cell>
          <cell r="AV1190">
            <v>0</v>
          </cell>
        </row>
        <row r="1191">
          <cell r="E1191" t="str">
            <v>B25016679</v>
          </cell>
          <cell r="AP1191">
            <v>0</v>
          </cell>
          <cell r="AQ1191">
            <v>0</v>
          </cell>
          <cell r="AV1191">
            <v>0</v>
          </cell>
        </row>
        <row r="1192">
          <cell r="E1192" t="str">
            <v>B25016681</v>
          </cell>
          <cell r="AP1192">
            <v>0</v>
          </cell>
          <cell r="AQ1192">
            <v>0</v>
          </cell>
          <cell r="AV1192">
            <v>0</v>
          </cell>
        </row>
        <row r="1193">
          <cell r="E1193" t="str">
            <v>B25016699</v>
          </cell>
          <cell r="AP1193">
            <v>0</v>
          </cell>
          <cell r="AQ1193">
            <v>0</v>
          </cell>
          <cell r="AV1193">
            <v>0</v>
          </cell>
        </row>
        <row r="1194">
          <cell r="E1194" t="str">
            <v>B25016741</v>
          </cell>
          <cell r="AP1194">
            <v>0</v>
          </cell>
          <cell r="AQ1194">
            <v>0</v>
          </cell>
          <cell r="AV1194">
            <v>0</v>
          </cell>
        </row>
        <row r="1195">
          <cell r="E1195" t="str">
            <v>B25016752</v>
          </cell>
          <cell r="AP1195">
            <v>0</v>
          </cell>
          <cell r="AQ1195">
            <v>0</v>
          </cell>
          <cell r="AV1195">
            <v>0</v>
          </cell>
        </row>
        <row r="1196">
          <cell r="E1196" t="str">
            <v>B25016905</v>
          </cell>
          <cell r="AP1196">
            <v>0</v>
          </cell>
          <cell r="AQ1196">
            <v>0</v>
          </cell>
          <cell r="AV1196">
            <v>0</v>
          </cell>
        </row>
        <row r="1197">
          <cell r="E1197" t="str">
            <v>D25019569</v>
          </cell>
          <cell r="AP1197">
            <v>0</v>
          </cell>
          <cell r="AQ1197">
            <v>0</v>
          </cell>
          <cell r="AV1197">
            <v>0</v>
          </cell>
        </row>
        <row r="1198">
          <cell r="E1198" t="str">
            <v>D25019570</v>
          </cell>
          <cell r="AP1198">
            <v>0</v>
          </cell>
          <cell r="AQ1198">
            <v>0</v>
          </cell>
          <cell r="AV1198">
            <v>0</v>
          </cell>
        </row>
        <row r="1199">
          <cell r="E1199" t="str">
            <v>B25017037</v>
          </cell>
          <cell r="AP1199">
            <v>0</v>
          </cell>
          <cell r="AQ1199">
            <v>0</v>
          </cell>
          <cell r="AV1199">
            <v>0</v>
          </cell>
        </row>
        <row r="1200">
          <cell r="E1200" t="str">
            <v>D25019649</v>
          </cell>
          <cell r="AP1200">
            <v>0</v>
          </cell>
          <cell r="AQ1200">
            <v>0</v>
          </cell>
          <cell r="AV1200">
            <v>0</v>
          </cell>
        </row>
        <row r="1201">
          <cell r="E1201" t="str">
            <v>D25019684</v>
          </cell>
          <cell r="AP1201">
            <v>0</v>
          </cell>
          <cell r="AQ1201">
            <v>0</v>
          </cell>
          <cell r="AV1201">
            <v>0</v>
          </cell>
        </row>
        <row r="1202">
          <cell r="E1202" t="str">
            <v>B26000039</v>
          </cell>
          <cell r="AP1202">
            <v>0</v>
          </cell>
          <cell r="AQ1202">
            <v>0</v>
          </cell>
          <cell r="AV1202">
            <v>0</v>
          </cell>
        </row>
        <row r="1203">
          <cell r="E1203" t="str">
            <v>D26000092</v>
          </cell>
          <cell r="AP1203">
            <v>0</v>
          </cell>
          <cell r="AQ1203">
            <v>0</v>
          </cell>
          <cell r="AV1203">
            <v>0</v>
          </cell>
        </row>
        <row r="1204">
          <cell r="E1204" t="str">
            <v>D26000167</v>
          </cell>
          <cell r="AP1204">
            <v>0</v>
          </cell>
          <cell r="AQ1204">
            <v>0</v>
          </cell>
          <cell r="AV1204">
            <v>0</v>
          </cell>
        </row>
        <row r="1205">
          <cell r="E1205" t="str">
            <v>D26000229</v>
          </cell>
          <cell r="AP1205">
            <v>0</v>
          </cell>
          <cell r="AQ1205">
            <v>0</v>
          </cell>
          <cell r="AV1205">
            <v>0</v>
          </cell>
        </row>
        <row r="1206">
          <cell r="E1206" t="str">
            <v>D26000230</v>
          </cell>
          <cell r="AP1206">
            <v>0</v>
          </cell>
          <cell r="AQ1206">
            <v>0</v>
          </cell>
          <cell r="AV1206">
            <v>0</v>
          </cell>
        </row>
        <row r="1207">
          <cell r="E1207" t="str">
            <v>B26000332</v>
          </cell>
          <cell r="AP1207">
            <v>0</v>
          </cell>
          <cell r="AQ1207">
            <v>0</v>
          </cell>
          <cell r="AV1207">
            <v>0</v>
          </cell>
        </row>
        <row r="1208">
          <cell r="E1208" t="str">
            <v>B26000365</v>
          </cell>
          <cell r="AP1208">
            <v>0</v>
          </cell>
          <cell r="AQ1208">
            <v>0</v>
          </cell>
          <cell r="AV1208">
            <v>0</v>
          </cell>
        </row>
        <row r="1209">
          <cell r="E1209" t="str">
            <v>B26000367</v>
          </cell>
          <cell r="AP1209">
            <v>0</v>
          </cell>
          <cell r="AQ1209">
            <v>0</v>
          </cell>
          <cell r="AV1209">
            <v>0</v>
          </cell>
        </row>
        <row r="1210">
          <cell r="E1210" t="str">
            <v>B26000374</v>
          </cell>
          <cell r="AP1210">
            <v>0</v>
          </cell>
          <cell r="AQ1210">
            <v>0</v>
          </cell>
          <cell r="AV1210">
            <v>0</v>
          </cell>
        </row>
        <row r="1211">
          <cell r="E1211" t="str">
            <v>B26000403</v>
          </cell>
          <cell r="AP1211">
            <v>0</v>
          </cell>
          <cell r="AQ1211">
            <v>0</v>
          </cell>
          <cell r="AV1211">
            <v>0</v>
          </cell>
        </row>
        <row r="1212">
          <cell r="E1212" t="str">
            <v>B26000404</v>
          </cell>
          <cell r="AP1212">
            <v>0</v>
          </cell>
          <cell r="AQ1212">
            <v>0</v>
          </cell>
          <cell r="AV1212">
            <v>0</v>
          </cell>
        </row>
        <row r="1213">
          <cell r="E1213" t="str">
            <v>B26000411</v>
          </cell>
          <cell r="AP1213">
            <v>0</v>
          </cell>
          <cell r="AQ1213">
            <v>0</v>
          </cell>
          <cell r="AV1213">
            <v>0</v>
          </cell>
        </row>
        <row r="1214">
          <cell r="E1214" t="str">
            <v>B26000412</v>
          </cell>
          <cell r="AP1214">
            <v>0</v>
          </cell>
          <cell r="AQ1214">
            <v>0</v>
          </cell>
          <cell r="AV1214">
            <v>0</v>
          </cell>
        </row>
        <row r="1215">
          <cell r="E1215" t="str">
            <v>B26000490</v>
          </cell>
          <cell r="AP1215">
            <v>0</v>
          </cell>
          <cell r="AQ1215">
            <v>0</v>
          </cell>
          <cell r="AV1215">
            <v>0</v>
          </cell>
        </row>
        <row r="1216">
          <cell r="E1216" t="str">
            <v>B26000588</v>
          </cell>
          <cell r="AP1216">
            <v>0</v>
          </cell>
          <cell r="AQ1216">
            <v>0</v>
          </cell>
          <cell r="AV1216">
            <v>0</v>
          </cell>
        </row>
        <row r="1217">
          <cell r="E1217" t="str">
            <v>D26000673</v>
          </cell>
          <cell r="AP1217">
            <v>0</v>
          </cell>
          <cell r="AQ1217">
            <v>0</v>
          </cell>
          <cell r="AV1217">
            <v>0</v>
          </cell>
        </row>
        <row r="1218">
          <cell r="E1218" t="str">
            <v>B26000683</v>
          </cell>
          <cell r="AP1218">
            <v>0</v>
          </cell>
          <cell r="AQ1218">
            <v>0</v>
          </cell>
          <cell r="AV1218">
            <v>0</v>
          </cell>
        </row>
        <row r="1219">
          <cell r="E1219" t="str">
            <v>B26000863</v>
          </cell>
          <cell r="AP1219">
            <v>0</v>
          </cell>
          <cell r="AQ1219">
            <v>0</v>
          </cell>
          <cell r="AV1219">
            <v>0</v>
          </cell>
        </row>
        <row r="1220">
          <cell r="E1220" t="str">
            <v>B26000864</v>
          </cell>
          <cell r="AP1220">
            <v>0</v>
          </cell>
          <cell r="AQ1220">
            <v>0</v>
          </cell>
          <cell r="AV1220">
            <v>0</v>
          </cell>
        </row>
        <row r="1221">
          <cell r="E1221" t="str">
            <v>D26001128</v>
          </cell>
          <cell r="AP1221">
            <v>0</v>
          </cell>
          <cell r="AQ1221">
            <v>0</v>
          </cell>
          <cell r="AV1221">
            <v>0</v>
          </cell>
        </row>
        <row r="1222">
          <cell r="E1222" t="str">
            <v>D26001139</v>
          </cell>
          <cell r="AP1222">
            <v>0</v>
          </cell>
          <cell r="AQ1222">
            <v>0</v>
          </cell>
          <cell r="AV1222">
            <v>0</v>
          </cell>
        </row>
        <row r="1223">
          <cell r="E1223" t="str">
            <v>B26001217</v>
          </cell>
          <cell r="AP1223">
            <v>0</v>
          </cell>
          <cell r="AQ1223">
            <v>0</v>
          </cell>
          <cell r="AV1223">
            <v>0</v>
          </cell>
        </row>
        <row r="1224">
          <cell r="E1224" t="str">
            <v>B26001244</v>
          </cell>
          <cell r="AP1224">
            <v>0</v>
          </cell>
          <cell r="AQ1224">
            <v>0</v>
          </cell>
          <cell r="AV1224">
            <v>0</v>
          </cell>
        </row>
        <row r="1225">
          <cell r="E1225" t="str">
            <v>B26001290</v>
          </cell>
          <cell r="AP1225">
            <v>0</v>
          </cell>
          <cell r="AQ1225">
            <v>0</v>
          </cell>
          <cell r="AV1225">
            <v>0</v>
          </cell>
        </row>
        <row r="1226">
          <cell r="E1226" t="str">
            <v>B26001399</v>
          </cell>
          <cell r="AP1226">
            <v>0</v>
          </cell>
          <cell r="AQ1226">
            <v>0</v>
          </cell>
          <cell r="AV1226">
            <v>0</v>
          </cell>
        </row>
        <row r="1227">
          <cell r="E1227" t="str">
            <v>D26001433</v>
          </cell>
          <cell r="AP1227">
            <v>0</v>
          </cell>
          <cell r="AQ1227">
            <v>0</v>
          </cell>
          <cell r="AV1227">
            <v>0</v>
          </cell>
        </row>
        <row r="1228">
          <cell r="E1228" t="str">
            <v>D26001490</v>
          </cell>
          <cell r="AP1228">
            <v>0</v>
          </cell>
          <cell r="AQ1228">
            <v>0</v>
          </cell>
          <cell r="AV1228">
            <v>0</v>
          </cell>
        </row>
        <row r="1229">
          <cell r="E1229" t="str">
            <v>B26001483</v>
          </cell>
          <cell r="AP1229">
            <v>0</v>
          </cell>
          <cell r="AQ1229">
            <v>0</v>
          </cell>
          <cell r="AV1229">
            <v>0</v>
          </cell>
        </row>
        <row r="1230">
          <cell r="E1230" t="str">
            <v>B26001553</v>
          </cell>
          <cell r="AP1230">
            <v>0</v>
          </cell>
          <cell r="AQ1230">
            <v>0</v>
          </cell>
          <cell r="AV1230">
            <v>0</v>
          </cell>
        </row>
        <row r="1231">
          <cell r="E1231" t="str">
            <v>B26001554</v>
          </cell>
          <cell r="AP1231">
            <v>0</v>
          </cell>
          <cell r="AQ1231">
            <v>0</v>
          </cell>
          <cell r="AV1231">
            <v>0</v>
          </cell>
        </row>
        <row r="1232">
          <cell r="E1232" t="str">
            <v>B25015690</v>
          </cell>
          <cell r="AP1232">
            <v>0</v>
          </cell>
          <cell r="AQ1232">
            <v>0</v>
          </cell>
          <cell r="AV1232">
            <v>0</v>
          </cell>
        </row>
        <row r="1233">
          <cell r="E1233" t="str">
            <v>D26000913</v>
          </cell>
          <cell r="AP1233">
            <v>0</v>
          </cell>
          <cell r="AQ1233">
            <v>0</v>
          </cell>
          <cell r="AV1233">
            <v>0</v>
          </cell>
        </row>
        <row r="1234">
          <cell r="E1234" t="str">
            <v>T26000060</v>
          </cell>
          <cell r="AP1234">
            <v>0</v>
          </cell>
          <cell r="AQ1234">
            <v>0</v>
          </cell>
          <cell r="AV1234">
            <v>0</v>
          </cell>
        </row>
        <row r="1235">
          <cell r="E1235" t="str">
            <v>T26000061</v>
          </cell>
          <cell r="AP1235">
            <v>0</v>
          </cell>
          <cell r="AQ1235">
            <v>0</v>
          </cell>
          <cell r="AV1235">
            <v>0</v>
          </cell>
        </row>
        <row r="1236">
          <cell r="E1236" t="str">
            <v>T26000062</v>
          </cell>
          <cell r="AP1236">
            <v>0</v>
          </cell>
          <cell r="AQ1236">
            <v>0</v>
          </cell>
          <cell r="AV1236">
            <v>0</v>
          </cell>
        </row>
        <row r="1237">
          <cell r="E1237" t="str">
            <v>D26001682</v>
          </cell>
          <cell r="AP1237">
            <v>0</v>
          </cell>
          <cell r="AQ1237">
            <v>0</v>
          </cell>
          <cell r="AV1237">
            <v>0</v>
          </cell>
        </row>
        <row r="1238">
          <cell r="E1238" t="str">
            <v>C25001129</v>
          </cell>
          <cell r="AP1238">
            <v>0</v>
          </cell>
          <cell r="AQ1238">
            <v>0</v>
          </cell>
          <cell r="AV1238">
            <v>0</v>
          </cell>
        </row>
        <row r="1239">
          <cell r="E1239" t="str">
            <v>D25019225</v>
          </cell>
          <cell r="AP1239">
            <v>0</v>
          </cell>
          <cell r="AQ1239">
            <v>0</v>
          </cell>
          <cell r="AV1239">
            <v>0</v>
          </cell>
        </row>
        <row r="1240">
          <cell r="E1240" t="str">
            <v>B26000054</v>
          </cell>
          <cell r="AP1240">
            <v>0</v>
          </cell>
          <cell r="AQ1240">
            <v>0</v>
          </cell>
          <cell r="AV1240">
            <v>0</v>
          </cell>
        </row>
        <row r="1241">
          <cell r="E1241" t="str">
            <v>B25014145</v>
          </cell>
          <cell r="AP1241">
            <v>0</v>
          </cell>
          <cell r="AQ1241">
            <v>0</v>
          </cell>
          <cell r="AV1241">
            <v>0</v>
          </cell>
        </row>
        <row r="1242">
          <cell r="E1242" t="str">
            <v>B25014223</v>
          </cell>
          <cell r="AP1242">
            <v>0</v>
          </cell>
          <cell r="AQ1242">
            <v>0</v>
          </cell>
          <cell r="AV1242">
            <v>0</v>
          </cell>
        </row>
        <row r="1243">
          <cell r="E1243" t="str">
            <v>T25001636</v>
          </cell>
          <cell r="AP1243">
            <v>0</v>
          </cell>
          <cell r="AQ1243">
            <v>0</v>
          </cell>
          <cell r="AV1243">
            <v>0</v>
          </cell>
        </row>
        <row r="1244">
          <cell r="E1244" t="str">
            <v>Z25002935</v>
          </cell>
          <cell r="AP1244">
            <v>0</v>
          </cell>
          <cell r="AQ1244">
            <v>0</v>
          </cell>
          <cell r="AV1244">
            <v>0</v>
          </cell>
        </row>
        <row r="1245">
          <cell r="E1245" t="str">
            <v>B25015058</v>
          </cell>
          <cell r="AP1245">
            <v>0</v>
          </cell>
          <cell r="AQ1245">
            <v>0</v>
          </cell>
          <cell r="AV1245">
            <v>0</v>
          </cell>
        </row>
        <row r="1246">
          <cell r="E1246" t="str">
            <v>Z25002997</v>
          </cell>
          <cell r="AP1246">
            <v>0</v>
          </cell>
          <cell r="AQ1246">
            <v>0</v>
          </cell>
          <cell r="AV1246">
            <v>0</v>
          </cell>
        </row>
        <row r="1247">
          <cell r="E1247" t="str">
            <v>D25017624</v>
          </cell>
          <cell r="AP1247">
            <v>0</v>
          </cell>
          <cell r="AQ1247">
            <v>0</v>
          </cell>
          <cell r="AV1247">
            <v>0</v>
          </cell>
        </row>
        <row r="1248">
          <cell r="E1248" t="str">
            <v>D25017734</v>
          </cell>
          <cell r="AP1248">
            <v>0</v>
          </cell>
          <cell r="AQ1248">
            <v>0</v>
          </cell>
          <cell r="AV1248">
            <v>0</v>
          </cell>
        </row>
        <row r="1249">
          <cell r="E1249" t="str">
            <v>Z25003042</v>
          </cell>
          <cell r="AP1249">
            <v>0</v>
          </cell>
          <cell r="AQ1249">
            <v>0</v>
          </cell>
          <cell r="AV1249">
            <v>0</v>
          </cell>
        </row>
        <row r="1250">
          <cell r="E1250" t="str">
            <v>Z25003049</v>
          </cell>
          <cell r="AP1250">
            <v>0</v>
          </cell>
          <cell r="AQ1250">
            <v>0</v>
          </cell>
          <cell r="AV1250">
            <v>0</v>
          </cell>
        </row>
        <row r="1251">
          <cell r="E1251" t="str">
            <v>B25015411</v>
          </cell>
          <cell r="AP1251">
            <v>0</v>
          </cell>
          <cell r="AQ1251">
            <v>0</v>
          </cell>
          <cell r="AV1251">
            <v>0</v>
          </cell>
        </row>
        <row r="1252">
          <cell r="E1252" t="str">
            <v>B25015419</v>
          </cell>
          <cell r="AP1252">
            <v>0</v>
          </cell>
          <cell r="AQ1252">
            <v>0</v>
          </cell>
          <cell r="AV1252">
            <v>0</v>
          </cell>
        </row>
        <row r="1253">
          <cell r="E1253" t="str">
            <v>B25015420</v>
          </cell>
          <cell r="AP1253">
            <v>0</v>
          </cell>
          <cell r="AQ1253">
            <v>0</v>
          </cell>
          <cell r="AV1253">
            <v>0</v>
          </cell>
        </row>
        <row r="1254">
          <cell r="E1254" t="str">
            <v>B25015650</v>
          </cell>
          <cell r="AP1254">
            <v>0</v>
          </cell>
          <cell r="AQ1254">
            <v>0</v>
          </cell>
          <cell r="AV1254">
            <v>0</v>
          </cell>
        </row>
        <row r="1255">
          <cell r="E1255" t="str">
            <v>Z25003073</v>
          </cell>
          <cell r="AP1255">
            <v>0</v>
          </cell>
          <cell r="AQ1255">
            <v>0</v>
          </cell>
          <cell r="AV1255">
            <v>0</v>
          </cell>
        </row>
        <row r="1256">
          <cell r="E1256" t="str">
            <v>B25015679</v>
          </cell>
          <cell r="AP1256">
            <v>0</v>
          </cell>
          <cell r="AQ1256">
            <v>0</v>
          </cell>
          <cell r="AV1256">
            <v>0</v>
          </cell>
        </row>
        <row r="1257">
          <cell r="E1257" t="str">
            <v>B25015722</v>
          </cell>
          <cell r="AP1257">
            <v>0</v>
          </cell>
          <cell r="AQ1257">
            <v>0</v>
          </cell>
          <cell r="AV1257">
            <v>0</v>
          </cell>
        </row>
        <row r="1258">
          <cell r="E1258" t="str">
            <v>B25015726</v>
          </cell>
          <cell r="AP1258">
            <v>0</v>
          </cell>
          <cell r="AQ1258">
            <v>0</v>
          </cell>
          <cell r="AV1258">
            <v>0</v>
          </cell>
        </row>
        <row r="1259">
          <cell r="E1259" t="str">
            <v>Z25003099</v>
          </cell>
          <cell r="AP1259">
            <v>0</v>
          </cell>
          <cell r="AQ1259">
            <v>0</v>
          </cell>
          <cell r="AV1259">
            <v>0</v>
          </cell>
        </row>
        <row r="1260">
          <cell r="E1260" t="str">
            <v>B25015823</v>
          </cell>
          <cell r="AP1260">
            <v>0</v>
          </cell>
          <cell r="AQ1260">
            <v>0</v>
          </cell>
          <cell r="AV1260">
            <v>0</v>
          </cell>
        </row>
        <row r="1261">
          <cell r="E1261" t="str">
            <v>D25018213</v>
          </cell>
          <cell r="AP1261">
            <v>0</v>
          </cell>
          <cell r="AQ1261">
            <v>0</v>
          </cell>
          <cell r="AV1261">
            <v>0</v>
          </cell>
        </row>
        <row r="1262">
          <cell r="E1262" t="str">
            <v>D25018256</v>
          </cell>
          <cell r="AP1262">
            <v>0</v>
          </cell>
          <cell r="AQ1262">
            <v>0</v>
          </cell>
          <cell r="AV1262">
            <v>0</v>
          </cell>
        </row>
        <row r="1263">
          <cell r="E1263" t="str">
            <v>B25015907</v>
          </cell>
          <cell r="AP1263">
            <v>0</v>
          </cell>
          <cell r="AQ1263">
            <v>0</v>
          </cell>
          <cell r="AV1263">
            <v>0</v>
          </cell>
        </row>
        <row r="1264">
          <cell r="E1264" t="str">
            <v>B25016015</v>
          </cell>
          <cell r="AP1264">
            <v>0</v>
          </cell>
          <cell r="AQ1264">
            <v>0</v>
          </cell>
          <cell r="AV1264">
            <v>0</v>
          </cell>
        </row>
        <row r="1265">
          <cell r="E1265" t="str">
            <v>Z25003163</v>
          </cell>
          <cell r="AP1265">
            <v>0</v>
          </cell>
          <cell r="AQ1265">
            <v>0</v>
          </cell>
          <cell r="AV1265">
            <v>0</v>
          </cell>
        </row>
        <row r="1266">
          <cell r="E1266" t="str">
            <v>Z25003166</v>
          </cell>
          <cell r="AP1266">
            <v>0</v>
          </cell>
          <cell r="AQ1266">
            <v>0</v>
          </cell>
          <cell r="AV1266">
            <v>0</v>
          </cell>
        </row>
        <row r="1267">
          <cell r="E1267" t="str">
            <v>Z25003169</v>
          </cell>
          <cell r="AP1267">
            <v>0</v>
          </cell>
          <cell r="AQ1267">
            <v>0</v>
          </cell>
          <cell r="AV1267">
            <v>0</v>
          </cell>
        </row>
        <row r="1268">
          <cell r="E1268" t="str">
            <v>B25016175</v>
          </cell>
          <cell r="AP1268">
            <v>0</v>
          </cell>
          <cell r="AQ1268">
            <v>0</v>
          </cell>
          <cell r="AV1268">
            <v>0</v>
          </cell>
        </row>
        <row r="1269">
          <cell r="E1269" t="str">
            <v>B25016271</v>
          </cell>
          <cell r="AP1269">
            <v>0</v>
          </cell>
          <cell r="AQ1269">
            <v>0</v>
          </cell>
          <cell r="AV1269">
            <v>0</v>
          </cell>
        </row>
        <row r="1270">
          <cell r="E1270" t="str">
            <v>D25018881</v>
          </cell>
          <cell r="AP1270">
            <v>0</v>
          </cell>
          <cell r="AQ1270">
            <v>0</v>
          </cell>
          <cell r="AV1270">
            <v>0</v>
          </cell>
        </row>
        <row r="1271">
          <cell r="E1271" t="str">
            <v>D25018971</v>
          </cell>
          <cell r="AP1271">
            <v>0</v>
          </cell>
          <cell r="AQ1271">
            <v>0</v>
          </cell>
          <cell r="AV1271">
            <v>0</v>
          </cell>
        </row>
        <row r="1272">
          <cell r="E1272" t="str">
            <v>Z25003294</v>
          </cell>
          <cell r="AP1272">
            <v>0</v>
          </cell>
          <cell r="AQ1272">
            <v>0</v>
          </cell>
          <cell r="AV1272">
            <v>0</v>
          </cell>
        </row>
        <row r="1273">
          <cell r="E1273" t="str">
            <v>B25016697</v>
          </cell>
          <cell r="AP1273">
            <v>0</v>
          </cell>
          <cell r="AQ1273">
            <v>0</v>
          </cell>
          <cell r="AV1273">
            <v>0</v>
          </cell>
        </row>
        <row r="1274">
          <cell r="E1274" t="str">
            <v>Z25003321</v>
          </cell>
          <cell r="AP1274">
            <v>0</v>
          </cell>
          <cell r="AQ1274">
            <v>0</v>
          </cell>
          <cell r="AV1274">
            <v>0</v>
          </cell>
        </row>
        <row r="1275">
          <cell r="E1275" t="str">
            <v>D25019448</v>
          </cell>
          <cell r="AP1275">
            <v>0</v>
          </cell>
          <cell r="AQ1275">
            <v>0</v>
          </cell>
          <cell r="AV1275">
            <v>0</v>
          </cell>
        </row>
        <row r="1276">
          <cell r="E1276" t="str">
            <v>D25019496</v>
          </cell>
          <cell r="AP1276">
            <v>0</v>
          </cell>
          <cell r="AQ1276">
            <v>0</v>
          </cell>
          <cell r="AV1276">
            <v>0</v>
          </cell>
        </row>
        <row r="1277">
          <cell r="E1277" t="str">
            <v>D25019504</v>
          </cell>
          <cell r="AP1277">
            <v>0</v>
          </cell>
          <cell r="AQ1277">
            <v>0</v>
          </cell>
          <cell r="AV1277">
            <v>0</v>
          </cell>
        </row>
        <row r="1278">
          <cell r="E1278" t="str">
            <v>Z25003354</v>
          </cell>
          <cell r="AP1278">
            <v>0</v>
          </cell>
          <cell r="AQ1278">
            <v>0</v>
          </cell>
          <cell r="AV1278">
            <v>0</v>
          </cell>
        </row>
        <row r="1279">
          <cell r="E1279" t="str">
            <v>B25017019</v>
          </cell>
          <cell r="AP1279">
            <v>0</v>
          </cell>
          <cell r="AQ1279">
            <v>0</v>
          </cell>
          <cell r="AV1279">
            <v>0</v>
          </cell>
        </row>
        <row r="1280">
          <cell r="E1280" t="str">
            <v>B25017026</v>
          </cell>
          <cell r="AP1280">
            <v>0</v>
          </cell>
          <cell r="AQ1280">
            <v>0</v>
          </cell>
          <cell r="AV1280">
            <v>0</v>
          </cell>
        </row>
        <row r="1281">
          <cell r="E1281" t="str">
            <v>Z25003356</v>
          </cell>
          <cell r="AP1281">
            <v>0</v>
          </cell>
          <cell r="AQ1281">
            <v>0</v>
          </cell>
          <cell r="AV1281">
            <v>0</v>
          </cell>
        </row>
        <row r="1282">
          <cell r="E1282" t="str">
            <v>D25019620</v>
          </cell>
          <cell r="AP1282">
            <v>0</v>
          </cell>
          <cell r="AQ1282">
            <v>0</v>
          </cell>
          <cell r="AV1282">
            <v>0</v>
          </cell>
        </row>
        <row r="1283">
          <cell r="E1283" t="str">
            <v>Z25003374</v>
          </cell>
          <cell r="AP1283">
            <v>0</v>
          </cell>
          <cell r="AQ1283">
            <v>0</v>
          </cell>
          <cell r="AV1283">
            <v>0</v>
          </cell>
        </row>
        <row r="1284">
          <cell r="E1284" t="str">
            <v>Z25003397</v>
          </cell>
          <cell r="AP1284">
            <v>0</v>
          </cell>
          <cell r="AQ1284">
            <v>0</v>
          </cell>
          <cell r="AV1284">
            <v>0</v>
          </cell>
        </row>
        <row r="1285">
          <cell r="E1285" t="str">
            <v>B26000429</v>
          </cell>
          <cell r="AP1285">
            <v>0</v>
          </cell>
          <cell r="AQ1285">
            <v>0</v>
          </cell>
          <cell r="AV1285">
            <v>0</v>
          </cell>
        </row>
        <row r="1286">
          <cell r="E1286" t="str">
            <v>D26000565</v>
          </cell>
          <cell r="AP1286">
            <v>0</v>
          </cell>
          <cell r="AQ1286">
            <v>0</v>
          </cell>
          <cell r="AV1286">
            <v>0</v>
          </cell>
        </row>
        <row r="1287">
          <cell r="E1287" t="str">
            <v>Z26000091</v>
          </cell>
          <cell r="AP1287">
            <v>0</v>
          </cell>
          <cell r="AQ1287">
            <v>0</v>
          </cell>
          <cell r="AV1287">
            <v>0</v>
          </cell>
        </row>
        <row r="1288">
          <cell r="E1288" t="str">
            <v>B26000651</v>
          </cell>
          <cell r="AP1288">
            <v>0</v>
          </cell>
          <cell r="AQ1288">
            <v>0</v>
          </cell>
          <cell r="AV1288">
            <v>0</v>
          </cell>
        </row>
        <row r="1289">
          <cell r="E1289" t="str">
            <v>D26000711</v>
          </cell>
          <cell r="AP1289">
            <v>0</v>
          </cell>
          <cell r="AQ1289">
            <v>0</v>
          </cell>
          <cell r="AV1289">
            <v>0</v>
          </cell>
        </row>
        <row r="1290">
          <cell r="E1290" t="str">
            <v>D26000775</v>
          </cell>
          <cell r="AP1290">
            <v>0</v>
          </cell>
          <cell r="AQ1290">
            <v>0</v>
          </cell>
          <cell r="AV1290">
            <v>0</v>
          </cell>
        </row>
        <row r="1291">
          <cell r="E1291" t="str">
            <v>D26000776</v>
          </cell>
          <cell r="AP1291">
            <v>0</v>
          </cell>
          <cell r="AQ1291">
            <v>0</v>
          </cell>
          <cell r="AV1291">
            <v>0</v>
          </cell>
        </row>
        <row r="1292">
          <cell r="E1292" t="str">
            <v>D26000887</v>
          </cell>
          <cell r="AP1292">
            <v>0</v>
          </cell>
          <cell r="AQ1292">
            <v>0</v>
          </cell>
          <cell r="AV1292">
            <v>0</v>
          </cell>
        </row>
        <row r="1293">
          <cell r="E1293" t="str">
            <v>D26001205</v>
          </cell>
          <cell r="AP1293">
            <v>0</v>
          </cell>
          <cell r="AQ1293">
            <v>0</v>
          </cell>
          <cell r="AV1293">
            <v>0</v>
          </cell>
        </row>
        <row r="1294">
          <cell r="E1294" t="str">
            <v>Z26000194</v>
          </cell>
          <cell r="AP1294">
            <v>0</v>
          </cell>
          <cell r="AQ1294">
            <v>0</v>
          </cell>
          <cell r="AV1294">
            <v>0</v>
          </cell>
        </row>
        <row r="1295">
          <cell r="E1295" t="str">
            <v>B26001567</v>
          </cell>
          <cell r="AP1295">
            <v>0</v>
          </cell>
          <cell r="AQ1295">
            <v>0</v>
          </cell>
          <cell r="AV1295">
            <v>0</v>
          </cell>
        </row>
        <row r="1296">
          <cell r="E1296" t="str">
            <v>B26001638</v>
          </cell>
          <cell r="AP1296">
            <v>0</v>
          </cell>
          <cell r="AQ1296">
            <v>0</v>
          </cell>
          <cell r="AV1296">
            <v>0</v>
          </cell>
        </row>
        <row r="1297">
          <cell r="E1297" t="str">
            <v>D26001751</v>
          </cell>
          <cell r="AP1297">
            <v>0</v>
          </cell>
          <cell r="AQ1297">
            <v>0</v>
          </cell>
          <cell r="AV1297">
            <v>0</v>
          </cell>
        </row>
        <row r="1298">
          <cell r="E1298" t="str">
            <v>B26001195</v>
          </cell>
          <cell r="AP1298">
            <v>0</v>
          </cell>
          <cell r="AQ1298">
            <v>0</v>
          </cell>
          <cell r="AV1298">
            <v>0</v>
          </cell>
        </row>
        <row r="1299">
          <cell r="E1299" t="str">
            <v>D26001628</v>
          </cell>
          <cell r="AP1299">
            <v>0</v>
          </cell>
          <cell r="AQ1299">
            <v>0</v>
          </cell>
          <cell r="AV1299">
            <v>0</v>
          </cell>
        </row>
        <row r="1300">
          <cell r="E1300" t="str">
            <v>B26000455</v>
          </cell>
          <cell r="AP1300">
            <v>0</v>
          </cell>
          <cell r="AQ1300">
            <v>0</v>
          </cell>
          <cell r="AV1300">
            <v>0</v>
          </cell>
        </row>
        <row r="1301">
          <cell r="E1301" t="str">
            <v>B26000658</v>
          </cell>
          <cell r="AP1301">
            <v>0</v>
          </cell>
          <cell r="AQ1301">
            <v>0</v>
          </cell>
          <cell r="AV1301">
            <v>0</v>
          </cell>
        </row>
        <row r="1302">
          <cell r="E1302" t="str">
            <v>D26000790</v>
          </cell>
          <cell r="AP1302">
            <v>0</v>
          </cell>
          <cell r="AQ1302">
            <v>0</v>
          </cell>
          <cell r="AV1302">
            <v>0</v>
          </cell>
        </row>
        <row r="1303">
          <cell r="E1303" t="str">
            <v>B26000754</v>
          </cell>
          <cell r="AP1303">
            <v>0</v>
          </cell>
          <cell r="AQ1303">
            <v>0</v>
          </cell>
          <cell r="AV1303">
            <v>0</v>
          </cell>
        </row>
        <row r="1304">
          <cell r="E1304" t="str">
            <v>D26000874</v>
          </cell>
          <cell r="AP1304">
            <v>0</v>
          </cell>
          <cell r="AQ1304">
            <v>0</v>
          </cell>
          <cell r="AV1304">
            <v>0</v>
          </cell>
        </row>
        <row r="1305">
          <cell r="E1305" t="str">
            <v>D26000875</v>
          </cell>
          <cell r="AP1305">
            <v>0</v>
          </cell>
          <cell r="AQ1305">
            <v>0</v>
          </cell>
          <cell r="AV1305">
            <v>0</v>
          </cell>
        </row>
        <row r="1306">
          <cell r="E1306" t="str">
            <v>D26001201</v>
          </cell>
          <cell r="AP1306">
            <v>0</v>
          </cell>
          <cell r="AQ1306">
            <v>0</v>
          </cell>
          <cell r="AV1306">
            <v>0</v>
          </cell>
        </row>
        <row r="1307">
          <cell r="E1307" t="str">
            <v>T25001609</v>
          </cell>
          <cell r="AP1307">
            <v>0</v>
          </cell>
          <cell r="AQ1307">
            <v>0</v>
          </cell>
          <cell r="AV1307">
            <v>0</v>
          </cell>
        </row>
        <row r="1308">
          <cell r="E1308" t="str">
            <v>B25015779</v>
          </cell>
          <cell r="AP1308">
            <v>0</v>
          </cell>
          <cell r="AQ1308">
            <v>0</v>
          </cell>
          <cell r="AV1308">
            <v>0</v>
          </cell>
        </row>
        <row r="1309">
          <cell r="E1309" t="str">
            <v>B25016451</v>
          </cell>
          <cell r="AP1309">
            <v>0</v>
          </cell>
          <cell r="AQ1309">
            <v>0</v>
          </cell>
          <cell r="AV1309">
            <v>0</v>
          </cell>
        </row>
        <row r="1310">
          <cell r="E1310" t="str">
            <v>B25016452</v>
          </cell>
          <cell r="AP1310">
            <v>0</v>
          </cell>
          <cell r="AQ1310">
            <v>0</v>
          </cell>
          <cell r="AV1310">
            <v>0</v>
          </cell>
        </row>
        <row r="1311">
          <cell r="E1311" t="str">
            <v>T25001859</v>
          </cell>
          <cell r="AP1311">
            <v>0</v>
          </cell>
          <cell r="AQ1311">
            <v>0</v>
          </cell>
          <cell r="AV1311">
            <v>0</v>
          </cell>
        </row>
        <row r="1312">
          <cell r="E1312" t="str">
            <v>B25016731</v>
          </cell>
          <cell r="AP1312">
            <v>0</v>
          </cell>
          <cell r="AQ1312">
            <v>0</v>
          </cell>
          <cell r="AV1312">
            <v>0</v>
          </cell>
        </row>
        <row r="1313">
          <cell r="E1313" t="str">
            <v>D25019246</v>
          </cell>
          <cell r="AP1313">
            <v>0</v>
          </cell>
          <cell r="AQ1313">
            <v>0</v>
          </cell>
          <cell r="AV1313">
            <v>0</v>
          </cell>
        </row>
        <row r="1314">
          <cell r="E1314" t="str">
            <v>B25016843</v>
          </cell>
          <cell r="AP1314">
            <v>0</v>
          </cell>
          <cell r="AQ1314">
            <v>0</v>
          </cell>
          <cell r="AV1314">
            <v>0</v>
          </cell>
        </row>
        <row r="1315">
          <cell r="E1315" t="str">
            <v>B26000238</v>
          </cell>
          <cell r="AP1315">
            <v>0</v>
          </cell>
          <cell r="AQ1315">
            <v>0</v>
          </cell>
          <cell r="AV1315">
            <v>0</v>
          </cell>
        </row>
        <row r="1316">
          <cell r="E1316" t="str">
            <v>B26000239</v>
          </cell>
          <cell r="AP1316">
            <v>0</v>
          </cell>
          <cell r="AQ1316">
            <v>0</v>
          </cell>
          <cell r="AV1316">
            <v>0</v>
          </cell>
        </row>
        <row r="1317">
          <cell r="E1317" t="str">
            <v>B26000240</v>
          </cell>
          <cell r="AP1317">
            <v>0</v>
          </cell>
          <cell r="AQ1317">
            <v>0</v>
          </cell>
          <cell r="AV1317">
            <v>0</v>
          </cell>
        </row>
        <row r="1318">
          <cell r="E1318" t="str">
            <v>B26000745</v>
          </cell>
          <cell r="AP1318">
            <v>0</v>
          </cell>
          <cell r="AQ1318">
            <v>0</v>
          </cell>
          <cell r="AV1318">
            <v>0</v>
          </cell>
        </row>
        <row r="1319">
          <cell r="E1319" t="str">
            <v>B26000746</v>
          </cell>
          <cell r="AP1319">
            <v>0</v>
          </cell>
          <cell r="AQ1319">
            <v>0</v>
          </cell>
          <cell r="AV1319">
            <v>0</v>
          </cell>
        </row>
        <row r="1320">
          <cell r="E1320" t="str">
            <v>D26001239</v>
          </cell>
          <cell r="AP1320">
            <v>0</v>
          </cell>
          <cell r="AQ1320">
            <v>0</v>
          </cell>
          <cell r="AV1320">
            <v>0</v>
          </cell>
        </row>
        <row r="1321">
          <cell r="E1321" t="str">
            <v>T26000083</v>
          </cell>
          <cell r="AP1321">
            <v>0</v>
          </cell>
          <cell r="AQ1321">
            <v>0</v>
          </cell>
          <cell r="AV1321">
            <v>0</v>
          </cell>
        </row>
        <row r="1322">
          <cell r="E1322" t="str">
            <v>D26001277</v>
          </cell>
          <cell r="AP1322">
            <v>0</v>
          </cell>
          <cell r="AQ1322">
            <v>0</v>
          </cell>
          <cell r="AV1322">
            <v>0</v>
          </cell>
        </row>
        <row r="1323">
          <cell r="E1323" t="str">
            <v>D26001287</v>
          </cell>
          <cell r="AP1323">
            <v>0</v>
          </cell>
          <cell r="AQ1323">
            <v>0</v>
          </cell>
          <cell r="AV1323">
            <v>0</v>
          </cell>
        </row>
        <row r="1324">
          <cell r="E1324" t="str">
            <v>B26001228</v>
          </cell>
          <cell r="AP1324">
            <v>0</v>
          </cell>
          <cell r="AQ1324">
            <v>0</v>
          </cell>
          <cell r="AV1324">
            <v>0</v>
          </cell>
        </row>
        <row r="1325">
          <cell r="E1325" t="str">
            <v>B26001248</v>
          </cell>
          <cell r="AP1325">
            <v>0</v>
          </cell>
          <cell r="AQ1325">
            <v>0</v>
          </cell>
          <cell r="AV1325">
            <v>0</v>
          </cell>
        </row>
        <row r="1326">
          <cell r="E1326" t="str">
            <v>B26001264</v>
          </cell>
          <cell r="AP1326">
            <v>0</v>
          </cell>
          <cell r="AQ1326">
            <v>0</v>
          </cell>
          <cell r="AV1326">
            <v>0</v>
          </cell>
        </row>
        <row r="1327">
          <cell r="E1327" t="str">
            <v>B26001275</v>
          </cell>
          <cell r="AP1327">
            <v>0</v>
          </cell>
          <cell r="AQ1327">
            <v>0</v>
          </cell>
          <cell r="AV1327">
            <v>0</v>
          </cell>
        </row>
        <row r="1328">
          <cell r="E1328" t="str">
            <v>B26001390</v>
          </cell>
          <cell r="AP1328">
            <v>0</v>
          </cell>
          <cell r="AQ1328">
            <v>0</v>
          </cell>
          <cell r="AV1328">
            <v>0</v>
          </cell>
        </row>
        <row r="1329">
          <cell r="E1329" t="str">
            <v>T26000025</v>
          </cell>
          <cell r="AP1329">
            <v>0</v>
          </cell>
          <cell r="AQ1329">
            <v>0</v>
          </cell>
          <cell r="AV1329">
            <v>0</v>
          </cell>
        </row>
        <row r="1330">
          <cell r="E1330" t="str">
            <v>D25019642</v>
          </cell>
          <cell r="AP1330">
            <v>0</v>
          </cell>
          <cell r="AQ1330">
            <v>0</v>
          </cell>
          <cell r="AV1330">
            <v>0</v>
          </cell>
        </row>
        <row r="1331">
          <cell r="E1331" t="str">
            <v>B26000274</v>
          </cell>
          <cell r="AP1331">
            <v>0</v>
          </cell>
          <cell r="AQ1331">
            <v>0</v>
          </cell>
          <cell r="AV1331">
            <v>0</v>
          </cell>
        </row>
        <row r="1332">
          <cell r="E1332" t="str">
            <v>D26001376</v>
          </cell>
          <cell r="AP1332">
            <v>0</v>
          </cell>
          <cell r="AQ1332">
            <v>0</v>
          </cell>
          <cell r="AV1332">
            <v>0</v>
          </cell>
        </row>
        <row r="1333">
          <cell r="E1333" t="str">
            <v>B26001440</v>
          </cell>
          <cell r="AP1333">
            <v>0</v>
          </cell>
          <cell r="AQ1333">
            <v>0</v>
          </cell>
          <cell r="AV1333">
            <v>0</v>
          </cell>
        </row>
        <row r="1334">
          <cell r="E1334" t="str">
            <v>D25017361</v>
          </cell>
          <cell r="AP1334">
            <v>0</v>
          </cell>
          <cell r="AQ1334">
            <v>0</v>
          </cell>
          <cell r="AV1334">
            <v>0</v>
          </cell>
        </row>
        <row r="1335">
          <cell r="E1335" t="str">
            <v>D26000757</v>
          </cell>
          <cell r="AP1335">
            <v>0</v>
          </cell>
          <cell r="AQ1335">
            <v>0</v>
          </cell>
          <cell r="AV1335">
            <v>0</v>
          </cell>
        </row>
        <row r="1336">
          <cell r="E1336" t="str">
            <v>D25019567</v>
          </cell>
          <cell r="AP1336">
            <v>0</v>
          </cell>
          <cell r="AQ1336">
            <v>0</v>
          </cell>
          <cell r="AV1336">
            <v>0</v>
          </cell>
        </row>
        <row r="1337">
          <cell r="E1337" t="str">
            <v>D25019568</v>
          </cell>
          <cell r="AP1337">
            <v>0</v>
          </cell>
          <cell r="AQ1337">
            <v>0</v>
          </cell>
          <cell r="AV1337">
            <v>0</v>
          </cell>
        </row>
        <row r="1338">
          <cell r="E1338" t="str">
            <v>D26000718</v>
          </cell>
          <cell r="AP1338">
            <v>0</v>
          </cell>
          <cell r="AQ1338">
            <v>0</v>
          </cell>
          <cell r="AV1338">
            <v>0</v>
          </cell>
        </row>
        <row r="1339">
          <cell r="E1339" t="str">
            <v>D26000744</v>
          </cell>
          <cell r="AP1339">
            <v>0</v>
          </cell>
          <cell r="AQ1339">
            <v>0</v>
          </cell>
          <cell r="AV1339">
            <v>0</v>
          </cell>
        </row>
        <row r="1340">
          <cell r="E1340" t="str">
            <v>D26000765</v>
          </cell>
          <cell r="AP1340">
            <v>0</v>
          </cell>
          <cell r="AQ1340">
            <v>0</v>
          </cell>
          <cell r="AV1340">
            <v>0</v>
          </cell>
        </row>
        <row r="1341">
          <cell r="E1341" t="str">
            <v>D26000806</v>
          </cell>
          <cell r="AP1341">
            <v>0</v>
          </cell>
          <cell r="AQ1341">
            <v>0</v>
          </cell>
          <cell r="AV1341">
            <v>0</v>
          </cell>
        </row>
        <row r="1342">
          <cell r="E1342" t="str">
            <v>D26000824</v>
          </cell>
          <cell r="AP1342">
            <v>0</v>
          </cell>
          <cell r="AQ1342">
            <v>0</v>
          </cell>
          <cell r="AV1342">
            <v>0</v>
          </cell>
        </row>
        <row r="1343">
          <cell r="E1343" t="str">
            <v>D26001212</v>
          </cell>
          <cell r="AP1343">
            <v>0</v>
          </cell>
          <cell r="AQ1343">
            <v>0</v>
          </cell>
          <cell r="AV1343">
            <v>0</v>
          </cell>
        </row>
        <row r="1344">
          <cell r="E1344" t="str">
            <v>D26001281</v>
          </cell>
          <cell r="AP1344">
            <v>0</v>
          </cell>
          <cell r="AQ1344">
            <v>0</v>
          </cell>
          <cell r="AV1344">
            <v>0</v>
          </cell>
        </row>
        <row r="1345">
          <cell r="E1345" t="str">
            <v>D25019385</v>
          </cell>
          <cell r="AP1345">
            <v>0</v>
          </cell>
          <cell r="AQ1345">
            <v>0</v>
          </cell>
          <cell r="AV1345">
            <v>0</v>
          </cell>
        </row>
        <row r="1346">
          <cell r="E1346" t="str">
            <v>D25016327</v>
          </cell>
          <cell r="AP1346">
            <v>0</v>
          </cell>
          <cell r="AQ1346">
            <v>0</v>
          </cell>
          <cell r="AV1346">
            <v>0</v>
          </cell>
        </row>
        <row r="1347">
          <cell r="E1347" t="str">
            <v>B26000179</v>
          </cell>
          <cell r="AP1347">
            <v>0</v>
          </cell>
          <cell r="AQ1347">
            <v>0</v>
          </cell>
          <cell r="AV1347">
            <v>0</v>
          </cell>
        </row>
        <row r="1348">
          <cell r="E1348" t="str">
            <v>D25018311</v>
          </cell>
          <cell r="AP1348">
            <v>0</v>
          </cell>
          <cell r="AQ1348">
            <v>0</v>
          </cell>
          <cell r="AV1348">
            <v>0</v>
          </cell>
        </row>
        <row r="1349">
          <cell r="E1349" t="str">
            <v>D26000223</v>
          </cell>
          <cell r="AP1349">
            <v>0</v>
          </cell>
          <cell r="AQ1349">
            <v>0</v>
          </cell>
          <cell r="AV1349">
            <v>0</v>
          </cell>
        </row>
        <row r="1350">
          <cell r="E1350" t="str">
            <v>D26000334</v>
          </cell>
          <cell r="AP1350">
            <v>0</v>
          </cell>
          <cell r="AQ1350">
            <v>0</v>
          </cell>
          <cell r="AV1350">
            <v>0</v>
          </cell>
        </row>
        <row r="1351">
          <cell r="E1351" t="str">
            <v>D26000336</v>
          </cell>
          <cell r="AP1351">
            <v>0</v>
          </cell>
          <cell r="AQ1351">
            <v>0</v>
          </cell>
          <cell r="AV1351">
            <v>0</v>
          </cell>
        </row>
        <row r="1352">
          <cell r="E1352" t="str">
            <v>D26000367</v>
          </cell>
          <cell r="AP1352">
            <v>0</v>
          </cell>
          <cell r="AQ1352">
            <v>0</v>
          </cell>
          <cell r="AV1352">
            <v>0</v>
          </cell>
        </row>
        <row r="1353">
          <cell r="E1353" t="str">
            <v>D26001177</v>
          </cell>
          <cell r="AP1353">
            <v>0</v>
          </cell>
          <cell r="AQ1353">
            <v>0</v>
          </cell>
          <cell r="AV1353">
            <v>0</v>
          </cell>
        </row>
        <row r="1354">
          <cell r="E1354" t="str">
            <v>D26001178</v>
          </cell>
          <cell r="AP1354">
            <v>0</v>
          </cell>
          <cell r="AQ1354">
            <v>0</v>
          </cell>
          <cell r="AV1354">
            <v>0</v>
          </cell>
        </row>
        <row r="1355">
          <cell r="E1355" t="str">
            <v>D26001197</v>
          </cell>
          <cell r="AP1355">
            <v>0</v>
          </cell>
          <cell r="AQ1355">
            <v>0</v>
          </cell>
          <cell r="AV1355">
            <v>0</v>
          </cell>
        </row>
        <row r="1356">
          <cell r="E1356" t="str">
            <v>B26001389</v>
          </cell>
          <cell r="AP1356">
            <v>0</v>
          </cell>
          <cell r="AQ1356">
            <v>0</v>
          </cell>
          <cell r="AV1356">
            <v>0</v>
          </cell>
        </row>
        <row r="1357">
          <cell r="E1357" t="str">
            <v>D25017318</v>
          </cell>
          <cell r="AP1357">
            <v>0</v>
          </cell>
          <cell r="AQ1357">
            <v>0</v>
          </cell>
          <cell r="AV1357">
            <v>0</v>
          </cell>
        </row>
        <row r="1358">
          <cell r="E1358" t="str">
            <v>B25015380</v>
          </cell>
          <cell r="AP1358">
            <v>0</v>
          </cell>
          <cell r="AQ1358">
            <v>0</v>
          </cell>
          <cell r="AV1358">
            <v>0</v>
          </cell>
        </row>
        <row r="1359">
          <cell r="E1359" t="str">
            <v>B25015502</v>
          </cell>
          <cell r="AP1359">
            <v>0</v>
          </cell>
          <cell r="AQ1359">
            <v>0</v>
          </cell>
          <cell r="AV1359">
            <v>0</v>
          </cell>
        </row>
        <row r="1360">
          <cell r="E1360" t="str">
            <v>D25018160</v>
          </cell>
          <cell r="AP1360">
            <v>0</v>
          </cell>
          <cell r="AQ1360">
            <v>0</v>
          </cell>
          <cell r="AV1360">
            <v>0</v>
          </cell>
        </row>
        <row r="1361">
          <cell r="E1361" t="str">
            <v>B25016063</v>
          </cell>
          <cell r="AP1361">
            <v>0</v>
          </cell>
          <cell r="AQ1361">
            <v>0</v>
          </cell>
          <cell r="AV1361">
            <v>0</v>
          </cell>
        </row>
        <row r="1362">
          <cell r="E1362" t="str">
            <v>B25016154</v>
          </cell>
          <cell r="AP1362">
            <v>0</v>
          </cell>
          <cell r="AQ1362">
            <v>0</v>
          </cell>
          <cell r="AV1362">
            <v>0</v>
          </cell>
        </row>
        <row r="1363">
          <cell r="E1363" t="str">
            <v>B25016418</v>
          </cell>
          <cell r="AP1363">
            <v>0</v>
          </cell>
          <cell r="AQ1363">
            <v>0</v>
          </cell>
          <cell r="AV1363">
            <v>0</v>
          </cell>
        </row>
        <row r="1364">
          <cell r="E1364" t="str">
            <v>B25016550</v>
          </cell>
          <cell r="AP1364">
            <v>0</v>
          </cell>
          <cell r="AQ1364">
            <v>0</v>
          </cell>
          <cell r="AV1364">
            <v>0</v>
          </cell>
        </row>
        <row r="1365">
          <cell r="E1365" t="str">
            <v>D25019411</v>
          </cell>
          <cell r="AP1365">
            <v>0</v>
          </cell>
          <cell r="AQ1365">
            <v>0</v>
          </cell>
          <cell r="AV1365">
            <v>0</v>
          </cell>
        </row>
        <row r="1366">
          <cell r="E1366" t="str">
            <v>B25017052</v>
          </cell>
          <cell r="AP1366">
            <v>0</v>
          </cell>
          <cell r="AQ1366">
            <v>0</v>
          </cell>
          <cell r="AV1366">
            <v>0</v>
          </cell>
        </row>
        <row r="1367">
          <cell r="E1367" t="str">
            <v>B26000047</v>
          </cell>
          <cell r="AP1367">
            <v>0</v>
          </cell>
          <cell r="AQ1367">
            <v>0</v>
          </cell>
          <cell r="AV1367">
            <v>0</v>
          </cell>
        </row>
        <row r="1368">
          <cell r="E1368" t="str">
            <v>B26000244</v>
          </cell>
          <cell r="AP1368">
            <v>0</v>
          </cell>
          <cell r="AQ1368">
            <v>0</v>
          </cell>
          <cell r="AV1368">
            <v>0</v>
          </cell>
        </row>
        <row r="1369">
          <cell r="E1369" t="str">
            <v>B26000324</v>
          </cell>
          <cell r="AP1369">
            <v>0</v>
          </cell>
          <cell r="AQ1369">
            <v>0</v>
          </cell>
          <cell r="AV1369">
            <v>0</v>
          </cell>
        </row>
        <row r="1370">
          <cell r="E1370" t="str">
            <v>B26000701</v>
          </cell>
          <cell r="AP1370">
            <v>0</v>
          </cell>
          <cell r="AQ1370">
            <v>0</v>
          </cell>
          <cell r="AV1370">
            <v>0</v>
          </cell>
        </row>
        <row r="1371">
          <cell r="E1371" t="str">
            <v>D26000758</v>
          </cell>
          <cell r="AP1371">
            <v>0</v>
          </cell>
          <cell r="AQ1371">
            <v>0</v>
          </cell>
          <cell r="AV1371">
            <v>0</v>
          </cell>
        </row>
        <row r="1372">
          <cell r="E1372" t="str">
            <v>B26001359</v>
          </cell>
          <cell r="AP1372">
            <v>0</v>
          </cell>
          <cell r="AQ1372">
            <v>0</v>
          </cell>
          <cell r="AV1372">
            <v>0</v>
          </cell>
        </row>
        <row r="1373">
          <cell r="E1373" t="str">
            <v>B26001578</v>
          </cell>
          <cell r="AP1373">
            <v>0</v>
          </cell>
          <cell r="AQ1373">
            <v>0</v>
          </cell>
          <cell r="AV1373">
            <v>0</v>
          </cell>
        </row>
        <row r="1374">
          <cell r="E1374" t="str">
            <v>B26001629</v>
          </cell>
          <cell r="AP1374">
            <v>0</v>
          </cell>
          <cell r="AQ1374">
            <v>0</v>
          </cell>
          <cell r="AV1374">
            <v>0</v>
          </cell>
        </row>
        <row r="1375">
          <cell r="E1375" t="str">
            <v>D26000861</v>
          </cell>
          <cell r="AP1375">
            <v>0</v>
          </cell>
          <cell r="AQ1375">
            <v>0</v>
          </cell>
          <cell r="AV1375">
            <v>0</v>
          </cell>
        </row>
        <row r="1376">
          <cell r="E1376" t="str">
            <v>D25016535</v>
          </cell>
          <cell r="AP1376">
            <v>0</v>
          </cell>
          <cell r="AQ1376">
            <v>0</v>
          </cell>
          <cell r="AV1376">
            <v>0</v>
          </cell>
        </row>
        <row r="1377">
          <cell r="E1377" t="str">
            <v>D25017076</v>
          </cell>
          <cell r="AP1377">
            <v>0</v>
          </cell>
          <cell r="AQ1377">
            <v>0</v>
          </cell>
          <cell r="AV1377">
            <v>0</v>
          </cell>
        </row>
        <row r="1378">
          <cell r="E1378" t="str">
            <v>B25014981</v>
          </cell>
          <cell r="AP1378">
            <v>0</v>
          </cell>
          <cell r="AQ1378">
            <v>0</v>
          </cell>
          <cell r="AV1378">
            <v>0</v>
          </cell>
        </row>
        <row r="1379">
          <cell r="E1379" t="str">
            <v>D25017295</v>
          </cell>
          <cell r="AP1379">
            <v>0</v>
          </cell>
          <cell r="AQ1379">
            <v>0</v>
          </cell>
          <cell r="AV1379">
            <v>0</v>
          </cell>
        </row>
        <row r="1380">
          <cell r="E1380" t="str">
            <v>B25016007</v>
          </cell>
          <cell r="AP1380">
            <v>0</v>
          </cell>
          <cell r="AQ1380">
            <v>0</v>
          </cell>
          <cell r="AV1380">
            <v>0</v>
          </cell>
        </row>
        <row r="1381">
          <cell r="E1381" t="str">
            <v>B25016087</v>
          </cell>
          <cell r="AP1381">
            <v>0</v>
          </cell>
          <cell r="AQ1381">
            <v>0</v>
          </cell>
          <cell r="AV1381">
            <v>0</v>
          </cell>
        </row>
        <row r="1382">
          <cell r="E1382" t="str">
            <v>B25016228</v>
          </cell>
          <cell r="AP1382">
            <v>0</v>
          </cell>
          <cell r="AQ1382">
            <v>0</v>
          </cell>
          <cell r="AV1382">
            <v>0</v>
          </cell>
        </row>
        <row r="1383">
          <cell r="E1383" t="str">
            <v>B25016798</v>
          </cell>
          <cell r="AP1383">
            <v>0</v>
          </cell>
          <cell r="AQ1383">
            <v>0</v>
          </cell>
          <cell r="AV1383">
            <v>0</v>
          </cell>
        </row>
        <row r="1384">
          <cell r="E1384" t="str">
            <v>B25016802</v>
          </cell>
          <cell r="AP1384">
            <v>0</v>
          </cell>
          <cell r="AQ1384">
            <v>0</v>
          </cell>
          <cell r="AV1384">
            <v>0</v>
          </cell>
        </row>
        <row r="1385">
          <cell r="E1385" t="str">
            <v>B25017093</v>
          </cell>
          <cell r="AP1385">
            <v>0</v>
          </cell>
          <cell r="AQ1385">
            <v>0</v>
          </cell>
          <cell r="AV1385">
            <v>0</v>
          </cell>
        </row>
        <row r="1386">
          <cell r="E1386" t="str">
            <v>D26000237</v>
          </cell>
          <cell r="AP1386">
            <v>0</v>
          </cell>
          <cell r="AQ1386">
            <v>0</v>
          </cell>
          <cell r="AV1386">
            <v>0</v>
          </cell>
        </row>
        <row r="1387">
          <cell r="E1387" t="str">
            <v>B26000783</v>
          </cell>
          <cell r="AP1387">
            <v>0</v>
          </cell>
          <cell r="AQ1387">
            <v>0</v>
          </cell>
          <cell r="AV1387">
            <v>0</v>
          </cell>
        </row>
        <row r="1388">
          <cell r="E1388" t="str">
            <v>B26001561</v>
          </cell>
          <cell r="AP1388">
            <v>0</v>
          </cell>
          <cell r="AQ1388">
            <v>0</v>
          </cell>
          <cell r="AV1388">
            <v>0</v>
          </cell>
        </row>
        <row r="1389">
          <cell r="E1389" t="str">
            <v>B25014225</v>
          </cell>
          <cell r="AP1389">
            <v>0</v>
          </cell>
          <cell r="AQ1389">
            <v>0</v>
          </cell>
          <cell r="AV1389">
            <v>0</v>
          </cell>
        </row>
        <row r="1390">
          <cell r="E1390" t="str">
            <v>B25014226</v>
          </cell>
          <cell r="AP1390">
            <v>0</v>
          </cell>
          <cell r="AQ1390">
            <v>0</v>
          </cell>
          <cell r="AV1390">
            <v>0</v>
          </cell>
        </row>
        <row r="1391">
          <cell r="E1391" t="str">
            <v>B25014517</v>
          </cell>
          <cell r="AP1391">
            <v>0</v>
          </cell>
          <cell r="AQ1391">
            <v>0</v>
          </cell>
          <cell r="AV1391">
            <v>0</v>
          </cell>
        </row>
        <row r="1392">
          <cell r="E1392" t="str">
            <v>D25017414</v>
          </cell>
          <cell r="AP1392">
            <v>0</v>
          </cell>
          <cell r="AQ1392">
            <v>0</v>
          </cell>
          <cell r="AV1392">
            <v>0</v>
          </cell>
        </row>
        <row r="1393">
          <cell r="E1393" t="str">
            <v>T25001720K</v>
          </cell>
          <cell r="AP1393">
            <v>0</v>
          </cell>
          <cell r="AQ1393">
            <v>0</v>
          </cell>
          <cell r="AV1393">
            <v>0</v>
          </cell>
        </row>
        <row r="1394">
          <cell r="E1394" t="str">
            <v>D25017650</v>
          </cell>
          <cell r="AP1394">
            <v>0</v>
          </cell>
          <cell r="AQ1394">
            <v>0</v>
          </cell>
          <cell r="AV1394">
            <v>0</v>
          </cell>
        </row>
        <row r="1395">
          <cell r="E1395" t="str">
            <v>B25015494</v>
          </cell>
          <cell r="AP1395">
            <v>0</v>
          </cell>
          <cell r="AQ1395">
            <v>0</v>
          </cell>
          <cell r="AV1395">
            <v>0</v>
          </cell>
        </row>
        <row r="1396">
          <cell r="E1396" t="str">
            <v>D25018030</v>
          </cell>
          <cell r="AP1396">
            <v>0</v>
          </cell>
          <cell r="AQ1396">
            <v>0</v>
          </cell>
          <cell r="AV1396">
            <v>0</v>
          </cell>
        </row>
        <row r="1397">
          <cell r="E1397" t="str">
            <v>D25018036</v>
          </cell>
          <cell r="AP1397">
            <v>0</v>
          </cell>
          <cell r="AQ1397">
            <v>0</v>
          </cell>
          <cell r="AV1397">
            <v>0</v>
          </cell>
        </row>
        <row r="1398">
          <cell r="E1398" t="str">
            <v>B25015871</v>
          </cell>
          <cell r="AP1398">
            <v>0</v>
          </cell>
          <cell r="AQ1398">
            <v>0</v>
          </cell>
          <cell r="AV1398">
            <v>0</v>
          </cell>
        </row>
        <row r="1399">
          <cell r="E1399" t="str">
            <v>B25015935</v>
          </cell>
          <cell r="AP1399">
            <v>0</v>
          </cell>
          <cell r="AQ1399">
            <v>0</v>
          </cell>
          <cell r="AV1399">
            <v>0</v>
          </cell>
        </row>
        <row r="1400">
          <cell r="E1400" t="str">
            <v>B25015936</v>
          </cell>
          <cell r="AP1400">
            <v>0</v>
          </cell>
          <cell r="AQ1400">
            <v>0</v>
          </cell>
          <cell r="AV1400">
            <v>0</v>
          </cell>
        </row>
        <row r="1401">
          <cell r="E1401" t="str">
            <v>B25016022</v>
          </cell>
          <cell r="AP1401">
            <v>0</v>
          </cell>
          <cell r="AQ1401">
            <v>0</v>
          </cell>
          <cell r="AV1401">
            <v>0</v>
          </cell>
        </row>
        <row r="1402">
          <cell r="E1402" t="str">
            <v>B25016035</v>
          </cell>
          <cell r="AP1402">
            <v>0</v>
          </cell>
          <cell r="AQ1402">
            <v>0</v>
          </cell>
          <cell r="AV1402">
            <v>0</v>
          </cell>
        </row>
        <row r="1403">
          <cell r="E1403" t="str">
            <v>D25018449</v>
          </cell>
          <cell r="AP1403">
            <v>0</v>
          </cell>
          <cell r="AQ1403">
            <v>0</v>
          </cell>
          <cell r="AV1403">
            <v>0</v>
          </cell>
        </row>
        <row r="1404">
          <cell r="E1404" t="str">
            <v>D25018452</v>
          </cell>
          <cell r="AP1404">
            <v>0</v>
          </cell>
          <cell r="AQ1404">
            <v>0</v>
          </cell>
          <cell r="AV1404">
            <v>0</v>
          </cell>
        </row>
        <row r="1405">
          <cell r="E1405" t="str">
            <v>D25018462</v>
          </cell>
          <cell r="AP1405">
            <v>0</v>
          </cell>
          <cell r="AQ1405">
            <v>0</v>
          </cell>
          <cell r="AV1405">
            <v>0</v>
          </cell>
        </row>
        <row r="1406">
          <cell r="E1406" t="str">
            <v>B25016099</v>
          </cell>
          <cell r="AP1406">
            <v>0</v>
          </cell>
          <cell r="AQ1406">
            <v>0</v>
          </cell>
          <cell r="AV1406">
            <v>0</v>
          </cell>
        </row>
        <row r="1407">
          <cell r="E1407" t="str">
            <v>D25018538</v>
          </cell>
          <cell r="AP1407">
            <v>0</v>
          </cell>
          <cell r="AQ1407">
            <v>0</v>
          </cell>
          <cell r="AV1407">
            <v>0</v>
          </cell>
        </row>
        <row r="1408">
          <cell r="E1408" t="str">
            <v>B25016381</v>
          </cell>
          <cell r="AP1408">
            <v>0</v>
          </cell>
          <cell r="AQ1408">
            <v>0</v>
          </cell>
          <cell r="AV1408">
            <v>0</v>
          </cell>
        </row>
        <row r="1409">
          <cell r="E1409" t="str">
            <v>D25018937</v>
          </cell>
          <cell r="AP1409">
            <v>0</v>
          </cell>
          <cell r="AQ1409">
            <v>0</v>
          </cell>
          <cell r="AV1409">
            <v>0</v>
          </cell>
        </row>
        <row r="1410">
          <cell r="E1410" t="str">
            <v>B25016507</v>
          </cell>
          <cell r="AP1410">
            <v>0</v>
          </cell>
          <cell r="AQ1410">
            <v>0</v>
          </cell>
          <cell r="AV1410">
            <v>0</v>
          </cell>
        </row>
        <row r="1411">
          <cell r="E1411" t="str">
            <v>B25016519</v>
          </cell>
          <cell r="AP1411">
            <v>0</v>
          </cell>
          <cell r="AQ1411">
            <v>0</v>
          </cell>
          <cell r="AV1411">
            <v>0</v>
          </cell>
        </row>
        <row r="1412">
          <cell r="E1412" t="str">
            <v>B25016585</v>
          </cell>
          <cell r="AP1412">
            <v>0</v>
          </cell>
          <cell r="AQ1412">
            <v>0</v>
          </cell>
          <cell r="AV1412">
            <v>0</v>
          </cell>
        </row>
        <row r="1413">
          <cell r="E1413" t="str">
            <v>B25016610</v>
          </cell>
          <cell r="AP1413">
            <v>0</v>
          </cell>
          <cell r="AQ1413">
            <v>0</v>
          </cell>
          <cell r="AV1413">
            <v>0</v>
          </cell>
        </row>
        <row r="1414">
          <cell r="E1414" t="str">
            <v>D25019152</v>
          </cell>
          <cell r="AP1414">
            <v>0</v>
          </cell>
          <cell r="AQ1414">
            <v>0</v>
          </cell>
          <cell r="AV1414">
            <v>0</v>
          </cell>
        </row>
        <row r="1415">
          <cell r="E1415" t="str">
            <v>B25016775</v>
          </cell>
          <cell r="AP1415">
            <v>0</v>
          </cell>
          <cell r="AQ1415">
            <v>0</v>
          </cell>
          <cell r="AV1415">
            <v>0</v>
          </cell>
        </row>
        <row r="1416">
          <cell r="E1416" t="str">
            <v>D25019315</v>
          </cell>
          <cell r="AP1416">
            <v>0</v>
          </cell>
          <cell r="AQ1416">
            <v>0</v>
          </cell>
          <cell r="AV1416">
            <v>0</v>
          </cell>
        </row>
        <row r="1417">
          <cell r="E1417" t="str">
            <v>D25019343</v>
          </cell>
          <cell r="AP1417">
            <v>0</v>
          </cell>
          <cell r="AQ1417">
            <v>0</v>
          </cell>
          <cell r="AV1417">
            <v>0</v>
          </cell>
        </row>
        <row r="1418">
          <cell r="E1418" t="str">
            <v>D25019376</v>
          </cell>
          <cell r="AP1418">
            <v>0</v>
          </cell>
          <cell r="AQ1418">
            <v>0</v>
          </cell>
          <cell r="AV1418">
            <v>0</v>
          </cell>
        </row>
        <row r="1419">
          <cell r="E1419" t="str">
            <v>D25019377</v>
          </cell>
          <cell r="AP1419">
            <v>0</v>
          </cell>
          <cell r="AQ1419">
            <v>0</v>
          </cell>
          <cell r="AV1419">
            <v>0</v>
          </cell>
        </row>
        <row r="1420">
          <cell r="E1420" t="str">
            <v>B25016973</v>
          </cell>
          <cell r="AP1420">
            <v>0</v>
          </cell>
          <cell r="AQ1420">
            <v>0</v>
          </cell>
          <cell r="AV1420">
            <v>0</v>
          </cell>
        </row>
        <row r="1421">
          <cell r="E1421" t="str">
            <v>B25016974</v>
          </cell>
          <cell r="AP1421">
            <v>0</v>
          </cell>
          <cell r="AQ1421">
            <v>0</v>
          </cell>
          <cell r="AV1421">
            <v>0</v>
          </cell>
        </row>
        <row r="1422">
          <cell r="E1422" t="str">
            <v>B25016975</v>
          </cell>
          <cell r="AP1422">
            <v>0</v>
          </cell>
          <cell r="AQ1422">
            <v>0</v>
          </cell>
          <cell r="AV1422">
            <v>0</v>
          </cell>
        </row>
        <row r="1423">
          <cell r="E1423" t="str">
            <v>B26000267</v>
          </cell>
          <cell r="AP1423">
            <v>0</v>
          </cell>
          <cell r="AQ1423">
            <v>0</v>
          </cell>
          <cell r="AV1423">
            <v>0</v>
          </cell>
        </row>
        <row r="1424">
          <cell r="E1424" t="str">
            <v>B26000268</v>
          </cell>
          <cell r="AP1424">
            <v>0</v>
          </cell>
          <cell r="AQ1424">
            <v>0</v>
          </cell>
          <cell r="AV1424">
            <v>0</v>
          </cell>
        </row>
        <row r="1425">
          <cell r="E1425" t="str">
            <v>B26000284</v>
          </cell>
          <cell r="AP1425">
            <v>0</v>
          </cell>
          <cell r="AQ1425">
            <v>0</v>
          </cell>
          <cell r="AV1425">
            <v>0</v>
          </cell>
        </row>
        <row r="1426">
          <cell r="E1426" t="str">
            <v>B26000323</v>
          </cell>
          <cell r="AP1426">
            <v>0</v>
          </cell>
          <cell r="AQ1426">
            <v>0</v>
          </cell>
          <cell r="AV1426">
            <v>0</v>
          </cell>
        </row>
        <row r="1427">
          <cell r="E1427" t="str">
            <v>D26000387</v>
          </cell>
          <cell r="AP1427">
            <v>0</v>
          </cell>
          <cell r="AQ1427">
            <v>0</v>
          </cell>
          <cell r="AV1427">
            <v>0</v>
          </cell>
        </row>
        <row r="1428">
          <cell r="E1428" t="str">
            <v>D26000391</v>
          </cell>
          <cell r="AP1428">
            <v>0</v>
          </cell>
          <cell r="AQ1428">
            <v>0</v>
          </cell>
          <cell r="AV1428">
            <v>0</v>
          </cell>
        </row>
        <row r="1429">
          <cell r="E1429" t="str">
            <v>B26000395</v>
          </cell>
          <cell r="AP1429">
            <v>0</v>
          </cell>
          <cell r="AQ1429">
            <v>0</v>
          </cell>
          <cell r="AV1429">
            <v>0</v>
          </cell>
        </row>
        <row r="1430">
          <cell r="E1430" t="str">
            <v>B26000666</v>
          </cell>
          <cell r="AP1430">
            <v>0</v>
          </cell>
          <cell r="AQ1430">
            <v>0</v>
          </cell>
          <cell r="AV1430">
            <v>0</v>
          </cell>
        </row>
        <row r="1431">
          <cell r="E1431" t="str">
            <v>D26000737</v>
          </cell>
          <cell r="AP1431">
            <v>0</v>
          </cell>
          <cell r="AQ1431">
            <v>0</v>
          </cell>
          <cell r="AV1431">
            <v>0</v>
          </cell>
        </row>
        <row r="1432">
          <cell r="E1432" t="str">
            <v>D26000873</v>
          </cell>
          <cell r="AP1432">
            <v>0</v>
          </cell>
          <cell r="AQ1432">
            <v>0</v>
          </cell>
          <cell r="AV1432">
            <v>0</v>
          </cell>
        </row>
        <row r="1433">
          <cell r="E1433" t="str">
            <v>D26000882</v>
          </cell>
          <cell r="AP1433">
            <v>0</v>
          </cell>
          <cell r="AQ1433">
            <v>0</v>
          </cell>
          <cell r="AV1433">
            <v>0</v>
          </cell>
        </row>
        <row r="1434">
          <cell r="E1434" t="str">
            <v>D26000884</v>
          </cell>
          <cell r="AP1434">
            <v>0</v>
          </cell>
          <cell r="AQ1434">
            <v>0</v>
          </cell>
          <cell r="AV1434">
            <v>0</v>
          </cell>
        </row>
        <row r="1435">
          <cell r="E1435" t="str">
            <v>B26000827</v>
          </cell>
          <cell r="AP1435">
            <v>0</v>
          </cell>
          <cell r="AQ1435">
            <v>0</v>
          </cell>
          <cell r="AV1435">
            <v>0</v>
          </cell>
        </row>
        <row r="1436">
          <cell r="E1436" t="str">
            <v>B26000831</v>
          </cell>
          <cell r="AP1436">
            <v>0</v>
          </cell>
          <cell r="AQ1436">
            <v>0</v>
          </cell>
          <cell r="AV1436">
            <v>0</v>
          </cell>
        </row>
        <row r="1437">
          <cell r="E1437" t="str">
            <v>B26000872</v>
          </cell>
          <cell r="AP1437">
            <v>0</v>
          </cell>
          <cell r="AQ1437">
            <v>0</v>
          </cell>
          <cell r="AV1437">
            <v>0</v>
          </cell>
        </row>
        <row r="1438">
          <cell r="E1438" t="str">
            <v>D26000914</v>
          </cell>
          <cell r="AP1438">
            <v>0</v>
          </cell>
          <cell r="AQ1438">
            <v>0</v>
          </cell>
          <cell r="AV1438">
            <v>0</v>
          </cell>
        </row>
        <row r="1439">
          <cell r="E1439" t="str">
            <v>B26000926</v>
          </cell>
          <cell r="AP1439">
            <v>0</v>
          </cell>
          <cell r="AQ1439">
            <v>0</v>
          </cell>
          <cell r="AV1439">
            <v>0</v>
          </cell>
        </row>
        <row r="1440">
          <cell r="E1440" t="str">
            <v>D26001016</v>
          </cell>
          <cell r="AP1440">
            <v>0</v>
          </cell>
          <cell r="AQ1440">
            <v>0</v>
          </cell>
          <cell r="AV1440">
            <v>0</v>
          </cell>
        </row>
        <row r="1441">
          <cell r="E1441" t="str">
            <v>B26001032</v>
          </cell>
          <cell r="AP1441">
            <v>0</v>
          </cell>
          <cell r="AQ1441">
            <v>0</v>
          </cell>
          <cell r="AV1441">
            <v>0</v>
          </cell>
        </row>
        <row r="1442">
          <cell r="E1442" t="str">
            <v>B26001033</v>
          </cell>
          <cell r="AP1442">
            <v>0</v>
          </cell>
          <cell r="AQ1442">
            <v>0</v>
          </cell>
          <cell r="AV1442">
            <v>0</v>
          </cell>
        </row>
        <row r="1443">
          <cell r="E1443" t="str">
            <v>B26001047</v>
          </cell>
          <cell r="AP1443">
            <v>0</v>
          </cell>
          <cell r="AQ1443">
            <v>0</v>
          </cell>
          <cell r="AV1443">
            <v>0</v>
          </cell>
        </row>
        <row r="1444">
          <cell r="E1444" t="str">
            <v>D26001140</v>
          </cell>
          <cell r="AP1444">
            <v>0</v>
          </cell>
          <cell r="AQ1444">
            <v>0</v>
          </cell>
          <cell r="AV1444">
            <v>0</v>
          </cell>
        </row>
        <row r="1445">
          <cell r="E1445" t="str">
            <v>D26001157</v>
          </cell>
          <cell r="AP1445">
            <v>0</v>
          </cell>
          <cell r="AQ1445">
            <v>0</v>
          </cell>
          <cell r="AV1445">
            <v>0</v>
          </cell>
        </row>
        <row r="1446">
          <cell r="E1446" t="str">
            <v>B26001163</v>
          </cell>
          <cell r="AP1446">
            <v>0</v>
          </cell>
          <cell r="AQ1446">
            <v>0</v>
          </cell>
          <cell r="AV1446">
            <v>0</v>
          </cell>
        </row>
        <row r="1447">
          <cell r="E1447" t="str">
            <v>D26001214</v>
          </cell>
          <cell r="AP1447">
            <v>0</v>
          </cell>
          <cell r="AQ1447">
            <v>0</v>
          </cell>
          <cell r="AV1447">
            <v>0</v>
          </cell>
        </row>
        <row r="1448">
          <cell r="E1448" t="str">
            <v>B26001239</v>
          </cell>
          <cell r="AP1448">
            <v>0</v>
          </cell>
          <cell r="AQ1448">
            <v>0</v>
          </cell>
          <cell r="AV1448">
            <v>0</v>
          </cell>
        </row>
        <row r="1449">
          <cell r="E1449" t="str">
            <v>D26001300</v>
          </cell>
          <cell r="AP1449">
            <v>0</v>
          </cell>
          <cell r="AQ1449">
            <v>0</v>
          </cell>
          <cell r="AV1449">
            <v>0</v>
          </cell>
        </row>
        <row r="1450">
          <cell r="E1450" t="str">
            <v>D26001326</v>
          </cell>
          <cell r="AP1450">
            <v>0</v>
          </cell>
          <cell r="AQ1450">
            <v>0</v>
          </cell>
          <cell r="AV1450">
            <v>0</v>
          </cell>
        </row>
        <row r="1451">
          <cell r="E1451" t="str">
            <v>D26001367</v>
          </cell>
          <cell r="AP1451">
            <v>0</v>
          </cell>
          <cell r="AQ1451">
            <v>0</v>
          </cell>
          <cell r="AV1451">
            <v>0</v>
          </cell>
        </row>
        <row r="1452">
          <cell r="E1452" t="str">
            <v>D26001574</v>
          </cell>
          <cell r="AP1452">
            <v>0</v>
          </cell>
          <cell r="AQ1452">
            <v>0</v>
          </cell>
          <cell r="AV1452">
            <v>0</v>
          </cell>
        </row>
        <row r="1453">
          <cell r="E1453" t="str">
            <v>B26001538</v>
          </cell>
          <cell r="AP1453">
            <v>0</v>
          </cell>
          <cell r="AQ1453">
            <v>0</v>
          </cell>
          <cell r="AV1453">
            <v>0</v>
          </cell>
        </row>
        <row r="1454">
          <cell r="E1454" t="str">
            <v>B26001560</v>
          </cell>
          <cell r="AP1454">
            <v>0</v>
          </cell>
          <cell r="AQ1454">
            <v>0</v>
          </cell>
          <cell r="AV1454">
            <v>0</v>
          </cell>
        </row>
        <row r="1455">
          <cell r="E1455" t="str">
            <v>D26001685</v>
          </cell>
          <cell r="AP1455">
            <v>0</v>
          </cell>
          <cell r="AQ1455">
            <v>0</v>
          </cell>
          <cell r="AV1455">
            <v>0</v>
          </cell>
        </row>
        <row r="1456">
          <cell r="E1456" t="str">
            <v>D26001686</v>
          </cell>
          <cell r="AP1456">
            <v>0</v>
          </cell>
          <cell r="AQ1456">
            <v>0</v>
          </cell>
          <cell r="AV1456">
            <v>0</v>
          </cell>
        </row>
        <row r="1457">
          <cell r="E1457" t="str">
            <v>D26001687</v>
          </cell>
          <cell r="AP1457">
            <v>0</v>
          </cell>
          <cell r="AQ1457">
            <v>0</v>
          </cell>
          <cell r="AV1457">
            <v>0</v>
          </cell>
        </row>
        <row r="1458">
          <cell r="E1458" t="str">
            <v>D26001742</v>
          </cell>
          <cell r="AP1458">
            <v>0</v>
          </cell>
          <cell r="AQ1458">
            <v>0</v>
          </cell>
          <cell r="AV1458">
            <v>0</v>
          </cell>
        </row>
        <row r="1459">
          <cell r="E1459" t="str">
            <v>D26000060</v>
          </cell>
          <cell r="AP1459">
            <v>0</v>
          </cell>
          <cell r="AQ1459">
            <v>0</v>
          </cell>
          <cell r="AV1459">
            <v>0</v>
          </cell>
        </row>
        <row r="1460">
          <cell r="E1460" t="str">
            <v>B26000190</v>
          </cell>
          <cell r="AP1460">
            <v>0</v>
          </cell>
          <cell r="AQ1460">
            <v>0</v>
          </cell>
          <cell r="AV1460">
            <v>0</v>
          </cell>
        </row>
        <row r="1461">
          <cell r="E1461" t="str">
            <v>B26000214</v>
          </cell>
          <cell r="AP1461">
            <v>0</v>
          </cell>
          <cell r="AQ1461">
            <v>0</v>
          </cell>
          <cell r="AV1461">
            <v>0</v>
          </cell>
        </row>
        <row r="1462">
          <cell r="E1462" t="str">
            <v>D26000496</v>
          </cell>
          <cell r="AP1462">
            <v>0</v>
          </cell>
          <cell r="AQ1462">
            <v>0</v>
          </cell>
          <cell r="AV1462">
            <v>0</v>
          </cell>
        </row>
        <row r="1463">
          <cell r="E1463" t="str">
            <v>D26000497</v>
          </cell>
          <cell r="AP1463">
            <v>0</v>
          </cell>
          <cell r="AQ1463">
            <v>0</v>
          </cell>
          <cell r="AV1463">
            <v>0</v>
          </cell>
        </row>
        <row r="1464">
          <cell r="E1464" t="str">
            <v>D26000878</v>
          </cell>
          <cell r="AP1464">
            <v>0</v>
          </cell>
          <cell r="AQ1464">
            <v>0</v>
          </cell>
          <cell r="AV1464">
            <v>0</v>
          </cell>
        </row>
        <row r="1465">
          <cell r="E1465" t="str">
            <v>T26000054</v>
          </cell>
          <cell r="AP1465">
            <v>0</v>
          </cell>
          <cell r="AQ1465">
            <v>0</v>
          </cell>
          <cell r="AV1465">
            <v>0</v>
          </cell>
        </row>
        <row r="1466">
          <cell r="E1466" t="str">
            <v>T26000055</v>
          </cell>
          <cell r="AP1466">
            <v>0</v>
          </cell>
          <cell r="AQ1466">
            <v>0</v>
          </cell>
          <cell r="AV1466">
            <v>0</v>
          </cell>
        </row>
        <row r="1467">
          <cell r="E1467" t="str">
            <v>B26001384</v>
          </cell>
          <cell r="AP1467">
            <v>0</v>
          </cell>
          <cell r="AQ1467">
            <v>0</v>
          </cell>
          <cell r="AV1467">
            <v>0</v>
          </cell>
        </row>
        <row r="1468">
          <cell r="E1468" t="str">
            <v>B26001385</v>
          </cell>
          <cell r="AP1468">
            <v>0</v>
          </cell>
          <cell r="AQ1468">
            <v>0</v>
          </cell>
          <cell r="AV1468">
            <v>0</v>
          </cell>
        </row>
        <row r="1469">
          <cell r="E1469" t="str">
            <v>D26001559</v>
          </cell>
          <cell r="AP1469">
            <v>0</v>
          </cell>
          <cell r="AQ1469">
            <v>0</v>
          </cell>
          <cell r="AV1469">
            <v>0</v>
          </cell>
        </row>
        <row r="1470">
          <cell r="E1470" t="str">
            <v>B26001568</v>
          </cell>
          <cell r="AP1470">
            <v>0</v>
          </cell>
          <cell r="AQ1470">
            <v>0</v>
          </cell>
          <cell r="AV1470">
            <v>0</v>
          </cell>
        </row>
        <row r="1471">
          <cell r="E1471" t="str">
            <v>B25015550</v>
          </cell>
          <cell r="AP1471">
            <v>0</v>
          </cell>
          <cell r="AQ1471">
            <v>0</v>
          </cell>
          <cell r="AV1471">
            <v>0</v>
          </cell>
        </row>
        <row r="1472">
          <cell r="E1472" t="str">
            <v>B25015864</v>
          </cell>
          <cell r="AP1472">
            <v>0</v>
          </cell>
          <cell r="AQ1472">
            <v>0</v>
          </cell>
          <cell r="AV1472">
            <v>0</v>
          </cell>
        </row>
        <row r="1473">
          <cell r="E1473" t="str">
            <v>B25016092</v>
          </cell>
          <cell r="AP1473">
            <v>0</v>
          </cell>
          <cell r="AQ1473">
            <v>0</v>
          </cell>
          <cell r="AV1473">
            <v>0</v>
          </cell>
        </row>
        <row r="1474">
          <cell r="E1474" t="str">
            <v>B25016384</v>
          </cell>
          <cell r="AP1474">
            <v>0</v>
          </cell>
          <cell r="AQ1474">
            <v>0</v>
          </cell>
          <cell r="AV1474">
            <v>0</v>
          </cell>
        </row>
        <row r="1475">
          <cell r="E1475" t="str">
            <v>D25019393</v>
          </cell>
          <cell r="AP1475">
            <v>0</v>
          </cell>
          <cell r="AQ1475">
            <v>0</v>
          </cell>
          <cell r="AV1475">
            <v>0</v>
          </cell>
        </row>
        <row r="1476">
          <cell r="E1476" t="str">
            <v>D25019652</v>
          </cell>
          <cell r="AP1476">
            <v>0</v>
          </cell>
          <cell r="AQ1476">
            <v>0</v>
          </cell>
          <cell r="AV1476">
            <v>0</v>
          </cell>
        </row>
        <row r="1477">
          <cell r="E1477" t="str">
            <v>B26000606</v>
          </cell>
          <cell r="AP1477">
            <v>0</v>
          </cell>
          <cell r="AQ1477">
            <v>0</v>
          </cell>
          <cell r="AV1477">
            <v>0</v>
          </cell>
        </row>
        <row r="1478">
          <cell r="E1478" t="str">
            <v>B26000956</v>
          </cell>
          <cell r="AP1478">
            <v>0</v>
          </cell>
          <cell r="AQ1478">
            <v>0</v>
          </cell>
          <cell r="AV1478">
            <v>0</v>
          </cell>
        </row>
        <row r="1479">
          <cell r="E1479" t="str">
            <v>B26001207</v>
          </cell>
          <cell r="AP1479">
            <v>0</v>
          </cell>
          <cell r="AQ1479">
            <v>0</v>
          </cell>
          <cell r="AV1479">
            <v>0</v>
          </cell>
        </row>
        <row r="1480">
          <cell r="E1480" t="str">
            <v>D26000012</v>
          </cell>
          <cell r="AP1480">
            <v>0</v>
          </cell>
          <cell r="AQ1480">
            <v>0</v>
          </cell>
          <cell r="AV1480">
            <v>0</v>
          </cell>
        </row>
        <row r="1481">
          <cell r="E1481" t="str">
            <v>D26000395</v>
          </cell>
          <cell r="AP1481">
            <v>0</v>
          </cell>
          <cell r="AQ1481">
            <v>0</v>
          </cell>
          <cell r="AV1481">
            <v>0</v>
          </cell>
        </row>
        <row r="1482">
          <cell r="E1482" t="str">
            <v>B26000722</v>
          </cell>
          <cell r="AP1482">
            <v>0</v>
          </cell>
          <cell r="AQ1482">
            <v>0</v>
          </cell>
          <cell r="AV1482">
            <v>0</v>
          </cell>
        </row>
        <row r="1483">
          <cell r="E1483" t="str">
            <v>B26001094</v>
          </cell>
          <cell r="AP1483">
            <v>0</v>
          </cell>
          <cell r="AQ1483">
            <v>0</v>
          </cell>
          <cell r="AV1483">
            <v>0</v>
          </cell>
        </row>
        <row r="1484">
          <cell r="E1484" t="str">
            <v>D26001151</v>
          </cell>
          <cell r="AP1484">
            <v>0</v>
          </cell>
          <cell r="AQ1484">
            <v>0</v>
          </cell>
          <cell r="AV1484">
            <v>0</v>
          </cell>
        </row>
        <row r="1485">
          <cell r="E1485" t="str">
            <v>B26001635</v>
          </cell>
          <cell r="AP1485">
            <v>0</v>
          </cell>
          <cell r="AQ1485">
            <v>0</v>
          </cell>
          <cell r="AV1485">
            <v>0</v>
          </cell>
        </row>
        <row r="1486">
          <cell r="E1486" t="str">
            <v>D25019621</v>
          </cell>
          <cell r="AP1486">
            <v>0</v>
          </cell>
          <cell r="AQ1486">
            <v>0</v>
          </cell>
          <cell r="AV1486">
            <v>0</v>
          </cell>
        </row>
        <row r="1487">
          <cell r="E1487" t="str">
            <v>D25019622</v>
          </cell>
          <cell r="AP1487">
            <v>0</v>
          </cell>
          <cell r="AQ1487">
            <v>0</v>
          </cell>
          <cell r="AV1487">
            <v>0</v>
          </cell>
        </row>
        <row r="1488">
          <cell r="E1488" t="str">
            <v>D25019623</v>
          </cell>
          <cell r="AP1488">
            <v>0</v>
          </cell>
          <cell r="AQ1488">
            <v>0</v>
          </cell>
          <cell r="AV1488">
            <v>0</v>
          </cell>
        </row>
        <row r="1489">
          <cell r="E1489" t="str">
            <v>D25019624</v>
          </cell>
          <cell r="AP1489">
            <v>0</v>
          </cell>
          <cell r="AQ1489">
            <v>0</v>
          </cell>
          <cell r="AV1489">
            <v>0</v>
          </cell>
        </row>
        <row r="1490">
          <cell r="E1490" t="str">
            <v>T25001894</v>
          </cell>
          <cell r="AP1490">
            <v>0</v>
          </cell>
          <cell r="AQ1490">
            <v>0</v>
          </cell>
          <cell r="AV1490">
            <v>0</v>
          </cell>
        </row>
        <row r="1491">
          <cell r="E1491" t="str">
            <v>B25017101</v>
          </cell>
          <cell r="AP1491">
            <v>0</v>
          </cell>
          <cell r="AQ1491">
            <v>0</v>
          </cell>
          <cell r="AV1491">
            <v>0</v>
          </cell>
        </row>
        <row r="1492">
          <cell r="E1492" t="str">
            <v>D26000201</v>
          </cell>
          <cell r="AP1492">
            <v>0</v>
          </cell>
          <cell r="AQ1492">
            <v>0</v>
          </cell>
          <cell r="AV1492">
            <v>0</v>
          </cell>
        </row>
        <row r="1493">
          <cell r="E1493" t="str">
            <v>D26000220</v>
          </cell>
          <cell r="AP1493">
            <v>0</v>
          </cell>
          <cell r="AQ1493">
            <v>0</v>
          </cell>
          <cell r="AV1493">
            <v>0</v>
          </cell>
        </row>
        <row r="1494">
          <cell r="E1494" t="str">
            <v>D26000568</v>
          </cell>
          <cell r="AP1494">
            <v>0</v>
          </cell>
          <cell r="AQ1494">
            <v>0</v>
          </cell>
          <cell r="AV1494">
            <v>0</v>
          </cell>
        </row>
        <row r="1495">
          <cell r="E1495" t="str">
            <v>D26000569</v>
          </cell>
          <cell r="AP1495">
            <v>0</v>
          </cell>
          <cell r="AQ1495">
            <v>0</v>
          </cell>
          <cell r="AV1495">
            <v>0</v>
          </cell>
        </row>
        <row r="1496">
          <cell r="E1496" t="str">
            <v>D26000570</v>
          </cell>
          <cell r="AP1496">
            <v>0</v>
          </cell>
          <cell r="AQ1496">
            <v>0</v>
          </cell>
          <cell r="AV1496">
            <v>0</v>
          </cell>
        </row>
        <row r="1497">
          <cell r="E1497" t="str">
            <v>D26000571</v>
          </cell>
          <cell r="AP1497">
            <v>0</v>
          </cell>
          <cell r="AQ1497">
            <v>0</v>
          </cell>
          <cell r="AV1497">
            <v>0</v>
          </cell>
        </row>
        <row r="1498">
          <cell r="E1498" t="str">
            <v>D26000572</v>
          </cell>
          <cell r="AP1498">
            <v>0</v>
          </cell>
          <cell r="AQ1498">
            <v>0</v>
          </cell>
          <cell r="AV1498">
            <v>0</v>
          </cell>
        </row>
        <row r="1499">
          <cell r="E1499" t="str">
            <v>D26000573</v>
          </cell>
          <cell r="AP1499">
            <v>0</v>
          </cell>
          <cell r="AQ1499">
            <v>0</v>
          </cell>
          <cell r="AV1499">
            <v>0</v>
          </cell>
        </row>
        <row r="1500">
          <cell r="E1500" t="str">
            <v>B26000585</v>
          </cell>
          <cell r="AP1500">
            <v>0</v>
          </cell>
          <cell r="AQ1500">
            <v>0</v>
          </cell>
          <cell r="AV1500">
            <v>0</v>
          </cell>
        </row>
        <row r="1501">
          <cell r="E1501" t="str">
            <v>B26000640</v>
          </cell>
          <cell r="AP1501">
            <v>0</v>
          </cell>
          <cell r="AQ1501">
            <v>0</v>
          </cell>
          <cell r="AV1501">
            <v>0</v>
          </cell>
        </row>
        <row r="1502">
          <cell r="E1502" t="str">
            <v>B26001196</v>
          </cell>
          <cell r="AP1502">
            <v>0</v>
          </cell>
          <cell r="AQ1502">
            <v>0</v>
          </cell>
          <cell r="AV1502">
            <v>0</v>
          </cell>
        </row>
        <row r="1503">
          <cell r="E1503" t="str">
            <v>B26001197</v>
          </cell>
          <cell r="AP1503">
            <v>0</v>
          </cell>
          <cell r="AQ1503">
            <v>0</v>
          </cell>
          <cell r="AV1503">
            <v>0</v>
          </cell>
        </row>
        <row r="1504">
          <cell r="E1504" t="str">
            <v>B26001198</v>
          </cell>
          <cell r="AP1504">
            <v>0</v>
          </cell>
          <cell r="AQ1504">
            <v>0</v>
          </cell>
          <cell r="AV1504">
            <v>0</v>
          </cell>
        </row>
        <row r="1505">
          <cell r="E1505" t="str">
            <v>B26001199</v>
          </cell>
          <cell r="AP1505">
            <v>0</v>
          </cell>
          <cell r="AQ1505">
            <v>0</v>
          </cell>
          <cell r="AV1505">
            <v>0</v>
          </cell>
        </row>
        <row r="1506">
          <cell r="E1506" t="str">
            <v>B26001200</v>
          </cell>
          <cell r="AP1506">
            <v>0</v>
          </cell>
          <cell r="AQ1506">
            <v>0</v>
          </cell>
          <cell r="AV1506">
            <v>0</v>
          </cell>
        </row>
        <row r="1507">
          <cell r="E1507" t="str">
            <v>D26001307</v>
          </cell>
          <cell r="AP1507">
            <v>0</v>
          </cell>
          <cell r="AQ1507">
            <v>0</v>
          </cell>
          <cell r="AV1507">
            <v>0</v>
          </cell>
        </row>
        <row r="1508">
          <cell r="E1508" t="str">
            <v>D26001149</v>
          </cell>
          <cell r="AP1508">
            <v>0</v>
          </cell>
          <cell r="AQ1508">
            <v>0</v>
          </cell>
          <cell r="AV1508">
            <v>0</v>
          </cell>
        </row>
        <row r="1509">
          <cell r="E1509" t="str">
            <v>D25018262</v>
          </cell>
          <cell r="AP1509">
            <v>0</v>
          </cell>
          <cell r="AQ1509">
            <v>0</v>
          </cell>
          <cell r="AV1509">
            <v>0</v>
          </cell>
        </row>
        <row r="1510">
          <cell r="E1510" t="str">
            <v>T25001796</v>
          </cell>
          <cell r="AP1510">
            <v>0</v>
          </cell>
          <cell r="AQ1510">
            <v>0</v>
          </cell>
          <cell r="AV1510">
            <v>0</v>
          </cell>
        </row>
        <row r="1511">
          <cell r="E1511" t="str">
            <v>D26000332</v>
          </cell>
          <cell r="AP1511">
            <v>0</v>
          </cell>
          <cell r="AQ1511">
            <v>0</v>
          </cell>
          <cell r="AV1511">
            <v>0</v>
          </cell>
        </row>
        <row r="1512">
          <cell r="E1512" t="str">
            <v>B26000333</v>
          </cell>
          <cell r="AP1512">
            <v>0</v>
          </cell>
          <cell r="AQ1512">
            <v>0</v>
          </cell>
          <cell r="AV1512">
            <v>0</v>
          </cell>
        </row>
        <row r="1513">
          <cell r="E1513" t="str">
            <v>D26001670</v>
          </cell>
          <cell r="AP1513">
            <v>0</v>
          </cell>
          <cell r="AQ1513">
            <v>0</v>
          </cell>
          <cell r="AV1513">
            <v>0</v>
          </cell>
        </row>
        <row r="1514">
          <cell r="E1514" t="str">
            <v>D26001738</v>
          </cell>
          <cell r="AP1514">
            <v>0</v>
          </cell>
          <cell r="AQ1514">
            <v>0</v>
          </cell>
          <cell r="AV1514">
            <v>0</v>
          </cell>
        </row>
        <row r="1515">
          <cell r="E1515" t="str">
            <v>B25005869</v>
          </cell>
          <cell r="AP1515">
            <v>0</v>
          </cell>
          <cell r="AQ1515">
            <v>0</v>
          </cell>
          <cell r="AV1515">
            <v>0</v>
          </cell>
        </row>
        <row r="1516">
          <cell r="E1516" t="str">
            <v>D25010517</v>
          </cell>
          <cell r="AP1516">
            <v>0</v>
          </cell>
          <cell r="AQ1516">
            <v>0</v>
          </cell>
          <cell r="AV1516">
            <v>0</v>
          </cell>
        </row>
        <row r="1517">
          <cell r="E1517" t="str">
            <v>B25015254</v>
          </cell>
          <cell r="AP1517">
            <v>0</v>
          </cell>
          <cell r="AQ1517">
            <v>0</v>
          </cell>
          <cell r="AV1517">
            <v>0</v>
          </cell>
        </row>
        <row r="1518">
          <cell r="E1518" t="str">
            <v>B26000617</v>
          </cell>
          <cell r="AP1518">
            <v>0</v>
          </cell>
          <cell r="AQ1518">
            <v>0</v>
          </cell>
          <cell r="AV1518">
            <v>0</v>
          </cell>
        </row>
        <row r="1519">
          <cell r="E1519" t="str">
            <v>D25019574</v>
          </cell>
          <cell r="AP1519">
            <v>0</v>
          </cell>
          <cell r="AQ1519">
            <v>0</v>
          </cell>
          <cell r="AV1519">
            <v>0</v>
          </cell>
        </row>
        <row r="1520">
          <cell r="E1520" t="str">
            <v>B26000044</v>
          </cell>
          <cell r="AP1520">
            <v>0</v>
          </cell>
          <cell r="AQ1520">
            <v>0</v>
          </cell>
          <cell r="AV1520">
            <v>0</v>
          </cell>
        </row>
        <row r="1521">
          <cell r="E1521" t="str">
            <v>D26000105</v>
          </cell>
          <cell r="AP1521">
            <v>0</v>
          </cell>
          <cell r="AQ1521">
            <v>0</v>
          </cell>
          <cell r="AV1521">
            <v>0</v>
          </cell>
        </row>
        <row r="1522">
          <cell r="E1522" t="str">
            <v>B25014910</v>
          </cell>
          <cell r="AP1522">
            <v>0</v>
          </cell>
          <cell r="AQ1522">
            <v>0</v>
          </cell>
          <cell r="AV1522">
            <v>0</v>
          </cell>
        </row>
        <row r="1523">
          <cell r="E1523" t="str">
            <v>B25014911</v>
          </cell>
          <cell r="AP1523">
            <v>0</v>
          </cell>
          <cell r="AQ1523">
            <v>0</v>
          </cell>
          <cell r="AV1523">
            <v>0</v>
          </cell>
        </row>
        <row r="1524">
          <cell r="E1524" t="str">
            <v>B25014912</v>
          </cell>
          <cell r="AP1524">
            <v>0</v>
          </cell>
          <cell r="AQ1524">
            <v>0</v>
          </cell>
          <cell r="AV1524">
            <v>0</v>
          </cell>
        </row>
        <row r="1525">
          <cell r="E1525" t="str">
            <v>D25018930</v>
          </cell>
          <cell r="AP1525">
            <v>0</v>
          </cell>
          <cell r="AQ1525">
            <v>0</v>
          </cell>
          <cell r="AV1525">
            <v>0</v>
          </cell>
        </row>
        <row r="1526">
          <cell r="E1526" t="str">
            <v>D25018967</v>
          </cell>
          <cell r="AP1526">
            <v>0</v>
          </cell>
          <cell r="AQ1526">
            <v>0</v>
          </cell>
          <cell r="AV1526">
            <v>0</v>
          </cell>
        </row>
        <row r="1527">
          <cell r="E1527" t="str">
            <v>D25019067</v>
          </cell>
          <cell r="AP1527">
            <v>0</v>
          </cell>
          <cell r="AQ1527">
            <v>0</v>
          </cell>
          <cell r="AV1527">
            <v>0</v>
          </cell>
        </row>
        <row r="1528">
          <cell r="E1528" t="str">
            <v>B25016684</v>
          </cell>
          <cell r="AP1528">
            <v>0</v>
          </cell>
          <cell r="AQ1528">
            <v>0</v>
          </cell>
          <cell r="AV1528">
            <v>0</v>
          </cell>
        </row>
        <row r="1529">
          <cell r="E1529" t="str">
            <v>B26000154</v>
          </cell>
          <cell r="AP1529">
            <v>0</v>
          </cell>
          <cell r="AQ1529">
            <v>0</v>
          </cell>
          <cell r="AV1529">
            <v>0</v>
          </cell>
        </row>
        <row r="1530">
          <cell r="E1530" t="str">
            <v>D26001055</v>
          </cell>
          <cell r="AP1530">
            <v>0</v>
          </cell>
          <cell r="AQ1530">
            <v>0</v>
          </cell>
          <cell r="AV1530">
            <v>0</v>
          </cell>
        </row>
        <row r="1531">
          <cell r="E1531" t="str">
            <v>D26001521</v>
          </cell>
          <cell r="AP1531">
            <v>0</v>
          </cell>
          <cell r="AQ1531">
            <v>0</v>
          </cell>
          <cell r="AV1531">
            <v>0</v>
          </cell>
        </row>
        <row r="1532">
          <cell r="E1532" t="str">
            <v>D26001554</v>
          </cell>
          <cell r="AP1532">
            <v>0</v>
          </cell>
          <cell r="AQ1532">
            <v>0</v>
          </cell>
          <cell r="AV1532">
            <v>0</v>
          </cell>
        </row>
        <row r="1533">
          <cell r="E1533" t="str">
            <v>D26001568</v>
          </cell>
          <cell r="AP1533">
            <v>0</v>
          </cell>
          <cell r="AQ1533">
            <v>0</v>
          </cell>
          <cell r="AV1533">
            <v>0</v>
          </cell>
        </row>
        <row r="1534">
          <cell r="E1534" t="str">
            <v>D25017840</v>
          </cell>
          <cell r="AP1534">
            <v>0</v>
          </cell>
          <cell r="AQ1534">
            <v>0</v>
          </cell>
          <cell r="AV1534">
            <v>0</v>
          </cell>
        </row>
        <row r="1535">
          <cell r="E1535" t="str">
            <v>D25018603</v>
          </cell>
          <cell r="AP1535">
            <v>0</v>
          </cell>
          <cell r="AQ1535">
            <v>0</v>
          </cell>
          <cell r="AV1535">
            <v>0</v>
          </cell>
        </row>
        <row r="1536">
          <cell r="E1536" t="str">
            <v>D25018672</v>
          </cell>
          <cell r="AP1536">
            <v>0</v>
          </cell>
          <cell r="AQ1536">
            <v>0</v>
          </cell>
          <cell r="AV1536">
            <v>0</v>
          </cell>
        </row>
        <row r="1537">
          <cell r="E1537" t="str">
            <v>D25018799</v>
          </cell>
          <cell r="AP1537">
            <v>0</v>
          </cell>
          <cell r="AQ1537">
            <v>0</v>
          </cell>
          <cell r="AV1537">
            <v>0</v>
          </cell>
        </row>
        <row r="1538">
          <cell r="E1538" t="str">
            <v>B25016397</v>
          </cell>
          <cell r="AP1538">
            <v>0</v>
          </cell>
          <cell r="AQ1538">
            <v>0</v>
          </cell>
          <cell r="AV1538">
            <v>0</v>
          </cell>
        </row>
        <row r="1539">
          <cell r="E1539" t="str">
            <v>B25016408</v>
          </cell>
          <cell r="AP1539">
            <v>0</v>
          </cell>
          <cell r="AQ1539">
            <v>0</v>
          </cell>
          <cell r="AV1539">
            <v>0</v>
          </cell>
        </row>
        <row r="1540">
          <cell r="E1540" t="str">
            <v>B25016446</v>
          </cell>
          <cell r="AP1540">
            <v>0</v>
          </cell>
          <cell r="AQ1540">
            <v>0</v>
          </cell>
          <cell r="AV1540">
            <v>0</v>
          </cell>
        </row>
        <row r="1541">
          <cell r="E1541" t="str">
            <v>D25018938</v>
          </cell>
          <cell r="AP1541">
            <v>0</v>
          </cell>
          <cell r="AQ1541">
            <v>0</v>
          </cell>
          <cell r="AV1541">
            <v>0</v>
          </cell>
        </row>
        <row r="1542">
          <cell r="E1542" t="str">
            <v>D25018939</v>
          </cell>
          <cell r="AP1542">
            <v>0</v>
          </cell>
          <cell r="AQ1542">
            <v>0</v>
          </cell>
          <cell r="AV1542">
            <v>0</v>
          </cell>
        </row>
        <row r="1543">
          <cell r="E1543" t="str">
            <v>D25018940</v>
          </cell>
          <cell r="AP1543">
            <v>0</v>
          </cell>
          <cell r="AQ1543">
            <v>0</v>
          </cell>
          <cell r="AV1543">
            <v>0</v>
          </cell>
        </row>
        <row r="1544">
          <cell r="E1544" t="str">
            <v>D26001386</v>
          </cell>
          <cell r="AP1544">
            <v>0</v>
          </cell>
          <cell r="AQ1544">
            <v>0</v>
          </cell>
          <cell r="AV1544">
            <v>0</v>
          </cell>
        </row>
        <row r="1545">
          <cell r="E1545" t="str">
            <v>D26001392</v>
          </cell>
          <cell r="AP1545">
            <v>0</v>
          </cell>
          <cell r="AQ1545">
            <v>0</v>
          </cell>
          <cell r="AV1545">
            <v>0</v>
          </cell>
        </row>
        <row r="1546">
          <cell r="E1546" t="str">
            <v>D25019335</v>
          </cell>
          <cell r="AP1546">
            <v>0</v>
          </cell>
          <cell r="AQ1546">
            <v>0</v>
          </cell>
          <cell r="AV1546">
            <v>0</v>
          </cell>
        </row>
        <row r="1547">
          <cell r="E1547" t="str">
            <v>Z26000236</v>
          </cell>
          <cell r="AP1547">
            <v>0</v>
          </cell>
          <cell r="AQ1547">
            <v>0</v>
          </cell>
          <cell r="AV1547">
            <v>0</v>
          </cell>
        </row>
        <row r="1548">
          <cell r="E1548" t="str">
            <v>D26000317</v>
          </cell>
          <cell r="AP1548">
            <v>0</v>
          </cell>
          <cell r="AQ1548">
            <v>0</v>
          </cell>
          <cell r="AV1548">
            <v>0</v>
          </cell>
        </row>
        <row r="1549">
          <cell r="E1549" t="str">
            <v>B26001203</v>
          </cell>
          <cell r="AP1549">
            <v>0</v>
          </cell>
          <cell r="AQ1549">
            <v>0</v>
          </cell>
          <cell r="AV1549">
            <v>0</v>
          </cell>
        </row>
        <row r="1550">
          <cell r="E1550" t="str">
            <v>T25001533K</v>
          </cell>
          <cell r="AP1550">
            <v>0</v>
          </cell>
          <cell r="AQ1550">
            <v>0</v>
          </cell>
          <cell r="AV1550">
            <v>0</v>
          </cell>
        </row>
        <row r="1551">
          <cell r="E1551" t="str">
            <v>T25001617</v>
          </cell>
          <cell r="AP1551">
            <v>0</v>
          </cell>
          <cell r="AQ1551">
            <v>0</v>
          </cell>
          <cell r="AV1551">
            <v>0</v>
          </cell>
        </row>
        <row r="1552">
          <cell r="E1552" t="str">
            <v>T26000086</v>
          </cell>
          <cell r="AP1552">
            <v>0</v>
          </cell>
          <cell r="AQ1552">
            <v>0</v>
          </cell>
          <cell r="AV1552">
            <v>0</v>
          </cell>
        </row>
        <row r="1553">
          <cell r="E1553" t="str">
            <v>D25017894</v>
          </cell>
          <cell r="AP1553">
            <v>0</v>
          </cell>
          <cell r="AQ1553">
            <v>0</v>
          </cell>
          <cell r="AV1553">
            <v>0</v>
          </cell>
        </row>
        <row r="1554">
          <cell r="E1554" t="str">
            <v>D25017895</v>
          </cell>
          <cell r="AP1554">
            <v>0</v>
          </cell>
          <cell r="AQ1554">
            <v>0</v>
          </cell>
          <cell r="AV1554">
            <v>0</v>
          </cell>
        </row>
        <row r="1555">
          <cell r="E1555" t="str">
            <v>D25017897</v>
          </cell>
          <cell r="AP1555">
            <v>0</v>
          </cell>
          <cell r="AQ1555">
            <v>0</v>
          </cell>
          <cell r="AV1555">
            <v>0</v>
          </cell>
        </row>
        <row r="1556">
          <cell r="E1556" t="str">
            <v>B25012755</v>
          </cell>
          <cell r="AP1556">
            <v>0</v>
          </cell>
          <cell r="AQ1556">
            <v>0</v>
          </cell>
          <cell r="AV1556">
            <v>0</v>
          </cell>
        </row>
        <row r="1557">
          <cell r="E1557" t="str">
            <v>D25015098</v>
          </cell>
          <cell r="AP1557">
            <v>0</v>
          </cell>
          <cell r="AQ1557">
            <v>0</v>
          </cell>
          <cell r="AV1557">
            <v>0</v>
          </cell>
        </row>
        <row r="1558">
          <cell r="E1558" t="str">
            <v>T25001556K</v>
          </cell>
          <cell r="AP1558">
            <v>0</v>
          </cell>
          <cell r="AQ1558">
            <v>0</v>
          </cell>
          <cell r="AV1558">
            <v>0</v>
          </cell>
        </row>
        <row r="1559">
          <cell r="E1559" t="str">
            <v>D26000323</v>
          </cell>
          <cell r="AP1559">
            <v>0</v>
          </cell>
          <cell r="AQ1559">
            <v>0</v>
          </cell>
          <cell r="AV1559">
            <v>0</v>
          </cell>
        </row>
        <row r="1560">
          <cell r="E1560" t="str">
            <v>D25019539</v>
          </cell>
          <cell r="AP1560">
            <v>0</v>
          </cell>
          <cell r="AQ1560">
            <v>0</v>
          </cell>
          <cell r="AV1560">
            <v>0</v>
          </cell>
        </row>
        <row r="1561">
          <cell r="E1561" t="str">
            <v>D26000840</v>
          </cell>
          <cell r="AP1561">
            <v>0</v>
          </cell>
          <cell r="AQ1561">
            <v>0</v>
          </cell>
          <cell r="AV1561">
            <v>0</v>
          </cell>
        </row>
        <row r="1562">
          <cell r="E1562" t="str">
            <v>B26001123</v>
          </cell>
          <cell r="AP1562">
            <v>0</v>
          </cell>
          <cell r="AQ1562">
            <v>0</v>
          </cell>
          <cell r="AV1562">
            <v>0</v>
          </cell>
        </row>
        <row r="1563">
          <cell r="E1563" t="str">
            <v>B26001136</v>
          </cell>
          <cell r="AP1563">
            <v>0</v>
          </cell>
          <cell r="AQ1563">
            <v>0</v>
          </cell>
          <cell r="AV1563">
            <v>0</v>
          </cell>
        </row>
        <row r="1564">
          <cell r="E1564" t="str">
            <v>B26001590</v>
          </cell>
          <cell r="AP1564">
            <v>0</v>
          </cell>
          <cell r="AQ1564">
            <v>0</v>
          </cell>
          <cell r="AV1564">
            <v>0</v>
          </cell>
        </row>
        <row r="1565">
          <cell r="E1565" t="str">
            <v>B26001591</v>
          </cell>
          <cell r="AP1565">
            <v>0</v>
          </cell>
          <cell r="AQ1565">
            <v>0</v>
          </cell>
          <cell r="AV1565">
            <v>0</v>
          </cell>
        </row>
        <row r="1566">
          <cell r="E1566" t="str">
            <v>Z25003263</v>
          </cell>
          <cell r="AP1566">
            <v>0</v>
          </cell>
          <cell r="AQ1566">
            <v>0</v>
          </cell>
          <cell r="AV1566">
            <v>0</v>
          </cell>
        </row>
        <row r="1567">
          <cell r="E1567" t="str">
            <v>Z25003273</v>
          </cell>
          <cell r="AP1567">
            <v>0</v>
          </cell>
          <cell r="AQ1567">
            <v>0</v>
          </cell>
          <cell r="AV1567">
            <v>0</v>
          </cell>
        </row>
        <row r="1568">
          <cell r="E1568" t="str">
            <v>Z26000020</v>
          </cell>
          <cell r="AP1568">
            <v>0</v>
          </cell>
          <cell r="AQ1568">
            <v>0</v>
          </cell>
          <cell r="AV1568">
            <v>0</v>
          </cell>
        </row>
        <row r="1569">
          <cell r="E1569" t="str">
            <v>Z26000021</v>
          </cell>
          <cell r="AP1569">
            <v>0</v>
          </cell>
          <cell r="AQ1569">
            <v>0</v>
          </cell>
          <cell r="AV1569">
            <v>0</v>
          </cell>
        </row>
        <row r="1570">
          <cell r="E1570" t="str">
            <v>Z26000024</v>
          </cell>
          <cell r="AP1570">
            <v>0</v>
          </cell>
          <cell r="AQ1570">
            <v>0</v>
          </cell>
          <cell r="AV1570">
            <v>0</v>
          </cell>
        </row>
        <row r="1571">
          <cell r="E1571" t="str">
            <v>Z26000231</v>
          </cell>
          <cell r="AP1571">
            <v>0</v>
          </cell>
          <cell r="AQ1571">
            <v>0</v>
          </cell>
          <cell r="AV1571">
            <v>0</v>
          </cell>
        </row>
        <row r="1572">
          <cell r="E1572" t="str">
            <v>Z26000232</v>
          </cell>
          <cell r="AP1572">
            <v>0</v>
          </cell>
          <cell r="AQ1572">
            <v>0</v>
          </cell>
          <cell r="AV1572">
            <v>0</v>
          </cell>
        </row>
        <row r="1573">
          <cell r="E1573" t="str">
            <v>D26000400</v>
          </cell>
          <cell r="AP1573">
            <v>0</v>
          </cell>
          <cell r="AQ1573">
            <v>0</v>
          </cell>
          <cell r="AV1573">
            <v>0</v>
          </cell>
        </row>
        <row r="1574">
          <cell r="E1574" t="str">
            <v>D26000401</v>
          </cell>
          <cell r="AP1574">
            <v>0</v>
          </cell>
          <cell r="AQ1574">
            <v>0</v>
          </cell>
          <cell r="AV1574">
            <v>0</v>
          </cell>
        </row>
        <row r="1575">
          <cell r="E1575" t="str">
            <v>B25015510</v>
          </cell>
          <cell r="AP1575">
            <v>0</v>
          </cell>
          <cell r="AQ1575">
            <v>0</v>
          </cell>
          <cell r="AV1575">
            <v>0</v>
          </cell>
        </row>
        <row r="1576">
          <cell r="E1576" t="str">
            <v>B25015647</v>
          </cell>
          <cell r="AP1576">
            <v>0</v>
          </cell>
          <cell r="AQ1576">
            <v>0</v>
          </cell>
          <cell r="AV1576">
            <v>0</v>
          </cell>
        </row>
        <row r="1577">
          <cell r="E1577" t="str">
            <v>B25015928</v>
          </cell>
          <cell r="AP1577">
            <v>0</v>
          </cell>
          <cell r="AQ1577">
            <v>0</v>
          </cell>
          <cell r="AV1577">
            <v>0</v>
          </cell>
        </row>
        <row r="1578">
          <cell r="E1578" t="str">
            <v>B25015929</v>
          </cell>
          <cell r="AP1578">
            <v>0</v>
          </cell>
          <cell r="AQ1578">
            <v>0</v>
          </cell>
          <cell r="AV1578">
            <v>0</v>
          </cell>
        </row>
        <row r="1579">
          <cell r="E1579" t="str">
            <v>B25015930</v>
          </cell>
          <cell r="AP1579">
            <v>0</v>
          </cell>
          <cell r="AQ1579">
            <v>0</v>
          </cell>
          <cell r="AV1579">
            <v>0</v>
          </cell>
        </row>
        <row r="1580">
          <cell r="E1580" t="str">
            <v>B25015991</v>
          </cell>
          <cell r="AP1580">
            <v>0</v>
          </cell>
          <cell r="AQ1580">
            <v>0</v>
          </cell>
          <cell r="AV1580">
            <v>0</v>
          </cell>
        </row>
        <row r="1581">
          <cell r="E1581" t="str">
            <v>D25018525</v>
          </cell>
          <cell r="AP1581">
            <v>0</v>
          </cell>
          <cell r="AQ1581">
            <v>0</v>
          </cell>
          <cell r="AV1581">
            <v>0</v>
          </cell>
        </row>
        <row r="1582">
          <cell r="E1582" t="str">
            <v>D25018606</v>
          </cell>
          <cell r="AP1582">
            <v>0</v>
          </cell>
          <cell r="AQ1582">
            <v>0</v>
          </cell>
          <cell r="AV1582">
            <v>0</v>
          </cell>
        </row>
        <row r="1583">
          <cell r="E1583" t="str">
            <v>B25016177</v>
          </cell>
          <cell r="AP1583">
            <v>0</v>
          </cell>
          <cell r="AQ1583">
            <v>0</v>
          </cell>
          <cell r="AV1583">
            <v>0</v>
          </cell>
        </row>
        <row r="1584">
          <cell r="E1584" t="str">
            <v>B25016825</v>
          </cell>
          <cell r="AP1584">
            <v>0</v>
          </cell>
          <cell r="AQ1584">
            <v>0</v>
          </cell>
          <cell r="AV1584">
            <v>0</v>
          </cell>
        </row>
        <row r="1585">
          <cell r="E1585" t="str">
            <v>B25016837</v>
          </cell>
          <cell r="AP1585">
            <v>0</v>
          </cell>
          <cell r="AQ1585">
            <v>0</v>
          </cell>
          <cell r="AV1585">
            <v>0</v>
          </cell>
        </row>
        <row r="1586">
          <cell r="E1586" t="str">
            <v>B25017008</v>
          </cell>
          <cell r="AP1586">
            <v>0</v>
          </cell>
          <cell r="AQ1586">
            <v>0</v>
          </cell>
          <cell r="AV1586">
            <v>0</v>
          </cell>
        </row>
        <row r="1587">
          <cell r="E1587" t="str">
            <v>D25019579</v>
          </cell>
          <cell r="AP1587">
            <v>0</v>
          </cell>
          <cell r="AQ1587">
            <v>0</v>
          </cell>
          <cell r="AV1587">
            <v>0</v>
          </cell>
        </row>
        <row r="1588">
          <cell r="E1588" t="str">
            <v>D26000036</v>
          </cell>
          <cell r="AP1588">
            <v>0</v>
          </cell>
          <cell r="AQ1588">
            <v>0</v>
          </cell>
          <cell r="AV1588">
            <v>0</v>
          </cell>
        </row>
        <row r="1589">
          <cell r="E1589" t="str">
            <v>D26000149</v>
          </cell>
          <cell r="AP1589">
            <v>0</v>
          </cell>
          <cell r="AQ1589">
            <v>0</v>
          </cell>
          <cell r="AV1589">
            <v>0</v>
          </cell>
        </row>
        <row r="1590">
          <cell r="E1590" t="str">
            <v>D26000150</v>
          </cell>
          <cell r="AP1590">
            <v>0</v>
          </cell>
          <cell r="AQ1590">
            <v>0</v>
          </cell>
          <cell r="AV1590">
            <v>0</v>
          </cell>
        </row>
        <row r="1591">
          <cell r="E1591" t="str">
            <v>B26000166</v>
          </cell>
          <cell r="AP1591">
            <v>0</v>
          </cell>
          <cell r="AQ1591">
            <v>0</v>
          </cell>
          <cell r="AV1591">
            <v>0</v>
          </cell>
        </row>
        <row r="1592">
          <cell r="E1592" t="str">
            <v>B26000347</v>
          </cell>
          <cell r="AP1592">
            <v>0</v>
          </cell>
          <cell r="AQ1592">
            <v>0</v>
          </cell>
          <cell r="AV1592">
            <v>0</v>
          </cell>
        </row>
        <row r="1593">
          <cell r="E1593" t="str">
            <v>D26000810</v>
          </cell>
          <cell r="AP1593">
            <v>0</v>
          </cell>
          <cell r="AQ1593">
            <v>0</v>
          </cell>
          <cell r="AV1593">
            <v>0</v>
          </cell>
        </row>
        <row r="1594">
          <cell r="E1594" t="str">
            <v>B26000982</v>
          </cell>
          <cell r="AP1594">
            <v>0</v>
          </cell>
          <cell r="AQ1594">
            <v>0</v>
          </cell>
          <cell r="AV1594">
            <v>0</v>
          </cell>
        </row>
        <row r="1595">
          <cell r="E1595" t="str">
            <v>B26000983</v>
          </cell>
          <cell r="AP1595">
            <v>0</v>
          </cell>
          <cell r="AQ1595">
            <v>0</v>
          </cell>
          <cell r="AV1595">
            <v>0</v>
          </cell>
        </row>
        <row r="1596">
          <cell r="E1596" t="str">
            <v>B26001042</v>
          </cell>
          <cell r="AP1596">
            <v>0</v>
          </cell>
          <cell r="AQ1596">
            <v>0</v>
          </cell>
          <cell r="AV1596">
            <v>0</v>
          </cell>
        </row>
        <row r="1597">
          <cell r="E1597" t="str">
            <v>B26001049</v>
          </cell>
          <cell r="AP1597">
            <v>0</v>
          </cell>
          <cell r="AQ1597">
            <v>0</v>
          </cell>
          <cell r="AV1597">
            <v>0</v>
          </cell>
        </row>
        <row r="1598">
          <cell r="E1598" t="str">
            <v>D26001275</v>
          </cell>
          <cell r="AP1598">
            <v>0</v>
          </cell>
          <cell r="AQ1598">
            <v>0</v>
          </cell>
          <cell r="AV1598">
            <v>0</v>
          </cell>
        </row>
        <row r="1599">
          <cell r="E1599" t="str">
            <v>D26001314</v>
          </cell>
          <cell r="AP1599">
            <v>0</v>
          </cell>
          <cell r="AQ1599">
            <v>0</v>
          </cell>
          <cell r="AV1599">
            <v>0</v>
          </cell>
        </row>
        <row r="1600">
          <cell r="E1600" t="str">
            <v>B26001274</v>
          </cell>
          <cell r="AP1600">
            <v>0</v>
          </cell>
          <cell r="AQ1600">
            <v>0</v>
          </cell>
          <cell r="AV1600">
            <v>0</v>
          </cell>
        </row>
        <row r="1601">
          <cell r="E1601" t="str">
            <v>B26001388</v>
          </cell>
          <cell r="AP1601">
            <v>0</v>
          </cell>
          <cell r="AQ1601">
            <v>0</v>
          </cell>
          <cell r="AV1601">
            <v>0</v>
          </cell>
        </row>
        <row r="1602">
          <cell r="E1602" t="str">
            <v>B26001410</v>
          </cell>
          <cell r="AP1602">
            <v>0</v>
          </cell>
          <cell r="AQ1602">
            <v>0</v>
          </cell>
          <cell r="AV1602">
            <v>0</v>
          </cell>
        </row>
        <row r="1603">
          <cell r="E1603" t="str">
            <v>B26001446</v>
          </cell>
          <cell r="AP1603">
            <v>0</v>
          </cell>
          <cell r="AQ1603">
            <v>0</v>
          </cell>
          <cell r="AV1603">
            <v>0</v>
          </cell>
        </row>
        <row r="1604">
          <cell r="E1604" t="str">
            <v>B26001574</v>
          </cell>
          <cell r="AP1604">
            <v>0</v>
          </cell>
          <cell r="AQ1604">
            <v>0</v>
          </cell>
          <cell r="AV1604">
            <v>0</v>
          </cell>
        </row>
        <row r="1605">
          <cell r="E1605" t="str">
            <v>B26001580</v>
          </cell>
          <cell r="AP1605">
            <v>0</v>
          </cell>
          <cell r="AQ1605">
            <v>0</v>
          </cell>
          <cell r="AV1605">
            <v>0</v>
          </cell>
        </row>
        <row r="1606">
          <cell r="E1606" t="str">
            <v>B25015694</v>
          </cell>
          <cell r="AP1606">
            <v>0</v>
          </cell>
          <cell r="AQ1606">
            <v>0</v>
          </cell>
          <cell r="AV1606">
            <v>0</v>
          </cell>
        </row>
        <row r="1607">
          <cell r="E1607" t="str">
            <v>B25015943</v>
          </cell>
          <cell r="AP1607">
            <v>0</v>
          </cell>
          <cell r="AQ1607">
            <v>0</v>
          </cell>
          <cell r="AV1607">
            <v>0</v>
          </cell>
        </row>
        <row r="1608">
          <cell r="E1608" t="str">
            <v>D25019008</v>
          </cell>
          <cell r="AP1608">
            <v>0</v>
          </cell>
          <cell r="AQ1608">
            <v>0</v>
          </cell>
          <cell r="AV1608">
            <v>0</v>
          </cell>
        </row>
        <row r="1609">
          <cell r="E1609" t="str">
            <v>B25016619</v>
          </cell>
          <cell r="AP1609">
            <v>0</v>
          </cell>
          <cell r="AQ1609">
            <v>0</v>
          </cell>
          <cell r="AV1609">
            <v>0</v>
          </cell>
        </row>
        <row r="1610">
          <cell r="E1610" t="str">
            <v>D25019634</v>
          </cell>
          <cell r="AP1610">
            <v>0</v>
          </cell>
          <cell r="AQ1610">
            <v>0</v>
          </cell>
          <cell r="AV1610">
            <v>0</v>
          </cell>
        </row>
        <row r="1611">
          <cell r="E1611" t="str">
            <v>B25013203</v>
          </cell>
          <cell r="AP1611">
            <v>0</v>
          </cell>
          <cell r="AQ1611">
            <v>0</v>
          </cell>
          <cell r="AV1611">
            <v>0</v>
          </cell>
        </row>
        <row r="1612">
          <cell r="E1612" t="str">
            <v>B25013215</v>
          </cell>
          <cell r="AP1612">
            <v>0</v>
          </cell>
          <cell r="AQ1612">
            <v>0</v>
          </cell>
          <cell r="AV1612">
            <v>0</v>
          </cell>
        </row>
        <row r="1613">
          <cell r="E1613" t="str">
            <v>B25013285</v>
          </cell>
          <cell r="AP1613">
            <v>0</v>
          </cell>
          <cell r="AQ1613">
            <v>0</v>
          </cell>
          <cell r="AV1613">
            <v>0</v>
          </cell>
        </row>
        <row r="1614">
          <cell r="E1614" t="str">
            <v>T24000347</v>
          </cell>
          <cell r="AP1614">
            <v>0</v>
          </cell>
          <cell r="AQ1614">
            <v>0</v>
          </cell>
          <cell r="AV1614">
            <v>0</v>
          </cell>
        </row>
        <row r="1615">
          <cell r="E1615" t="str">
            <v>E23005700</v>
          </cell>
          <cell r="AP1615">
            <v>0</v>
          </cell>
          <cell r="AQ1615">
            <v>0</v>
          </cell>
          <cell r="AV1615">
            <v>0</v>
          </cell>
        </row>
        <row r="1616">
          <cell r="E1616" t="str">
            <v>B25008183</v>
          </cell>
          <cell r="AP1616">
            <v>0</v>
          </cell>
          <cell r="AQ1616">
            <v>0</v>
          </cell>
          <cell r="AV1616">
            <v>0</v>
          </cell>
        </row>
        <row r="1617">
          <cell r="E1617" t="str">
            <v>D25017488</v>
          </cell>
          <cell r="AP1617">
            <v>0</v>
          </cell>
          <cell r="AQ1617">
            <v>0</v>
          </cell>
          <cell r="AV1617">
            <v>0</v>
          </cell>
        </row>
        <row r="1618">
          <cell r="E1618" t="str">
            <v>B26001004</v>
          </cell>
          <cell r="AP1618">
            <v>0</v>
          </cell>
          <cell r="AQ1618">
            <v>0</v>
          </cell>
          <cell r="AV1618">
            <v>0</v>
          </cell>
        </row>
        <row r="1619">
          <cell r="E1619" t="str">
            <v>B25016804</v>
          </cell>
          <cell r="AP1619">
            <v>0</v>
          </cell>
          <cell r="AQ1619">
            <v>0</v>
          </cell>
          <cell r="AV1619">
            <v>0</v>
          </cell>
        </row>
        <row r="1620">
          <cell r="E1620" t="str">
            <v>B25016832</v>
          </cell>
          <cell r="AP1620">
            <v>0</v>
          </cell>
          <cell r="AQ1620">
            <v>0</v>
          </cell>
          <cell r="AV1620">
            <v>0</v>
          </cell>
        </row>
        <row r="1621">
          <cell r="E1621">
            <v>250190</v>
          </cell>
          <cell r="AP1621">
            <v>0</v>
          </cell>
          <cell r="AQ1621">
            <v>0</v>
          </cell>
          <cell r="AV1621">
            <v>0</v>
          </cell>
        </row>
        <row r="1622">
          <cell r="E1622" t="str">
            <v>B25015868</v>
          </cell>
          <cell r="AP1622">
            <v>0</v>
          </cell>
          <cell r="AQ1622">
            <v>0</v>
          </cell>
          <cell r="AV1622">
            <v>0</v>
          </cell>
        </row>
        <row r="1623">
          <cell r="E1623" t="str">
            <v>B25016678</v>
          </cell>
          <cell r="AP1623">
            <v>0</v>
          </cell>
          <cell r="AQ1623">
            <v>0</v>
          </cell>
          <cell r="AV1623">
            <v>0</v>
          </cell>
        </row>
        <row r="1624">
          <cell r="E1624" t="str">
            <v>B25016955</v>
          </cell>
          <cell r="AP1624">
            <v>0</v>
          </cell>
          <cell r="AQ1624">
            <v>0</v>
          </cell>
          <cell r="AV1624">
            <v>0</v>
          </cell>
        </row>
        <row r="1625">
          <cell r="E1625" t="str">
            <v>D26000664</v>
          </cell>
          <cell r="AP1625">
            <v>0</v>
          </cell>
          <cell r="AQ1625">
            <v>0</v>
          </cell>
          <cell r="AV1625">
            <v>0</v>
          </cell>
        </row>
        <row r="1626">
          <cell r="E1626" t="str">
            <v>T25001725K</v>
          </cell>
          <cell r="AP1626">
            <v>0</v>
          </cell>
          <cell r="AQ1626">
            <v>0</v>
          </cell>
          <cell r="AV1626">
            <v>0</v>
          </cell>
        </row>
        <row r="1627">
          <cell r="E1627" t="str">
            <v>B25015538</v>
          </cell>
          <cell r="AP1627">
            <v>0</v>
          </cell>
          <cell r="AQ1627">
            <v>0</v>
          </cell>
          <cell r="AV1627">
            <v>0</v>
          </cell>
        </row>
        <row r="1628">
          <cell r="E1628" t="str">
            <v>B25015969</v>
          </cell>
          <cell r="AP1628">
            <v>0</v>
          </cell>
          <cell r="AQ1628">
            <v>0</v>
          </cell>
          <cell r="AV1628">
            <v>0</v>
          </cell>
        </row>
        <row r="1629">
          <cell r="E1629" t="str">
            <v>T26000030</v>
          </cell>
          <cell r="AP1629">
            <v>0</v>
          </cell>
          <cell r="AQ1629">
            <v>0</v>
          </cell>
          <cell r="AV1629">
            <v>0</v>
          </cell>
        </row>
        <row r="1630">
          <cell r="E1630" t="str">
            <v>D26000770</v>
          </cell>
          <cell r="AP1630">
            <v>0</v>
          </cell>
          <cell r="AQ1630">
            <v>0</v>
          </cell>
          <cell r="AV1630">
            <v>0</v>
          </cell>
        </row>
        <row r="1631">
          <cell r="E1631" t="str">
            <v>D26000899</v>
          </cell>
          <cell r="AP1631">
            <v>0</v>
          </cell>
          <cell r="AQ1631">
            <v>0</v>
          </cell>
          <cell r="AV1631">
            <v>0</v>
          </cell>
        </row>
        <row r="1632">
          <cell r="E1632" t="str">
            <v>T26000064</v>
          </cell>
          <cell r="AP1632">
            <v>0</v>
          </cell>
          <cell r="AQ1632">
            <v>0</v>
          </cell>
          <cell r="AV1632">
            <v>0</v>
          </cell>
        </row>
        <row r="1633">
          <cell r="E1633" t="str">
            <v>T26000089</v>
          </cell>
          <cell r="AP1633">
            <v>0</v>
          </cell>
          <cell r="AQ1633">
            <v>0</v>
          </cell>
          <cell r="AV1633">
            <v>0</v>
          </cell>
        </row>
        <row r="1634">
          <cell r="E1634" t="str">
            <v>D25015378</v>
          </cell>
          <cell r="AP1634">
            <v>0</v>
          </cell>
          <cell r="AQ1634">
            <v>0</v>
          </cell>
          <cell r="AV1634">
            <v>0</v>
          </cell>
        </row>
        <row r="1635">
          <cell r="E1635" t="str">
            <v>D25019511</v>
          </cell>
          <cell r="AP1635">
            <v>0</v>
          </cell>
          <cell r="AQ1635">
            <v>0</v>
          </cell>
          <cell r="AV1635">
            <v>0</v>
          </cell>
        </row>
        <row r="1636">
          <cell r="E1636" t="str">
            <v>D26000811</v>
          </cell>
          <cell r="AP1636">
            <v>0</v>
          </cell>
          <cell r="AQ1636">
            <v>0</v>
          </cell>
          <cell r="AV1636">
            <v>0</v>
          </cell>
        </row>
        <row r="1637">
          <cell r="E1637" t="str">
            <v>D25015654</v>
          </cell>
          <cell r="AP1637">
            <v>0</v>
          </cell>
          <cell r="AQ1637">
            <v>0</v>
          </cell>
          <cell r="AV1637">
            <v>0</v>
          </cell>
        </row>
        <row r="1638">
          <cell r="E1638" t="str">
            <v>B25015473</v>
          </cell>
          <cell r="AP1638">
            <v>0</v>
          </cell>
          <cell r="AQ1638">
            <v>0</v>
          </cell>
          <cell r="AV1638">
            <v>0</v>
          </cell>
        </row>
        <row r="1639">
          <cell r="E1639" t="str">
            <v>T25001759</v>
          </cell>
          <cell r="AP1639">
            <v>0</v>
          </cell>
          <cell r="AQ1639">
            <v>0</v>
          </cell>
          <cell r="AV1639">
            <v>0</v>
          </cell>
        </row>
        <row r="1640">
          <cell r="E1640" t="str">
            <v>D25018034</v>
          </cell>
          <cell r="AP1640">
            <v>0</v>
          </cell>
          <cell r="AQ1640">
            <v>0</v>
          </cell>
          <cell r="AV1640">
            <v>0</v>
          </cell>
        </row>
        <row r="1641">
          <cell r="E1641" t="str">
            <v>T25001854</v>
          </cell>
          <cell r="AP1641">
            <v>0</v>
          </cell>
          <cell r="AQ1641">
            <v>0</v>
          </cell>
          <cell r="AV1641">
            <v>0</v>
          </cell>
        </row>
        <row r="1642">
          <cell r="E1642" t="str">
            <v>D25019148</v>
          </cell>
          <cell r="AP1642">
            <v>0</v>
          </cell>
          <cell r="AQ1642">
            <v>0</v>
          </cell>
          <cell r="AV1642">
            <v>0</v>
          </cell>
        </row>
        <row r="1643">
          <cell r="E1643" t="str">
            <v>B26000046</v>
          </cell>
          <cell r="AP1643">
            <v>0</v>
          </cell>
          <cell r="AQ1643">
            <v>0</v>
          </cell>
          <cell r="AV1643">
            <v>0</v>
          </cell>
        </row>
        <row r="1644">
          <cell r="E1644" t="str">
            <v>B26000125</v>
          </cell>
          <cell r="AP1644">
            <v>0</v>
          </cell>
          <cell r="AQ1644">
            <v>0</v>
          </cell>
          <cell r="AV1644">
            <v>0</v>
          </cell>
        </row>
        <row r="1645">
          <cell r="E1645" t="str">
            <v>B26000508</v>
          </cell>
          <cell r="AP1645">
            <v>0</v>
          </cell>
          <cell r="AQ1645">
            <v>0</v>
          </cell>
          <cell r="AV1645">
            <v>0</v>
          </cell>
        </row>
        <row r="1646">
          <cell r="E1646" t="str">
            <v>B26001344</v>
          </cell>
          <cell r="AP1646">
            <v>0</v>
          </cell>
          <cell r="AQ1646">
            <v>0</v>
          </cell>
          <cell r="AV1646">
            <v>0</v>
          </cell>
        </row>
        <row r="1647">
          <cell r="E1647" t="str">
            <v>D26001318</v>
          </cell>
          <cell r="AP1647">
            <v>0</v>
          </cell>
          <cell r="AQ1647">
            <v>0</v>
          </cell>
          <cell r="AV1647">
            <v>0</v>
          </cell>
        </row>
        <row r="1648">
          <cell r="E1648" t="str">
            <v>D26001747</v>
          </cell>
          <cell r="AP1648">
            <v>0</v>
          </cell>
          <cell r="AQ1648">
            <v>0</v>
          </cell>
          <cell r="AV1648">
            <v>0</v>
          </cell>
        </row>
        <row r="1649">
          <cell r="E1649" t="str">
            <v>B25015743</v>
          </cell>
          <cell r="AP1649">
            <v>0</v>
          </cell>
          <cell r="AQ1649">
            <v>0</v>
          </cell>
          <cell r="AV1649">
            <v>0</v>
          </cell>
        </row>
        <row r="1650">
          <cell r="E1650" t="str">
            <v>B25015755</v>
          </cell>
          <cell r="AP1650">
            <v>0</v>
          </cell>
          <cell r="AQ1650">
            <v>0</v>
          </cell>
          <cell r="AV1650">
            <v>0</v>
          </cell>
        </row>
        <row r="1651">
          <cell r="E1651" t="str">
            <v>B25015756</v>
          </cell>
          <cell r="AP1651">
            <v>0</v>
          </cell>
          <cell r="AQ1651">
            <v>0</v>
          </cell>
          <cell r="AV1651">
            <v>0</v>
          </cell>
        </row>
        <row r="1652">
          <cell r="E1652" t="str">
            <v>B25015830</v>
          </cell>
          <cell r="AP1652">
            <v>0</v>
          </cell>
          <cell r="AQ1652">
            <v>0</v>
          </cell>
          <cell r="AV1652">
            <v>0</v>
          </cell>
        </row>
        <row r="1653">
          <cell r="E1653" t="str">
            <v>D25018201</v>
          </cell>
          <cell r="AP1653">
            <v>0</v>
          </cell>
          <cell r="AQ1653">
            <v>0</v>
          </cell>
          <cell r="AV1653">
            <v>0</v>
          </cell>
        </row>
        <row r="1654">
          <cell r="E1654" t="str">
            <v>D25018385</v>
          </cell>
          <cell r="AP1654">
            <v>0</v>
          </cell>
          <cell r="AQ1654">
            <v>0</v>
          </cell>
          <cell r="AV1654">
            <v>0</v>
          </cell>
        </row>
        <row r="1655">
          <cell r="E1655" t="str">
            <v>D25018386</v>
          </cell>
          <cell r="AP1655">
            <v>0</v>
          </cell>
          <cell r="AQ1655">
            <v>0</v>
          </cell>
          <cell r="AV1655">
            <v>0</v>
          </cell>
        </row>
        <row r="1656">
          <cell r="E1656" t="str">
            <v>D25018392</v>
          </cell>
          <cell r="AP1656">
            <v>0</v>
          </cell>
          <cell r="AQ1656">
            <v>0</v>
          </cell>
          <cell r="AV1656">
            <v>0</v>
          </cell>
        </row>
        <row r="1657">
          <cell r="E1657" t="str">
            <v>B25015993</v>
          </cell>
          <cell r="AP1657">
            <v>0</v>
          </cell>
          <cell r="AQ1657">
            <v>0</v>
          </cell>
          <cell r="AV1657">
            <v>0</v>
          </cell>
        </row>
        <row r="1658">
          <cell r="E1658" t="str">
            <v>D25018437</v>
          </cell>
          <cell r="AP1658">
            <v>0</v>
          </cell>
          <cell r="AQ1658">
            <v>0</v>
          </cell>
          <cell r="AV1658">
            <v>0</v>
          </cell>
        </row>
        <row r="1659">
          <cell r="E1659" t="str">
            <v>D25018500</v>
          </cell>
          <cell r="AP1659">
            <v>0</v>
          </cell>
          <cell r="AQ1659">
            <v>0</v>
          </cell>
          <cell r="AV1659">
            <v>0</v>
          </cell>
        </row>
        <row r="1660">
          <cell r="E1660" t="str">
            <v>D25018523</v>
          </cell>
          <cell r="AP1660">
            <v>0</v>
          </cell>
          <cell r="AQ1660">
            <v>0</v>
          </cell>
          <cell r="AV1660">
            <v>0</v>
          </cell>
        </row>
        <row r="1661">
          <cell r="E1661" t="str">
            <v>D25018567</v>
          </cell>
          <cell r="AP1661">
            <v>0</v>
          </cell>
          <cell r="AQ1661">
            <v>0</v>
          </cell>
          <cell r="AV1661">
            <v>0</v>
          </cell>
        </row>
        <row r="1662">
          <cell r="E1662" t="str">
            <v>D25018663</v>
          </cell>
          <cell r="AP1662">
            <v>0</v>
          </cell>
          <cell r="AQ1662">
            <v>0</v>
          </cell>
          <cell r="AV1662">
            <v>0</v>
          </cell>
        </row>
        <row r="1663">
          <cell r="E1663" t="str">
            <v>D25018692</v>
          </cell>
          <cell r="AP1663">
            <v>0</v>
          </cell>
          <cell r="AQ1663">
            <v>0</v>
          </cell>
          <cell r="AV1663">
            <v>0</v>
          </cell>
        </row>
        <row r="1664">
          <cell r="E1664" t="str">
            <v>D25018729</v>
          </cell>
          <cell r="AP1664">
            <v>0</v>
          </cell>
          <cell r="AQ1664">
            <v>0</v>
          </cell>
          <cell r="AV1664">
            <v>0</v>
          </cell>
        </row>
        <row r="1665">
          <cell r="E1665" t="str">
            <v>B25016347</v>
          </cell>
          <cell r="AP1665">
            <v>0</v>
          </cell>
          <cell r="AQ1665">
            <v>0</v>
          </cell>
          <cell r="AV1665">
            <v>0</v>
          </cell>
        </row>
        <row r="1666">
          <cell r="E1666" t="str">
            <v>B25016352</v>
          </cell>
          <cell r="AP1666">
            <v>0</v>
          </cell>
          <cell r="AQ1666">
            <v>0</v>
          </cell>
          <cell r="AV1666">
            <v>0</v>
          </cell>
        </row>
        <row r="1667">
          <cell r="E1667" t="str">
            <v>B25016411</v>
          </cell>
          <cell r="AP1667">
            <v>0</v>
          </cell>
          <cell r="AQ1667">
            <v>0</v>
          </cell>
          <cell r="AV1667">
            <v>0</v>
          </cell>
        </row>
        <row r="1668">
          <cell r="E1668" t="str">
            <v>B25016412</v>
          </cell>
          <cell r="AP1668">
            <v>0</v>
          </cell>
          <cell r="AQ1668">
            <v>0</v>
          </cell>
          <cell r="AV1668">
            <v>0</v>
          </cell>
        </row>
        <row r="1669">
          <cell r="E1669" t="str">
            <v>B25016458</v>
          </cell>
          <cell r="AP1669">
            <v>0</v>
          </cell>
          <cell r="AQ1669">
            <v>0</v>
          </cell>
          <cell r="AV1669">
            <v>0</v>
          </cell>
        </row>
        <row r="1670">
          <cell r="E1670" t="str">
            <v>B25016459</v>
          </cell>
          <cell r="AP1670">
            <v>0</v>
          </cell>
          <cell r="AQ1670">
            <v>0</v>
          </cell>
          <cell r="AV1670">
            <v>0</v>
          </cell>
        </row>
        <row r="1671">
          <cell r="E1671" t="str">
            <v>B25016534</v>
          </cell>
          <cell r="AP1671">
            <v>0</v>
          </cell>
          <cell r="AQ1671">
            <v>0</v>
          </cell>
          <cell r="AV1671">
            <v>0</v>
          </cell>
        </row>
        <row r="1672">
          <cell r="E1672" t="str">
            <v>B25016535</v>
          </cell>
          <cell r="AP1672">
            <v>0</v>
          </cell>
          <cell r="AQ1672">
            <v>0</v>
          </cell>
          <cell r="AV1672">
            <v>0</v>
          </cell>
        </row>
        <row r="1673">
          <cell r="E1673" t="str">
            <v>D25019100</v>
          </cell>
          <cell r="AP1673">
            <v>0</v>
          </cell>
          <cell r="AQ1673">
            <v>0</v>
          </cell>
          <cell r="AV1673">
            <v>0</v>
          </cell>
        </row>
        <row r="1674">
          <cell r="E1674" t="str">
            <v>D25019105</v>
          </cell>
          <cell r="AP1674">
            <v>0</v>
          </cell>
          <cell r="AQ1674">
            <v>0</v>
          </cell>
          <cell r="AV1674">
            <v>0</v>
          </cell>
        </row>
        <row r="1675">
          <cell r="E1675" t="str">
            <v>D25019194</v>
          </cell>
          <cell r="AP1675">
            <v>0</v>
          </cell>
          <cell r="AQ1675">
            <v>0</v>
          </cell>
          <cell r="AV1675">
            <v>0</v>
          </cell>
        </row>
        <row r="1676">
          <cell r="E1676" t="str">
            <v>D25019195</v>
          </cell>
          <cell r="AP1676">
            <v>0</v>
          </cell>
          <cell r="AQ1676">
            <v>0</v>
          </cell>
          <cell r="AV1676">
            <v>0</v>
          </cell>
        </row>
        <row r="1677">
          <cell r="E1677" t="str">
            <v>D25019247</v>
          </cell>
          <cell r="AP1677">
            <v>0</v>
          </cell>
          <cell r="AQ1677">
            <v>0</v>
          </cell>
          <cell r="AV1677">
            <v>0</v>
          </cell>
        </row>
        <row r="1678">
          <cell r="E1678" t="str">
            <v>D25019294</v>
          </cell>
          <cell r="AP1678">
            <v>0</v>
          </cell>
          <cell r="AQ1678">
            <v>0</v>
          </cell>
          <cell r="AV1678">
            <v>0</v>
          </cell>
        </row>
        <row r="1679">
          <cell r="E1679" t="str">
            <v>D25019325</v>
          </cell>
          <cell r="AP1679">
            <v>0</v>
          </cell>
          <cell r="AQ1679">
            <v>0</v>
          </cell>
          <cell r="AV1679">
            <v>0</v>
          </cell>
        </row>
        <row r="1680">
          <cell r="E1680" t="str">
            <v>B25016828</v>
          </cell>
          <cell r="AP1680">
            <v>0</v>
          </cell>
          <cell r="AQ1680">
            <v>0</v>
          </cell>
          <cell r="AV1680">
            <v>0</v>
          </cell>
        </row>
        <row r="1681">
          <cell r="E1681" t="str">
            <v>B25016877</v>
          </cell>
          <cell r="AP1681">
            <v>0</v>
          </cell>
          <cell r="AQ1681">
            <v>0</v>
          </cell>
          <cell r="AV1681">
            <v>0</v>
          </cell>
        </row>
        <row r="1682">
          <cell r="E1682" t="str">
            <v>B25016878</v>
          </cell>
          <cell r="AP1682">
            <v>0</v>
          </cell>
          <cell r="AQ1682">
            <v>0</v>
          </cell>
          <cell r="AV1682">
            <v>0</v>
          </cell>
        </row>
        <row r="1683">
          <cell r="E1683" t="str">
            <v>B25016884</v>
          </cell>
          <cell r="AP1683">
            <v>0</v>
          </cell>
          <cell r="AQ1683">
            <v>0</v>
          </cell>
          <cell r="AV1683">
            <v>0</v>
          </cell>
        </row>
        <row r="1684">
          <cell r="E1684" t="str">
            <v>B25016885</v>
          </cell>
          <cell r="AP1684">
            <v>0</v>
          </cell>
          <cell r="AQ1684">
            <v>0</v>
          </cell>
          <cell r="AV1684">
            <v>0</v>
          </cell>
        </row>
        <row r="1685">
          <cell r="E1685" t="str">
            <v>B25016908</v>
          </cell>
          <cell r="AP1685">
            <v>0</v>
          </cell>
          <cell r="AQ1685">
            <v>0</v>
          </cell>
          <cell r="AV1685">
            <v>0</v>
          </cell>
        </row>
        <row r="1686">
          <cell r="E1686" t="str">
            <v>B25016950</v>
          </cell>
          <cell r="AP1686">
            <v>0</v>
          </cell>
          <cell r="AQ1686">
            <v>0</v>
          </cell>
          <cell r="AV1686">
            <v>0</v>
          </cell>
        </row>
        <row r="1687">
          <cell r="E1687" t="str">
            <v>B25016957</v>
          </cell>
          <cell r="AP1687">
            <v>0</v>
          </cell>
          <cell r="AQ1687">
            <v>0</v>
          </cell>
          <cell r="AV1687">
            <v>0</v>
          </cell>
        </row>
        <row r="1688">
          <cell r="E1688" t="str">
            <v>D25019538</v>
          </cell>
          <cell r="AP1688">
            <v>0</v>
          </cell>
          <cell r="AQ1688">
            <v>0</v>
          </cell>
          <cell r="AV1688">
            <v>0</v>
          </cell>
        </row>
        <row r="1689">
          <cell r="E1689" t="str">
            <v>B25017082</v>
          </cell>
          <cell r="AP1689">
            <v>0</v>
          </cell>
          <cell r="AQ1689">
            <v>0</v>
          </cell>
          <cell r="AV1689">
            <v>0</v>
          </cell>
        </row>
        <row r="1690">
          <cell r="E1690" t="str">
            <v>D25019671</v>
          </cell>
          <cell r="AP1690">
            <v>0</v>
          </cell>
          <cell r="AQ1690">
            <v>0</v>
          </cell>
          <cell r="AV1690">
            <v>0</v>
          </cell>
        </row>
        <row r="1691">
          <cell r="E1691" t="str">
            <v>B25017106</v>
          </cell>
          <cell r="AP1691">
            <v>0</v>
          </cell>
          <cell r="AQ1691">
            <v>0</v>
          </cell>
          <cell r="AV1691">
            <v>0</v>
          </cell>
        </row>
        <row r="1692">
          <cell r="E1692" t="str">
            <v>D25019697</v>
          </cell>
          <cell r="AP1692">
            <v>0</v>
          </cell>
          <cell r="AQ1692">
            <v>0</v>
          </cell>
          <cell r="AV1692">
            <v>0</v>
          </cell>
        </row>
        <row r="1693">
          <cell r="E1693" t="str">
            <v>B26000001</v>
          </cell>
          <cell r="AP1693">
            <v>0</v>
          </cell>
          <cell r="AQ1693">
            <v>0</v>
          </cell>
          <cell r="AV1693">
            <v>0</v>
          </cell>
        </row>
        <row r="1694">
          <cell r="E1694" t="str">
            <v>B26000052</v>
          </cell>
          <cell r="AP1694">
            <v>0</v>
          </cell>
          <cell r="AQ1694">
            <v>0</v>
          </cell>
          <cell r="AV1694">
            <v>0</v>
          </cell>
        </row>
        <row r="1695">
          <cell r="E1695" t="str">
            <v>B26000053</v>
          </cell>
          <cell r="AP1695">
            <v>0</v>
          </cell>
          <cell r="AQ1695">
            <v>0</v>
          </cell>
          <cell r="AV1695">
            <v>0</v>
          </cell>
        </row>
        <row r="1696">
          <cell r="E1696" t="str">
            <v>B26000062</v>
          </cell>
          <cell r="AP1696">
            <v>0</v>
          </cell>
          <cell r="AQ1696">
            <v>0</v>
          </cell>
          <cell r="AV1696">
            <v>0</v>
          </cell>
        </row>
        <row r="1697">
          <cell r="E1697" t="str">
            <v>B26000102</v>
          </cell>
          <cell r="AP1697">
            <v>0</v>
          </cell>
          <cell r="AQ1697">
            <v>0</v>
          </cell>
          <cell r="AV1697">
            <v>0</v>
          </cell>
        </row>
        <row r="1698">
          <cell r="E1698" t="str">
            <v>D26000066</v>
          </cell>
          <cell r="AP1698">
            <v>0</v>
          </cell>
          <cell r="AQ1698">
            <v>0</v>
          </cell>
          <cell r="AV1698">
            <v>0</v>
          </cell>
        </row>
        <row r="1699">
          <cell r="E1699" t="str">
            <v>D26000222</v>
          </cell>
          <cell r="AP1699">
            <v>0</v>
          </cell>
          <cell r="AQ1699">
            <v>0</v>
          </cell>
          <cell r="AV1699">
            <v>0</v>
          </cell>
        </row>
        <row r="1700">
          <cell r="E1700" t="str">
            <v>D26000314</v>
          </cell>
          <cell r="AP1700">
            <v>0</v>
          </cell>
          <cell r="AQ1700">
            <v>0</v>
          </cell>
          <cell r="AV1700">
            <v>0</v>
          </cell>
        </row>
        <row r="1701">
          <cell r="E1701" t="str">
            <v>B26000311</v>
          </cell>
          <cell r="AP1701">
            <v>0</v>
          </cell>
          <cell r="AQ1701">
            <v>0</v>
          </cell>
          <cell r="AV1701">
            <v>0</v>
          </cell>
        </row>
        <row r="1702">
          <cell r="E1702" t="str">
            <v>B26000314</v>
          </cell>
          <cell r="AP1702">
            <v>0</v>
          </cell>
          <cell r="AQ1702">
            <v>0</v>
          </cell>
          <cell r="AV1702">
            <v>0</v>
          </cell>
        </row>
        <row r="1703">
          <cell r="E1703" t="str">
            <v>D26000382</v>
          </cell>
          <cell r="AP1703">
            <v>0</v>
          </cell>
          <cell r="AQ1703">
            <v>0</v>
          </cell>
          <cell r="AV1703">
            <v>0</v>
          </cell>
        </row>
        <row r="1704">
          <cell r="E1704" t="str">
            <v>D26000383</v>
          </cell>
          <cell r="AP1704">
            <v>0</v>
          </cell>
          <cell r="AQ1704">
            <v>0</v>
          </cell>
          <cell r="AV1704">
            <v>0</v>
          </cell>
        </row>
        <row r="1705">
          <cell r="E1705" t="str">
            <v>D26000460</v>
          </cell>
          <cell r="AP1705">
            <v>0</v>
          </cell>
          <cell r="AQ1705">
            <v>0</v>
          </cell>
          <cell r="AV1705">
            <v>0</v>
          </cell>
        </row>
        <row r="1706">
          <cell r="E1706" t="str">
            <v>D26000513</v>
          </cell>
          <cell r="AP1706">
            <v>0</v>
          </cell>
          <cell r="AQ1706">
            <v>0</v>
          </cell>
          <cell r="AV1706">
            <v>0</v>
          </cell>
        </row>
        <row r="1707">
          <cell r="E1707" t="str">
            <v>D26000514</v>
          </cell>
          <cell r="AP1707">
            <v>0</v>
          </cell>
          <cell r="AQ1707">
            <v>0</v>
          </cell>
          <cell r="AV1707">
            <v>0</v>
          </cell>
        </row>
        <row r="1708">
          <cell r="E1708" t="str">
            <v>D26000515</v>
          </cell>
          <cell r="AP1708">
            <v>0</v>
          </cell>
          <cell r="AQ1708">
            <v>0</v>
          </cell>
          <cell r="AV1708">
            <v>0</v>
          </cell>
        </row>
        <row r="1709">
          <cell r="E1709" t="str">
            <v>B26000502</v>
          </cell>
          <cell r="AP1709">
            <v>0</v>
          </cell>
          <cell r="AQ1709">
            <v>0</v>
          </cell>
          <cell r="AV1709">
            <v>0</v>
          </cell>
        </row>
        <row r="1710">
          <cell r="E1710" t="str">
            <v>B26000531</v>
          </cell>
          <cell r="AP1710">
            <v>0</v>
          </cell>
          <cell r="AQ1710">
            <v>0</v>
          </cell>
          <cell r="AV1710">
            <v>0</v>
          </cell>
        </row>
        <row r="1711">
          <cell r="E1711" t="str">
            <v>B26000580</v>
          </cell>
          <cell r="AP1711">
            <v>0</v>
          </cell>
          <cell r="AQ1711">
            <v>0</v>
          </cell>
          <cell r="AV1711">
            <v>0</v>
          </cell>
        </row>
        <row r="1712">
          <cell r="E1712" t="str">
            <v>D26000633</v>
          </cell>
          <cell r="AP1712">
            <v>0</v>
          </cell>
          <cell r="AQ1712">
            <v>0</v>
          </cell>
          <cell r="AV1712">
            <v>0</v>
          </cell>
        </row>
        <row r="1713">
          <cell r="E1713" t="str">
            <v>D26000655</v>
          </cell>
          <cell r="AP1713">
            <v>0</v>
          </cell>
          <cell r="AQ1713">
            <v>0</v>
          </cell>
          <cell r="AV1713">
            <v>0</v>
          </cell>
        </row>
        <row r="1714">
          <cell r="E1714" t="str">
            <v>B26000665</v>
          </cell>
          <cell r="AP1714">
            <v>0</v>
          </cell>
          <cell r="AQ1714">
            <v>0</v>
          </cell>
          <cell r="AV1714">
            <v>0</v>
          </cell>
        </row>
        <row r="1715">
          <cell r="E1715" t="str">
            <v>B26000679</v>
          </cell>
          <cell r="AP1715">
            <v>0</v>
          </cell>
          <cell r="AQ1715">
            <v>0</v>
          </cell>
          <cell r="AV1715">
            <v>0</v>
          </cell>
        </row>
        <row r="1716">
          <cell r="E1716" t="str">
            <v>D26000708</v>
          </cell>
          <cell r="AP1716">
            <v>0</v>
          </cell>
          <cell r="AQ1716">
            <v>0</v>
          </cell>
          <cell r="AV1716">
            <v>0</v>
          </cell>
        </row>
        <row r="1717">
          <cell r="E1717" t="str">
            <v>D26000712</v>
          </cell>
          <cell r="AP1717">
            <v>0</v>
          </cell>
          <cell r="AQ1717">
            <v>0</v>
          </cell>
          <cell r="AV1717">
            <v>0</v>
          </cell>
        </row>
        <row r="1718">
          <cell r="E1718" t="str">
            <v>B26000731</v>
          </cell>
          <cell r="AP1718">
            <v>0</v>
          </cell>
          <cell r="AQ1718">
            <v>0</v>
          </cell>
          <cell r="AV1718">
            <v>0</v>
          </cell>
        </row>
        <row r="1719">
          <cell r="E1719" t="str">
            <v>D26000812</v>
          </cell>
          <cell r="AP1719">
            <v>0</v>
          </cell>
          <cell r="AQ1719">
            <v>0</v>
          </cell>
          <cell r="AV1719">
            <v>0</v>
          </cell>
        </row>
        <row r="1720">
          <cell r="E1720" t="str">
            <v>B26000778</v>
          </cell>
          <cell r="AP1720">
            <v>0</v>
          </cell>
          <cell r="AQ1720">
            <v>0</v>
          </cell>
          <cell r="AV1720">
            <v>0</v>
          </cell>
        </row>
        <row r="1721">
          <cell r="E1721" t="str">
            <v>D26000848</v>
          </cell>
          <cell r="AP1721">
            <v>0</v>
          </cell>
          <cell r="AQ1721">
            <v>0</v>
          </cell>
          <cell r="AV1721">
            <v>0</v>
          </cell>
        </row>
        <row r="1722">
          <cell r="E1722" t="str">
            <v>B26000811</v>
          </cell>
          <cell r="AP1722">
            <v>0</v>
          </cell>
          <cell r="AQ1722">
            <v>0</v>
          </cell>
          <cell r="AV1722">
            <v>0</v>
          </cell>
        </row>
        <row r="1723">
          <cell r="E1723" t="str">
            <v>B26000842</v>
          </cell>
          <cell r="AP1723">
            <v>0</v>
          </cell>
          <cell r="AQ1723">
            <v>0</v>
          </cell>
          <cell r="AV1723">
            <v>0</v>
          </cell>
        </row>
        <row r="1724">
          <cell r="E1724" t="str">
            <v>B26000843</v>
          </cell>
          <cell r="AP1724">
            <v>0</v>
          </cell>
          <cell r="AQ1724">
            <v>0</v>
          </cell>
          <cell r="AV1724">
            <v>0</v>
          </cell>
        </row>
        <row r="1725">
          <cell r="E1725" t="str">
            <v>B26000894</v>
          </cell>
          <cell r="AP1725">
            <v>0</v>
          </cell>
          <cell r="AQ1725">
            <v>0</v>
          </cell>
          <cell r="AV1725">
            <v>0</v>
          </cell>
        </row>
        <row r="1726">
          <cell r="E1726" t="str">
            <v>B26000895</v>
          </cell>
          <cell r="AP1726">
            <v>0</v>
          </cell>
          <cell r="AQ1726">
            <v>0</v>
          </cell>
          <cell r="AV1726">
            <v>0</v>
          </cell>
        </row>
        <row r="1727">
          <cell r="E1727" t="str">
            <v>B26000907</v>
          </cell>
          <cell r="AP1727">
            <v>0</v>
          </cell>
          <cell r="AQ1727">
            <v>0</v>
          </cell>
          <cell r="AV1727">
            <v>0</v>
          </cell>
        </row>
        <row r="1728">
          <cell r="E1728" t="str">
            <v>D26001026</v>
          </cell>
          <cell r="AP1728">
            <v>0</v>
          </cell>
          <cell r="AQ1728">
            <v>0</v>
          </cell>
          <cell r="AV1728">
            <v>0</v>
          </cell>
        </row>
        <row r="1729">
          <cell r="E1729" t="str">
            <v>D26001084</v>
          </cell>
          <cell r="AP1729">
            <v>0</v>
          </cell>
          <cell r="AQ1729">
            <v>0</v>
          </cell>
          <cell r="AV1729">
            <v>0</v>
          </cell>
        </row>
        <row r="1730">
          <cell r="E1730" t="str">
            <v>B26001113</v>
          </cell>
          <cell r="AP1730">
            <v>0</v>
          </cell>
          <cell r="AQ1730">
            <v>0</v>
          </cell>
          <cell r="AV1730">
            <v>0</v>
          </cell>
        </row>
        <row r="1731">
          <cell r="E1731" t="str">
            <v>D26001153</v>
          </cell>
          <cell r="AP1731">
            <v>0</v>
          </cell>
          <cell r="AQ1731">
            <v>0</v>
          </cell>
          <cell r="AV1731">
            <v>0</v>
          </cell>
        </row>
        <row r="1732">
          <cell r="E1732" t="str">
            <v>D26001171</v>
          </cell>
          <cell r="AP1732">
            <v>0</v>
          </cell>
          <cell r="AQ1732">
            <v>0</v>
          </cell>
          <cell r="AV1732">
            <v>0</v>
          </cell>
        </row>
        <row r="1733">
          <cell r="E1733" t="str">
            <v>D26001172</v>
          </cell>
          <cell r="AP1733">
            <v>0</v>
          </cell>
          <cell r="AQ1733">
            <v>0</v>
          </cell>
          <cell r="AV1733">
            <v>0</v>
          </cell>
        </row>
        <row r="1734">
          <cell r="E1734" t="str">
            <v>B26001146</v>
          </cell>
          <cell r="AP1734">
            <v>0</v>
          </cell>
          <cell r="AQ1734">
            <v>0</v>
          </cell>
          <cell r="AV1734">
            <v>0</v>
          </cell>
        </row>
        <row r="1735">
          <cell r="E1735" t="str">
            <v>D26001224</v>
          </cell>
          <cell r="AP1735">
            <v>0</v>
          </cell>
          <cell r="AQ1735">
            <v>0</v>
          </cell>
          <cell r="AV1735">
            <v>0</v>
          </cell>
        </row>
        <row r="1736">
          <cell r="E1736" t="str">
            <v>B26001218</v>
          </cell>
          <cell r="AP1736">
            <v>0</v>
          </cell>
          <cell r="AQ1736">
            <v>0</v>
          </cell>
          <cell r="AV1736">
            <v>0</v>
          </cell>
        </row>
        <row r="1737">
          <cell r="E1737" t="str">
            <v>B26001219</v>
          </cell>
          <cell r="AP1737">
            <v>0</v>
          </cell>
          <cell r="AQ1737">
            <v>0</v>
          </cell>
          <cell r="AV1737">
            <v>0</v>
          </cell>
        </row>
        <row r="1738">
          <cell r="E1738" t="str">
            <v>D26001283</v>
          </cell>
          <cell r="AP1738">
            <v>0</v>
          </cell>
          <cell r="AQ1738">
            <v>0</v>
          </cell>
          <cell r="AV1738">
            <v>0</v>
          </cell>
        </row>
        <row r="1739">
          <cell r="E1739" t="str">
            <v>D26001297</v>
          </cell>
          <cell r="AP1739">
            <v>0</v>
          </cell>
          <cell r="AQ1739">
            <v>0</v>
          </cell>
          <cell r="AV1739">
            <v>0</v>
          </cell>
        </row>
        <row r="1740">
          <cell r="E1740" t="str">
            <v>B26001238</v>
          </cell>
          <cell r="AP1740">
            <v>0</v>
          </cell>
          <cell r="AQ1740">
            <v>0</v>
          </cell>
          <cell r="AV1740">
            <v>0</v>
          </cell>
        </row>
        <row r="1741">
          <cell r="E1741" t="str">
            <v>B26001295</v>
          </cell>
          <cell r="AP1741">
            <v>0</v>
          </cell>
          <cell r="AQ1741">
            <v>0</v>
          </cell>
          <cell r="AV1741">
            <v>0</v>
          </cell>
        </row>
        <row r="1742">
          <cell r="E1742" t="str">
            <v>D26001383</v>
          </cell>
          <cell r="AP1742">
            <v>0</v>
          </cell>
          <cell r="AQ1742">
            <v>0</v>
          </cell>
          <cell r="AV1742">
            <v>0</v>
          </cell>
        </row>
        <row r="1743">
          <cell r="E1743" t="str">
            <v>D26001466</v>
          </cell>
          <cell r="AP1743">
            <v>0</v>
          </cell>
          <cell r="AQ1743">
            <v>0</v>
          </cell>
          <cell r="AV1743">
            <v>0</v>
          </cell>
        </row>
        <row r="1744">
          <cell r="E1744" t="str">
            <v>B26001433</v>
          </cell>
          <cell r="AP1744">
            <v>0</v>
          </cell>
          <cell r="AQ1744">
            <v>0</v>
          </cell>
          <cell r="AV1744">
            <v>0</v>
          </cell>
        </row>
        <row r="1745">
          <cell r="E1745" t="str">
            <v>B26001434</v>
          </cell>
          <cell r="AP1745">
            <v>0</v>
          </cell>
          <cell r="AQ1745">
            <v>0</v>
          </cell>
          <cell r="AV1745">
            <v>0</v>
          </cell>
        </row>
        <row r="1746">
          <cell r="E1746" t="str">
            <v>B26001459</v>
          </cell>
          <cell r="AP1746">
            <v>0</v>
          </cell>
          <cell r="AQ1746">
            <v>0</v>
          </cell>
          <cell r="AV1746">
            <v>0</v>
          </cell>
        </row>
        <row r="1747">
          <cell r="E1747" t="str">
            <v>B26001480</v>
          </cell>
          <cell r="AP1747">
            <v>0</v>
          </cell>
          <cell r="AQ1747">
            <v>0</v>
          </cell>
          <cell r="AV1747">
            <v>0</v>
          </cell>
        </row>
        <row r="1748">
          <cell r="E1748" t="str">
            <v>D26001631</v>
          </cell>
          <cell r="AP1748">
            <v>0</v>
          </cell>
          <cell r="AQ1748">
            <v>0</v>
          </cell>
          <cell r="AV1748">
            <v>0</v>
          </cell>
        </row>
        <row r="1749">
          <cell r="E1749" t="str">
            <v>D26001632</v>
          </cell>
          <cell r="AP1749">
            <v>0</v>
          </cell>
          <cell r="AQ1749">
            <v>0</v>
          </cell>
          <cell r="AV1749">
            <v>0</v>
          </cell>
        </row>
        <row r="1750">
          <cell r="E1750" t="str">
            <v>D26001684</v>
          </cell>
          <cell r="AP1750">
            <v>0</v>
          </cell>
          <cell r="AQ1750">
            <v>0</v>
          </cell>
          <cell r="AV1750">
            <v>0</v>
          </cell>
        </row>
        <row r="1751">
          <cell r="E1751" t="str">
            <v>D26001732</v>
          </cell>
          <cell r="AP1751">
            <v>0</v>
          </cell>
          <cell r="AQ1751">
            <v>0</v>
          </cell>
          <cell r="AV1751">
            <v>0</v>
          </cell>
        </row>
        <row r="1752">
          <cell r="E1752" t="str">
            <v>B26000024</v>
          </cell>
          <cell r="AP1752">
            <v>0</v>
          </cell>
          <cell r="AQ1752">
            <v>0</v>
          </cell>
          <cell r="AV1752">
            <v>0</v>
          </cell>
        </row>
        <row r="1753">
          <cell r="E1753" t="str">
            <v>D26000047</v>
          </cell>
          <cell r="AP1753">
            <v>0</v>
          </cell>
          <cell r="AQ1753">
            <v>0</v>
          </cell>
          <cell r="AV1753">
            <v>0</v>
          </cell>
        </row>
        <row r="1754">
          <cell r="E1754" t="str">
            <v>B26000878</v>
          </cell>
          <cell r="AP1754">
            <v>0</v>
          </cell>
          <cell r="AQ1754">
            <v>0</v>
          </cell>
          <cell r="AV1754">
            <v>0</v>
          </cell>
        </row>
        <row r="1755">
          <cell r="E1755" t="str">
            <v>B26000025</v>
          </cell>
          <cell r="AP1755">
            <v>0</v>
          </cell>
          <cell r="AQ1755">
            <v>0</v>
          </cell>
          <cell r="AV1755">
            <v>0</v>
          </cell>
        </row>
        <row r="1756">
          <cell r="E1756" t="str">
            <v>B26000847</v>
          </cell>
          <cell r="AP1756">
            <v>0</v>
          </cell>
          <cell r="AQ1756">
            <v>0</v>
          </cell>
          <cell r="AV1756">
            <v>0</v>
          </cell>
        </row>
        <row r="1757">
          <cell r="E1757" t="str">
            <v>D26001361</v>
          </cell>
          <cell r="AP1757">
            <v>0</v>
          </cell>
          <cell r="AQ1757">
            <v>0</v>
          </cell>
          <cell r="AV1757">
            <v>0</v>
          </cell>
        </row>
        <row r="1758">
          <cell r="E1758" t="str">
            <v>D26001101</v>
          </cell>
          <cell r="AP1758">
            <v>0</v>
          </cell>
          <cell r="AQ1758">
            <v>0</v>
          </cell>
          <cell r="AV1758">
            <v>0</v>
          </cell>
        </row>
        <row r="1759">
          <cell r="E1759" t="str">
            <v>B26001374</v>
          </cell>
          <cell r="AP1759">
            <v>0</v>
          </cell>
          <cell r="AQ1759">
            <v>0</v>
          </cell>
          <cell r="AV1759">
            <v>0</v>
          </cell>
        </row>
        <row r="1760">
          <cell r="E1760" t="str">
            <v>D26001733</v>
          </cell>
          <cell r="AP1760">
            <v>0</v>
          </cell>
          <cell r="AQ1760">
            <v>0</v>
          </cell>
          <cell r="AV1760">
            <v>0</v>
          </cell>
        </row>
        <row r="1761">
          <cell r="E1761" t="str">
            <v>D25019617</v>
          </cell>
          <cell r="AP1761">
            <v>0</v>
          </cell>
          <cell r="AQ1761">
            <v>0</v>
          </cell>
          <cell r="AV1761">
            <v>0</v>
          </cell>
        </row>
        <row r="1762">
          <cell r="E1762" t="str">
            <v>D25019692</v>
          </cell>
          <cell r="AP1762">
            <v>0</v>
          </cell>
          <cell r="AQ1762">
            <v>0</v>
          </cell>
          <cell r="AV1762">
            <v>0</v>
          </cell>
        </row>
        <row r="1763">
          <cell r="E1763" t="str">
            <v>D25019694</v>
          </cell>
          <cell r="AP1763">
            <v>0</v>
          </cell>
          <cell r="AQ1763">
            <v>0</v>
          </cell>
          <cell r="AV1763">
            <v>0</v>
          </cell>
        </row>
        <row r="1764">
          <cell r="E1764" t="str">
            <v>D26000648</v>
          </cell>
          <cell r="AP1764">
            <v>0</v>
          </cell>
          <cell r="AQ1764">
            <v>0</v>
          </cell>
          <cell r="AV1764">
            <v>0</v>
          </cell>
        </row>
        <row r="1765">
          <cell r="E1765" t="str">
            <v>B26000637</v>
          </cell>
          <cell r="AP1765">
            <v>0</v>
          </cell>
          <cell r="AQ1765">
            <v>0</v>
          </cell>
          <cell r="AV1765">
            <v>0</v>
          </cell>
        </row>
        <row r="1766">
          <cell r="E1766" t="str">
            <v>B26000870</v>
          </cell>
          <cell r="AP1766">
            <v>0</v>
          </cell>
          <cell r="AQ1766">
            <v>0</v>
          </cell>
          <cell r="AV1766">
            <v>0</v>
          </cell>
        </row>
        <row r="1767">
          <cell r="E1767" t="str">
            <v>D26000924</v>
          </cell>
          <cell r="AP1767">
            <v>0</v>
          </cell>
          <cell r="AQ1767">
            <v>0</v>
          </cell>
          <cell r="AV1767">
            <v>0</v>
          </cell>
        </row>
        <row r="1768">
          <cell r="E1768" t="str">
            <v>D26001053</v>
          </cell>
          <cell r="AP1768">
            <v>0</v>
          </cell>
          <cell r="AQ1768">
            <v>0</v>
          </cell>
          <cell r="AV1768">
            <v>0</v>
          </cell>
        </row>
        <row r="1769">
          <cell r="E1769" t="str">
            <v>D26001062</v>
          </cell>
          <cell r="AP1769">
            <v>0</v>
          </cell>
          <cell r="AQ1769">
            <v>0</v>
          </cell>
          <cell r="AV1769">
            <v>0</v>
          </cell>
        </row>
        <row r="1770">
          <cell r="E1770" t="str">
            <v>B26001055</v>
          </cell>
          <cell r="AP1770">
            <v>0</v>
          </cell>
          <cell r="AQ1770">
            <v>0</v>
          </cell>
          <cell r="AV1770">
            <v>0</v>
          </cell>
        </row>
        <row r="1771">
          <cell r="E1771" t="str">
            <v>D26001319</v>
          </cell>
          <cell r="AP1771">
            <v>0</v>
          </cell>
          <cell r="AQ1771">
            <v>0</v>
          </cell>
          <cell r="AV1771">
            <v>0</v>
          </cell>
        </row>
        <row r="1772">
          <cell r="E1772" t="str">
            <v>B26001537</v>
          </cell>
          <cell r="AP1772">
            <v>0</v>
          </cell>
          <cell r="AQ1772">
            <v>0</v>
          </cell>
          <cell r="AV1772">
            <v>0</v>
          </cell>
        </row>
        <row r="1773">
          <cell r="E1773" t="str">
            <v>B26001550</v>
          </cell>
          <cell r="AP1773">
            <v>0</v>
          </cell>
          <cell r="AQ1773">
            <v>0</v>
          </cell>
          <cell r="AV1773">
            <v>0</v>
          </cell>
        </row>
        <row r="1774">
          <cell r="E1774" t="str">
            <v>D25018610</v>
          </cell>
          <cell r="AP1774">
            <v>0</v>
          </cell>
          <cell r="AQ1774">
            <v>0</v>
          </cell>
          <cell r="AV1774">
            <v>0</v>
          </cell>
        </row>
        <row r="1775">
          <cell r="E1775" t="str">
            <v>D25019233</v>
          </cell>
          <cell r="AP1775">
            <v>0</v>
          </cell>
          <cell r="AQ1775">
            <v>0</v>
          </cell>
          <cell r="AV1775">
            <v>0</v>
          </cell>
        </row>
        <row r="1776">
          <cell r="E1776" t="str">
            <v>D25019485</v>
          </cell>
          <cell r="AP1776">
            <v>0</v>
          </cell>
          <cell r="AQ1776">
            <v>0</v>
          </cell>
          <cell r="AV1776">
            <v>0</v>
          </cell>
        </row>
        <row r="1777">
          <cell r="E1777" t="str">
            <v>B26000108</v>
          </cell>
          <cell r="AP1777">
            <v>0</v>
          </cell>
          <cell r="AQ1777">
            <v>0</v>
          </cell>
          <cell r="AV1777">
            <v>0</v>
          </cell>
        </row>
        <row r="1778">
          <cell r="E1778" t="str">
            <v>B26000315</v>
          </cell>
          <cell r="AP1778">
            <v>0</v>
          </cell>
          <cell r="AQ1778">
            <v>0</v>
          </cell>
          <cell r="AV1778">
            <v>0</v>
          </cell>
        </row>
        <row r="1779">
          <cell r="E1779" t="str">
            <v>B26001243</v>
          </cell>
          <cell r="AP1779">
            <v>0</v>
          </cell>
          <cell r="AQ1779">
            <v>0</v>
          </cell>
          <cell r="AV1779">
            <v>0</v>
          </cell>
        </row>
        <row r="1780">
          <cell r="E1780" t="str">
            <v>D26001524</v>
          </cell>
          <cell r="AP1780">
            <v>0</v>
          </cell>
          <cell r="AQ1780">
            <v>0</v>
          </cell>
          <cell r="AV1780">
            <v>0</v>
          </cell>
        </row>
        <row r="1781">
          <cell r="E1781" t="str">
            <v>D26001596</v>
          </cell>
          <cell r="AP1781">
            <v>0</v>
          </cell>
          <cell r="AQ1781">
            <v>0</v>
          </cell>
          <cell r="AV1781">
            <v>0</v>
          </cell>
        </row>
        <row r="1782">
          <cell r="E1782" t="str">
            <v>B26001575</v>
          </cell>
          <cell r="AP1782">
            <v>0</v>
          </cell>
          <cell r="AQ1782">
            <v>0</v>
          </cell>
          <cell r="AV1782">
            <v>0</v>
          </cell>
        </row>
        <row r="1783">
          <cell r="E1783" t="str">
            <v>B26001576</v>
          </cell>
          <cell r="AP1783">
            <v>0</v>
          </cell>
          <cell r="AQ1783">
            <v>0</v>
          </cell>
          <cell r="AV1783">
            <v>0</v>
          </cell>
        </row>
        <row r="1784">
          <cell r="E1784" t="str">
            <v>D25016516</v>
          </cell>
          <cell r="AP1784">
            <v>0</v>
          </cell>
          <cell r="AQ1784">
            <v>0</v>
          </cell>
          <cell r="AV1784">
            <v>0</v>
          </cell>
        </row>
        <row r="1785">
          <cell r="E1785" t="str">
            <v>N25000063</v>
          </cell>
          <cell r="AP1785">
            <v>0</v>
          </cell>
          <cell r="AQ1785">
            <v>0</v>
          </cell>
          <cell r="AV1785">
            <v>0</v>
          </cell>
        </row>
        <row r="1786">
          <cell r="E1786" t="str">
            <v>B25016278</v>
          </cell>
          <cell r="AP1786">
            <v>0</v>
          </cell>
          <cell r="AQ1786">
            <v>0</v>
          </cell>
          <cell r="AV1786">
            <v>0</v>
          </cell>
        </row>
        <row r="1787">
          <cell r="E1787" t="str">
            <v>B26000678</v>
          </cell>
          <cell r="AP1787">
            <v>0</v>
          </cell>
          <cell r="AQ1787">
            <v>0</v>
          </cell>
          <cell r="AV1787">
            <v>0</v>
          </cell>
        </row>
        <row r="1788">
          <cell r="E1788" t="str">
            <v>B25014533</v>
          </cell>
          <cell r="AP1788">
            <v>0</v>
          </cell>
          <cell r="AQ1788">
            <v>0</v>
          </cell>
          <cell r="AV1788">
            <v>0</v>
          </cell>
        </row>
        <row r="1789">
          <cell r="E1789" t="str">
            <v>B25014549</v>
          </cell>
          <cell r="AP1789">
            <v>0</v>
          </cell>
          <cell r="AQ1789">
            <v>0</v>
          </cell>
          <cell r="AV1789">
            <v>0</v>
          </cell>
        </row>
        <row r="1790">
          <cell r="E1790" t="str">
            <v>D25017159</v>
          </cell>
          <cell r="AP1790">
            <v>0</v>
          </cell>
          <cell r="AQ1790">
            <v>0</v>
          </cell>
          <cell r="AV1790">
            <v>0</v>
          </cell>
        </row>
        <row r="1791">
          <cell r="E1791" t="str">
            <v>D25017524</v>
          </cell>
          <cell r="AP1791">
            <v>0</v>
          </cell>
          <cell r="AQ1791">
            <v>0</v>
          </cell>
          <cell r="AV1791">
            <v>0</v>
          </cell>
        </row>
        <row r="1792">
          <cell r="E1792" t="str">
            <v>B25015180</v>
          </cell>
          <cell r="AP1792">
            <v>0</v>
          </cell>
          <cell r="AQ1792">
            <v>0</v>
          </cell>
          <cell r="AV1792">
            <v>0</v>
          </cell>
        </row>
        <row r="1793">
          <cell r="E1793" t="str">
            <v>B25015962</v>
          </cell>
          <cell r="AP1793">
            <v>0</v>
          </cell>
          <cell r="AQ1793">
            <v>0</v>
          </cell>
          <cell r="AV1793">
            <v>0</v>
          </cell>
        </row>
        <row r="1794">
          <cell r="E1794" t="str">
            <v>D25018402</v>
          </cell>
          <cell r="AP1794">
            <v>0</v>
          </cell>
          <cell r="AQ1794">
            <v>0</v>
          </cell>
          <cell r="AV1794">
            <v>0</v>
          </cell>
        </row>
        <row r="1795">
          <cell r="E1795" t="str">
            <v>B25016026</v>
          </cell>
          <cell r="AP1795">
            <v>0</v>
          </cell>
          <cell r="AQ1795">
            <v>0</v>
          </cell>
          <cell r="AV1795">
            <v>0</v>
          </cell>
        </row>
        <row r="1796">
          <cell r="E1796" t="str">
            <v>D25019077</v>
          </cell>
          <cell r="AP1796">
            <v>0</v>
          </cell>
          <cell r="AQ1796">
            <v>0</v>
          </cell>
          <cell r="AV1796">
            <v>0</v>
          </cell>
        </row>
        <row r="1797">
          <cell r="E1797" t="str">
            <v>B26000050</v>
          </cell>
          <cell r="AP1797">
            <v>0</v>
          </cell>
          <cell r="AQ1797">
            <v>0</v>
          </cell>
          <cell r="AV1797">
            <v>0</v>
          </cell>
        </row>
        <row r="1798">
          <cell r="E1798" t="str">
            <v>B26000726</v>
          </cell>
          <cell r="AP1798">
            <v>0</v>
          </cell>
          <cell r="AQ1798">
            <v>0</v>
          </cell>
          <cell r="AV1798">
            <v>0</v>
          </cell>
        </row>
        <row r="1799">
          <cell r="E1799" t="str">
            <v>D26000942</v>
          </cell>
          <cell r="AP1799">
            <v>0</v>
          </cell>
          <cell r="AQ1799">
            <v>0</v>
          </cell>
          <cell r="AV1799">
            <v>0</v>
          </cell>
        </row>
        <row r="1800">
          <cell r="E1800" t="str">
            <v>D26001481</v>
          </cell>
          <cell r="AP1800">
            <v>0</v>
          </cell>
          <cell r="AQ1800">
            <v>0</v>
          </cell>
          <cell r="AV1800">
            <v>0</v>
          </cell>
        </row>
        <row r="1801">
          <cell r="E1801" t="str">
            <v>D26001580</v>
          </cell>
          <cell r="AP1801">
            <v>0</v>
          </cell>
          <cell r="AQ1801">
            <v>0</v>
          </cell>
          <cell r="AV1801">
            <v>0</v>
          </cell>
        </row>
        <row r="1802">
          <cell r="E1802" t="str">
            <v>B25014904</v>
          </cell>
          <cell r="AP1802">
            <v>0</v>
          </cell>
          <cell r="AQ1802">
            <v>0</v>
          </cell>
          <cell r="AV1802">
            <v>0</v>
          </cell>
        </row>
        <row r="1803">
          <cell r="E1803" t="str">
            <v>B25015817</v>
          </cell>
          <cell r="AP1803">
            <v>0</v>
          </cell>
          <cell r="AQ1803">
            <v>0</v>
          </cell>
          <cell r="AV1803">
            <v>0</v>
          </cell>
        </row>
        <row r="1804">
          <cell r="E1804" t="str">
            <v>B25016025</v>
          </cell>
          <cell r="AP1804">
            <v>0</v>
          </cell>
          <cell r="AQ1804">
            <v>0</v>
          </cell>
          <cell r="AV1804">
            <v>0</v>
          </cell>
        </row>
        <row r="1805">
          <cell r="E1805" t="str">
            <v>B26000049</v>
          </cell>
          <cell r="AP1805">
            <v>0</v>
          </cell>
          <cell r="AQ1805">
            <v>0</v>
          </cell>
          <cell r="AV1805">
            <v>0</v>
          </cell>
        </row>
        <row r="1806">
          <cell r="E1806" t="str">
            <v>B26001029</v>
          </cell>
          <cell r="AP1806">
            <v>0</v>
          </cell>
          <cell r="AQ1806">
            <v>0</v>
          </cell>
          <cell r="AV1806">
            <v>0</v>
          </cell>
        </row>
        <row r="1807">
          <cell r="E1807" t="str">
            <v>T26000092</v>
          </cell>
          <cell r="AP1807">
            <v>0</v>
          </cell>
          <cell r="AQ1807">
            <v>0</v>
          </cell>
          <cell r="AV1807">
            <v>0</v>
          </cell>
        </row>
        <row r="1808">
          <cell r="E1808" t="str">
            <v>T26000093</v>
          </cell>
          <cell r="AP1808">
            <v>0</v>
          </cell>
          <cell r="AQ1808">
            <v>0</v>
          </cell>
          <cell r="AV1808">
            <v>0</v>
          </cell>
        </row>
        <row r="1809">
          <cell r="E1809" t="str">
            <v>B25015882</v>
          </cell>
          <cell r="AP1809">
            <v>0</v>
          </cell>
          <cell r="AQ1809">
            <v>0</v>
          </cell>
          <cell r="AV1809">
            <v>0</v>
          </cell>
        </row>
        <row r="1810">
          <cell r="E1810" t="str">
            <v>D25018793</v>
          </cell>
          <cell r="AP1810">
            <v>0</v>
          </cell>
          <cell r="AQ1810">
            <v>0</v>
          </cell>
          <cell r="AV1810">
            <v>0</v>
          </cell>
        </row>
        <row r="1811">
          <cell r="E1811" t="str">
            <v>D25019576</v>
          </cell>
          <cell r="AP1811">
            <v>0</v>
          </cell>
          <cell r="AQ1811">
            <v>0</v>
          </cell>
          <cell r="AV1811">
            <v>0</v>
          </cell>
        </row>
        <row r="1812">
          <cell r="E1812" t="str">
            <v>D26000315</v>
          </cell>
          <cell r="AP1812">
            <v>0</v>
          </cell>
          <cell r="AQ1812">
            <v>0</v>
          </cell>
          <cell r="AV1812">
            <v>0</v>
          </cell>
        </row>
        <row r="1813">
          <cell r="E1813" t="str">
            <v>D26000316</v>
          </cell>
          <cell r="AP1813">
            <v>0</v>
          </cell>
          <cell r="AQ1813">
            <v>0</v>
          </cell>
          <cell r="AV1813">
            <v>0</v>
          </cell>
        </row>
        <row r="1814">
          <cell r="E1814" t="str">
            <v>B26000653</v>
          </cell>
          <cell r="AP1814">
            <v>0</v>
          </cell>
          <cell r="AQ1814">
            <v>0</v>
          </cell>
          <cell r="AV1814">
            <v>0</v>
          </cell>
        </row>
        <row r="1815">
          <cell r="E1815" t="str">
            <v>B26001059</v>
          </cell>
          <cell r="AP1815">
            <v>0</v>
          </cell>
          <cell r="AQ1815">
            <v>0</v>
          </cell>
          <cell r="AV1815">
            <v>0</v>
          </cell>
        </row>
        <row r="1816">
          <cell r="E1816" t="str">
            <v>D26001184</v>
          </cell>
          <cell r="AP1816">
            <v>0</v>
          </cell>
          <cell r="AQ1816">
            <v>0</v>
          </cell>
          <cell r="AV1816">
            <v>0</v>
          </cell>
        </row>
        <row r="1817">
          <cell r="E1817" t="str">
            <v>Z25003159</v>
          </cell>
          <cell r="AP1817">
            <v>0</v>
          </cell>
          <cell r="AQ1817">
            <v>0</v>
          </cell>
          <cell r="AV1817">
            <v>0</v>
          </cell>
        </row>
        <row r="1818">
          <cell r="E1818" t="str">
            <v>Z25003176</v>
          </cell>
          <cell r="AP1818">
            <v>0</v>
          </cell>
          <cell r="AQ1818">
            <v>0</v>
          </cell>
          <cell r="AV1818">
            <v>0</v>
          </cell>
        </row>
        <row r="1819">
          <cell r="E1819" t="str">
            <v>Z25003193</v>
          </cell>
          <cell r="AP1819">
            <v>0</v>
          </cell>
          <cell r="AQ1819">
            <v>0</v>
          </cell>
          <cell r="AV1819">
            <v>0</v>
          </cell>
        </row>
        <row r="1820">
          <cell r="E1820" t="str">
            <v>Z25003205</v>
          </cell>
          <cell r="AP1820">
            <v>0</v>
          </cell>
          <cell r="AQ1820">
            <v>0</v>
          </cell>
          <cell r="AV1820">
            <v>0</v>
          </cell>
        </row>
        <row r="1821">
          <cell r="E1821" t="str">
            <v>Z25003261</v>
          </cell>
          <cell r="AP1821">
            <v>0</v>
          </cell>
          <cell r="AQ1821">
            <v>0</v>
          </cell>
          <cell r="AV1821">
            <v>0</v>
          </cell>
        </row>
        <row r="1822">
          <cell r="E1822" t="str">
            <v>Z25003267</v>
          </cell>
          <cell r="AP1822">
            <v>0</v>
          </cell>
          <cell r="AQ1822">
            <v>0</v>
          </cell>
          <cell r="AV1822">
            <v>0</v>
          </cell>
        </row>
        <row r="1823">
          <cell r="E1823" t="str">
            <v>Z25003314</v>
          </cell>
          <cell r="AP1823">
            <v>0</v>
          </cell>
          <cell r="AQ1823">
            <v>0</v>
          </cell>
          <cell r="AV1823">
            <v>0</v>
          </cell>
        </row>
        <row r="1824">
          <cell r="E1824" t="str">
            <v>Z25003333</v>
          </cell>
          <cell r="AP1824">
            <v>0</v>
          </cell>
          <cell r="AQ1824">
            <v>0</v>
          </cell>
          <cell r="AV1824">
            <v>0</v>
          </cell>
        </row>
        <row r="1825">
          <cell r="E1825" t="str">
            <v>Z25003346</v>
          </cell>
          <cell r="AP1825">
            <v>0</v>
          </cell>
          <cell r="AQ1825">
            <v>0</v>
          </cell>
          <cell r="AV1825">
            <v>0</v>
          </cell>
        </row>
        <row r="1826">
          <cell r="E1826" t="str">
            <v>Z25003348</v>
          </cell>
          <cell r="AP1826">
            <v>0</v>
          </cell>
          <cell r="AQ1826">
            <v>0</v>
          </cell>
          <cell r="AV1826">
            <v>0</v>
          </cell>
        </row>
        <row r="1827">
          <cell r="E1827" t="str">
            <v>Z25003358</v>
          </cell>
          <cell r="AP1827">
            <v>0</v>
          </cell>
          <cell r="AQ1827">
            <v>0</v>
          </cell>
          <cell r="AV1827">
            <v>0</v>
          </cell>
        </row>
        <row r="1828">
          <cell r="E1828" t="str">
            <v>Z25003375</v>
          </cell>
          <cell r="AP1828">
            <v>0</v>
          </cell>
          <cell r="AQ1828">
            <v>0</v>
          </cell>
          <cell r="AV1828">
            <v>0</v>
          </cell>
        </row>
        <row r="1829">
          <cell r="E1829" t="str">
            <v>Z26000012</v>
          </cell>
          <cell r="AP1829">
            <v>0</v>
          </cell>
          <cell r="AQ1829">
            <v>0</v>
          </cell>
          <cell r="AV1829">
            <v>0</v>
          </cell>
        </row>
        <row r="1830">
          <cell r="E1830" t="str">
            <v>Z26000029</v>
          </cell>
          <cell r="AP1830">
            <v>0</v>
          </cell>
          <cell r="AQ1830">
            <v>0</v>
          </cell>
          <cell r="AV1830">
            <v>0</v>
          </cell>
        </row>
        <row r="1831">
          <cell r="E1831" t="str">
            <v>Z26000094</v>
          </cell>
          <cell r="AP1831">
            <v>0</v>
          </cell>
          <cell r="AQ1831">
            <v>0</v>
          </cell>
          <cell r="AV1831">
            <v>0</v>
          </cell>
        </row>
        <row r="1832">
          <cell r="E1832" t="str">
            <v>Z26000102</v>
          </cell>
          <cell r="AP1832">
            <v>0</v>
          </cell>
          <cell r="AQ1832">
            <v>0</v>
          </cell>
          <cell r="AV1832">
            <v>0</v>
          </cell>
        </row>
        <row r="1833">
          <cell r="E1833" t="str">
            <v>Z26000130</v>
          </cell>
          <cell r="AP1833">
            <v>0</v>
          </cell>
          <cell r="AQ1833">
            <v>0</v>
          </cell>
          <cell r="AV1833">
            <v>0</v>
          </cell>
        </row>
        <row r="1834">
          <cell r="E1834" t="str">
            <v>Z26000153</v>
          </cell>
          <cell r="AP1834">
            <v>0</v>
          </cell>
          <cell r="AQ1834">
            <v>0</v>
          </cell>
          <cell r="AV1834">
            <v>0</v>
          </cell>
        </row>
        <row r="1835">
          <cell r="E1835" t="str">
            <v>Z26000177</v>
          </cell>
          <cell r="AP1835">
            <v>0</v>
          </cell>
          <cell r="AQ1835">
            <v>0</v>
          </cell>
          <cell r="AV1835">
            <v>0</v>
          </cell>
        </row>
        <row r="1836">
          <cell r="E1836" t="str">
            <v>Z26000220</v>
          </cell>
          <cell r="AP1836">
            <v>0</v>
          </cell>
          <cell r="AQ1836">
            <v>0</v>
          </cell>
          <cell r="AV1836">
            <v>0</v>
          </cell>
        </row>
        <row r="1837">
          <cell r="E1837" t="str">
            <v>Z26000279</v>
          </cell>
          <cell r="AP1837">
            <v>0</v>
          </cell>
          <cell r="AQ1837">
            <v>0</v>
          </cell>
          <cell r="AV1837">
            <v>0</v>
          </cell>
        </row>
        <row r="1838">
          <cell r="E1838" t="str">
            <v>D25017662</v>
          </cell>
          <cell r="AP1838">
            <v>0</v>
          </cell>
          <cell r="AQ1838">
            <v>0</v>
          </cell>
          <cell r="AV1838">
            <v>0</v>
          </cell>
        </row>
        <row r="1839">
          <cell r="E1839" t="str">
            <v>D25017911</v>
          </cell>
          <cell r="AP1839">
            <v>0</v>
          </cell>
          <cell r="AQ1839">
            <v>0</v>
          </cell>
          <cell r="AV1839">
            <v>0</v>
          </cell>
        </row>
        <row r="1840">
          <cell r="E1840" t="str">
            <v>D25017932</v>
          </cell>
          <cell r="AP1840">
            <v>0</v>
          </cell>
          <cell r="AQ1840">
            <v>0</v>
          </cell>
          <cell r="AV1840">
            <v>0</v>
          </cell>
        </row>
        <row r="1841">
          <cell r="E1841" t="str">
            <v>D25017933</v>
          </cell>
          <cell r="AP1841">
            <v>0</v>
          </cell>
          <cell r="AQ1841">
            <v>0</v>
          </cell>
          <cell r="AV1841">
            <v>0</v>
          </cell>
        </row>
        <row r="1842">
          <cell r="E1842" t="str">
            <v>D25018001</v>
          </cell>
          <cell r="AP1842">
            <v>0</v>
          </cell>
          <cell r="AQ1842">
            <v>0</v>
          </cell>
          <cell r="AV1842">
            <v>0</v>
          </cell>
        </row>
        <row r="1843">
          <cell r="E1843" t="str">
            <v>D25018139</v>
          </cell>
          <cell r="AP1843">
            <v>0</v>
          </cell>
          <cell r="AQ1843">
            <v>0</v>
          </cell>
          <cell r="AV1843">
            <v>0</v>
          </cell>
        </row>
        <row r="1844">
          <cell r="E1844" t="str">
            <v>D25018229</v>
          </cell>
          <cell r="AP1844">
            <v>0</v>
          </cell>
          <cell r="AQ1844">
            <v>0</v>
          </cell>
          <cell r="AV1844">
            <v>0</v>
          </cell>
        </row>
        <row r="1845">
          <cell r="E1845" t="str">
            <v>B25015912</v>
          </cell>
          <cell r="AP1845">
            <v>0</v>
          </cell>
          <cell r="AQ1845">
            <v>0</v>
          </cell>
          <cell r="AV1845">
            <v>0</v>
          </cell>
        </row>
        <row r="1846">
          <cell r="E1846" t="str">
            <v>D25018287</v>
          </cell>
          <cell r="AP1846">
            <v>0</v>
          </cell>
          <cell r="AQ1846">
            <v>0</v>
          </cell>
          <cell r="AV1846">
            <v>0</v>
          </cell>
        </row>
        <row r="1847">
          <cell r="E1847" t="str">
            <v>D25018353</v>
          </cell>
          <cell r="AP1847">
            <v>0</v>
          </cell>
          <cell r="AQ1847">
            <v>0</v>
          </cell>
          <cell r="AV1847">
            <v>0</v>
          </cell>
        </row>
        <row r="1848">
          <cell r="E1848" t="str">
            <v>D25018429</v>
          </cell>
          <cell r="AP1848">
            <v>0</v>
          </cell>
          <cell r="AQ1848">
            <v>0</v>
          </cell>
          <cell r="AV1848">
            <v>0</v>
          </cell>
        </row>
        <row r="1849">
          <cell r="E1849" t="str">
            <v>D25018492</v>
          </cell>
          <cell r="AP1849">
            <v>0</v>
          </cell>
          <cell r="AQ1849">
            <v>0</v>
          </cell>
          <cell r="AV1849">
            <v>0</v>
          </cell>
        </row>
        <row r="1850">
          <cell r="E1850" t="str">
            <v>D25018617</v>
          </cell>
          <cell r="AP1850">
            <v>0</v>
          </cell>
          <cell r="AQ1850">
            <v>0</v>
          </cell>
          <cell r="AV1850">
            <v>0</v>
          </cell>
        </row>
        <row r="1851">
          <cell r="E1851" t="str">
            <v>B25016247</v>
          </cell>
          <cell r="AP1851">
            <v>0</v>
          </cell>
          <cell r="AQ1851">
            <v>0</v>
          </cell>
          <cell r="AV1851">
            <v>0</v>
          </cell>
        </row>
        <row r="1852">
          <cell r="E1852" t="str">
            <v>B25016267</v>
          </cell>
          <cell r="AP1852">
            <v>0</v>
          </cell>
          <cell r="AQ1852">
            <v>0</v>
          </cell>
          <cell r="AV1852">
            <v>0</v>
          </cell>
        </row>
        <row r="1853">
          <cell r="E1853" t="str">
            <v>B25016447</v>
          </cell>
          <cell r="AP1853">
            <v>0</v>
          </cell>
          <cell r="AQ1853">
            <v>0</v>
          </cell>
          <cell r="AV1853">
            <v>0</v>
          </cell>
        </row>
        <row r="1854">
          <cell r="E1854" t="str">
            <v>B25016509</v>
          </cell>
          <cell r="AP1854">
            <v>0</v>
          </cell>
          <cell r="AQ1854">
            <v>0</v>
          </cell>
          <cell r="AV1854">
            <v>0</v>
          </cell>
        </row>
        <row r="1855">
          <cell r="E1855" t="str">
            <v>B25016792</v>
          </cell>
          <cell r="AP1855">
            <v>0</v>
          </cell>
          <cell r="AQ1855">
            <v>0</v>
          </cell>
          <cell r="AV1855">
            <v>0</v>
          </cell>
        </row>
        <row r="1856">
          <cell r="E1856" t="str">
            <v>D25019469</v>
          </cell>
          <cell r="AP1856">
            <v>0</v>
          </cell>
          <cell r="AQ1856">
            <v>0</v>
          </cell>
          <cell r="AV1856">
            <v>0</v>
          </cell>
        </row>
        <row r="1857">
          <cell r="E1857" t="str">
            <v>B26000118</v>
          </cell>
          <cell r="AP1857">
            <v>0</v>
          </cell>
          <cell r="AQ1857">
            <v>0</v>
          </cell>
          <cell r="AV1857">
            <v>0</v>
          </cell>
        </row>
        <row r="1858">
          <cell r="E1858" t="str">
            <v>D26000102</v>
          </cell>
          <cell r="AP1858">
            <v>0</v>
          </cell>
          <cell r="AQ1858">
            <v>0</v>
          </cell>
          <cell r="AV1858">
            <v>0</v>
          </cell>
        </row>
        <row r="1859">
          <cell r="E1859" t="str">
            <v>B26000292</v>
          </cell>
          <cell r="AP1859">
            <v>0</v>
          </cell>
          <cell r="AQ1859">
            <v>0</v>
          </cell>
          <cell r="AV1859">
            <v>0</v>
          </cell>
        </row>
        <row r="1860">
          <cell r="E1860" t="str">
            <v>B26000293</v>
          </cell>
          <cell r="AP1860">
            <v>0</v>
          </cell>
          <cell r="AQ1860">
            <v>0</v>
          </cell>
          <cell r="AV1860">
            <v>0</v>
          </cell>
        </row>
        <row r="1861">
          <cell r="E1861" t="str">
            <v>B26000528</v>
          </cell>
          <cell r="AP1861">
            <v>0</v>
          </cell>
          <cell r="AQ1861">
            <v>0</v>
          </cell>
          <cell r="AV1861">
            <v>0</v>
          </cell>
        </row>
        <row r="1862">
          <cell r="E1862" t="str">
            <v>B26000572</v>
          </cell>
          <cell r="AP1862">
            <v>0</v>
          </cell>
          <cell r="AQ1862">
            <v>0</v>
          </cell>
          <cell r="AV1862">
            <v>0</v>
          </cell>
        </row>
        <row r="1863">
          <cell r="E1863" t="str">
            <v>B26000621</v>
          </cell>
          <cell r="AP1863">
            <v>0</v>
          </cell>
          <cell r="AQ1863">
            <v>0</v>
          </cell>
          <cell r="AV1863">
            <v>0</v>
          </cell>
        </row>
        <row r="1864">
          <cell r="E1864" t="str">
            <v>B26000671</v>
          </cell>
          <cell r="AP1864">
            <v>0</v>
          </cell>
          <cell r="AQ1864">
            <v>0</v>
          </cell>
          <cell r="AV1864">
            <v>0</v>
          </cell>
        </row>
        <row r="1865">
          <cell r="E1865" t="str">
            <v>B26000696</v>
          </cell>
          <cell r="AP1865">
            <v>0</v>
          </cell>
          <cell r="AQ1865">
            <v>0</v>
          </cell>
          <cell r="AV1865">
            <v>0</v>
          </cell>
        </row>
        <row r="1866">
          <cell r="E1866" t="str">
            <v>B26000829</v>
          </cell>
          <cell r="AP1866">
            <v>0</v>
          </cell>
          <cell r="AQ1866">
            <v>0</v>
          </cell>
          <cell r="AV1866">
            <v>0</v>
          </cell>
        </row>
        <row r="1867">
          <cell r="E1867" t="str">
            <v>B26000865</v>
          </cell>
          <cell r="AP1867">
            <v>0</v>
          </cell>
          <cell r="AQ1867">
            <v>0</v>
          </cell>
          <cell r="AV1867">
            <v>0</v>
          </cell>
        </row>
        <row r="1868">
          <cell r="E1868" t="str">
            <v>B26001201</v>
          </cell>
          <cell r="AP1868">
            <v>0</v>
          </cell>
          <cell r="AQ1868">
            <v>0</v>
          </cell>
          <cell r="AV1868">
            <v>0</v>
          </cell>
        </row>
        <row r="1869">
          <cell r="E1869" t="str">
            <v>B26001231</v>
          </cell>
          <cell r="AP1869">
            <v>0</v>
          </cell>
          <cell r="AQ1869">
            <v>0</v>
          </cell>
          <cell r="AV1869">
            <v>0</v>
          </cell>
        </row>
        <row r="1870">
          <cell r="E1870" t="str">
            <v>B26001233</v>
          </cell>
          <cell r="AP1870">
            <v>0</v>
          </cell>
          <cell r="AQ1870">
            <v>0</v>
          </cell>
          <cell r="AV1870">
            <v>0</v>
          </cell>
        </row>
        <row r="1871">
          <cell r="E1871" t="str">
            <v>B26001289</v>
          </cell>
          <cell r="AP1871">
            <v>0</v>
          </cell>
          <cell r="AQ1871">
            <v>0</v>
          </cell>
          <cell r="AV1871">
            <v>0</v>
          </cell>
        </row>
        <row r="1872">
          <cell r="E1872" t="str">
            <v>B26001340</v>
          </cell>
          <cell r="AP1872">
            <v>0</v>
          </cell>
          <cell r="AQ1872">
            <v>0</v>
          </cell>
          <cell r="AV1872">
            <v>0</v>
          </cell>
        </row>
        <row r="1873">
          <cell r="E1873" t="str">
            <v>B26001341</v>
          </cell>
          <cell r="AP1873">
            <v>0</v>
          </cell>
          <cell r="AQ1873">
            <v>0</v>
          </cell>
          <cell r="AV1873">
            <v>0</v>
          </cell>
        </row>
        <row r="1874">
          <cell r="E1874" t="str">
            <v>B26001348</v>
          </cell>
          <cell r="AP1874">
            <v>0</v>
          </cell>
          <cell r="AQ1874">
            <v>0</v>
          </cell>
          <cell r="AV1874">
            <v>0</v>
          </cell>
        </row>
        <row r="1875">
          <cell r="E1875" t="str">
            <v>B26001382</v>
          </cell>
          <cell r="AP1875">
            <v>0</v>
          </cell>
          <cell r="AQ1875">
            <v>0</v>
          </cell>
          <cell r="AV1875">
            <v>0</v>
          </cell>
        </row>
        <row r="1876">
          <cell r="E1876" t="str">
            <v>B26001383</v>
          </cell>
          <cell r="AP1876">
            <v>0</v>
          </cell>
          <cell r="AQ1876">
            <v>0</v>
          </cell>
          <cell r="AV1876">
            <v>0</v>
          </cell>
        </row>
        <row r="1877">
          <cell r="E1877" t="str">
            <v>B26001464</v>
          </cell>
          <cell r="AP1877">
            <v>0</v>
          </cell>
          <cell r="AQ1877">
            <v>0</v>
          </cell>
          <cell r="AV1877">
            <v>0</v>
          </cell>
        </row>
        <row r="1878">
          <cell r="E1878" t="str">
            <v>B26001466</v>
          </cell>
          <cell r="AP1878">
            <v>0</v>
          </cell>
          <cell r="AQ1878">
            <v>0</v>
          </cell>
          <cell r="AV1878">
            <v>0</v>
          </cell>
        </row>
        <row r="1879">
          <cell r="E1879" t="str">
            <v>B26001551</v>
          </cell>
          <cell r="AP1879">
            <v>0</v>
          </cell>
          <cell r="AQ1879">
            <v>0</v>
          </cell>
          <cell r="AV1879">
            <v>0</v>
          </cell>
        </row>
        <row r="1880">
          <cell r="E1880" t="str">
            <v>B26001552</v>
          </cell>
          <cell r="AP1880">
            <v>0</v>
          </cell>
          <cell r="AQ1880">
            <v>0</v>
          </cell>
          <cell r="AV1880">
            <v>0</v>
          </cell>
        </row>
        <row r="1881">
          <cell r="E1881" t="str">
            <v>B26000380</v>
          </cell>
          <cell r="AP1881">
            <v>0</v>
          </cell>
          <cell r="AQ1881">
            <v>0</v>
          </cell>
          <cell r="AV1881">
            <v>0</v>
          </cell>
        </row>
        <row r="1882">
          <cell r="E1882" t="str">
            <v>B25002140</v>
          </cell>
          <cell r="AP1882">
            <v>0</v>
          </cell>
          <cell r="AQ1882">
            <v>0</v>
          </cell>
          <cell r="AV1882">
            <v>0</v>
          </cell>
        </row>
        <row r="1883">
          <cell r="E1883" t="str">
            <v>B25016848</v>
          </cell>
          <cell r="AP1883">
            <v>0</v>
          </cell>
          <cell r="AQ1883">
            <v>0</v>
          </cell>
          <cell r="AV1883">
            <v>0</v>
          </cell>
        </row>
        <row r="1884">
          <cell r="E1884" t="str">
            <v>D25019429</v>
          </cell>
          <cell r="AP1884">
            <v>0</v>
          </cell>
          <cell r="AQ1884">
            <v>0</v>
          </cell>
          <cell r="AV1884">
            <v>0</v>
          </cell>
        </row>
        <row r="1885">
          <cell r="E1885" t="str">
            <v>B26000013</v>
          </cell>
          <cell r="AP1885">
            <v>0</v>
          </cell>
          <cell r="AQ1885">
            <v>0</v>
          </cell>
          <cell r="AV1885">
            <v>0</v>
          </cell>
        </row>
        <row r="1886">
          <cell r="E1886" t="str">
            <v>D26000461</v>
          </cell>
          <cell r="AP1886">
            <v>0</v>
          </cell>
          <cell r="AQ1886">
            <v>0</v>
          </cell>
          <cell r="AV1886">
            <v>0</v>
          </cell>
        </row>
        <row r="1887">
          <cell r="E1887" t="str">
            <v>B26000517</v>
          </cell>
          <cell r="AP1887">
            <v>0</v>
          </cell>
          <cell r="AQ1887">
            <v>0</v>
          </cell>
          <cell r="AV1887">
            <v>0</v>
          </cell>
        </row>
        <row r="1888">
          <cell r="E1888" t="str">
            <v>B26000690</v>
          </cell>
          <cell r="AP1888">
            <v>0</v>
          </cell>
          <cell r="AQ1888">
            <v>0</v>
          </cell>
          <cell r="AV1888">
            <v>0</v>
          </cell>
        </row>
        <row r="1889">
          <cell r="E1889" t="str">
            <v>D26001024</v>
          </cell>
          <cell r="AP1889">
            <v>0</v>
          </cell>
          <cell r="AQ1889">
            <v>0</v>
          </cell>
          <cell r="AV1889">
            <v>0</v>
          </cell>
        </row>
        <row r="1890">
          <cell r="E1890" t="str">
            <v>B26001581</v>
          </cell>
          <cell r="AP1890">
            <v>0</v>
          </cell>
          <cell r="AQ1890">
            <v>0</v>
          </cell>
          <cell r="AV1890">
            <v>0</v>
          </cell>
        </row>
        <row r="1891">
          <cell r="E1891" t="str">
            <v>Z25003195</v>
          </cell>
          <cell r="AP1891">
            <v>0</v>
          </cell>
          <cell r="AQ1891">
            <v>0</v>
          </cell>
          <cell r="AV1891">
            <v>0</v>
          </cell>
        </row>
        <row r="1892">
          <cell r="E1892" t="str">
            <v>Z25003204</v>
          </cell>
          <cell r="AP1892">
            <v>0</v>
          </cell>
          <cell r="AQ1892">
            <v>0</v>
          </cell>
          <cell r="AV1892">
            <v>0</v>
          </cell>
        </row>
        <row r="1893">
          <cell r="E1893" t="str">
            <v>Z25003286</v>
          </cell>
          <cell r="AP1893">
            <v>0</v>
          </cell>
          <cell r="AQ1893">
            <v>0</v>
          </cell>
          <cell r="AV1893">
            <v>0</v>
          </cell>
        </row>
        <row r="1894">
          <cell r="E1894" t="str">
            <v>Z25003297</v>
          </cell>
          <cell r="AP1894">
            <v>0</v>
          </cell>
          <cell r="AQ1894">
            <v>0</v>
          </cell>
          <cell r="AV1894">
            <v>0</v>
          </cell>
        </row>
        <row r="1895">
          <cell r="E1895" t="str">
            <v>Z26000140</v>
          </cell>
          <cell r="AP1895">
            <v>0</v>
          </cell>
          <cell r="AQ1895">
            <v>0</v>
          </cell>
          <cell r="AV1895">
            <v>0</v>
          </cell>
        </row>
        <row r="1896">
          <cell r="E1896" t="str">
            <v>Z26000160</v>
          </cell>
          <cell r="AP1896">
            <v>0</v>
          </cell>
          <cell r="AQ1896">
            <v>0</v>
          </cell>
          <cell r="AV1896">
            <v>0</v>
          </cell>
        </row>
        <row r="1897">
          <cell r="E1897" t="str">
            <v>B25016833</v>
          </cell>
          <cell r="AP1897">
            <v>0</v>
          </cell>
          <cell r="AQ1897">
            <v>0</v>
          </cell>
          <cell r="AV1897">
            <v>0</v>
          </cell>
        </row>
        <row r="1898">
          <cell r="E1898" t="str">
            <v>B25016892</v>
          </cell>
          <cell r="AP1898">
            <v>0</v>
          </cell>
          <cell r="AQ1898">
            <v>0</v>
          </cell>
          <cell r="AV1898">
            <v>0</v>
          </cell>
        </row>
        <row r="1899">
          <cell r="E1899" t="str">
            <v>D26000030</v>
          </cell>
          <cell r="AP1899">
            <v>0</v>
          </cell>
          <cell r="AQ1899">
            <v>0</v>
          </cell>
          <cell r="AV1899">
            <v>0</v>
          </cell>
        </row>
        <row r="1900">
          <cell r="E1900" t="str">
            <v>D25018540</v>
          </cell>
          <cell r="AP1900">
            <v>0</v>
          </cell>
          <cell r="AQ1900">
            <v>0</v>
          </cell>
          <cell r="AV1900">
            <v>0</v>
          </cell>
        </row>
        <row r="1901">
          <cell r="E1901" t="str">
            <v>D25018671</v>
          </cell>
          <cell r="AP1901">
            <v>0</v>
          </cell>
          <cell r="AQ1901">
            <v>0</v>
          </cell>
          <cell r="AV1901">
            <v>0</v>
          </cell>
        </row>
        <row r="1902">
          <cell r="E1902" t="str">
            <v>B25016259</v>
          </cell>
          <cell r="AP1902">
            <v>0</v>
          </cell>
          <cell r="AQ1902">
            <v>0</v>
          </cell>
          <cell r="AV1902">
            <v>0</v>
          </cell>
        </row>
        <row r="1903">
          <cell r="E1903" t="str">
            <v>D25019399</v>
          </cell>
          <cell r="AP1903">
            <v>0</v>
          </cell>
          <cell r="AQ1903">
            <v>0</v>
          </cell>
          <cell r="AV1903">
            <v>0</v>
          </cell>
        </row>
        <row r="1904">
          <cell r="E1904" t="str">
            <v>B25016922</v>
          </cell>
          <cell r="AP1904">
            <v>0</v>
          </cell>
          <cell r="AQ1904">
            <v>0</v>
          </cell>
          <cell r="AV1904">
            <v>0</v>
          </cell>
        </row>
        <row r="1905">
          <cell r="E1905" t="str">
            <v>C25000307</v>
          </cell>
          <cell r="AP1905">
            <v>0</v>
          </cell>
          <cell r="AQ1905">
            <v>0</v>
          </cell>
          <cell r="AV1905">
            <v>0</v>
          </cell>
        </row>
        <row r="1906">
          <cell r="E1906" t="str">
            <v>D24015365</v>
          </cell>
          <cell r="AP1906">
            <v>0</v>
          </cell>
          <cell r="AQ1906">
            <v>0</v>
          </cell>
          <cell r="AV1906">
            <v>0</v>
          </cell>
        </row>
        <row r="1907">
          <cell r="E1907" t="str">
            <v>D24015541</v>
          </cell>
          <cell r="AP1907">
            <v>0</v>
          </cell>
          <cell r="AQ1907">
            <v>0</v>
          </cell>
          <cell r="AV1907">
            <v>0</v>
          </cell>
        </row>
        <row r="1908">
          <cell r="E1908" t="str">
            <v>C25000192</v>
          </cell>
          <cell r="AP1908">
            <v>0</v>
          </cell>
          <cell r="AQ1908">
            <v>0</v>
          </cell>
          <cell r="AV1908">
            <v>0</v>
          </cell>
        </row>
        <row r="1909">
          <cell r="E1909" t="str">
            <v>C25000195</v>
          </cell>
          <cell r="AP1909">
            <v>0</v>
          </cell>
          <cell r="AQ1909">
            <v>0</v>
          </cell>
          <cell r="AV1909">
            <v>0</v>
          </cell>
        </row>
        <row r="1910">
          <cell r="E1910" t="str">
            <v>C25000196</v>
          </cell>
          <cell r="AP1910">
            <v>0</v>
          </cell>
          <cell r="AQ1910">
            <v>0</v>
          </cell>
          <cell r="AV1910">
            <v>0</v>
          </cell>
        </row>
        <row r="1911">
          <cell r="E1911" t="str">
            <v>C25000197</v>
          </cell>
          <cell r="AP1911">
            <v>0</v>
          </cell>
          <cell r="AQ1911">
            <v>0</v>
          </cell>
          <cell r="AV1911">
            <v>0</v>
          </cell>
        </row>
        <row r="1912">
          <cell r="E1912" t="str">
            <v>C25000198</v>
          </cell>
          <cell r="AP1912">
            <v>0</v>
          </cell>
          <cell r="AQ1912">
            <v>0</v>
          </cell>
          <cell r="AV1912">
            <v>0</v>
          </cell>
        </row>
        <row r="1913">
          <cell r="E1913" t="str">
            <v>C25000445</v>
          </cell>
          <cell r="AP1913">
            <v>0</v>
          </cell>
          <cell r="AQ1913">
            <v>0</v>
          </cell>
          <cell r="AV1913">
            <v>0</v>
          </cell>
        </row>
        <row r="1914">
          <cell r="E1914" t="str">
            <v>B25008299</v>
          </cell>
          <cell r="AP1914">
            <v>0</v>
          </cell>
          <cell r="AQ1914">
            <v>0</v>
          </cell>
          <cell r="AV1914">
            <v>0</v>
          </cell>
        </row>
        <row r="1915">
          <cell r="E1915" t="str">
            <v>B25008808</v>
          </cell>
          <cell r="AP1915">
            <v>0</v>
          </cell>
          <cell r="AQ1915">
            <v>0</v>
          </cell>
          <cell r="AV1915">
            <v>0</v>
          </cell>
        </row>
        <row r="1916">
          <cell r="E1916" t="str">
            <v>B25009712</v>
          </cell>
          <cell r="AP1916">
            <v>0</v>
          </cell>
          <cell r="AQ1916">
            <v>0</v>
          </cell>
          <cell r="AV1916">
            <v>0</v>
          </cell>
        </row>
        <row r="1917">
          <cell r="E1917" t="str">
            <v>M25000081</v>
          </cell>
          <cell r="AP1917">
            <v>0</v>
          </cell>
          <cell r="AQ1917">
            <v>0</v>
          </cell>
          <cell r="AV1917">
            <v>0</v>
          </cell>
        </row>
        <row r="1918">
          <cell r="E1918" t="str">
            <v>D25018593</v>
          </cell>
          <cell r="AP1918">
            <v>0</v>
          </cell>
          <cell r="AQ1918">
            <v>0</v>
          </cell>
          <cell r="AV1918">
            <v>0</v>
          </cell>
        </row>
        <row r="1919">
          <cell r="E1919" t="str">
            <v>B26000145</v>
          </cell>
          <cell r="AP1919">
            <v>0</v>
          </cell>
          <cell r="AQ1919">
            <v>0</v>
          </cell>
          <cell r="AV1919">
            <v>0</v>
          </cell>
        </row>
        <row r="1920">
          <cell r="E1920" t="str">
            <v>B26000146</v>
          </cell>
          <cell r="AP1920">
            <v>0</v>
          </cell>
          <cell r="AQ1920">
            <v>0</v>
          </cell>
          <cell r="AV1920">
            <v>0</v>
          </cell>
        </row>
        <row r="1921">
          <cell r="E1921" t="str">
            <v>D26000177</v>
          </cell>
          <cell r="AP1921">
            <v>0</v>
          </cell>
          <cell r="AQ1921">
            <v>0</v>
          </cell>
          <cell r="AV1921">
            <v>0</v>
          </cell>
        </row>
        <row r="1922">
          <cell r="E1922" t="str">
            <v>D26001416</v>
          </cell>
          <cell r="AP1922">
            <v>0</v>
          </cell>
          <cell r="AQ1922">
            <v>0</v>
          </cell>
          <cell r="AV1922">
            <v>0</v>
          </cell>
        </row>
        <row r="1923">
          <cell r="E1923" t="str">
            <v>D26001537</v>
          </cell>
          <cell r="AP1923">
            <v>0</v>
          </cell>
          <cell r="AQ1923">
            <v>0</v>
          </cell>
          <cell r="AV1923">
            <v>0</v>
          </cell>
        </row>
        <row r="1924">
          <cell r="E1924" t="str">
            <v>D26001621</v>
          </cell>
          <cell r="AP1924">
            <v>0</v>
          </cell>
          <cell r="AQ1924">
            <v>0</v>
          </cell>
          <cell r="AV1924">
            <v>0</v>
          </cell>
        </row>
        <row r="1925">
          <cell r="E1925" t="str">
            <v>D25018553</v>
          </cell>
          <cell r="AP1925">
            <v>0</v>
          </cell>
          <cell r="AQ1925">
            <v>0</v>
          </cell>
          <cell r="AV1925">
            <v>0</v>
          </cell>
        </row>
        <row r="1926">
          <cell r="E1926" t="str">
            <v>D26001327</v>
          </cell>
          <cell r="AP1926">
            <v>0</v>
          </cell>
          <cell r="AQ1926">
            <v>0</v>
          </cell>
          <cell r="AV1926">
            <v>0</v>
          </cell>
        </row>
        <row r="1927">
          <cell r="E1927" t="str">
            <v>T25001822</v>
          </cell>
          <cell r="AP1927">
            <v>0</v>
          </cell>
          <cell r="AQ1927">
            <v>0</v>
          </cell>
          <cell r="AV1927">
            <v>0</v>
          </cell>
        </row>
        <row r="1928">
          <cell r="E1928" t="str">
            <v>B25016227</v>
          </cell>
          <cell r="AP1928">
            <v>0</v>
          </cell>
          <cell r="AQ1928">
            <v>0</v>
          </cell>
          <cell r="AV1928">
            <v>0</v>
          </cell>
        </row>
        <row r="1929">
          <cell r="E1929" t="str">
            <v>D25019423</v>
          </cell>
          <cell r="AP1929">
            <v>0</v>
          </cell>
          <cell r="AQ1929">
            <v>0</v>
          </cell>
          <cell r="AV1929">
            <v>0</v>
          </cell>
        </row>
        <row r="1930">
          <cell r="E1930" t="str">
            <v>B25016972</v>
          </cell>
          <cell r="AP1930">
            <v>0</v>
          </cell>
          <cell r="AQ1930">
            <v>0</v>
          </cell>
          <cell r="AV1930">
            <v>0</v>
          </cell>
        </row>
        <row r="1931">
          <cell r="E1931" t="str">
            <v>B25017133</v>
          </cell>
          <cell r="AP1931">
            <v>0</v>
          </cell>
          <cell r="AQ1931">
            <v>0</v>
          </cell>
          <cell r="AV1931">
            <v>0</v>
          </cell>
        </row>
        <row r="1932">
          <cell r="E1932" t="str">
            <v>B26000326</v>
          </cell>
          <cell r="AP1932">
            <v>0</v>
          </cell>
          <cell r="AQ1932">
            <v>0</v>
          </cell>
          <cell r="AV1932">
            <v>0</v>
          </cell>
        </row>
        <row r="1933">
          <cell r="E1933" t="str">
            <v>B26001041</v>
          </cell>
          <cell r="AP1933">
            <v>0</v>
          </cell>
          <cell r="AQ1933">
            <v>0</v>
          </cell>
          <cell r="AV1933">
            <v>0</v>
          </cell>
        </row>
        <row r="1934">
          <cell r="E1934" t="str">
            <v>B26000030</v>
          </cell>
          <cell r="AP1934">
            <v>0</v>
          </cell>
          <cell r="AQ1934">
            <v>0</v>
          </cell>
          <cell r="AV1934">
            <v>1395000</v>
          </cell>
        </row>
        <row r="1935">
          <cell r="E1935" t="str">
            <v>B26000073</v>
          </cell>
          <cell r="AP1935">
            <v>0</v>
          </cell>
          <cell r="AQ1935">
            <v>0</v>
          </cell>
          <cell r="AV1935">
            <v>5340000</v>
          </cell>
        </row>
        <row r="1936">
          <cell r="E1936" t="str">
            <v>D26000190</v>
          </cell>
          <cell r="AP1936">
            <v>0</v>
          </cell>
          <cell r="AQ1936">
            <v>0</v>
          </cell>
          <cell r="AV1936">
            <v>1580000</v>
          </cell>
        </row>
        <row r="1937">
          <cell r="E1937" t="str">
            <v>D26000235</v>
          </cell>
          <cell r="AP1937">
            <v>0</v>
          </cell>
          <cell r="AQ1937">
            <v>0</v>
          </cell>
          <cell r="AV1937">
            <v>5300000</v>
          </cell>
        </row>
        <row r="1938">
          <cell r="E1938" t="str">
            <v>B26000281</v>
          </cell>
          <cell r="AP1938">
            <v>0</v>
          </cell>
          <cell r="AQ1938">
            <v>0</v>
          </cell>
          <cell r="AV1938">
            <v>0</v>
          </cell>
        </row>
        <row r="1939">
          <cell r="E1939" t="str">
            <v>B26000487</v>
          </cell>
          <cell r="AP1939">
            <v>0</v>
          </cell>
          <cell r="AQ1939">
            <v>0</v>
          </cell>
          <cell r="AV1939">
            <v>0</v>
          </cell>
        </row>
        <row r="1940">
          <cell r="E1940" t="str">
            <v>B26000556</v>
          </cell>
          <cell r="AP1940">
            <v>0</v>
          </cell>
          <cell r="AQ1940">
            <v>0</v>
          </cell>
          <cell r="AV1940">
            <v>0</v>
          </cell>
        </row>
        <row r="1941">
          <cell r="E1941" t="str">
            <v>B26000557</v>
          </cell>
          <cell r="AP1941">
            <v>0</v>
          </cell>
          <cell r="AQ1941">
            <v>0</v>
          </cell>
          <cell r="AV1941">
            <v>0</v>
          </cell>
        </row>
        <row r="1942">
          <cell r="E1942" t="str">
            <v>B26000730</v>
          </cell>
          <cell r="AP1942">
            <v>0</v>
          </cell>
          <cell r="AQ1942">
            <v>0</v>
          </cell>
          <cell r="AV1942">
            <v>0</v>
          </cell>
        </row>
        <row r="1943">
          <cell r="E1943" t="str">
            <v>B26000777</v>
          </cell>
          <cell r="AP1943">
            <v>0</v>
          </cell>
          <cell r="AQ1943">
            <v>0</v>
          </cell>
          <cell r="AV1943">
            <v>0</v>
          </cell>
        </row>
        <row r="1944">
          <cell r="E1944" t="str">
            <v>B26000781</v>
          </cell>
          <cell r="AP1944">
            <v>0</v>
          </cell>
          <cell r="AQ1944">
            <v>0</v>
          </cell>
          <cell r="AV1944">
            <v>0</v>
          </cell>
        </row>
        <row r="1945">
          <cell r="E1945" t="str">
            <v>D26001025</v>
          </cell>
          <cell r="AP1945">
            <v>0</v>
          </cell>
          <cell r="AQ1945">
            <v>0</v>
          </cell>
          <cell r="AV1945">
            <v>0</v>
          </cell>
        </row>
        <row r="1946">
          <cell r="E1946" t="str">
            <v>B26001246</v>
          </cell>
          <cell r="AP1946">
            <v>0</v>
          </cell>
          <cell r="AQ1946">
            <v>0</v>
          </cell>
          <cell r="AV1946">
            <v>0</v>
          </cell>
        </row>
        <row r="1947">
          <cell r="E1947" t="str">
            <v>D26001520</v>
          </cell>
          <cell r="AP1947">
            <v>0</v>
          </cell>
          <cell r="AQ1947">
            <v>0</v>
          </cell>
          <cell r="AV1947">
            <v>0</v>
          </cell>
        </row>
        <row r="1948">
          <cell r="E1948" t="str">
            <v>D25019707</v>
          </cell>
          <cell r="AP1948">
            <v>0</v>
          </cell>
          <cell r="AQ1948">
            <v>0</v>
          </cell>
          <cell r="AV1948">
            <v>0</v>
          </cell>
        </row>
        <row r="1949">
          <cell r="E1949" t="str">
            <v>B26000288</v>
          </cell>
          <cell r="AP1949">
            <v>0</v>
          </cell>
          <cell r="AQ1949">
            <v>0</v>
          </cell>
          <cell r="AV1949">
            <v>0</v>
          </cell>
        </row>
        <row r="1950">
          <cell r="E1950" t="str">
            <v>D26000547</v>
          </cell>
          <cell r="AP1950">
            <v>0</v>
          </cell>
          <cell r="AQ1950">
            <v>0</v>
          </cell>
          <cell r="AV1950">
            <v>0</v>
          </cell>
        </row>
        <row r="1951">
          <cell r="E1951" t="str">
            <v>T26000034</v>
          </cell>
          <cell r="AP1951">
            <v>0</v>
          </cell>
          <cell r="AQ1951">
            <v>0</v>
          </cell>
          <cell r="AV1951">
            <v>0</v>
          </cell>
        </row>
        <row r="1952">
          <cell r="E1952" t="str">
            <v>D26000779</v>
          </cell>
          <cell r="AP1952">
            <v>0</v>
          </cell>
          <cell r="AQ1952">
            <v>0</v>
          </cell>
          <cell r="AV1952">
            <v>0</v>
          </cell>
        </row>
        <row r="1953">
          <cell r="E1953" t="str">
            <v>D26000780</v>
          </cell>
          <cell r="AP1953">
            <v>0</v>
          </cell>
          <cell r="AQ1953">
            <v>0</v>
          </cell>
          <cell r="AV1953">
            <v>0</v>
          </cell>
        </row>
        <row r="1954">
          <cell r="E1954" t="str">
            <v>D26000885</v>
          </cell>
          <cell r="AP1954">
            <v>0</v>
          </cell>
          <cell r="AQ1954">
            <v>0</v>
          </cell>
          <cell r="AV1954">
            <v>0</v>
          </cell>
        </row>
        <row r="1955">
          <cell r="E1955" t="str">
            <v>D26001196</v>
          </cell>
          <cell r="AP1955">
            <v>0</v>
          </cell>
          <cell r="AQ1955">
            <v>0</v>
          </cell>
          <cell r="AV1955">
            <v>0</v>
          </cell>
        </row>
        <row r="1956">
          <cell r="E1956" t="str">
            <v>D26001504</v>
          </cell>
          <cell r="AP1956">
            <v>0</v>
          </cell>
          <cell r="AQ1956">
            <v>0</v>
          </cell>
          <cell r="AV1956">
            <v>0</v>
          </cell>
        </row>
        <row r="1957">
          <cell r="E1957" t="str">
            <v>D26001571</v>
          </cell>
          <cell r="AP1957">
            <v>0</v>
          </cell>
          <cell r="AQ1957">
            <v>0</v>
          </cell>
          <cell r="AV1957">
            <v>0</v>
          </cell>
        </row>
        <row r="1958">
          <cell r="E1958" t="str">
            <v>D26001745</v>
          </cell>
          <cell r="AP1958">
            <v>0</v>
          </cell>
          <cell r="AQ1958">
            <v>0</v>
          </cell>
          <cell r="AV1958">
            <v>0</v>
          </cell>
        </row>
        <row r="1959">
          <cell r="E1959" t="str">
            <v>B25016747</v>
          </cell>
          <cell r="AP1959">
            <v>0</v>
          </cell>
          <cell r="AQ1959">
            <v>0</v>
          </cell>
          <cell r="AV1959">
            <v>0</v>
          </cell>
        </row>
        <row r="1960">
          <cell r="E1960" t="str">
            <v>B25016748</v>
          </cell>
          <cell r="AP1960">
            <v>0</v>
          </cell>
          <cell r="AQ1960">
            <v>0</v>
          </cell>
          <cell r="AV1960">
            <v>0</v>
          </cell>
        </row>
        <row r="1961">
          <cell r="E1961" t="str">
            <v>B26000037</v>
          </cell>
          <cell r="AP1961">
            <v>0</v>
          </cell>
          <cell r="AQ1961">
            <v>0</v>
          </cell>
          <cell r="AV1961">
            <v>0</v>
          </cell>
        </row>
        <row r="1962">
          <cell r="E1962" t="str">
            <v>D26000089</v>
          </cell>
          <cell r="AP1962">
            <v>0</v>
          </cell>
          <cell r="AQ1962">
            <v>0</v>
          </cell>
          <cell r="AV1962">
            <v>0</v>
          </cell>
        </row>
        <row r="1963">
          <cell r="E1963" t="str">
            <v>D26001302</v>
          </cell>
          <cell r="AP1963">
            <v>0</v>
          </cell>
          <cell r="AQ1963">
            <v>0</v>
          </cell>
          <cell r="AV1963">
            <v>0</v>
          </cell>
        </row>
        <row r="1964">
          <cell r="E1964" t="str">
            <v>D26001303</v>
          </cell>
          <cell r="AP1964">
            <v>0</v>
          </cell>
          <cell r="AQ1964">
            <v>0</v>
          </cell>
          <cell r="AV1964">
            <v>0</v>
          </cell>
        </row>
        <row r="1965">
          <cell r="E1965" t="str">
            <v>D26000752</v>
          </cell>
          <cell r="AP1965">
            <v>0</v>
          </cell>
          <cell r="AQ1965">
            <v>0</v>
          </cell>
          <cell r="AV1965">
            <v>0</v>
          </cell>
        </row>
        <row r="1966">
          <cell r="E1966" t="str">
            <v>D26000093</v>
          </cell>
          <cell r="AP1966">
            <v>0</v>
          </cell>
          <cell r="AQ1966">
            <v>0</v>
          </cell>
          <cell r="AV1966">
            <v>0</v>
          </cell>
        </row>
        <row r="1967">
          <cell r="E1967" t="str">
            <v>B26000913</v>
          </cell>
          <cell r="AP1967">
            <v>0</v>
          </cell>
          <cell r="AQ1967">
            <v>0</v>
          </cell>
          <cell r="AV1967">
            <v>0</v>
          </cell>
        </row>
        <row r="1968">
          <cell r="E1968" t="str">
            <v>T25001849</v>
          </cell>
          <cell r="AP1968">
            <v>0</v>
          </cell>
          <cell r="AQ1968">
            <v>0</v>
          </cell>
          <cell r="AV1968">
            <v>0</v>
          </cell>
        </row>
        <row r="1969">
          <cell r="E1969" t="str">
            <v>T25001850</v>
          </cell>
          <cell r="AP1969">
            <v>0</v>
          </cell>
          <cell r="AQ1969">
            <v>0</v>
          </cell>
          <cell r="AV1969">
            <v>0</v>
          </cell>
        </row>
        <row r="1970">
          <cell r="E1970" t="str">
            <v>B26000357</v>
          </cell>
          <cell r="AP1970">
            <v>0</v>
          </cell>
          <cell r="AQ1970">
            <v>0</v>
          </cell>
          <cell r="AV1970">
            <v>0</v>
          </cell>
        </row>
        <row r="1971">
          <cell r="E1971" t="str">
            <v>D26000440</v>
          </cell>
          <cell r="AP1971">
            <v>0</v>
          </cell>
          <cell r="AQ1971">
            <v>0</v>
          </cell>
          <cell r="AV1971">
            <v>0</v>
          </cell>
        </row>
        <row r="1972">
          <cell r="E1972" t="str">
            <v>B25009894</v>
          </cell>
          <cell r="AP1972">
            <v>0</v>
          </cell>
          <cell r="AQ1972">
            <v>0</v>
          </cell>
          <cell r="AV1972">
            <v>0</v>
          </cell>
        </row>
        <row r="1973">
          <cell r="E1973" t="str">
            <v>D25014407</v>
          </cell>
          <cell r="AP1973">
            <v>0</v>
          </cell>
          <cell r="AQ1973">
            <v>0</v>
          </cell>
          <cell r="AV1973">
            <v>0</v>
          </cell>
        </row>
        <row r="1974">
          <cell r="E1974" t="str">
            <v>D25019157</v>
          </cell>
          <cell r="AP1974">
            <v>0</v>
          </cell>
          <cell r="AQ1974">
            <v>0</v>
          </cell>
          <cell r="AV1974">
            <v>0</v>
          </cell>
        </row>
        <row r="1975">
          <cell r="E1975" t="str">
            <v>D26001468</v>
          </cell>
          <cell r="AP1975">
            <v>0</v>
          </cell>
          <cell r="AQ1975">
            <v>0</v>
          </cell>
          <cell r="AV1975">
            <v>0</v>
          </cell>
        </row>
        <row r="1976">
          <cell r="E1976" t="str">
            <v>B26000171</v>
          </cell>
          <cell r="AP1976">
            <v>0</v>
          </cell>
          <cell r="AQ1976">
            <v>0</v>
          </cell>
          <cell r="AV1976">
            <v>0</v>
          </cell>
        </row>
        <row r="1977">
          <cell r="E1977" t="str">
            <v>D26001079</v>
          </cell>
          <cell r="AP1977">
            <v>0</v>
          </cell>
          <cell r="AQ1977">
            <v>0</v>
          </cell>
          <cell r="AV1977">
            <v>0</v>
          </cell>
        </row>
        <row r="1978">
          <cell r="E1978" t="str">
            <v>T25001881k</v>
          </cell>
          <cell r="AP1978">
            <v>0</v>
          </cell>
          <cell r="AQ1978">
            <v>0</v>
          </cell>
          <cell r="AV1978">
            <v>0</v>
          </cell>
        </row>
        <row r="1979">
          <cell r="E1979" t="str">
            <v>D25019605</v>
          </cell>
          <cell r="AP1979">
            <v>0</v>
          </cell>
          <cell r="AQ1979">
            <v>0</v>
          </cell>
          <cell r="AV1979">
            <v>0</v>
          </cell>
        </row>
        <row r="1980">
          <cell r="E1980" t="str">
            <v>T26000023</v>
          </cell>
          <cell r="AP1980">
            <v>0</v>
          </cell>
          <cell r="AQ1980">
            <v>0</v>
          </cell>
          <cell r="AV1980">
            <v>0</v>
          </cell>
        </row>
        <row r="1981">
          <cell r="E1981" t="str">
            <v>D26000738</v>
          </cell>
          <cell r="AP1981">
            <v>0</v>
          </cell>
          <cell r="AQ1981">
            <v>0</v>
          </cell>
          <cell r="AV1981">
            <v>0</v>
          </cell>
        </row>
        <row r="1982">
          <cell r="E1982" t="str">
            <v>B26001319</v>
          </cell>
          <cell r="AP1982">
            <v>0</v>
          </cell>
          <cell r="AQ1982">
            <v>0</v>
          </cell>
          <cell r="AV1982">
            <v>0</v>
          </cell>
        </row>
        <row r="1983">
          <cell r="E1983" t="str">
            <v>B25016739</v>
          </cell>
          <cell r="AP1983">
            <v>0</v>
          </cell>
          <cell r="AQ1983">
            <v>0</v>
          </cell>
          <cell r="AV1983">
            <v>0</v>
          </cell>
        </row>
        <row r="1984">
          <cell r="E1984" t="str">
            <v>B25016739</v>
          </cell>
          <cell r="AP1984">
            <v>0</v>
          </cell>
          <cell r="AQ1984">
            <v>0</v>
          </cell>
          <cell r="AV1984">
            <v>0</v>
          </cell>
        </row>
        <row r="1985">
          <cell r="E1985" t="str">
            <v>B25016739</v>
          </cell>
          <cell r="AP1985">
            <v>0</v>
          </cell>
          <cell r="AQ1985">
            <v>0</v>
          </cell>
          <cell r="AV1985">
            <v>0</v>
          </cell>
        </row>
        <row r="1986">
          <cell r="E1986" t="str">
            <v>B25016740</v>
          </cell>
          <cell r="AP1986">
            <v>0</v>
          </cell>
          <cell r="AQ1986">
            <v>0</v>
          </cell>
          <cell r="AV1986">
            <v>0</v>
          </cell>
        </row>
        <row r="1987">
          <cell r="E1987" t="str">
            <v>B25016740</v>
          </cell>
          <cell r="AP1987">
            <v>0</v>
          </cell>
          <cell r="AQ1987">
            <v>0</v>
          </cell>
          <cell r="AV1987">
            <v>0</v>
          </cell>
        </row>
        <row r="1988">
          <cell r="E1988" t="str">
            <v>D25019250</v>
          </cell>
          <cell r="AP1988">
            <v>0</v>
          </cell>
          <cell r="AQ1988">
            <v>0</v>
          </cell>
          <cell r="AV1988">
            <v>0</v>
          </cell>
        </row>
        <row r="1989">
          <cell r="E1989" t="str">
            <v>D25019250</v>
          </cell>
          <cell r="AP1989">
            <v>0</v>
          </cell>
          <cell r="AQ1989">
            <v>0</v>
          </cell>
          <cell r="AV1989">
            <v>0</v>
          </cell>
        </row>
        <row r="1990">
          <cell r="E1990" t="str">
            <v>D25019250</v>
          </cell>
          <cell r="AP1990">
            <v>0</v>
          </cell>
          <cell r="AQ1990">
            <v>0</v>
          </cell>
          <cell r="AV1990">
            <v>0</v>
          </cell>
        </row>
        <row r="1991">
          <cell r="E1991" t="str">
            <v>B25016887</v>
          </cell>
          <cell r="AP1991">
            <v>0</v>
          </cell>
          <cell r="AQ1991">
            <v>0</v>
          </cell>
          <cell r="AV1991">
            <v>0</v>
          </cell>
        </row>
        <row r="1992">
          <cell r="E1992" t="str">
            <v>B25016947</v>
          </cell>
          <cell r="AP1992">
            <v>0</v>
          </cell>
          <cell r="AQ1992">
            <v>0</v>
          </cell>
          <cell r="AV1992">
            <v>0</v>
          </cell>
        </row>
        <row r="1993">
          <cell r="E1993" t="str">
            <v>D26001633</v>
          </cell>
          <cell r="AP1993">
            <v>0</v>
          </cell>
          <cell r="AQ1993">
            <v>0</v>
          </cell>
          <cell r="AV1993">
            <v>0</v>
          </cell>
        </row>
        <row r="1994">
          <cell r="E1994" t="str">
            <v>D25017428</v>
          </cell>
          <cell r="AP1994">
            <v>0</v>
          </cell>
          <cell r="AQ1994">
            <v>0</v>
          </cell>
          <cell r="AV1994">
            <v>0</v>
          </cell>
        </row>
        <row r="1995">
          <cell r="E1995" t="str">
            <v>B25016171</v>
          </cell>
          <cell r="AP1995">
            <v>0</v>
          </cell>
          <cell r="AQ1995">
            <v>0</v>
          </cell>
          <cell r="AV1995">
            <v>0</v>
          </cell>
        </row>
        <row r="1996">
          <cell r="E1996" t="str">
            <v>D25019645</v>
          </cell>
          <cell r="AP1996">
            <v>0</v>
          </cell>
          <cell r="AQ1996">
            <v>0</v>
          </cell>
          <cell r="AV1996">
            <v>0</v>
          </cell>
        </row>
        <row r="1997">
          <cell r="E1997" t="str">
            <v>D26000850</v>
          </cell>
          <cell r="AP1997">
            <v>0</v>
          </cell>
          <cell r="AQ1997">
            <v>0</v>
          </cell>
          <cell r="AV1997">
            <v>0</v>
          </cell>
        </row>
        <row r="1998">
          <cell r="E1998" t="str">
            <v>B26001089</v>
          </cell>
          <cell r="AP1998">
            <v>0</v>
          </cell>
          <cell r="AQ1998">
            <v>0</v>
          </cell>
          <cell r="AV1998">
            <v>0</v>
          </cell>
        </row>
        <row r="1999">
          <cell r="E1999" t="str">
            <v>B26001313</v>
          </cell>
          <cell r="AP1999">
            <v>0</v>
          </cell>
          <cell r="AQ1999">
            <v>0</v>
          </cell>
          <cell r="AV1999">
            <v>0</v>
          </cell>
        </row>
        <row r="2000">
          <cell r="E2000" t="str">
            <v>B26001585</v>
          </cell>
          <cell r="AP2000">
            <v>0</v>
          </cell>
          <cell r="AQ2000">
            <v>0</v>
          </cell>
          <cell r="AV2000">
            <v>0</v>
          </cell>
        </row>
        <row r="2001">
          <cell r="E2001" t="str">
            <v>D25016631</v>
          </cell>
          <cell r="AP2001">
            <v>0</v>
          </cell>
          <cell r="AQ2001">
            <v>0</v>
          </cell>
          <cell r="AV2001">
            <v>0</v>
          </cell>
        </row>
        <row r="2002">
          <cell r="E2002" t="str">
            <v>T25001655</v>
          </cell>
          <cell r="AP2002">
            <v>0</v>
          </cell>
          <cell r="AQ2002">
            <v>0</v>
          </cell>
          <cell r="AV2002">
            <v>0</v>
          </cell>
        </row>
        <row r="2003">
          <cell r="E2003" t="str">
            <v>D25016872</v>
          </cell>
          <cell r="AP2003">
            <v>0</v>
          </cell>
          <cell r="AQ2003">
            <v>0</v>
          </cell>
          <cell r="AV2003">
            <v>0</v>
          </cell>
        </row>
        <row r="2004">
          <cell r="E2004" t="str">
            <v>D25016902</v>
          </cell>
          <cell r="AP2004">
            <v>0</v>
          </cell>
          <cell r="AQ2004">
            <v>0</v>
          </cell>
          <cell r="AV2004">
            <v>0</v>
          </cell>
        </row>
        <row r="2005">
          <cell r="E2005" t="str">
            <v>T25001703</v>
          </cell>
          <cell r="AP2005">
            <v>0</v>
          </cell>
          <cell r="AQ2005">
            <v>0</v>
          </cell>
          <cell r="AV2005">
            <v>0</v>
          </cell>
        </row>
        <row r="2006">
          <cell r="E2006" t="str">
            <v>B25015308</v>
          </cell>
          <cell r="AP2006">
            <v>0</v>
          </cell>
          <cell r="AQ2006">
            <v>0</v>
          </cell>
          <cell r="AV2006">
            <v>0</v>
          </cell>
        </row>
        <row r="2007">
          <cell r="E2007" t="str">
            <v>B25016198</v>
          </cell>
          <cell r="AP2007">
            <v>0</v>
          </cell>
          <cell r="AQ2007">
            <v>0</v>
          </cell>
          <cell r="AV2007">
            <v>0</v>
          </cell>
        </row>
        <row r="2008">
          <cell r="E2008" t="str">
            <v>B25016199</v>
          </cell>
          <cell r="AP2008">
            <v>0</v>
          </cell>
          <cell r="AQ2008">
            <v>0</v>
          </cell>
          <cell r="AV2008">
            <v>0</v>
          </cell>
        </row>
        <row r="2009">
          <cell r="E2009" t="str">
            <v>B25016200</v>
          </cell>
          <cell r="AP2009">
            <v>0</v>
          </cell>
          <cell r="AQ2009">
            <v>0</v>
          </cell>
          <cell r="AV2009">
            <v>0</v>
          </cell>
        </row>
        <row r="2010">
          <cell r="E2010" t="str">
            <v>D26000630</v>
          </cell>
          <cell r="AP2010">
            <v>0</v>
          </cell>
          <cell r="AQ2010">
            <v>0</v>
          </cell>
          <cell r="AV2010">
            <v>0</v>
          </cell>
        </row>
        <row r="2011">
          <cell r="E2011" t="str">
            <v>D26000631</v>
          </cell>
          <cell r="AP2011">
            <v>0</v>
          </cell>
          <cell r="AQ2011">
            <v>0</v>
          </cell>
          <cell r="AV2011">
            <v>0</v>
          </cell>
        </row>
        <row r="2012">
          <cell r="E2012" t="str">
            <v>T26000033</v>
          </cell>
          <cell r="AP2012">
            <v>0</v>
          </cell>
          <cell r="AQ2012">
            <v>0</v>
          </cell>
          <cell r="AV2012">
            <v>0</v>
          </cell>
        </row>
        <row r="2013">
          <cell r="E2013" t="str">
            <v>D26000911</v>
          </cell>
          <cell r="AP2013">
            <v>0</v>
          </cell>
          <cell r="AQ2013">
            <v>0</v>
          </cell>
          <cell r="AV2013">
            <v>0</v>
          </cell>
        </row>
        <row r="2014">
          <cell r="E2014" t="str">
            <v>B26001613</v>
          </cell>
          <cell r="AP2014">
            <v>0</v>
          </cell>
          <cell r="AQ2014">
            <v>0</v>
          </cell>
          <cell r="AV2014">
            <v>0</v>
          </cell>
        </row>
        <row r="2015">
          <cell r="E2015" t="str">
            <v>D25018823</v>
          </cell>
          <cell r="AP2015">
            <v>0</v>
          </cell>
          <cell r="AQ2015">
            <v>0</v>
          </cell>
          <cell r="AV2015">
            <v>0</v>
          </cell>
        </row>
        <row r="2016">
          <cell r="E2016" t="str">
            <v>D25019101</v>
          </cell>
          <cell r="AP2016">
            <v>0</v>
          </cell>
          <cell r="AQ2016">
            <v>0</v>
          </cell>
          <cell r="AV2016">
            <v>0</v>
          </cell>
        </row>
        <row r="2017">
          <cell r="E2017" t="str">
            <v>D25019298</v>
          </cell>
          <cell r="AP2017">
            <v>0</v>
          </cell>
          <cell r="AQ2017">
            <v>0</v>
          </cell>
          <cell r="AV2017">
            <v>0</v>
          </cell>
        </row>
        <row r="2018">
          <cell r="E2018" t="str">
            <v>B25016923</v>
          </cell>
          <cell r="AP2018">
            <v>0</v>
          </cell>
          <cell r="AQ2018">
            <v>0</v>
          </cell>
          <cell r="AV2018">
            <v>0</v>
          </cell>
        </row>
        <row r="2019">
          <cell r="E2019" t="str">
            <v>D25019463</v>
          </cell>
          <cell r="AP2019">
            <v>0</v>
          </cell>
          <cell r="AQ2019">
            <v>0</v>
          </cell>
          <cell r="AV2019">
            <v>0</v>
          </cell>
        </row>
        <row r="2020">
          <cell r="E2020" t="str">
            <v>D26000125</v>
          </cell>
          <cell r="AP2020">
            <v>0</v>
          </cell>
          <cell r="AQ2020">
            <v>0</v>
          </cell>
          <cell r="AV2020">
            <v>0</v>
          </cell>
        </row>
        <row r="2021">
          <cell r="E2021" t="str">
            <v>D26000501</v>
          </cell>
          <cell r="AP2021">
            <v>0</v>
          </cell>
          <cell r="AQ2021">
            <v>0</v>
          </cell>
          <cell r="AV2021">
            <v>0</v>
          </cell>
        </row>
        <row r="2022">
          <cell r="E2022" t="str">
            <v>D26000524</v>
          </cell>
          <cell r="AP2022">
            <v>0</v>
          </cell>
          <cell r="AQ2022">
            <v>0</v>
          </cell>
          <cell r="AV2022">
            <v>0</v>
          </cell>
        </row>
        <row r="2023">
          <cell r="E2023" t="str">
            <v>D26000525</v>
          </cell>
          <cell r="AP2023">
            <v>0</v>
          </cell>
          <cell r="AQ2023">
            <v>0</v>
          </cell>
          <cell r="AV2023">
            <v>0</v>
          </cell>
        </row>
        <row r="2024">
          <cell r="E2024" t="str">
            <v>D26000541</v>
          </cell>
          <cell r="AP2024">
            <v>0</v>
          </cell>
          <cell r="AQ2024">
            <v>0</v>
          </cell>
          <cell r="AV2024">
            <v>0</v>
          </cell>
        </row>
        <row r="2025">
          <cell r="E2025" t="str">
            <v>D26000542</v>
          </cell>
          <cell r="AP2025">
            <v>0</v>
          </cell>
          <cell r="AQ2025">
            <v>0</v>
          </cell>
          <cell r="AV2025">
            <v>0</v>
          </cell>
        </row>
        <row r="2026">
          <cell r="E2026" t="str">
            <v>B26001159</v>
          </cell>
          <cell r="AP2026">
            <v>0</v>
          </cell>
          <cell r="AQ2026">
            <v>0</v>
          </cell>
          <cell r="AV2026">
            <v>0</v>
          </cell>
        </row>
        <row r="2027">
          <cell r="E2027" t="str">
            <v>B26001164</v>
          </cell>
          <cell r="AP2027">
            <v>0</v>
          </cell>
          <cell r="AQ2027">
            <v>0</v>
          </cell>
          <cell r="AV2027">
            <v>0</v>
          </cell>
        </row>
        <row r="2028">
          <cell r="E2028" t="str">
            <v>D26001298</v>
          </cell>
          <cell r="AP2028">
            <v>0</v>
          </cell>
          <cell r="AQ2028">
            <v>0</v>
          </cell>
          <cell r="AV2028">
            <v>0</v>
          </cell>
        </row>
        <row r="2029">
          <cell r="E2029" t="str">
            <v>D26001313</v>
          </cell>
          <cell r="AP2029">
            <v>0</v>
          </cell>
          <cell r="AQ2029">
            <v>0</v>
          </cell>
          <cell r="AV2029">
            <v>0</v>
          </cell>
        </row>
        <row r="2030">
          <cell r="E2030" t="str">
            <v>D26001380</v>
          </cell>
          <cell r="AP2030">
            <v>0</v>
          </cell>
          <cell r="AQ2030">
            <v>0</v>
          </cell>
          <cell r="AV2030">
            <v>0</v>
          </cell>
        </row>
        <row r="2031">
          <cell r="E2031" t="str">
            <v>D26001382</v>
          </cell>
          <cell r="AP2031">
            <v>0</v>
          </cell>
          <cell r="AQ2031">
            <v>0</v>
          </cell>
          <cell r="AV2031">
            <v>0</v>
          </cell>
        </row>
        <row r="2032">
          <cell r="E2032" t="str">
            <v>D26001428</v>
          </cell>
          <cell r="AP2032">
            <v>0</v>
          </cell>
          <cell r="AQ2032">
            <v>0</v>
          </cell>
          <cell r="AV2032">
            <v>0</v>
          </cell>
        </row>
        <row r="2033">
          <cell r="E2033" t="str">
            <v>B26001435</v>
          </cell>
          <cell r="AP2033">
            <v>0</v>
          </cell>
          <cell r="AQ2033">
            <v>0</v>
          </cell>
          <cell r="AV2033">
            <v>0</v>
          </cell>
        </row>
        <row r="2034">
          <cell r="E2034" t="str">
            <v>D26001644</v>
          </cell>
          <cell r="AP2034">
            <v>0</v>
          </cell>
          <cell r="AQ2034">
            <v>0</v>
          </cell>
          <cell r="AV2034">
            <v>0</v>
          </cell>
        </row>
        <row r="2035">
          <cell r="E2035" t="str">
            <v>D26001645</v>
          </cell>
          <cell r="AP2035">
            <v>0</v>
          </cell>
          <cell r="AQ2035">
            <v>0</v>
          </cell>
          <cell r="AV2035">
            <v>0</v>
          </cell>
        </row>
        <row r="2036">
          <cell r="E2036" t="str">
            <v>D26000259</v>
          </cell>
          <cell r="AP2036">
            <v>0</v>
          </cell>
          <cell r="AQ2036">
            <v>0</v>
          </cell>
          <cell r="AV2036">
            <v>0</v>
          </cell>
        </row>
        <row r="2037">
          <cell r="E2037" t="str">
            <v>D26000265</v>
          </cell>
          <cell r="AP2037">
            <v>0</v>
          </cell>
          <cell r="AQ2037">
            <v>0</v>
          </cell>
          <cell r="AV2037">
            <v>0</v>
          </cell>
        </row>
        <row r="2038">
          <cell r="E2038" t="str">
            <v>D26000384</v>
          </cell>
          <cell r="AP2038">
            <v>0</v>
          </cell>
          <cell r="AQ2038">
            <v>0</v>
          </cell>
          <cell r="AV2038">
            <v>0</v>
          </cell>
        </row>
        <row r="2039">
          <cell r="E2039" t="str">
            <v>B26000695</v>
          </cell>
          <cell r="AP2039">
            <v>0</v>
          </cell>
          <cell r="AQ2039">
            <v>0</v>
          </cell>
          <cell r="AV2039">
            <v>0</v>
          </cell>
        </row>
        <row r="2040">
          <cell r="E2040" t="str">
            <v>D26001111</v>
          </cell>
          <cell r="AP2040">
            <v>0</v>
          </cell>
          <cell r="AQ2040">
            <v>0</v>
          </cell>
          <cell r="AV2040">
            <v>0</v>
          </cell>
        </row>
        <row r="2041">
          <cell r="E2041" t="str">
            <v>B26001065</v>
          </cell>
          <cell r="AP2041">
            <v>0</v>
          </cell>
          <cell r="AQ2041">
            <v>0</v>
          </cell>
          <cell r="AV2041">
            <v>0</v>
          </cell>
        </row>
        <row r="2042">
          <cell r="E2042" t="str">
            <v>D26000393</v>
          </cell>
          <cell r="AP2042">
            <v>0</v>
          </cell>
          <cell r="AQ2042">
            <v>0</v>
          </cell>
          <cell r="AV2042">
            <v>0</v>
          </cell>
        </row>
        <row r="2043">
          <cell r="E2043" t="str">
            <v>D26000431</v>
          </cell>
          <cell r="AP2043">
            <v>0</v>
          </cell>
          <cell r="AQ2043">
            <v>0</v>
          </cell>
          <cell r="AV2043">
            <v>0</v>
          </cell>
        </row>
        <row r="2044">
          <cell r="E2044" t="str">
            <v>B26000625</v>
          </cell>
          <cell r="AP2044">
            <v>0</v>
          </cell>
          <cell r="AQ2044">
            <v>0</v>
          </cell>
          <cell r="AV2044">
            <v>0</v>
          </cell>
        </row>
        <row r="2045">
          <cell r="E2045" t="str">
            <v>D26000901</v>
          </cell>
          <cell r="AP2045">
            <v>0</v>
          </cell>
          <cell r="AQ2045">
            <v>0</v>
          </cell>
          <cell r="AV2045">
            <v>0</v>
          </cell>
        </row>
        <row r="2046">
          <cell r="E2046" t="str">
            <v>D26000916</v>
          </cell>
          <cell r="AP2046">
            <v>0</v>
          </cell>
          <cell r="AQ2046">
            <v>0</v>
          </cell>
          <cell r="AV2046">
            <v>0</v>
          </cell>
        </row>
        <row r="2047">
          <cell r="E2047" t="str">
            <v>D26001146</v>
          </cell>
          <cell r="AP2047">
            <v>0</v>
          </cell>
          <cell r="AQ2047">
            <v>0</v>
          </cell>
          <cell r="AV2047">
            <v>0</v>
          </cell>
        </row>
        <row r="2048">
          <cell r="E2048" t="str">
            <v>B26001472</v>
          </cell>
          <cell r="AP2048">
            <v>0</v>
          </cell>
          <cell r="AQ2048">
            <v>0</v>
          </cell>
          <cell r="AV2048">
            <v>0</v>
          </cell>
        </row>
        <row r="2049">
          <cell r="E2049" t="str">
            <v>B26001555</v>
          </cell>
          <cell r="AP2049">
            <v>0</v>
          </cell>
          <cell r="AQ2049">
            <v>0</v>
          </cell>
          <cell r="AV2049">
            <v>0</v>
          </cell>
        </row>
        <row r="2050">
          <cell r="E2050" t="str">
            <v>D26001719</v>
          </cell>
          <cell r="AP2050">
            <v>0</v>
          </cell>
          <cell r="AQ2050">
            <v>0</v>
          </cell>
          <cell r="AV2050">
            <v>0</v>
          </cell>
        </row>
        <row r="2051">
          <cell r="E2051" t="str">
            <v>T25000698</v>
          </cell>
          <cell r="AP2051">
            <v>0</v>
          </cell>
          <cell r="AQ2051">
            <v>0</v>
          </cell>
          <cell r="AV2051">
            <v>0</v>
          </cell>
        </row>
        <row r="2052">
          <cell r="E2052" t="str">
            <v>T25000700</v>
          </cell>
          <cell r="AP2052">
            <v>0</v>
          </cell>
          <cell r="AQ2052">
            <v>0</v>
          </cell>
          <cell r="AV2052">
            <v>0</v>
          </cell>
        </row>
        <row r="2053">
          <cell r="E2053" t="str">
            <v>D25016721</v>
          </cell>
          <cell r="AP2053">
            <v>0</v>
          </cell>
          <cell r="AQ2053">
            <v>0</v>
          </cell>
          <cell r="AV2053">
            <v>0</v>
          </cell>
        </row>
        <row r="2054">
          <cell r="E2054" t="str">
            <v>B25014674</v>
          </cell>
          <cell r="AP2054">
            <v>0</v>
          </cell>
          <cell r="AQ2054">
            <v>0</v>
          </cell>
          <cell r="AV2054">
            <v>0</v>
          </cell>
        </row>
        <row r="2055">
          <cell r="E2055" t="str">
            <v>B25014675</v>
          </cell>
          <cell r="AP2055">
            <v>0</v>
          </cell>
          <cell r="AQ2055">
            <v>0</v>
          </cell>
          <cell r="AV2055">
            <v>0</v>
          </cell>
        </row>
        <row r="2056">
          <cell r="E2056" t="str">
            <v>D25017210</v>
          </cell>
          <cell r="AP2056">
            <v>0</v>
          </cell>
          <cell r="AQ2056">
            <v>0</v>
          </cell>
          <cell r="AV2056">
            <v>0</v>
          </cell>
        </row>
        <row r="2057">
          <cell r="E2057" t="str">
            <v>B25015697</v>
          </cell>
          <cell r="AP2057">
            <v>0</v>
          </cell>
          <cell r="AQ2057">
            <v>0</v>
          </cell>
          <cell r="AV2057">
            <v>0</v>
          </cell>
        </row>
        <row r="2058">
          <cell r="E2058" t="str">
            <v>D25018775</v>
          </cell>
          <cell r="AP2058">
            <v>0</v>
          </cell>
          <cell r="AQ2058">
            <v>0</v>
          </cell>
          <cell r="AV2058">
            <v>0</v>
          </cell>
        </row>
        <row r="2059">
          <cell r="E2059" t="str">
            <v>D25018776</v>
          </cell>
          <cell r="AP2059">
            <v>0</v>
          </cell>
          <cell r="AQ2059">
            <v>0</v>
          </cell>
          <cell r="AV2059">
            <v>0</v>
          </cell>
        </row>
        <row r="2060">
          <cell r="E2060" t="str">
            <v>D25019491</v>
          </cell>
          <cell r="AP2060">
            <v>0</v>
          </cell>
          <cell r="AQ2060">
            <v>0</v>
          </cell>
          <cell r="AV2060">
            <v>0</v>
          </cell>
        </row>
        <row r="2061">
          <cell r="E2061" t="str">
            <v>B25016962</v>
          </cell>
          <cell r="AP2061">
            <v>0</v>
          </cell>
          <cell r="AQ2061">
            <v>0</v>
          </cell>
          <cell r="AV2061">
            <v>0</v>
          </cell>
        </row>
        <row r="2062">
          <cell r="E2062" t="str">
            <v>D26001199</v>
          </cell>
          <cell r="AP2062">
            <v>0</v>
          </cell>
          <cell r="AQ2062">
            <v>0</v>
          </cell>
          <cell r="AV2062">
            <v>0</v>
          </cell>
        </row>
        <row r="2063">
          <cell r="E2063" t="str">
            <v>D25015491</v>
          </cell>
          <cell r="AP2063">
            <v>0</v>
          </cell>
          <cell r="AQ2063">
            <v>0</v>
          </cell>
          <cell r="AV2063">
            <v>0</v>
          </cell>
        </row>
        <row r="2064">
          <cell r="E2064" t="str">
            <v>D25015492</v>
          </cell>
          <cell r="AP2064">
            <v>0</v>
          </cell>
          <cell r="AQ2064">
            <v>0</v>
          </cell>
          <cell r="AV2064">
            <v>0</v>
          </cell>
        </row>
        <row r="2065">
          <cell r="E2065" t="str">
            <v>D25015518</v>
          </cell>
          <cell r="AP2065">
            <v>0</v>
          </cell>
          <cell r="AQ2065">
            <v>0</v>
          </cell>
          <cell r="AV2065">
            <v>0</v>
          </cell>
        </row>
        <row r="2066">
          <cell r="E2066" t="str">
            <v>D25015519</v>
          </cell>
          <cell r="AP2066">
            <v>0</v>
          </cell>
          <cell r="AQ2066">
            <v>0</v>
          </cell>
          <cell r="AV2066">
            <v>0</v>
          </cell>
        </row>
        <row r="2067">
          <cell r="E2067" t="str">
            <v>D25018010</v>
          </cell>
          <cell r="AP2067">
            <v>0</v>
          </cell>
          <cell r="AQ2067">
            <v>0</v>
          </cell>
          <cell r="AV2067">
            <v>0</v>
          </cell>
        </row>
        <row r="2068">
          <cell r="E2068" t="str">
            <v>D25018011</v>
          </cell>
          <cell r="AP2068">
            <v>0</v>
          </cell>
          <cell r="AQ2068">
            <v>0</v>
          </cell>
          <cell r="AV2068">
            <v>0</v>
          </cell>
        </row>
        <row r="2069">
          <cell r="E2069" t="str">
            <v>B26001039</v>
          </cell>
          <cell r="AP2069">
            <v>0</v>
          </cell>
          <cell r="AQ2069">
            <v>0</v>
          </cell>
          <cell r="AV2069">
            <v>0</v>
          </cell>
        </row>
        <row r="2070">
          <cell r="E2070" t="str">
            <v>D26001222</v>
          </cell>
          <cell r="AP2070">
            <v>0</v>
          </cell>
          <cell r="AQ2070">
            <v>0</v>
          </cell>
          <cell r="AV2070">
            <v>0</v>
          </cell>
        </row>
        <row r="2071">
          <cell r="E2071" t="str">
            <v>B25012709</v>
          </cell>
          <cell r="AP2071">
            <v>0</v>
          </cell>
          <cell r="AQ2071">
            <v>0</v>
          </cell>
          <cell r="AV2071">
            <v>0</v>
          </cell>
        </row>
        <row r="2072">
          <cell r="E2072" t="str">
            <v>B25012875</v>
          </cell>
          <cell r="AP2072">
            <v>0</v>
          </cell>
          <cell r="AQ2072">
            <v>0</v>
          </cell>
          <cell r="AV2072">
            <v>0</v>
          </cell>
        </row>
        <row r="2073">
          <cell r="E2073" t="str">
            <v>B25012876</v>
          </cell>
          <cell r="AP2073">
            <v>0</v>
          </cell>
          <cell r="AQ2073">
            <v>0</v>
          </cell>
          <cell r="AV2073">
            <v>0</v>
          </cell>
        </row>
        <row r="2074">
          <cell r="E2074" t="str">
            <v>B25012907</v>
          </cell>
          <cell r="AP2074">
            <v>0</v>
          </cell>
          <cell r="AQ2074">
            <v>0</v>
          </cell>
          <cell r="AV2074">
            <v>0</v>
          </cell>
        </row>
        <row r="2075">
          <cell r="E2075" t="str">
            <v>D25016022</v>
          </cell>
          <cell r="AP2075">
            <v>0</v>
          </cell>
          <cell r="AQ2075">
            <v>0</v>
          </cell>
          <cell r="AV2075">
            <v>0</v>
          </cell>
        </row>
        <row r="2076">
          <cell r="E2076" t="str">
            <v>D25016347</v>
          </cell>
          <cell r="AP2076">
            <v>0</v>
          </cell>
          <cell r="AQ2076">
            <v>0</v>
          </cell>
          <cell r="AV2076">
            <v>0</v>
          </cell>
        </row>
        <row r="2077">
          <cell r="E2077" t="str">
            <v>B25014255</v>
          </cell>
          <cell r="AP2077">
            <v>0</v>
          </cell>
          <cell r="AQ2077">
            <v>0</v>
          </cell>
          <cell r="AV2077">
            <v>0</v>
          </cell>
        </row>
        <row r="2078">
          <cell r="E2078" t="str">
            <v>B25014494</v>
          </cell>
          <cell r="AP2078">
            <v>0</v>
          </cell>
          <cell r="AQ2078">
            <v>0</v>
          </cell>
          <cell r="AV2078">
            <v>0</v>
          </cell>
        </row>
        <row r="2079">
          <cell r="E2079" t="str">
            <v>D25016931</v>
          </cell>
          <cell r="AP2079">
            <v>0</v>
          </cell>
          <cell r="AQ2079">
            <v>0</v>
          </cell>
          <cell r="AV2079">
            <v>0</v>
          </cell>
        </row>
        <row r="2080">
          <cell r="E2080" t="str">
            <v>D25016947</v>
          </cell>
          <cell r="AP2080">
            <v>0</v>
          </cell>
          <cell r="AQ2080">
            <v>0</v>
          </cell>
          <cell r="AV2080">
            <v>0</v>
          </cell>
        </row>
        <row r="2081">
          <cell r="E2081" t="str">
            <v>D25016948</v>
          </cell>
          <cell r="AP2081">
            <v>0</v>
          </cell>
          <cell r="AQ2081">
            <v>0</v>
          </cell>
          <cell r="AV2081">
            <v>0</v>
          </cell>
        </row>
        <row r="2082">
          <cell r="E2082" t="str">
            <v>B25014783</v>
          </cell>
          <cell r="AP2082">
            <v>0</v>
          </cell>
          <cell r="AQ2082">
            <v>0</v>
          </cell>
          <cell r="AV2082">
            <v>0</v>
          </cell>
        </row>
        <row r="2083">
          <cell r="E2083" t="str">
            <v>B25015004</v>
          </cell>
          <cell r="AP2083">
            <v>0</v>
          </cell>
          <cell r="AQ2083">
            <v>0</v>
          </cell>
          <cell r="AV2083">
            <v>0</v>
          </cell>
        </row>
        <row r="2084">
          <cell r="E2084" t="str">
            <v>B25015067</v>
          </cell>
          <cell r="AP2084">
            <v>0</v>
          </cell>
          <cell r="AQ2084">
            <v>0</v>
          </cell>
          <cell r="AV2084">
            <v>0</v>
          </cell>
        </row>
        <row r="2085">
          <cell r="E2085" t="str">
            <v>D25017412</v>
          </cell>
          <cell r="AP2085">
            <v>0</v>
          </cell>
          <cell r="AQ2085">
            <v>0</v>
          </cell>
          <cell r="AV2085">
            <v>0</v>
          </cell>
        </row>
        <row r="2086">
          <cell r="E2086" t="str">
            <v>B25015250</v>
          </cell>
          <cell r="AP2086">
            <v>0</v>
          </cell>
          <cell r="AQ2086">
            <v>0</v>
          </cell>
          <cell r="AV2086">
            <v>0</v>
          </cell>
        </row>
        <row r="2087">
          <cell r="E2087" t="str">
            <v>B25015395</v>
          </cell>
          <cell r="AP2087">
            <v>0</v>
          </cell>
          <cell r="AQ2087">
            <v>0</v>
          </cell>
          <cell r="AV2087">
            <v>0</v>
          </cell>
        </row>
        <row r="2088">
          <cell r="E2088" t="str">
            <v>D25017843</v>
          </cell>
          <cell r="AP2088">
            <v>0</v>
          </cell>
          <cell r="AQ2088">
            <v>0</v>
          </cell>
          <cell r="AV2088">
            <v>0</v>
          </cell>
        </row>
        <row r="2089">
          <cell r="E2089" t="str">
            <v>B25015533</v>
          </cell>
          <cell r="AP2089">
            <v>0</v>
          </cell>
          <cell r="AQ2089">
            <v>0</v>
          </cell>
          <cell r="AV2089">
            <v>0</v>
          </cell>
        </row>
        <row r="2090">
          <cell r="E2090" t="str">
            <v>D25017972</v>
          </cell>
          <cell r="AP2090">
            <v>0</v>
          </cell>
          <cell r="AQ2090">
            <v>0</v>
          </cell>
          <cell r="AV2090">
            <v>0</v>
          </cell>
        </row>
        <row r="2091">
          <cell r="E2091" t="str">
            <v>D25018032</v>
          </cell>
          <cell r="AP2091">
            <v>0</v>
          </cell>
          <cell r="AQ2091">
            <v>0</v>
          </cell>
          <cell r="AV2091">
            <v>0</v>
          </cell>
        </row>
        <row r="2092">
          <cell r="E2092" t="str">
            <v>B25015677</v>
          </cell>
          <cell r="AP2092">
            <v>0</v>
          </cell>
          <cell r="AQ2092">
            <v>0</v>
          </cell>
          <cell r="AV2092">
            <v>0</v>
          </cell>
        </row>
        <row r="2093">
          <cell r="E2093" t="str">
            <v>D25018648</v>
          </cell>
          <cell r="AP2093">
            <v>0</v>
          </cell>
          <cell r="AQ2093">
            <v>0</v>
          </cell>
          <cell r="AV2093">
            <v>0</v>
          </cell>
        </row>
        <row r="2094">
          <cell r="E2094" t="str">
            <v>D25018929</v>
          </cell>
          <cell r="AP2094">
            <v>0</v>
          </cell>
          <cell r="AQ2094">
            <v>0</v>
          </cell>
          <cell r="AV2094">
            <v>0</v>
          </cell>
        </row>
        <row r="2095">
          <cell r="E2095" t="str">
            <v>B25016629</v>
          </cell>
          <cell r="AP2095">
            <v>0</v>
          </cell>
          <cell r="AQ2095">
            <v>0</v>
          </cell>
          <cell r="AV2095">
            <v>0</v>
          </cell>
        </row>
        <row r="2096">
          <cell r="E2096" t="str">
            <v>D25019093</v>
          </cell>
          <cell r="AP2096">
            <v>0</v>
          </cell>
          <cell r="AQ2096">
            <v>0</v>
          </cell>
          <cell r="AV2096">
            <v>0</v>
          </cell>
        </row>
        <row r="2097">
          <cell r="E2097" t="str">
            <v>D25019171</v>
          </cell>
          <cell r="AP2097">
            <v>0</v>
          </cell>
          <cell r="AQ2097">
            <v>0</v>
          </cell>
          <cell r="AV2097">
            <v>0</v>
          </cell>
        </row>
        <row r="2098">
          <cell r="E2098" t="str">
            <v>B25016746</v>
          </cell>
          <cell r="AP2098">
            <v>0</v>
          </cell>
          <cell r="AQ2098">
            <v>0</v>
          </cell>
          <cell r="AV2098">
            <v>0</v>
          </cell>
        </row>
        <row r="2099">
          <cell r="E2099" t="str">
            <v>D25019258</v>
          </cell>
          <cell r="AP2099">
            <v>0</v>
          </cell>
          <cell r="AQ2099">
            <v>0</v>
          </cell>
          <cell r="AV2099">
            <v>0</v>
          </cell>
        </row>
        <row r="2100">
          <cell r="E2100" t="str">
            <v>B25017047</v>
          </cell>
          <cell r="AP2100">
            <v>0</v>
          </cell>
          <cell r="AQ2100">
            <v>0</v>
          </cell>
          <cell r="AV2100">
            <v>0</v>
          </cell>
        </row>
        <row r="2101">
          <cell r="E2101" t="str">
            <v>B25017107</v>
          </cell>
          <cell r="AP2101">
            <v>0</v>
          </cell>
          <cell r="AQ2101">
            <v>0</v>
          </cell>
          <cell r="AV2101">
            <v>0</v>
          </cell>
        </row>
        <row r="2102">
          <cell r="E2102" t="str">
            <v>B25017109</v>
          </cell>
          <cell r="AP2102">
            <v>0</v>
          </cell>
          <cell r="AQ2102">
            <v>0</v>
          </cell>
          <cell r="AV2102">
            <v>0</v>
          </cell>
        </row>
        <row r="2103">
          <cell r="E2103" t="str">
            <v>D26000485</v>
          </cell>
          <cell r="AP2103">
            <v>0</v>
          </cell>
          <cell r="AQ2103">
            <v>0</v>
          </cell>
          <cell r="AV2103">
            <v>0</v>
          </cell>
        </row>
        <row r="2104">
          <cell r="E2104" t="str">
            <v>D26000506</v>
          </cell>
          <cell r="AP2104">
            <v>0</v>
          </cell>
          <cell r="AQ2104">
            <v>0</v>
          </cell>
          <cell r="AV2104">
            <v>0</v>
          </cell>
        </row>
        <row r="2105">
          <cell r="E2105" t="str">
            <v>D26000575</v>
          </cell>
          <cell r="AP2105">
            <v>0</v>
          </cell>
          <cell r="AQ2105">
            <v>0</v>
          </cell>
          <cell r="AV2105">
            <v>0</v>
          </cell>
        </row>
        <row r="2106">
          <cell r="E2106" t="str">
            <v>D26000852</v>
          </cell>
          <cell r="AP2106">
            <v>0</v>
          </cell>
          <cell r="AQ2106">
            <v>0</v>
          </cell>
          <cell r="AV2106">
            <v>0</v>
          </cell>
        </row>
        <row r="2107">
          <cell r="E2107" t="str">
            <v>D26001446</v>
          </cell>
          <cell r="AP2107">
            <v>0</v>
          </cell>
          <cell r="AQ2107">
            <v>0</v>
          </cell>
          <cell r="AV2107">
            <v>0</v>
          </cell>
        </row>
        <row r="2108">
          <cell r="E2108" t="str">
            <v>D26001587</v>
          </cell>
          <cell r="AP2108">
            <v>0</v>
          </cell>
          <cell r="AQ2108">
            <v>0</v>
          </cell>
          <cell r="AV2108">
            <v>0</v>
          </cell>
        </row>
        <row r="2109">
          <cell r="E2109" t="str">
            <v>D26001625</v>
          </cell>
          <cell r="AP2109">
            <v>0</v>
          </cell>
          <cell r="AQ2109">
            <v>0</v>
          </cell>
          <cell r="AV2109">
            <v>0</v>
          </cell>
        </row>
        <row r="2110">
          <cell r="E2110" t="str">
            <v>T22000046</v>
          </cell>
          <cell r="AP2110">
            <v>0</v>
          </cell>
          <cell r="AQ2110">
            <v>0</v>
          </cell>
          <cell r="AV2110">
            <v>0</v>
          </cell>
        </row>
        <row r="2111">
          <cell r="E2111" t="str">
            <v>T22000053</v>
          </cell>
          <cell r="AP2111">
            <v>0</v>
          </cell>
          <cell r="AQ2111">
            <v>0</v>
          </cell>
          <cell r="AV2111">
            <v>0</v>
          </cell>
        </row>
        <row r="2112">
          <cell r="E2112" t="str">
            <v>T22000087</v>
          </cell>
          <cell r="AP2112">
            <v>0</v>
          </cell>
          <cell r="AQ2112">
            <v>0</v>
          </cell>
          <cell r="AV2112">
            <v>0</v>
          </cell>
        </row>
        <row r="2113">
          <cell r="E2113" t="str">
            <v>T22000122</v>
          </cell>
          <cell r="AP2113">
            <v>0</v>
          </cell>
          <cell r="AQ2113">
            <v>0</v>
          </cell>
          <cell r="AV2113">
            <v>0</v>
          </cell>
        </row>
        <row r="2114">
          <cell r="E2114" t="str">
            <v>T22000134</v>
          </cell>
          <cell r="AP2114">
            <v>0</v>
          </cell>
          <cell r="AQ2114">
            <v>0</v>
          </cell>
          <cell r="AV2114">
            <v>0</v>
          </cell>
        </row>
        <row r="2115">
          <cell r="E2115" t="str">
            <v>T22000139</v>
          </cell>
          <cell r="AP2115">
            <v>0</v>
          </cell>
          <cell r="AQ2115">
            <v>0</v>
          </cell>
          <cell r="AV2115">
            <v>0</v>
          </cell>
        </row>
        <row r="2116">
          <cell r="E2116" t="str">
            <v>T22000141</v>
          </cell>
          <cell r="AP2116">
            <v>0</v>
          </cell>
          <cell r="AQ2116">
            <v>0</v>
          </cell>
          <cell r="AV2116">
            <v>0</v>
          </cell>
        </row>
        <row r="2117">
          <cell r="E2117" t="str">
            <v>T22000167</v>
          </cell>
          <cell r="AP2117">
            <v>0</v>
          </cell>
          <cell r="AQ2117">
            <v>0</v>
          </cell>
          <cell r="AV2117">
            <v>0</v>
          </cell>
        </row>
        <row r="2118">
          <cell r="E2118" t="str">
            <v>T22000207</v>
          </cell>
          <cell r="AP2118">
            <v>0</v>
          </cell>
          <cell r="AQ2118">
            <v>0</v>
          </cell>
          <cell r="AV2118">
            <v>0</v>
          </cell>
        </row>
        <row r="2119">
          <cell r="E2119" t="str">
            <v>T22000231</v>
          </cell>
          <cell r="AP2119">
            <v>0</v>
          </cell>
          <cell r="AQ2119">
            <v>0</v>
          </cell>
          <cell r="AV2119">
            <v>0</v>
          </cell>
        </row>
        <row r="2120">
          <cell r="E2120" t="str">
            <v>T22000254</v>
          </cell>
          <cell r="AP2120">
            <v>0</v>
          </cell>
          <cell r="AQ2120">
            <v>0</v>
          </cell>
          <cell r="AV2120">
            <v>0</v>
          </cell>
        </row>
        <row r="2121">
          <cell r="E2121" t="str">
            <v>T22000265</v>
          </cell>
          <cell r="AP2121">
            <v>0</v>
          </cell>
          <cell r="AQ2121">
            <v>0</v>
          </cell>
          <cell r="AV2121">
            <v>0</v>
          </cell>
        </row>
        <row r="2122">
          <cell r="E2122" t="str">
            <v>T22000282</v>
          </cell>
          <cell r="AP2122">
            <v>0</v>
          </cell>
          <cell r="AQ2122">
            <v>0</v>
          </cell>
          <cell r="AV2122">
            <v>0</v>
          </cell>
        </row>
        <row r="2123">
          <cell r="E2123" t="str">
            <v>T22000316</v>
          </cell>
          <cell r="AP2123">
            <v>0</v>
          </cell>
          <cell r="AQ2123">
            <v>0</v>
          </cell>
          <cell r="AV2123">
            <v>0</v>
          </cell>
        </row>
        <row r="2124">
          <cell r="E2124" t="str">
            <v>T22000338</v>
          </cell>
          <cell r="AP2124">
            <v>0</v>
          </cell>
          <cell r="AQ2124">
            <v>0</v>
          </cell>
          <cell r="AV2124">
            <v>0</v>
          </cell>
        </row>
        <row r="2125">
          <cell r="E2125" t="str">
            <v>T22000378</v>
          </cell>
          <cell r="AP2125">
            <v>0</v>
          </cell>
          <cell r="AQ2125">
            <v>0</v>
          </cell>
          <cell r="AV2125">
            <v>0</v>
          </cell>
        </row>
        <row r="2126">
          <cell r="E2126" t="str">
            <v>T22000394</v>
          </cell>
          <cell r="AP2126">
            <v>0</v>
          </cell>
          <cell r="AQ2126">
            <v>0</v>
          </cell>
          <cell r="AV2126">
            <v>0</v>
          </cell>
        </row>
        <row r="2127">
          <cell r="E2127" t="str">
            <v>T22000405</v>
          </cell>
          <cell r="AP2127">
            <v>0</v>
          </cell>
          <cell r="AQ2127">
            <v>0</v>
          </cell>
          <cell r="AV2127">
            <v>0</v>
          </cell>
        </row>
        <row r="2128">
          <cell r="E2128" t="str">
            <v>T22000425</v>
          </cell>
          <cell r="AP2128">
            <v>0</v>
          </cell>
          <cell r="AQ2128">
            <v>0</v>
          </cell>
          <cell r="AV2128">
            <v>0</v>
          </cell>
        </row>
        <row r="2129">
          <cell r="E2129" t="str">
            <v>T22000456</v>
          </cell>
          <cell r="AP2129">
            <v>0</v>
          </cell>
          <cell r="AQ2129">
            <v>0</v>
          </cell>
          <cell r="AV2129">
            <v>0</v>
          </cell>
        </row>
        <row r="2130">
          <cell r="E2130" t="str">
            <v>T22000472</v>
          </cell>
          <cell r="AP2130">
            <v>0</v>
          </cell>
          <cell r="AQ2130">
            <v>0</v>
          </cell>
          <cell r="AV2130">
            <v>0</v>
          </cell>
        </row>
        <row r="2131">
          <cell r="E2131" t="str">
            <v>T22000491</v>
          </cell>
          <cell r="AP2131">
            <v>0</v>
          </cell>
          <cell r="AQ2131">
            <v>0</v>
          </cell>
          <cell r="AV2131">
            <v>0</v>
          </cell>
        </row>
        <row r="2132">
          <cell r="E2132" t="str">
            <v>T22000520</v>
          </cell>
          <cell r="AP2132">
            <v>0</v>
          </cell>
          <cell r="AQ2132">
            <v>0</v>
          </cell>
          <cell r="AV2132">
            <v>0</v>
          </cell>
        </row>
        <row r="2133">
          <cell r="E2133" t="str">
            <v>T22000560</v>
          </cell>
          <cell r="AP2133">
            <v>0</v>
          </cell>
          <cell r="AQ2133">
            <v>0</v>
          </cell>
          <cell r="AV2133">
            <v>0</v>
          </cell>
        </row>
        <row r="2134">
          <cell r="E2134" t="str">
            <v>T22000561</v>
          </cell>
          <cell r="AP2134">
            <v>0</v>
          </cell>
          <cell r="AQ2134">
            <v>0</v>
          </cell>
          <cell r="AV2134">
            <v>0</v>
          </cell>
        </row>
        <row r="2135">
          <cell r="E2135" t="str">
            <v>T22000580</v>
          </cell>
          <cell r="AP2135">
            <v>0</v>
          </cell>
          <cell r="AQ2135">
            <v>0</v>
          </cell>
          <cell r="AV2135">
            <v>0</v>
          </cell>
        </row>
        <row r="2136">
          <cell r="E2136" t="str">
            <v>T22000604</v>
          </cell>
          <cell r="AP2136">
            <v>0</v>
          </cell>
          <cell r="AQ2136">
            <v>0</v>
          </cell>
          <cell r="AV2136">
            <v>0</v>
          </cell>
        </row>
        <row r="2137">
          <cell r="E2137" t="str">
            <v>T22000664</v>
          </cell>
          <cell r="AP2137">
            <v>0</v>
          </cell>
          <cell r="AQ2137">
            <v>0</v>
          </cell>
          <cell r="AV2137">
            <v>0</v>
          </cell>
        </row>
        <row r="2138">
          <cell r="E2138" t="str">
            <v>T22000725</v>
          </cell>
          <cell r="AP2138">
            <v>0</v>
          </cell>
          <cell r="AQ2138">
            <v>0</v>
          </cell>
          <cell r="AV2138">
            <v>0</v>
          </cell>
        </row>
        <row r="2139">
          <cell r="E2139" t="str">
            <v>T22000772</v>
          </cell>
          <cell r="AP2139">
            <v>0</v>
          </cell>
          <cell r="AQ2139">
            <v>0</v>
          </cell>
          <cell r="AV2139">
            <v>0</v>
          </cell>
        </row>
        <row r="2140">
          <cell r="E2140" t="str">
            <v>T22000799</v>
          </cell>
          <cell r="AP2140">
            <v>0</v>
          </cell>
          <cell r="AQ2140">
            <v>0</v>
          </cell>
          <cell r="AV2140">
            <v>0</v>
          </cell>
        </row>
        <row r="2141">
          <cell r="E2141" t="str">
            <v>T23000003</v>
          </cell>
          <cell r="AP2141">
            <v>0</v>
          </cell>
          <cell r="AQ2141">
            <v>0</v>
          </cell>
          <cell r="AV2141">
            <v>0</v>
          </cell>
        </row>
        <row r="2142">
          <cell r="E2142" t="str">
            <v>T23000012</v>
          </cell>
          <cell r="AP2142">
            <v>0</v>
          </cell>
          <cell r="AQ2142">
            <v>0</v>
          </cell>
          <cell r="AV2142">
            <v>0</v>
          </cell>
        </row>
        <row r="2143">
          <cell r="E2143" t="str">
            <v>T23000013</v>
          </cell>
          <cell r="AP2143">
            <v>0</v>
          </cell>
          <cell r="AQ2143">
            <v>0</v>
          </cell>
          <cell r="AV2143">
            <v>0</v>
          </cell>
        </row>
        <row r="2144">
          <cell r="E2144" t="str">
            <v>T23000057</v>
          </cell>
          <cell r="AP2144">
            <v>0</v>
          </cell>
          <cell r="AQ2144">
            <v>0</v>
          </cell>
          <cell r="AV2144">
            <v>0</v>
          </cell>
        </row>
        <row r="2145">
          <cell r="E2145" t="str">
            <v>T23000064</v>
          </cell>
          <cell r="AP2145">
            <v>0</v>
          </cell>
          <cell r="AQ2145">
            <v>0</v>
          </cell>
          <cell r="AV2145">
            <v>0</v>
          </cell>
        </row>
        <row r="2146">
          <cell r="E2146" t="str">
            <v>T23000087</v>
          </cell>
          <cell r="AP2146">
            <v>0</v>
          </cell>
          <cell r="AQ2146">
            <v>0</v>
          </cell>
          <cell r="AV2146">
            <v>0</v>
          </cell>
        </row>
        <row r="2147">
          <cell r="E2147" t="str">
            <v>T23000120</v>
          </cell>
          <cell r="AP2147">
            <v>0</v>
          </cell>
          <cell r="AQ2147">
            <v>0</v>
          </cell>
          <cell r="AV2147">
            <v>0</v>
          </cell>
        </row>
        <row r="2148">
          <cell r="E2148" t="str">
            <v>D23001207</v>
          </cell>
          <cell r="AP2148">
            <v>0</v>
          </cell>
          <cell r="AQ2148">
            <v>0</v>
          </cell>
          <cell r="AV2148">
            <v>0</v>
          </cell>
        </row>
        <row r="2149">
          <cell r="E2149" t="str">
            <v>T23000149</v>
          </cell>
          <cell r="AP2149">
            <v>0</v>
          </cell>
          <cell r="AQ2149">
            <v>0</v>
          </cell>
          <cell r="AV2149">
            <v>0</v>
          </cell>
        </row>
        <row r="2150">
          <cell r="E2150" t="str">
            <v>T23000180</v>
          </cell>
          <cell r="AP2150">
            <v>0</v>
          </cell>
          <cell r="AQ2150">
            <v>0</v>
          </cell>
          <cell r="AV2150">
            <v>0</v>
          </cell>
        </row>
        <row r="2151">
          <cell r="E2151" t="str">
            <v>T23000184</v>
          </cell>
          <cell r="AP2151">
            <v>0</v>
          </cell>
          <cell r="AQ2151">
            <v>0</v>
          </cell>
          <cell r="AV2151">
            <v>0</v>
          </cell>
        </row>
        <row r="2152">
          <cell r="E2152" t="str">
            <v>T23000187</v>
          </cell>
          <cell r="AP2152">
            <v>0</v>
          </cell>
          <cell r="AQ2152">
            <v>0</v>
          </cell>
          <cell r="AV2152">
            <v>0</v>
          </cell>
        </row>
        <row r="2153">
          <cell r="E2153" t="str">
            <v>T23000252</v>
          </cell>
          <cell r="AP2153">
            <v>0</v>
          </cell>
          <cell r="AQ2153">
            <v>0</v>
          </cell>
          <cell r="AV2153">
            <v>0</v>
          </cell>
        </row>
        <row r="2154">
          <cell r="E2154" t="str">
            <v>T23000257</v>
          </cell>
          <cell r="AP2154">
            <v>0</v>
          </cell>
          <cell r="AQ2154">
            <v>0</v>
          </cell>
          <cell r="AV2154">
            <v>0</v>
          </cell>
        </row>
        <row r="2155">
          <cell r="E2155" t="str">
            <v>T23000275</v>
          </cell>
          <cell r="AP2155">
            <v>0</v>
          </cell>
          <cell r="AQ2155">
            <v>0</v>
          </cell>
          <cell r="AV2155">
            <v>0</v>
          </cell>
        </row>
        <row r="2156">
          <cell r="E2156" t="str">
            <v>T23000285</v>
          </cell>
          <cell r="AP2156">
            <v>0</v>
          </cell>
          <cell r="AQ2156">
            <v>0</v>
          </cell>
          <cell r="AV2156">
            <v>0</v>
          </cell>
        </row>
        <row r="2157">
          <cell r="E2157" t="str">
            <v>T23000332</v>
          </cell>
          <cell r="AP2157">
            <v>0</v>
          </cell>
          <cell r="AQ2157">
            <v>0</v>
          </cell>
          <cell r="AV2157">
            <v>0</v>
          </cell>
        </row>
        <row r="2158">
          <cell r="E2158" t="str">
            <v>T23000355</v>
          </cell>
          <cell r="AP2158">
            <v>0</v>
          </cell>
          <cell r="AQ2158">
            <v>0</v>
          </cell>
          <cell r="AV2158">
            <v>0</v>
          </cell>
        </row>
        <row r="2159">
          <cell r="E2159" t="str">
            <v>T23000382</v>
          </cell>
          <cell r="AP2159">
            <v>0</v>
          </cell>
          <cell r="AQ2159">
            <v>0</v>
          </cell>
          <cell r="AV2159">
            <v>0</v>
          </cell>
        </row>
        <row r="2160">
          <cell r="E2160" t="str">
            <v>T23000419</v>
          </cell>
          <cell r="AP2160">
            <v>0</v>
          </cell>
          <cell r="AQ2160">
            <v>0</v>
          </cell>
          <cell r="AV2160">
            <v>0</v>
          </cell>
        </row>
        <row r="2161">
          <cell r="E2161" t="str">
            <v>T23000426</v>
          </cell>
          <cell r="AP2161">
            <v>0</v>
          </cell>
          <cell r="AQ2161">
            <v>0</v>
          </cell>
          <cell r="AV2161">
            <v>0</v>
          </cell>
        </row>
        <row r="2162">
          <cell r="E2162" t="str">
            <v>T23000485</v>
          </cell>
          <cell r="AP2162">
            <v>0</v>
          </cell>
          <cell r="AQ2162">
            <v>0</v>
          </cell>
          <cell r="AV2162">
            <v>0</v>
          </cell>
        </row>
        <row r="2163">
          <cell r="E2163" t="str">
            <v>T23000492</v>
          </cell>
          <cell r="AP2163">
            <v>0</v>
          </cell>
          <cell r="AQ2163">
            <v>0</v>
          </cell>
          <cell r="AV2163">
            <v>0</v>
          </cell>
        </row>
        <row r="2164">
          <cell r="E2164" t="str">
            <v>T23000504</v>
          </cell>
          <cell r="AP2164">
            <v>0</v>
          </cell>
          <cell r="AQ2164">
            <v>0</v>
          </cell>
          <cell r="AV2164">
            <v>0</v>
          </cell>
        </row>
        <row r="2165">
          <cell r="E2165" t="str">
            <v>T23000507</v>
          </cell>
          <cell r="AP2165">
            <v>0</v>
          </cell>
          <cell r="AQ2165">
            <v>0</v>
          </cell>
          <cell r="AV2165">
            <v>0</v>
          </cell>
        </row>
        <row r="2166">
          <cell r="E2166" t="str">
            <v>T23000508</v>
          </cell>
          <cell r="AP2166">
            <v>0</v>
          </cell>
          <cell r="AQ2166">
            <v>0</v>
          </cell>
          <cell r="AV2166">
            <v>0</v>
          </cell>
        </row>
        <row r="2167">
          <cell r="E2167" t="str">
            <v>T23000509</v>
          </cell>
          <cell r="AP2167">
            <v>0</v>
          </cell>
          <cell r="AQ2167">
            <v>0</v>
          </cell>
          <cell r="AV2167">
            <v>0</v>
          </cell>
        </row>
        <row r="2168">
          <cell r="E2168" t="str">
            <v>T23000522</v>
          </cell>
          <cell r="AP2168">
            <v>0</v>
          </cell>
          <cell r="AQ2168">
            <v>0</v>
          </cell>
          <cell r="AV2168">
            <v>0</v>
          </cell>
        </row>
        <row r="2169">
          <cell r="E2169" t="str">
            <v>T23000524</v>
          </cell>
          <cell r="AP2169">
            <v>0</v>
          </cell>
          <cell r="AQ2169">
            <v>0</v>
          </cell>
          <cell r="AV2169">
            <v>0</v>
          </cell>
        </row>
        <row r="2170">
          <cell r="E2170" t="str">
            <v>T23000577</v>
          </cell>
          <cell r="AP2170">
            <v>0</v>
          </cell>
          <cell r="AQ2170">
            <v>0</v>
          </cell>
          <cell r="AV2170">
            <v>0</v>
          </cell>
        </row>
        <row r="2171">
          <cell r="E2171" t="str">
            <v>T23000584</v>
          </cell>
          <cell r="AP2171">
            <v>0</v>
          </cell>
          <cell r="AQ2171">
            <v>0</v>
          </cell>
          <cell r="AV2171">
            <v>0</v>
          </cell>
        </row>
        <row r="2172">
          <cell r="E2172" t="str">
            <v>T23000594</v>
          </cell>
          <cell r="AP2172">
            <v>0</v>
          </cell>
          <cell r="AQ2172">
            <v>0</v>
          </cell>
          <cell r="AV2172">
            <v>0</v>
          </cell>
        </row>
        <row r="2173">
          <cell r="E2173" t="str">
            <v>T23000630</v>
          </cell>
          <cell r="AP2173">
            <v>0</v>
          </cell>
          <cell r="AQ2173">
            <v>0</v>
          </cell>
          <cell r="AV2173">
            <v>0</v>
          </cell>
        </row>
        <row r="2174">
          <cell r="E2174" t="str">
            <v>T23000644</v>
          </cell>
          <cell r="AP2174">
            <v>0</v>
          </cell>
          <cell r="AQ2174">
            <v>0</v>
          </cell>
          <cell r="AV2174">
            <v>0</v>
          </cell>
        </row>
        <row r="2175">
          <cell r="E2175" t="str">
            <v>T23000686</v>
          </cell>
          <cell r="AP2175">
            <v>0</v>
          </cell>
          <cell r="AQ2175">
            <v>0</v>
          </cell>
          <cell r="AV2175">
            <v>0</v>
          </cell>
        </row>
        <row r="2176">
          <cell r="E2176" t="str">
            <v>T23000695</v>
          </cell>
          <cell r="AP2176">
            <v>0</v>
          </cell>
          <cell r="AQ2176">
            <v>0</v>
          </cell>
          <cell r="AV2176">
            <v>0</v>
          </cell>
        </row>
        <row r="2177">
          <cell r="E2177" t="str">
            <v>T23000741</v>
          </cell>
          <cell r="AP2177">
            <v>0</v>
          </cell>
          <cell r="AQ2177">
            <v>0</v>
          </cell>
          <cell r="AV2177">
            <v>0</v>
          </cell>
        </row>
        <row r="2178">
          <cell r="E2178" t="str">
            <v>T23000742</v>
          </cell>
          <cell r="AP2178">
            <v>0</v>
          </cell>
          <cell r="AQ2178">
            <v>0</v>
          </cell>
          <cell r="AV2178">
            <v>0</v>
          </cell>
        </row>
        <row r="2179">
          <cell r="E2179" t="str">
            <v>T23000772</v>
          </cell>
          <cell r="AP2179">
            <v>0</v>
          </cell>
          <cell r="AQ2179">
            <v>0</v>
          </cell>
          <cell r="AV2179">
            <v>0</v>
          </cell>
        </row>
        <row r="2180">
          <cell r="E2180" t="str">
            <v>T23000781</v>
          </cell>
          <cell r="AP2180">
            <v>0</v>
          </cell>
          <cell r="AQ2180">
            <v>0</v>
          </cell>
          <cell r="AV2180">
            <v>0</v>
          </cell>
        </row>
        <row r="2181">
          <cell r="E2181" t="str">
            <v>T23000782</v>
          </cell>
          <cell r="AP2181">
            <v>0</v>
          </cell>
          <cell r="AQ2181">
            <v>0</v>
          </cell>
          <cell r="AV2181">
            <v>0</v>
          </cell>
        </row>
        <row r="2182">
          <cell r="E2182" t="str">
            <v>T23000809</v>
          </cell>
          <cell r="AP2182">
            <v>0</v>
          </cell>
          <cell r="AQ2182">
            <v>0</v>
          </cell>
          <cell r="AV2182">
            <v>0</v>
          </cell>
        </row>
        <row r="2183">
          <cell r="E2183" t="str">
            <v>T23000845</v>
          </cell>
          <cell r="AP2183">
            <v>0</v>
          </cell>
          <cell r="AQ2183">
            <v>0</v>
          </cell>
          <cell r="AV2183">
            <v>0</v>
          </cell>
        </row>
        <row r="2184">
          <cell r="E2184" t="str">
            <v>T23000846</v>
          </cell>
          <cell r="AP2184">
            <v>0</v>
          </cell>
          <cell r="AQ2184">
            <v>0</v>
          </cell>
          <cell r="AV2184">
            <v>0</v>
          </cell>
        </row>
        <row r="2185">
          <cell r="E2185" t="str">
            <v>T23000860</v>
          </cell>
          <cell r="AP2185">
            <v>0</v>
          </cell>
          <cell r="AQ2185">
            <v>0</v>
          </cell>
          <cell r="AV2185">
            <v>0</v>
          </cell>
        </row>
        <row r="2186">
          <cell r="E2186" t="str">
            <v>T23000881</v>
          </cell>
          <cell r="AP2186">
            <v>0</v>
          </cell>
          <cell r="AQ2186">
            <v>0</v>
          </cell>
          <cell r="AV2186">
            <v>0</v>
          </cell>
        </row>
        <row r="2187">
          <cell r="E2187" t="str">
            <v>T23000884</v>
          </cell>
          <cell r="AP2187">
            <v>0</v>
          </cell>
          <cell r="AQ2187">
            <v>0</v>
          </cell>
          <cell r="AV2187">
            <v>0</v>
          </cell>
        </row>
        <row r="2188">
          <cell r="E2188" t="str">
            <v>T23000911</v>
          </cell>
          <cell r="AP2188">
            <v>0</v>
          </cell>
          <cell r="AQ2188">
            <v>0</v>
          </cell>
          <cell r="AV2188">
            <v>0</v>
          </cell>
        </row>
        <row r="2189">
          <cell r="E2189" t="str">
            <v>T23000912</v>
          </cell>
          <cell r="AP2189">
            <v>0</v>
          </cell>
          <cell r="AQ2189">
            <v>0</v>
          </cell>
          <cell r="AV2189">
            <v>0</v>
          </cell>
        </row>
        <row r="2190">
          <cell r="E2190" t="str">
            <v>T23000914</v>
          </cell>
          <cell r="AP2190">
            <v>0</v>
          </cell>
          <cell r="AQ2190">
            <v>0</v>
          </cell>
          <cell r="AV2190">
            <v>0</v>
          </cell>
        </row>
        <row r="2191">
          <cell r="E2191" t="str">
            <v>T23000919</v>
          </cell>
          <cell r="AP2191">
            <v>0</v>
          </cell>
          <cell r="AQ2191">
            <v>0</v>
          </cell>
          <cell r="AV2191">
            <v>0</v>
          </cell>
        </row>
        <row r="2192">
          <cell r="E2192" t="str">
            <v>T23000924</v>
          </cell>
          <cell r="AP2192">
            <v>0</v>
          </cell>
          <cell r="AQ2192">
            <v>0</v>
          </cell>
          <cell r="AV2192">
            <v>0</v>
          </cell>
        </row>
        <row r="2193">
          <cell r="E2193" t="str">
            <v>T23000935</v>
          </cell>
          <cell r="AP2193">
            <v>0</v>
          </cell>
          <cell r="AQ2193">
            <v>0</v>
          </cell>
          <cell r="AV2193">
            <v>0</v>
          </cell>
        </row>
        <row r="2194">
          <cell r="E2194" t="str">
            <v>T23000936</v>
          </cell>
          <cell r="AP2194">
            <v>0</v>
          </cell>
          <cell r="AQ2194">
            <v>0</v>
          </cell>
          <cell r="AV2194">
            <v>0</v>
          </cell>
        </row>
        <row r="2195">
          <cell r="E2195" t="str">
            <v>T23000986</v>
          </cell>
          <cell r="AP2195">
            <v>0</v>
          </cell>
          <cell r="AQ2195">
            <v>0</v>
          </cell>
          <cell r="AV2195">
            <v>0</v>
          </cell>
        </row>
        <row r="2196">
          <cell r="E2196" t="str">
            <v>T23000989</v>
          </cell>
          <cell r="AP2196">
            <v>0</v>
          </cell>
          <cell r="AQ2196">
            <v>0</v>
          </cell>
          <cell r="AV2196">
            <v>0</v>
          </cell>
        </row>
        <row r="2197">
          <cell r="E2197" t="str">
            <v>T23000994</v>
          </cell>
          <cell r="AP2197">
            <v>0</v>
          </cell>
          <cell r="AQ2197">
            <v>0</v>
          </cell>
          <cell r="AV2197">
            <v>0</v>
          </cell>
        </row>
        <row r="2198">
          <cell r="E2198" t="str">
            <v>T23000998</v>
          </cell>
          <cell r="AP2198">
            <v>0</v>
          </cell>
          <cell r="AQ2198">
            <v>0</v>
          </cell>
          <cell r="AV2198">
            <v>0</v>
          </cell>
        </row>
        <row r="2199">
          <cell r="E2199" t="str">
            <v>T23000999</v>
          </cell>
          <cell r="AP2199">
            <v>0</v>
          </cell>
          <cell r="AQ2199">
            <v>0</v>
          </cell>
          <cell r="AV2199">
            <v>0</v>
          </cell>
        </row>
        <row r="2200">
          <cell r="E2200" t="str">
            <v>T23001024</v>
          </cell>
          <cell r="AP2200">
            <v>0</v>
          </cell>
          <cell r="AQ2200">
            <v>0</v>
          </cell>
          <cell r="AV2200">
            <v>0</v>
          </cell>
        </row>
        <row r="2201">
          <cell r="E2201" t="str">
            <v>T23001025</v>
          </cell>
          <cell r="AP2201">
            <v>0</v>
          </cell>
          <cell r="AQ2201">
            <v>0</v>
          </cell>
          <cell r="AV2201">
            <v>0</v>
          </cell>
        </row>
        <row r="2202">
          <cell r="E2202" t="str">
            <v>T23001026</v>
          </cell>
          <cell r="AP2202">
            <v>0</v>
          </cell>
          <cell r="AQ2202">
            <v>0</v>
          </cell>
          <cell r="AV2202">
            <v>0</v>
          </cell>
        </row>
        <row r="2203">
          <cell r="E2203" t="str">
            <v>T23001057</v>
          </cell>
          <cell r="AP2203">
            <v>0</v>
          </cell>
          <cell r="AQ2203">
            <v>0</v>
          </cell>
          <cell r="AV2203">
            <v>0</v>
          </cell>
        </row>
        <row r="2204">
          <cell r="E2204" t="str">
            <v>T23001090</v>
          </cell>
          <cell r="AP2204">
            <v>0</v>
          </cell>
          <cell r="AQ2204">
            <v>0</v>
          </cell>
          <cell r="AV2204">
            <v>0</v>
          </cell>
        </row>
        <row r="2205">
          <cell r="E2205" t="str">
            <v>T23001094</v>
          </cell>
          <cell r="AP2205">
            <v>0</v>
          </cell>
          <cell r="AQ2205">
            <v>0</v>
          </cell>
          <cell r="AV2205">
            <v>0</v>
          </cell>
        </row>
        <row r="2206">
          <cell r="E2206" t="str">
            <v>T23001095</v>
          </cell>
          <cell r="AP2206">
            <v>0</v>
          </cell>
          <cell r="AQ2206">
            <v>0</v>
          </cell>
          <cell r="AV2206">
            <v>0</v>
          </cell>
        </row>
        <row r="2207">
          <cell r="E2207" t="str">
            <v>T23001103</v>
          </cell>
          <cell r="AP2207">
            <v>0</v>
          </cell>
          <cell r="AQ2207">
            <v>0</v>
          </cell>
          <cell r="AV2207">
            <v>0</v>
          </cell>
        </row>
        <row r="2208">
          <cell r="E2208" t="str">
            <v>T24000001</v>
          </cell>
          <cell r="AP2208">
            <v>0</v>
          </cell>
          <cell r="AQ2208">
            <v>0</v>
          </cell>
          <cell r="AV2208">
            <v>0</v>
          </cell>
        </row>
        <row r="2209">
          <cell r="E2209" t="str">
            <v>T24000018</v>
          </cell>
          <cell r="AP2209">
            <v>0</v>
          </cell>
          <cell r="AQ2209">
            <v>0</v>
          </cell>
          <cell r="AV2209">
            <v>0</v>
          </cell>
        </row>
        <row r="2210">
          <cell r="E2210" t="str">
            <v>T24000040</v>
          </cell>
          <cell r="AP2210">
            <v>0</v>
          </cell>
          <cell r="AQ2210">
            <v>0</v>
          </cell>
          <cell r="AV2210">
            <v>0</v>
          </cell>
        </row>
        <row r="2211">
          <cell r="E2211" t="str">
            <v>T24000113</v>
          </cell>
          <cell r="AP2211">
            <v>0</v>
          </cell>
          <cell r="AQ2211">
            <v>0</v>
          </cell>
          <cell r="AV2211">
            <v>0</v>
          </cell>
        </row>
        <row r="2212">
          <cell r="E2212" t="str">
            <v>T24000118</v>
          </cell>
          <cell r="AP2212">
            <v>0</v>
          </cell>
          <cell r="AQ2212">
            <v>0</v>
          </cell>
          <cell r="AV2212">
            <v>0</v>
          </cell>
        </row>
        <row r="2213">
          <cell r="E2213" t="str">
            <v>T24000126</v>
          </cell>
          <cell r="AP2213">
            <v>0</v>
          </cell>
          <cell r="AQ2213">
            <v>0</v>
          </cell>
          <cell r="AV2213">
            <v>0</v>
          </cell>
        </row>
        <row r="2214">
          <cell r="E2214" t="str">
            <v>T24000149</v>
          </cell>
          <cell r="AP2214">
            <v>0</v>
          </cell>
          <cell r="AQ2214">
            <v>0</v>
          </cell>
          <cell r="AV2214">
            <v>0</v>
          </cell>
        </row>
        <row r="2215">
          <cell r="E2215" t="str">
            <v>T24000166</v>
          </cell>
          <cell r="AP2215">
            <v>0</v>
          </cell>
          <cell r="AQ2215">
            <v>0</v>
          </cell>
          <cell r="AV2215">
            <v>0</v>
          </cell>
        </row>
        <row r="2216">
          <cell r="E2216" t="str">
            <v>T24000175</v>
          </cell>
          <cell r="AP2216">
            <v>0</v>
          </cell>
          <cell r="AQ2216">
            <v>0</v>
          </cell>
          <cell r="AV2216">
            <v>0</v>
          </cell>
        </row>
        <row r="2217">
          <cell r="E2217" t="str">
            <v>T24000176</v>
          </cell>
          <cell r="AP2217">
            <v>0</v>
          </cell>
          <cell r="AQ2217">
            <v>0</v>
          </cell>
          <cell r="AV2217">
            <v>0</v>
          </cell>
        </row>
        <row r="2218">
          <cell r="E2218" t="str">
            <v>T24000250</v>
          </cell>
          <cell r="AP2218">
            <v>0</v>
          </cell>
          <cell r="AQ2218">
            <v>0</v>
          </cell>
          <cell r="AV2218">
            <v>0</v>
          </cell>
        </row>
        <row r="2219">
          <cell r="E2219" t="str">
            <v>T24000251</v>
          </cell>
          <cell r="AP2219">
            <v>0</v>
          </cell>
          <cell r="AQ2219">
            <v>0</v>
          </cell>
          <cell r="AV2219">
            <v>0</v>
          </cell>
        </row>
        <row r="2220">
          <cell r="E2220" t="str">
            <v>T24000260</v>
          </cell>
          <cell r="AP2220">
            <v>0</v>
          </cell>
          <cell r="AQ2220">
            <v>0</v>
          </cell>
          <cell r="AV2220">
            <v>0</v>
          </cell>
        </row>
        <row r="2221">
          <cell r="E2221" t="str">
            <v>T24000265</v>
          </cell>
          <cell r="AP2221">
            <v>0</v>
          </cell>
          <cell r="AQ2221">
            <v>0</v>
          </cell>
          <cell r="AV2221">
            <v>0</v>
          </cell>
        </row>
        <row r="2222">
          <cell r="E2222" t="str">
            <v>T24000279</v>
          </cell>
          <cell r="AP2222">
            <v>0</v>
          </cell>
          <cell r="AQ2222">
            <v>0</v>
          </cell>
          <cell r="AV2222">
            <v>0</v>
          </cell>
        </row>
        <row r="2223">
          <cell r="E2223" t="str">
            <v>T24000299</v>
          </cell>
          <cell r="AP2223">
            <v>0</v>
          </cell>
          <cell r="AQ2223">
            <v>0</v>
          </cell>
          <cell r="AV2223">
            <v>0</v>
          </cell>
        </row>
        <row r="2224">
          <cell r="E2224" t="str">
            <v>T24000376</v>
          </cell>
          <cell r="AP2224">
            <v>0</v>
          </cell>
          <cell r="AQ2224">
            <v>0</v>
          </cell>
          <cell r="AV2224">
            <v>0</v>
          </cell>
        </row>
        <row r="2225">
          <cell r="E2225" t="str">
            <v>T24000384</v>
          </cell>
          <cell r="AP2225">
            <v>0</v>
          </cell>
          <cell r="AQ2225">
            <v>0</v>
          </cell>
          <cell r="AV2225">
            <v>0</v>
          </cell>
        </row>
        <row r="2226">
          <cell r="E2226" t="str">
            <v>T24000391</v>
          </cell>
          <cell r="AP2226">
            <v>0</v>
          </cell>
          <cell r="AQ2226">
            <v>0</v>
          </cell>
          <cell r="AV2226">
            <v>0</v>
          </cell>
        </row>
        <row r="2227">
          <cell r="E2227" t="str">
            <v>T24000392</v>
          </cell>
          <cell r="AP2227">
            <v>0</v>
          </cell>
          <cell r="AQ2227">
            <v>0</v>
          </cell>
          <cell r="AV2227">
            <v>0</v>
          </cell>
        </row>
        <row r="2228">
          <cell r="E2228" t="str">
            <v>T24000419</v>
          </cell>
          <cell r="AP2228">
            <v>0</v>
          </cell>
          <cell r="AQ2228">
            <v>0</v>
          </cell>
          <cell r="AV2228">
            <v>0</v>
          </cell>
        </row>
        <row r="2229">
          <cell r="E2229" t="str">
            <v>T24000448</v>
          </cell>
          <cell r="AP2229">
            <v>0</v>
          </cell>
          <cell r="AQ2229">
            <v>0</v>
          </cell>
          <cell r="AV2229">
            <v>0</v>
          </cell>
        </row>
        <row r="2230">
          <cell r="E2230" t="str">
            <v>T24000488</v>
          </cell>
          <cell r="AP2230">
            <v>0</v>
          </cell>
          <cell r="AQ2230">
            <v>0</v>
          </cell>
          <cell r="AV2230">
            <v>0</v>
          </cell>
        </row>
        <row r="2231">
          <cell r="E2231" t="str">
            <v>T24000489</v>
          </cell>
          <cell r="AP2231">
            <v>0</v>
          </cell>
          <cell r="AQ2231">
            <v>0</v>
          </cell>
          <cell r="AV2231">
            <v>0</v>
          </cell>
        </row>
        <row r="2232">
          <cell r="E2232" t="str">
            <v>T24000495</v>
          </cell>
          <cell r="AP2232">
            <v>0</v>
          </cell>
          <cell r="AQ2232">
            <v>0</v>
          </cell>
          <cell r="AV2232">
            <v>0</v>
          </cell>
        </row>
        <row r="2233">
          <cell r="E2233" t="str">
            <v>T24000496</v>
          </cell>
          <cell r="AP2233">
            <v>0</v>
          </cell>
          <cell r="AQ2233">
            <v>0</v>
          </cell>
          <cell r="AV2233">
            <v>0</v>
          </cell>
        </row>
        <row r="2234">
          <cell r="E2234" t="str">
            <v>T24000497</v>
          </cell>
          <cell r="AP2234">
            <v>0</v>
          </cell>
          <cell r="AQ2234">
            <v>0</v>
          </cell>
          <cell r="AV2234">
            <v>0</v>
          </cell>
        </row>
        <row r="2235">
          <cell r="E2235" t="str">
            <v>T24000498</v>
          </cell>
          <cell r="AP2235">
            <v>0</v>
          </cell>
          <cell r="AQ2235">
            <v>0</v>
          </cell>
          <cell r="AV2235">
            <v>0</v>
          </cell>
        </row>
        <row r="2236">
          <cell r="E2236" t="str">
            <v>T24000499</v>
          </cell>
          <cell r="AP2236">
            <v>0</v>
          </cell>
          <cell r="AQ2236">
            <v>0</v>
          </cell>
          <cell r="AV2236">
            <v>0</v>
          </cell>
        </row>
        <row r="2237">
          <cell r="E2237" t="str">
            <v>T24000519</v>
          </cell>
          <cell r="AP2237">
            <v>0</v>
          </cell>
          <cell r="AQ2237">
            <v>0</v>
          </cell>
          <cell r="AV2237">
            <v>0</v>
          </cell>
        </row>
        <row r="2238">
          <cell r="E2238" t="str">
            <v>T24000527</v>
          </cell>
          <cell r="AP2238">
            <v>0</v>
          </cell>
          <cell r="AQ2238">
            <v>0</v>
          </cell>
          <cell r="AV2238">
            <v>0</v>
          </cell>
        </row>
        <row r="2239">
          <cell r="E2239" t="str">
            <v>T24000598</v>
          </cell>
          <cell r="AP2239">
            <v>0</v>
          </cell>
          <cell r="AQ2239">
            <v>0</v>
          </cell>
          <cell r="AV2239">
            <v>0</v>
          </cell>
        </row>
        <row r="2240">
          <cell r="E2240" t="str">
            <v>T24000600</v>
          </cell>
          <cell r="AP2240">
            <v>0</v>
          </cell>
          <cell r="AQ2240">
            <v>0</v>
          </cell>
          <cell r="AV2240">
            <v>0</v>
          </cell>
        </row>
        <row r="2241">
          <cell r="E2241" t="str">
            <v>T24000601</v>
          </cell>
          <cell r="AP2241">
            <v>0</v>
          </cell>
          <cell r="AQ2241">
            <v>0</v>
          </cell>
          <cell r="AV2241">
            <v>0</v>
          </cell>
        </row>
        <row r="2242">
          <cell r="E2242" t="str">
            <v>T24000602</v>
          </cell>
          <cell r="AP2242">
            <v>0</v>
          </cell>
          <cell r="AQ2242">
            <v>0</v>
          </cell>
          <cell r="AV2242">
            <v>0</v>
          </cell>
        </row>
        <row r="2243">
          <cell r="E2243" t="str">
            <v>T24000603</v>
          </cell>
          <cell r="AP2243">
            <v>0</v>
          </cell>
          <cell r="AQ2243">
            <v>0</v>
          </cell>
          <cell r="AV2243">
            <v>0</v>
          </cell>
        </row>
        <row r="2244">
          <cell r="E2244" t="str">
            <v>T24000612</v>
          </cell>
          <cell r="AP2244">
            <v>0</v>
          </cell>
          <cell r="AQ2244">
            <v>0</v>
          </cell>
          <cell r="AV2244">
            <v>0</v>
          </cell>
        </row>
        <row r="2245">
          <cell r="E2245" t="str">
            <v>T24000631</v>
          </cell>
          <cell r="AP2245">
            <v>0</v>
          </cell>
          <cell r="AQ2245">
            <v>0</v>
          </cell>
          <cell r="AV2245">
            <v>0</v>
          </cell>
        </row>
        <row r="2246">
          <cell r="E2246" t="str">
            <v>T24000635</v>
          </cell>
          <cell r="AP2246">
            <v>0</v>
          </cell>
          <cell r="AQ2246">
            <v>0</v>
          </cell>
          <cell r="AV2246">
            <v>0</v>
          </cell>
        </row>
        <row r="2247">
          <cell r="E2247" t="str">
            <v>T24000673</v>
          </cell>
          <cell r="AP2247">
            <v>0</v>
          </cell>
          <cell r="AQ2247">
            <v>0</v>
          </cell>
          <cell r="AV2247">
            <v>0</v>
          </cell>
        </row>
        <row r="2248">
          <cell r="E2248" t="str">
            <v>T24000717</v>
          </cell>
          <cell r="AP2248">
            <v>0</v>
          </cell>
          <cell r="AQ2248">
            <v>0</v>
          </cell>
          <cell r="AV2248">
            <v>0</v>
          </cell>
        </row>
        <row r="2249">
          <cell r="E2249" t="str">
            <v>T24000718</v>
          </cell>
          <cell r="AP2249">
            <v>0</v>
          </cell>
          <cell r="AQ2249">
            <v>0</v>
          </cell>
          <cell r="AV2249">
            <v>0</v>
          </cell>
        </row>
        <row r="2250">
          <cell r="E2250" t="str">
            <v>T24000719</v>
          </cell>
          <cell r="AP2250">
            <v>0</v>
          </cell>
          <cell r="AQ2250">
            <v>0</v>
          </cell>
          <cell r="AV2250">
            <v>0</v>
          </cell>
        </row>
        <row r="2251">
          <cell r="E2251" t="str">
            <v>T24000720</v>
          </cell>
          <cell r="AP2251">
            <v>0</v>
          </cell>
          <cell r="AQ2251">
            <v>0</v>
          </cell>
          <cell r="AV2251">
            <v>0</v>
          </cell>
        </row>
        <row r="2252">
          <cell r="E2252" t="str">
            <v>T24000726</v>
          </cell>
          <cell r="AP2252">
            <v>0</v>
          </cell>
          <cell r="AQ2252">
            <v>0</v>
          </cell>
          <cell r="AV2252">
            <v>0</v>
          </cell>
        </row>
        <row r="2253">
          <cell r="E2253" t="str">
            <v>T24000727</v>
          </cell>
          <cell r="AP2253">
            <v>0</v>
          </cell>
          <cell r="AQ2253">
            <v>0</v>
          </cell>
          <cell r="AV2253">
            <v>0</v>
          </cell>
        </row>
        <row r="2254">
          <cell r="E2254" t="str">
            <v>T24000754</v>
          </cell>
          <cell r="AP2254">
            <v>0</v>
          </cell>
          <cell r="AQ2254">
            <v>0</v>
          </cell>
          <cell r="AV2254">
            <v>0</v>
          </cell>
        </row>
        <row r="2255">
          <cell r="E2255" t="str">
            <v>T24000755</v>
          </cell>
          <cell r="AP2255">
            <v>0</v>
          </cell>
          <cell r="AQ2255">
            <v>0</v>
          </cell>
          <cell r="AV2255">
            <v>0</v>
          </cell>
        </row>
        <row r="2256">
          <cell r="E2256" t="str">
            <v>T24000787</v>
          </cell>
          <cell r="AP2256">
            <v>0</v>
          </cell>
          <cell r="AQ2256">
            <v>0</v>
          </cell>
          <cell r="AV2256">
            <v>0</v>
          </cell>
        </row>
        <row r="2257">
          <cell r="E2257" t="str">
            <v>T24000936</v>
          </cell>
          <cell r="AP2257">
            <v>0</v>
          </cell>
          <cell r="AQ2257">
            <v>0</v>
          </cell>
          <cell r="AV2257">
            <v>0</v>
          </cell>
        </row>
        <row r="2258">
          <cell r="E2258" t="str">
            <v>T24000937</v>
          </cell>
          <cell r="AP2258">
            <v>0</v>
          </cell>
          <cell r="AQ2258">
            <v>0</v>
          </cell>
          <cell r="AV2258">
            <v>0</v>
          </cell>
        </row>
        <row r="2259">
          <cell r="E2259" t="str">
            <v>T24000938</v>
          </cell>
          <cell r="AP2259">
            <v>0</v>
          </cell>
          <cell r="AQ2259">
            <v>0</v>
          </cell>
          <cell r="AV2259">
            <v>0</v>
          </cell>
        </row>
        <row r="2260">
          <cell r="E2260" t="str">
            <v>T24000939</v>
          </cell>
          <cell r="AP2260">
            <v>0</v>
          </cell>
          <cell r="AQ2260">
            <v>0</v>
          </cell>
          <cell r="AV2260">
            <v>0</v>
          </cell>
        </row>
        <row r="2261">
          <cell r="E2261" t="str">
            <v>T24000946</v>
          </cell>
          <cell r="AP2261">
            <v>0</v>
          </cell>
          <cell r="AQ2261">
            <v>0</v>
          </cell>
          <cell r="AV2261">
            <v>0</v>
          </cell>
        </row>
        <row r="2262">
          <cell r="E2262" t="str">
            <v>T24000983</v>
          </cell>
          <cell r="AP2262">
            <v>0</v>
          </cell>
          <cell r="AQ2262">
            <v>0</v>
          </cell>
          <cell r="AV2262">
            <v>0</v>
          </cell>
        </row>
        <row r="2263">
          <cell r="E2263" t="str">
            <v>T24000984</v>
          </cell>
          <cell r="AP2263">
            <v>0</v>
          </cell>
          <cell r="AQ2263">
            <v>0</v>
          </cell>
          <cell r="AV2263">
            <v>0</v>
          </cell>
        </row>
        <row r="2264">
          <cell r="E2264" t="str">
            <v>T24000985</v>
          </cell>
          <cell r="AP2264">
            <v>0</v>
          </cell>
          <cell r="AQ2264">
            <v>0</v>
          </cell>
          <cell r="AV2264">
            <v>0</v>
          </cell>
        </row>
        <row r="2265">
          <cell r="E2265" t="str">
            <v>T24001077</v>
          </cell>
          <cell r="AP2265">
            <v>0</v>
          </cell>
          <cell r="AQ2265">
            <v>0</v>
          </cell>
          <cell r="AV2265">
            <v>0</v>
          </cell>
        </row>
        <row r="2266">
          <cell r="E2266" t="str">
            <v>T24001078</v>
          </cell>
          <cell r="AP2266">
            <v>0</v>
          </cell>
          <cell r="AQ2266">
            <v>0</v>
          </cell>
          <cell r="AV2266">
            <v>0</v>
          </cell>
        </row>
        <row r="2267">
          <cell r="E2267" t="str">
            <v>T24001079</v>
          </cell>
          <cell r="AP2267">
            <v>0</v>
          </cell>
          <cell r="AQ2267">
            <v>0</v>
          </cell>
          <cell r="AV2267">
            <v>0</v>
          </cell>
        </row>
        <row r="2268">
          <cell r="E2268" t="str">
            <v>T24001085</v>
          </cell>
          <cell r="AP2268">
            <v>0</v>
          </cell>
          <cell r="AQ2268">
            <v>0</v>
          </cell>
          <cell r="AV2268">
            <v>0</v>
          </cell>
        </row>
        <row r="2269">
          <cell r="E2269" t="str">
            <v>T24001086</v>
          </cell>
          <cell r="AP2269">
            <v>0</v>
          </cell>
          <cell r="AQ2269">
            <v>0</v>
          </cell>
          <cell r="AV2269">
            <v>0</v>
          </cell>
        </row>
        <row r="2270">
          <cell r="E2270" t="str">
            <v>T24001087</v>
          </cell>
          <cell r="AP2270">
            <v>0</v>
          </cell>
          <cell r="AQ2270">
            <v>0</v>
          </cell>
          <cell r="AV2270">
            <v>0</v>
          </cell>
        </row>
        <row r="2271">
          <cell r="E2271" t="str">
            <v>T24001088</v>
          </cell>
          <cell r="AP2271">
            <v>0</v>
          </cell>
          <cell r="AQ2271">
            <v>0</v>
          </cell>
          <cell r="AV2271">
            <v>0</v>
          </cell>
        </row>
        <row r="2272">
          <cell r="E2272" t="str">
            <v>T24001108</v>
          </cell>
          <cell r="AP2272">
            <v>0</v>
          </cell>
          <cell r="AQ2272">
            <v>0</v>
          </cell>
          <cell r="AV2272">
            <v>0</v>
          </cell>
        </row>
        <row r="2273">
          <cell r="E2273" t="str">
            <v>T24001119</v>
          </cell>
          <cell r="AP2273">
            <v>0</v>
          </cell>
          <cell r="AQ2273">
            <v>0</v>
          </cell>
          <cell r="AV2273">
            <v>0</v>
          </cell>
        </row>
        <row r="2274">
          <cell r="E2274" t="str">
            <v>T24001120</v>
          </cell>
          <cell r="AP2274">
            <v>0</v>
          </cell>
          <cell r="AQ2274">
            <v>0</v>
          </cell>
          <cell r="AV2274">
            <v>0</v>
          </cell>
        </row>
        <row r="2275">
          <cell r="E2275" t="str">
            <v>T24001121</v>
          </cell>
          <cell r="AP2275">
            <v>0</v>
          </cell>
          <cell r="AQ2275">
            <v>0</v>
          </cell>
          <cell r="AV2275">
            <v>0</v>
          </cell>
        </row>
        <row r="2276">
          <cell r="E2276" t="str">
            <v>T24001210</v>
          </cell>
          <cell r="AP2276">
            <v>0</v>
          </cell>
          <cell r="AQ2276">
            <v>0</v>
          </cell>
          <cell r="AV2276">
            <v>0</v>
          </cell>
        </row>
        <row r="2277">
          <cell r="E2277" t="str">
            <v>T24001211</v>
          </cell>
          <cell r="AP2277">
            <v>0</v>
          </cell>
          <cell r="AQ2277">
            <v>0</v>
          </cell>
          <cell r="AV2277">
            <v>0</v>
          </cell>
        </row>
        <row r="2278">
          <cell r="E2278" t="str">
            <v>T24001215</v>
          </cell>
          <cell r="AP2278">
            <v>0</v>
          </cell>
          <cell r="AQ2278">
            <v>0</v>
          </cell>
          <cell r="AV2278">
            <v>0</v>
          </cell>
        </row>
        <row r="2279">
          <cell r="E2279" t="str">
            <v>T24001220</v>
          </cell>
          <cell r="AP2279">
            <v>0</v>
          </cell>
          <cell r="AQ2279">
            <v>0</v>
          </cell>
          <cell r="AV2279">
            <v>0</v>
          </cell>
        </row>
        <row r="2280">
          <cell r="E2280" t="str">
            <v>T24001241</v>
          </cell>
          <cell r="AP2280">
            <v>0</v>
          </cell>
          <cell r="AQ2280">
            <v>0</v>
          </cell>
          <cell r="AV2280">
            <v>0</v>
          </cell>
        </row>
        <row r="2281">
          <cell r="E2281" t="str">
            <v>T24001249</v>
          </cell>
          <cell r="AP2281">
            <v>0</v>
          </cell>
          <cell r="AQ2281">
            <v>0</v>
          </cell>
          <cell r="AV2281">
            <v>0</v>
          </cell>
        </row>
        <row r="2282">
          <cell r="E2282" t="str">
            <v>T24001250</v>
          </cell>
          <cell r="AP2282">
            <v>0</v>
          </cell>
          <cell r="AQ2282">
            <v>0</v>
          </cell>
          <cell r="AV2282">
            <v>0</v>
          </cell>
        </row>
        <row r="2283">
          <cell r="E2283" t="str">
            <v>T24001265</v>
          </cell>
          <cell r="AP2283">
            <v>0</v>
          </cell>
          <cell r="AQ2283">
            <v>0</v>
          </cell>
          <cell r="AV2283">
            <v>0</v>
          </cell>
        </row>
        <row r="2284">
          <cell r="E2284" t="str">
            <v>T24001359</v>
          </cell>
          <cell r="AP2284">
            <v>0</v>
          </cell>
          <cell r="AQ2284">
            <v>0</v>
          </cell>
          <cell r="AV2284">
            <v>0</v>
          </cell>
        </row>
        <row r="2285">
          <cell r="E2285" t="str">
            <v>T24001360</v>
          </cell>
          <cell r="AP2285">
            <v>0</v>
          </cell>
          <cell r="AQ2285">
            <v>0</v>
          </cell>
          <cell r="AV2285">
            <v>0</v>
          </cell>
        </row>
        <row r="2286">
          <cell r="E2286" t="str">
            <v>T24001361</v>
          </cell>
          <cell r="AP2286">
            <v>0</v>
          </cell>
          <cell r="AQ2286">
            <v>0</v>
          </cell>
          <cell r="AV2286">
            <v>0</v>
          </cell>
        </row>
        <row r="2287">
          <cell r="E2287" t="str">
            <v>T24001369</v>
          </cell>
          <cell r="AP2287">
            <v>0</v>
          </cell>
          <cell r="AQ2287">
            <v>0</v>
          </cell>
          <cell r="AV2287">
            <v>0</v>
          </cell>
        </row>
        <row r="2288">
          <cell r="E2288" t="str">
            <v>T24001372</v>
          </cell>
          <cell r="AP2288">
            <v>0</v>
          </cell>
          <cell r="AQ2288">
            <v>0</v>
          </cell>
          <cell r="AV2288">
            <v>0</v>
          </cell>
        </row>
        <row r="2289">
          <cell r="E2289" t="str">
            <v>T24001380</v>
          </cell>
          <cell r="AP2289">
            <v>0</v>
          </cell>
          <cell r="AQ2289">
            <v>0</v>
          </cell>
          <cell r="AV2289">
            <v>0</v>
          </cell>
        </row>
        <row r="2290">
          <cell r="E2290" t="str">
            <v>T24001423</v>
          </cell>
          <cell r="AP2290">
            <v>0</v>
          </cell>
          <cell r="AQ2290">
            <v>0</v>
          </cell>
          <cell r="AV2290">
            <v>0</v>
          </cell>
        </row>
        <row r="2291">
          <cell r="E2291" t="str">
            <v>T24001424</v>
          </cell>
          <cell r="AP2291">
            <v>0</v>
          </cell>
          <cell r="AQ2291">
            <v>0</v>
          </cell>
          <cell r="AV2291">
            <v>0</v>
          </cell>
        </row>
        <row r="2292">
          <cell r="E2292" t="str">
            <v>T24001446</v>
          </cell>
          <cell r="AP2292">
            <v>0</v>
          </cell>
          <cell r="AQ2292">
            <v>0</v>
          </cell>
          <cell r="AV2292">
            <v>0</v>
          </cell>
        </row>
        <row r="2293">
          <cell r="E2293" t="str">
            <v>T24001447</v>
          </cell>
          <cell r="AP2293">
            <v>0</v>
          </cell>
          <cell r="AQ2293">
            <v>0</v>
          </cell>
          <cell r="AV2293">
            <v>0</v>
          </cell>
        </row>
        <row r="2294">
          <cell r="E2294" t="str">
            <v>T24001638</v>
          </cell>
          <cell r="AP2294">
            <v>0</v>
          </cell>
          <cell r="AQ2294">
            <v>0</v>
          </cell>
          <cell r="AV2294">
            <v>0</v>
          </cell>
        </row>
        <row r="2295">
          <cell r="E2295" t="str">
            <v>T24001639</v>
          </cell>
          <cell r="AP2295">
            <v>0</v>
          </cell>
          <cell r="AQ2295">
            <v>0</v>
          </cell>
          <cell r="AV2295">
            <v>0</v>
          </cell>
        </row>
        <row r="2296">
          <cell r="E2296" t="str">
            <v>T24001651</v>
          </cell>
          <cell r="AP2296">
            <v>0</v>
          </cell>
          <cell r="AQ2296">
            <v>0</v>
          </cell>
          <cell r="AV2296">
            <v>0</v>
          </cell>
        </row>
        <row r="2297">
          <cell r="E2297" t="str">
            <v>T24001652</v>
          </cell>
          <cell r="AP2297">
            <v>0</v>
          </cell>
          <cell r="AQ2297">
            <v>0</v>
          </cell>
          <cell r="AV2297">
            <v>0</v>
          </cell>
        </row>
        <row r="2298">
          <cell r="E2298" t="str">
            <v>T24001653</v>
          </cell>
          <cell r="AP2298">
            <v>0</v>
          </cell>
          <cell r="AQ2298">
            <v>0</v>
          </cell>
          <cell r="AV2298">
            <v>0</v>
          </cell>
        </row>
        <row r="2299">
          <cell r="E2299" t="str">
            <v>T24001654</v>
          </cell>
          <cell r="AP2299">
            <v>0</v>
          </cell>
          <cell r="AQ2299">
            <v>0</v>
          </cell>
          <cell r="AV2299">
            <v>0</v>
          </cell>
        </row>
        <row r="2300">
          <cell r="E2300" t="str">
            <v>T24001655</v>
          </cell>
          <cell r="AP2300">
            <v>0</v>
          </cell>
          <cell r="AQ2300">
            <v>0</v>
          </cell>
          <cell r="AV2300">
            <v>0</v>
          </cell>
        </row>
        <row r="2301">
          <cell r="E2301" t="str">
            <v>T24001697</v>
          </cell>
          <cell r="AP2301">
            <v>0</v>
          </cell>
          <cell r="AQ2301">
            <v>0</v>
          </cell>
          <cell r="AV2301">
            <v>0</v>
          </cell>
        </row>
        <row r="2302">
          <cell r="E2302" t="str">
            <v>T24001717</v>
          </cell>
          <cell r="AP2302">
            <v>0</v>
          </cell>
          <cell r="AQ2302">
            <v>0</v>
          </cell>
          <cell r="AV2302">
            <v>0</v>
          </cell>
        </row>
        <row r="2303">
          <cell r="E2303" t="str">
            <v>T24001721</v>
          </cell>
          <cell r="AP2303">
            <v>0</v>
          </cell>
          <cell r="AQ2303">
            <v>0</v>
          </cell>
          <cell r="AV2303">
            <v>0</v>
          </cell>
        </row>
        <row r="2304">
          <cell r="E2304" t="str">
            <v>T24001842</v>
          </cell>
          <cell r="AP2304">
            <v>0</v>
          </cell>
          <cell r="AQ2304">
            <v>0</v>
          </cell>
          <cell r="AV2304">
            <v>0</v>
          </cell>
        </row>
        <row r="2305">
          <cell r="E2305" t="str">
            <v>T25000023</v>
          </cell>
          <cell r="AP2305">
            <v>0</v>
          </cell>
          <cell r="AQ2305">
            <v>0</v>
          </cell>
          <cell r="AV2305">
            <v>0</v>
          </cell>
        </row>
        <row r="2306">
          <cell r="E2306" t="str">
            <v>T25000025</v>
          </cell>
          <cell r="AP2306">
            <v>0</v>
          </cell>
          <cell r="AQ2306">
            <v>0</v>
          </cell>
          <cell r="AV2306">
            <v>0</v>
          </cell>
        </row>
        <row r="2307">
          <cell r="E2307" t="str">
            <v>T25000026</v>
          </cell>
          <cell r="AP2307">
            <v>0</v>
          </cell>
          <cell r="AQ2307">
            <v>0</v>
          </cell>
          <cell r="AV2307">
            <v>0</v>
          </cell>
        </row>
        <row r="2308">
          <cell r="E2308" t="str">
            <v>T25000027</v>
          </cell>
          <cell r="AP2308">
            <v>0</v>
          </cell>
          <cell r="AQ2308">
            <v>0</v>
          </cell>
          <cell r="AV2308">
            <v>0</v>
          </cell>
        </row>
        <row r="2309">
          <cell r="E2309" t="str">
            <v>T25000028</v>
          </cell>
          <cell r="AP2309">
            <v>0</v>
          </cell>
          <cell r="AQ2309">
            <v>0</v>
          </cell>
          <cell r="AV2309">
            <v>0</v>
          </cell>
        </row>
        <row r="2310">
          <cell r="E2310" t="str">
            <v>T25000029</v>
          </cell>
          <cell r="AP2310">
            <v>0</v>
          </cell>
          <cell r="AQ2310">
            <v>0</v>
          </cell>
          <cell r="AV2310">
            <v>0</v>
          </cell>
        </row>
        <row r="2311">
          <cell r="E2311" t="str">
            <v>T25000035</v>
          </cell>
          <cell r="AP2311">
            <v>0</v>
          </cell>
          <cell r="AQ2311">
            <v>0</v>
          </cell>
          <cell r="AV2311">
            <v>0</v>
          </cell>
        </row>
        <row r="2312">
          <cell r="E2312" t="str">
            <v>T25000036</v>
          </cell>
          <cell r="AP2312">
            <v>0</v>
          </cell>
          <cell r="AQ2312">
            <v>0</v>
          </cell>
          <cell r="AV2312">
            <v>0</v>
          </cell>
        </row>
        <row r="2313">
          <cell r="E2313" t="str">
            <v>T25000091</v>
          </cell>
          <cell r="AP2313">
            <v>0</v>
          </cell>
          <cell r="AQ2313">
            <v>0</v>
          </cell>
          <cell r="AV2313">
            <v>0</v>
          </cell>
        </row>
        <row r="2314">
          <cell r="E2314" t="str">
            <v>T25000142</v>
          </cell>
          <cell r="AP2314">
            <v>0</v>
          </cell>
          <cell r="AQ2314">
            <v>0</v>
          </cell>
          <cell r="AV2314">
            <v>0</v>
          </cell>
        </row>
        <row r="2315">
          <cell r="E2315" t="str">
            <v>T25000157</v>
          </cell>
          <cell r="AP2315">
            <v>0</v>
          </cell>
          <cell r="AQ2315">
            <v>0</v>
          </cell>
          <cell r="AV2315">
            <v>0</v>
          </cell>
        </row>
        <row r="2316">
          <cell r="E2316" t="str">
            <v>T25000158</v>
          </cell>
          <cell r="AP2316">
            <v>0</v>
          </cell>
          <cell r="AQ2316">
            <v>0</v>
          </cell>
          <cell r="AV2316">
            <v>0</v>
          </cell>
        </row>
        <row r="2317">
          <cell r="E2317" t="str">
            <v>T25000161</v>
          </cell>
          <cell r="AP2317">
            <v>0</v>
          </cell>
          <cell r="AQ2317">
            <v>0</v>
          </cell>
          <cell r="AV2317">
            <v>0</v>
          </cell>
        </row>
        <row r="2318">
          <cell r="E2318" t="str">
            <v>T25000171</v>
          </cell>
          <cell r="AP2318">
            <v>0</v>
          </cell>
          <cell r="AQ2318">
            <v>0</v>
          </cell>
          <cell r="AV2318">
            <v>0</v>
          </cell>
        </row>
        <row r="2319">
          <cell r="E2319" t="str">
            <v>T25000172</v>
          </cell>
          <cell r="AP2319">
            <v>0</v>
          </cell>
          <cell r="AQ2319">
            <v>0</v>
          </cell>
          <cell r="AV2319">
            <v>0</v>
          </cell>
        </row>
        <row r="2320">
          <cell r="E2320" t="str">
            <v>T25000178</v>
          </cell>
          <cell r="AP2320">
            <v>0</v>
          </cell>
          <cell r="AQ2320">
            <v>0</v>
          </cell>
          <cell r="AV2320">
            <v>0</v>
          </cell>
        </row>
        <row r="2321">
          <cell r="E2321" t="str">
            <v>T25000328</v>
          </cell>
          <cell r="AP2321">
            <v>0</v>
          </cell>
          <cell r="AQ2321">
            <v>0</v>
          </cell>
          <cell r="AV2321">
            <v>0</v>
          </cell>
        </row>
        <row r="2322">
          <cell r="E2322" t="str">
            <v>T25000329</v>
          </cell>
          <cell r="AP2322">
            <v>0</v>
          </cell>
          <cell r="AQ2322">
            <v>0</v>
          </cell>
          <cell r="AV2322">
            <v>0</v>
          </cell>
        </row>
        <row r="2323">
          <cell r="E2323" t="str">
            <v>T25000357</v>
          </cell>
          <cell r="AP2323">
            <v>0</v>
          </cell>
          <cell r="AQ2323">
            <v>0</v>
          </cell>
          <cell r="AV2323">
            <v>0</v>
          </cell>
        </row>
        <row r="2324">
          <cell r="E2324" t="str">
            <v>T25000363</v>
          </cell>
          <cell r="AP2324">
            <v>0</v>
          </cell>
          <cell r="AQ2324">
            <v>0</v>
          </cell>
          <cell r="AV2324">
            <v>0</v>
          </cell>
        </row>
        <row r="2325">
          <cell r="E2325" t="str">
            <v>T25000364</v>
          </cell>
          <cell r="AP2325">
            <v>0</v>
          </cell>
          <cell r="AQ2325">
            <v>0</v>
          </cell>
          <cell r="AV2325">
            <v>0</v>
          </cell>
        </row>
        <row r="2326">
          <cell r="E2326" t="str">
            <v>T25000365</v>
          </cell>
          <cell r="AP2326">
            <v>0</v>
          </cell>
          <cell r="AQ2326">
            <v>0</v>
          </cell>
          <cell r="AV2326">
            <v>0</v>
          </cell>
        </row>
        <row r="2327">
          <cell r="E2327" t="str">
            <v>T25000366</v>
          </cell>
          <cell r="AP2327">
            <v>0</v>
          </cell>
          <cell r="AQ2327">
            <v>0</v>
          </cell>
          <cell r="AV2327">
            <v>0</v>
          </cell>
        </row>
        <row r="2328">
          <cell r="E2328" t="str">
            <v>T25000367</v>
          </cell>
          <cell r="AP2328">
            <v>0</v>
          </cell>
          <cell r="AQ2328">
            <v>0</v>
          </cell>
          <cell r="AV2328">
            <v>0</v>
          </cell>
        </row>
        <row r="2329">
          <cell r="E2329" t="str">
            <v>T25000368</v>
          </cell>
          <cell r="AP2329">
            <v>0</v>
          </cell>
          <cell r="AQ2329">
            <v>0</v>
          </cell>
          <cell r="AV2329">
            <v>0</v>
          </cell>
        </row>
        <row r="2330">
          <cell r="E2330" t="str">
            <v>T25000372</v>
          </cell>
          <cell r="AP2330">
            <v>0</v>
          </cell>
          <cell r="AQ2330">
            <v>0</v>
          </cell>
          <cell r="AV2330">
            <v>0</v>
          </cell>
        </row>
        <row r="2331">
          <cell r="E2331" t="str">
            <v>T25000432</v>
          </cell>
          <cell r="AP2331">
            <v>0</v>
          </cell>
          <cell r="AQ2331">
            <v>0</v>
          </cell>
          <cell r="AV2331">
            <v>0</v>
          </cell>
        </row>
        <row r="2332">
          <cell r="E2332" t="str">
            <v>T25000523</v>
          </cell>
          <cell r="AP2332">
            <v>0</v>
          </cell>
          <cell r="AQ2332">
            <v>0</v>
          </cell>
          <cell r="AV2332">
            <v>0</v>
          </cell>
        </row>
        <row r="2333">
          <cell r="E2333" t="str">
            <v>T25000546</v>
          </cell>
          <cell r="AP2333">
            <v>0</v>
          </cell>
          <cell r="AQ2333">
            <v>0</v>
          </cell>
          <cell r="AV2333">
            <v>0</v>
          </cell>
        </row>
        <row r="2334">
          <cell r="E2334" t="str">
            <v>T25000547</v>
          </cell>
          <cell r="AP2334">
            <v>0</v>
          </cell>
          <cell r="AQ2334">
            <v>0</v>
          </cell>
          <cell r="AV2334">
            <v>0</v>
          </cell>
        </row>
        <row r="2335">
          <cell r="E2335" t="str">
            <v>T25000548</v>
          </cell>
          <cell r="AP2335">
            <v>0</v>
          </cell>
          <cell r="AQ2335">
            <v>0</v>
          </cell>
          <cell r="AV2335">
            <v>0</v>
          </cell>
        </row>
        <row r="2336">
          <cell r="E2336" t="str">
            <v>T25000558</v>
          </cell>
          <cell r="AP2336">
            <v>0</v>
          </cell>
          <cell r="AQ2336">
            <v>0</v>
          </cell>
          <cell r="AV2336">
            <v>0</v>
          </cell>
        </row>
        <row r="2337">
          <cell r="E2337" t="str">
            <v>T25000559</v>
          </cell>
          <cell r="AP2337">
            <v>0</v>
          </cell>
          <cell r="AQ2337">
            <v>0</v>
          </cell>
          <cell r="AV2337">
            <v>0</v>
          </cell>
        </row>
        <row r="2338">
          <cell r="E2338" t="str">
            <v>T25000563</v>
          </cell>
          <cell r="AP2338">
            <v>0</v>
          </cell>
          <cell r="AQ2338">
            <v>0</v>
          </cell>
          <cell r="AV2338">
            <v>0</v>
          </cell>
        </row>
        <row r="2339">
          <cell r="E2339" t="str">
            <v>T25000564</v>
          </cell>
          <cell r="AP2339">
            <v>0</v>
          </cell>
          <cell r="AQ2339">
            <v>0</v>
          </cell>
          <cell r="AV2339">
            <v>0</v>
          </cell>
        </row>
        <row r="2340">
          <cell r="E2340" t="str">
            <v>T25000578</v>
          </cell>
          <cell r="AP2340">
            <v>0</v>
          </cell>
          <cell r="AQ2340">
            <v>0</v>
          </cell>
          <cell r="AV2340">
            <v>0</v>
          </cell>
        </row>
        <row r="2341">
          <cell r="E2341" t="str">
            <v>T25000626</v>
          </cell>
          <cell r="AP2341">
            <v>0</v>
          </cell>
          <cell r="AQ2341">
            <v>0</v>
          </cell>
          <cell r="AV2341">
            <v>0</v>
          </cell>
        </row>
        <row r="2342">
          <cell r="E2342" t="str">
            <v>T25000685</v>
          </cell>
          <cell r="AP2342">
            <v>0</v>
          </cell>
          <cell r="AQ2342">
            <v>0</v>
          </cell>
          <cell r="AV2342">
            <v>0</v>
          </cell>
        </row>
        <row r="2343">
          <cell r="E2343" t="str">
            <v>T25000686</v>
          </cell>
          <cell r="AP2343">
            <v>0</v>
          </cell>
          <cell r="AQ2343">
            <v>0</v>
          </cell>
          <cell r="AV2343">
            <v>0</v>
          </cell>
        </row>
        <row r="2344">
          <cell r="E2344" t="str">
            <v>T25000702</v>
          </cell>
          <cell r="AP2344">
            <v>0</v>
          </cell>
          <cell r="AQ2344">
            <v>0</v>
          </cell>
          <cell r="AV2344">
            <v>0</v>
          </cell>
        </row>
        <row r="2345">
          <cell r="E2345" t="str">
            <v>T25000706</v>
          </cell>
          <cell r="AP2345">
            <v>0</v>
          </cell>
          <cell r="AQ2345">
            <v>0</v>
          </cell>
          <cell r="AV2345">
            <v>0</v>
          </cell>
        </row>
        <row r="2346">
          <cell r="E2346" t="str">
            <v>T25000707</v>
          </cell>
          <cell r="AP2346">
            <v>0</v>
          </cell>
          <cell r="AQ2346">
            <v>0</v>
          </cell>
          <cell r="AV2346">
            <v>0</v>
          </cell>
        </row>
        <row r="2347">
          <cell r="E2347" t="str">
            <v>T25000734</v>
          </cell>
          <cell r="AP2347">
            <v>0</v>
          </cell>
          <cell r="AQ2347">
            <v>0</v>
          </cell>
          <cell r="AV2347">
            <v>0</v>
          </cell>
        </row>
        <row r="2348">
          <cell r="E2348" t="str">
            <v>T25000735</v>
          </cell>
          <cell r="AP2348">
            <v>0</v>
          </cell>
          <cell r="AQ2348">
            <v>0</v>
          </cell>
          <cell r="AV2348">
            <v>0</v>
          </cell>
        </row>
        <row r="2349">
          <cell r="E2349" t="str">
            <v>T25000740</v>
          </cell>
          <cell r="AP2349">
            <v>0</v>
          </cell>
          <cell r="AQ2349">
            <v>0</v>
          </cell>
          <cell r="AV2349">
            <v>0</v>
          </cell>
        </row>
        <row r="2350">
          <cell r="E2350" t="str">
            <v>T25000764</v>
          </cell>
          <cell r="AP2350">
            <v>0</v>
          </cell>
          <cell r="AQ2350">
            <v>0</v>
          </cell>
          <cell r="AV2350">
            <v>0</v>
          </cell>
        </row>
        <row r="2351">
          <cell r="E2351" t="str">
            <v>T25000770</v>
          </cell>
          <cell r="AP2351">
            <v>0</v>
          </cell>
          <cell r="AQ2351">
            <v>0</v>
          </cell>
          <cell r="AV2351">
            <v>0</v>
          </cell>
        </row>
        <row r="2352">
          <cell r="E2352" t="str">
            <v>R25000015</v>
          </cell>
          <cell r="AP2352">
            <v>0</v>
          </cell>
          <cell r="AQ2352">
            <v>0</v>
          </cell>
          <cell r="AV2352">
            <v>0</v>
          </cell>
        </row>
        <row r="2353">
          <cell r="E2353" t="str">
            <v>T25000878</v>
          </cell>
          <cell r="AP2353">
            <v>0</v>
          </cell>
          <cell r="AQ2353">
            <v>0</v>
          </cell>
          <cell r="AV2353">
            <v>0</v>
          </cell>
        </row>
        <row r="2354">
          <cell r="E2354" t="str">
            <v>T25000886</v>
          </cell>
          <cell r="AP2354">
            <v>0</v>
          </cell>
          <cell r="AQ2354">
            <v>0</v>
          </cell>
          <cell r="AV2354">
            <v>0</v>
          </cell>
        </row>
        <row r="2355">
          <cell r="E2355" t="str">
            <v>T25000887</v>
          </cell>
          <cell r="AP2355">
            <v>0</v>
          </cell>
          <cell r="AQ2355">
            <v>0</v>
          </cell>
          <cell r="AV2355">
            <v>0</v>
          </cell>
        </row>
        <row r="2356">
          <cell r="E2356" t="str">
            <v>T25000888</v>
          </cell>
          <cell r="AP2356">
            <v>0</v>
          </cell>
          <cell r="AQ2356">
            <v>0</v>
          </cell>
          <cell r="AV2356">
            <v>0</v>
          </cell>
        </row>
        <row r="2357">
          <cell r="E2357" t="str">
            <v>T25000895</v>
          </cell>
          <cell r="AP2357">
            <v>0</v>
          </cell>
          <cell r="AQ2357">
            <v>0</v>
          </cell>
          <cell r="AV2357">
            <v>0</v>
          </cell>
        </row>
        <row r="2358">
          <cell r="E2358" t="str">
            <v>T25000902</v>
          </cell>
          <cell r="AP2358">
            <v>0</v>
          </cell>
          <cell r="AQ2358">
            <v>0</v>
          </cell>
          <cell r="AV2358">
            <v>0</v>
          </cell>
        </row>
        <row r="2359">
          <cell r="E2359" t="str">
            <v>T25000903</v>
          </cell>
          <cell r="AP2359">
            <v>0</v>
          </cell>
          <cell r="AQ2359">
            <v>0</v>
          </cell>
          <cell r="AV2359">
            <v>0</v>
          </cell>
        </row>
        <row r="2360">
          <cell r="E2360" t="str">
            <v>T25000912</v>
          </cell>
          <cell r="AP2360">
            <v>0</v>
          </cell>
          <cell r="AQ2360">
            <v>0</v>
          </cell>
          <cell r="AV2360">
            <v>0</v>
          </cell>
        </row>
        <row r="2361">
          <cell r="E2361" t="str">
            <v>T25000914</v>
          </cell>
          <cell r="AP2361">
            <v>0</v>
          </cell>
          <cell r="AQ2361">
            <v>0</v>
          </cell>
          <cell r="AV2361">
            <v>0</v>
          </cell>
        </row>
        <row r="2362">
          <cell r="E2362" t="str">
            <v>T25000915</v>
          </cell>
          <cell r="AP2362">
            <v>0</v>
          </cell>
          <cell r="AQ2362">
            <v>0</v>
          </cell>
          <cell r="AV2362">
            <v>0</v>
          </cell>
        </row>
        <row r="2363">
          <cell r="E2363" t="str">
            <v>C25000475</v>
          </cell>
          <cell r="AP2363">
            <v>0</v>
          </cell>
          <cell r="AQ2363">
            <v>0</v>
          </cell>
          <cell r="AV2363">
            <v>0</v>
          </cell>
        </row>
        <row r="2364">
          <cell r="E2364" t="str">
            <v>T25000936</v>
          </cell>
          <cell r="AP2364">
            <v>0</v>
          </cell>
          <cell r="AQ2364">
            <v>0</v>
          </cell>
          <cell r="AV2364">
            <v>0</v>
          </cell>
        </row>
        <row r="2365">
          <cell r="E2365" t="str">
            <v>T25000956</v>
          </cell>
          <cell r="AP2365">
            <v>0</v>
          </cell>
          <cell r="AQ2365">
            <v>0</v>
          </cell>
          <cell r="AV2365">
            <v>0</v>
          </cell>
        </row>
        <row r="2366">
          <cell r="E2366" t="str">
            <v>T25000957</v>
          </cell>
          <cell r="AP2366">
            <v>0</v>
          </cell>
          <cell r="AQ2366">
            <v>0</v>
          </cell>
          <cell r="AV2366">
            <v>0</v>
          </cell>
        </row>
        <row r="2367">
          <cell r="E2367" t="str">
            <v>T25000958</v>
          </cell>
          <cell r="AP2367">
            <v>0</v>
          </cell>
          <cell r="AQ2367">
            <v>0</v>
          </cell>
          <cell r="AV2367">
            <v>0</v>
          </cell>
        </row>
        <row r="2368">
          <cell r="E2368" t="str">
            <v>D25009205</v>
          </cell>
          <cell r="AP2368">
            <v>0</v>
          </cell>
          <cell r="AQ2368">
            <v>0</v>
          </cell>
          <cell r="AV2368">
            <v>0</v>
          </cell>
        </row>
        <row r="2369">
          <cell r="E2369" t="str">
            <v>T25000988</v>
          </cell>
          <cell r="AP2369">
            <v>0</v>
          </cell>
          <cell r="AQ2369">
            <v>0</v>
          </cell>
          <cell r="AV2369">
            <v>0</v>
          </cell>
        </row>
        <row r="2370">
          <cell r="E2370" t="str">
            <v>T25000997</v>
          </cell>
          <cell r="AP2370">
            <v>0</v>
          </cell>
          <cell r="AQ2370">
            <v>0</v>
          </cell>
          <cell r="AV2370">
            <v>0</v>
          </cell>
        </row>
        <row r="2371">
          <cell r="E2371" t="str">
            <v>T25000999</v>
          </cell>
          <cell r="AP2371">
            <v>0</v>
          </cell>
          <cell r="AQ2371">
            <v>0</v>
          </cell>
          <cell r="AV2371">
            <v>0</v>
          </cell>
        </row>
        <row r="2372">
          <cell r="E2372" t="str">
            <v>T25001020</v>
          </cell>
          <cell r="AP2372">
            <v>0</v>
          </cell>
          <cell r="AQ2372">
            <v>0</v>
          </cell>
          <cell r="AV2372">
            <v>0</v>
          </cell>
        </row>
        <row r="2373">
          <cell r="E2373" t="str">
            <v>T25001022</v>
          </cell>
          <cell r="AP2373">
            <v>0</v>
          </cell>
          <cell r="AQ2373">
            <v>0</v>
          </cell>
          <cell r="AV2373">
            <v>0</v>
          </cell>
        </row>
        <row r="2374">
          <cell r="E2374" t="str">
            <v>T25001023</v>
          </cell>
          <cell r="AP2374">
            <v>0</v>
          </cell>
          <cell r="AQ2374">
            <v>0</v>
          </cell>
          <cell r="AV2374">
            <v>0</v>
          </cell>
        </row>
        <row r="2375">
          <cell r="E2375" t="str">
            <v>T25001024</v>
          </cell>
          <cell r="AP2375">
            <v>0</v>
          </cell>
          <cell r="AQ2375">
            <v>0</v>
          </cell>
          <cell r="AV2375">
            <v>0</v>
          </cell>
        </row>
        <row r="2376">
          <cell r="E2376" t="str">
            <v>T25001025</v>
          </cell>
          <cell r="AP2376">
            <v>0</v>
          </cell>
          <cell r="AQ2376">
            <v>0</v>
          </cell>
          <cell r="AV2376">
            <v>0</v>
          </cell>
        </row>
        <row r="2377">
          <cell r="E2377" t="str">
            <v>T25001033</v>
          </cell>
          <cell r="AP2377">
            <v>0</v>
          </cell>
          <cell r="AQ2377">
            <v>0</v>
          </cell>
          <cell r="AV2377">
            <v>0</v>
          </cell>
        </row>
        <row r="2378">
          <cell r="E2378" t="str">
            <v>T25001062</v>
          </cell>
          <cell r="AP2378">
            <v>0</v>
          </cell>
          <cell r="AQ2378">
            <v>0</v>
          </cell>
          <cell r="AV2378">
            <v>0</v>
          </cell>
        </row>
        <row r="2379">
          <cell r="E2379" t="str">
            <v>T25001078</v>
          </cell>
          <cell r="AP2379">
            <v>0</v>
          </cell>
          <cell r="AQ2379">
            <v>0</v>
          </cell>
          <cell r="AV2379">
            <v>0</v>
          </cell>
        </row>
        <row r="2380">
          <cell r="E2380" t="str">
            <v>T25001110</v>
          </cell>
          <cell r="AP2380">
            <v>0</v>
          </cell>
          <cell r="AQ2380">
            <v>0</v>
          </cell>
          <cell r="AV2380">
            <v>0</v>
          </cell>
        </row>
        <row r="2381">
          <cell r="E2381" t="str">
            <v>T25001162</v>
          </cell>
          <cell r="AP2381">
            <v>0</v>
          </cell>
          <cell r="AQ2381">
            <v>0</v>
          </cell>
          <cell r="AV2381">
            <v>0</v>
          </cell>
        </row>
        <row r="2382">
          <cell r="E2382" t="str">
            <v>T25001165</v>
          </cell>
          <cell r="AP2382">
            <v>0</v>
          </cell>
          <cell r="AQ2382">
            <v>0</v>
          </cell>
          <cell r="AV2382">
            <v>0</v>
          </cell>
        </row>
        <row r="2383">
          <cell r="E2383" t="str">
            <v>T25001173</v>
          </cell>
          <cell r="AP2383">
            <v>0</v>
          </cell>
          <cell r="AQ2383">
            <v>0</v>
          </cell>
          <cell r="AV2383">
            <v>0</v>
          </cell>
        </row>
        <row r="2384">
          <cell r="E2384" t="str">
            <v>T25001189</v>
          </cell>
          <cell r="AP2384">
            <v>0</v>
          </cell>
          <cell r="AQ2384">
            <v>0</v>
          </cell>
          <cell r="AV2384">
            <v>0</v>
          </cell>
        </row>
        <row r="2385">
          <cell r="E2385" t="str">
            <v>T25001203</v>
          </cell>
          <cell r="AP2385">
            <v>0</v>
          </cell>
          <cell r="AQ2385">
            <v>0</v>
          </cell>
          <cell r="AV2385">
            <v>0</v>
          </cell>
        </row>
        <row r="2386">
          <cell r="E2386" t="str">
            <v>T25001207</v>
          </cell>
          <cell r="AP2386">
            <v>0</v>
          </cell>
          <cell r="AQ2386">
            <v>0</v>
          </cell>
          <cell r="AV2386">
            <v>0</v>
          </cell>
        </row>
        <row r="2387">
          <cell r="E2387" t="str">
            <v>T25001222</v>
          </cell>
          <cell r="AP2387">
            <v>0</v>
          </cell>
          <cell r="AQ2387">
            <v>0</v>
          </cell>
          <cell r="AV2387">
            <v>0</v>
          </cell>
        </row>
        <row r="2388">
          <cell r="E2388" t="str">
            <v>T25001269</v>
          </cell>
          <cell r="AP2388">
            <v>0</v>
          </cell>
          <cell r="AQ2388">
            <v>0</v>
          </cell>
          <cell r="AV2388">
            <v>0</v>
          </cell>
        </row>
        <row r="2389">
          <cell r="E2389" t="str">
            <v>T25001294</v>
          </cell>
          <cell r="AP2389">
            <v>0</v>
          </cell>
          <cell r="AQ2389">
            <v>0</v>
          </cell>
          <cell r="AV2389">
            <v>0</v>
          </cell>
        </row>
        <row r="2390">
          <cell r="E2390" t="str">
            <v>T25001317</v>
          </cell>
          <cell r="AP2390">
            <v>0</v>
          </cell>
          <cell r="AQ2390">
            <v>0</v>
          </cell>
          <cell r="AV2390">
            <v>0</v>
          </cell>
        </row>
        <row r="2391">
          <cell r="E2391" t="str">
            <v>T25001323</v>
          </cell>
          <cell r="AP2391">
            <v>0</v>
          </cell>
          <cell r="AQ2391">
            <v>0</v>
          </cell>
          <cell r="AV2391">
            <v>0</v>
          </cell>
        </row>
        <row r="2392">
          <cell r="E2392" t="str">
            <v>T25001329</v>
          </cell>
          <cell r="AP2392">
            <v>0</v>
          </cell>
          <cell r="AQ2392">
            <v>0</v>
          </cell>
          <cell r="AV2392">
            <v>0</v>
          </cell>
        </row>
        <row r="2393">
          <cell r="E2393" t="str">
            <v>T25001330</v>
          </cell>
          <cell r="AP2393">
            <v>0</v>
          </cell>
          <cell r="AQ2393">
            <v>0</v>
          </cell>
          <cell r="AV2393">
            <v>0</v>
          </cell>
        </row>
        <row r="2394">
          <cell r="E2394" t="str">
            <v>T25001336</v>
          </cell>
          <cell r="AP2394">
            <v>0</v>
          </cell>
          <cell r="AQ2394">
            <v>0</v>
          </cell>
          <cell r="AV2394">
            <v>0</v>
          </cell>
        </row>
        <row r="2395">
          <cell r="E2395" t="str">
            <v>T25001343</v>
          </cell>
          <cell r="AP2395">
            <v>0</v>
          </cell>
          <cell r="AQ2395">
            <v>0</v>
          </cell>
          <cell r="AV2395">
            <v>0</v>
          </cell>
        </row>
        <row r="2396">
          <cell r="E2396" t="str">
            <v>T25001395</v>
          </cell>
          <cell r="AP2396">
            <v>0</v>
          </cell>
          <cell r="AQ2396">
            <v>0</v>
          </cell>
          <cell r="AV2396">
            <v>0</v>
          </cell>
        </row>
        <row r="2397">
          <cell r="E2397" t="str">
            <v>T25001408</v>
          </cell>
          <cell r="AP2397">
            <v>0</v>
          </cell>
          <cell r="AQ2397">
            <v>0</v>
          </cell>
          <cell r="AV2397">
            <v>0</v>
          </cell>
        </row>
        <row r="2398">
          <cell r="E2398" t="str">
            <v>T25001452</v>
          </cell>
          <cell r="AP2398">
            <v>0</v>
          </cell>
          <cell r="AQ2398">
            <v>0</v>
          </cell>
          <cell r="AV2398">
            <v>0</v>
          </cell>
        </row>
        <row r="2399">
          <cell r="E2399" t="str">
            <v>T25001456</v>
          </cell>
          <cell r="AP2399">
            <v>0</v>
          </cell>
          <cell r="AQ2399">
            <v>0</v>
          </cell>
          <cell r="AV2399">
            <v>0</v>
          </cell>
        </row>
        <row r="2400">
          <cell r="E2400" t="str">
            <v>T25001457</v>
          </cell>
          <cell r="AP2400">
            <v>0</v>
          </cell>
          <cell r="AQ2400">
            <v>0</v>
          </cell>
          <cell r="AV2400">
            <v>0</v>
          </cell>
        </row>
        <row r="2401">
          <cell r="E2401" t="str">
            <v>T25001458</v>
          </cell>
          <cell r="AP2401">
            <v>0</v>
          </cell>
          <cell r="AQ2401">
            <v>0</v>
          </cell>
          <cell r="AV2401">
            <v>0</v>
          </cell>
        </row>
        <row r="2402">
          <cell r="E2402" t="str">
            <v>T25001459</v>
          </cell>
          <cell r="AP2402">
            <v>0</v>
          </cell>
          <cell r="AQ2402">
            <v>0</v>
          </cell>
          <cell r="AV2402">
            <v>0</v>
          </cell>
        </row>
        <row r="2403">
          <cell r="E2403" t="str">
            <v>T25001460</v>
          </cell>
          <cell r="AP2403">
            <v>0</v>
          </cell>
          <cell r="AQ2403">
            <v>0</v>
          </cell>
          <cell r="AV2403">
            <v>0</v>
          </cell>
        </row>
        <row r="2404">
          <cell r="E2404" t="str">
            <v>T25001463</v>
          </cell>
          <cell r="AP2404">
            <v>0</v>
          </cell>
          <cell r="AQ2404">
            <v>0</v>
          </cell>
          <cell r="AV2404">
            <v>0</v>
          </cell>
        </row>
        <row r="2405">
          <cell r="E2405" t="str">
            <v>T25001464</v>
          </cell>
          <cell r="AP2405">
            <v>0</v>
          </cell>
          <cell r="AQ2405">
            <v>0</v>
          </cell>
          <cell r="AV2405">
            <v>0</v>
          </cell>
        </row>
        <row r="2406">
          <cell r="E2406" t="str">
            <v>T25001485</v>
          </cell>
          <cell r="AP2406">
            <v>0</v>
          </cell>
          <cell r="AQ2406">
            <v>0</v>
          </cell>
          <cell r="AV2406">
            <v>0</v>
          </cell>
        </row>
        <row r="2407">
          <cell r="E2407" t="str">
            <v>T25001497</v>
          </cell>
          <cell r="AP2407">
            <v>0</v>
          </cell>
          <cell r="AQ2407">
            <v>0</v>
          </cell>
          <cell r="AV2407">
            <v>0</v>
          </cell>
        </row>
        <row r="2408">
          <cell r="E2408" t="str">
            <v>T25001546</v>
          </cell>
          <cell r="AP2408">
            <v>0</v>
          </cell>
          <cell r="AQ2408">
            <v>0</v>
          </cell>
          <cell r="AV2408">
            <v>0</v>
          </cell>
        </row>
        <row r="2409">
          <cell r="E2409" t="str">
            <v>T25001592</v>
          </cell>
          <cell r="AP2409">
            <v>0</v>
          </cell>
          <cell r="AQ2409">
            <v>0</v>
          </cell>
          <cell r="AV2409">
            <v>0</v>
          </cell>
        </row>
        <row r="2410">
          <cell r="E2410" t="str">
            <v>T25001593</v>
          </cell>
          <cell r="AP2410">
            <v>0</v>
          </cell>
          <cell r="AQ2410">
            <v>0</v>
          </cell>
          <cell r="AV2410">
            <v>0</v>
          </cell>
        </row>
        <row r="2411">
          <cell r="E2411" t="str">
            <v>T25001604</v>
          </cell>
          <cell r="AP2411">
            <v>0</v>
          </cell>
          <cell r="AQ2411">
            <v>0</v>
          </cell>
          <cell r="AV2411">
            <v>0</v>
          </cell>
        </row>
        <row r="2412">
          <cell r="E2412" t="str">
            <v>T25001608</v>
          </cell>
          <cell r="AP2412">
            <v>0</v>
          </cell>
          <cell r="AQ2412">
            <v>0</v>
          </cell>
          <cell r="AV2412">
            <v>0</v>
          </cell>
        </row>
        <row r="2413">
          <cell r="E2413" t="str">
            <v>T25001627</v>
          </cell>
          <cell r="AP2413">
            <v>0</v>
          </cell>
          <cell r="AQ2413">
            <v>0</v>
          </cell>
          <cell r="AV2413">
            <v>0</v>
          </cell>
        </row>
        <row r="2414">
          <cell r="E2414" t="str">
            <v>T25001628</v>
          </cell>
          <cell r="AP2414">
            <v>0</v>
          </cell>
          <cell r="AQ2414">
            <v>0</v>
          </cell>
          <cell r="AV2414">
            <v>0</v>
          </cell>
        </row>
        <row r="2415">
          <cell r="E2415" t="str">
            <v>T25001629</v>
          </cell>
          <cell r="AP2415">
            <v>0</v>
          </cell>
          <cell r="AQ2415">
            <v>0</v>
          </cell>
          <cell r="AV2415">
            <v>0</v>
          </cell>
        </row>
        <row r="2416">
          <cell r="E2416" t="str">
            <v>T25001630</v>
          </cell>
          <cell r="AP2416">
            <v>0</v>
          </cell>
          <cell r="AQ2416">
            <v>0</v>
          </cell>
          <cell r="AV2416">
            <v>0</v>
          </cell>
        </row>
        <row r="2417">
          <cell r="E2417" t="str">
            <v>T25001683</v>
          </cell>
          <cell r="AP2417">
            <v>0</v>
          </cell>
          <cell r="AQ2417">
            <v>0</v>
          </cell>
          <cell r="AV2417">
            <v>0</v>
          </cell>
        </row>
        <row r="2418">
          <cell r="E2418" t="str">
            <v>T25001712</v>
          </cell>
          <cell r="AP2418">
            <v>0</v>
          </cell>
          <cell r="AQ2418">
            <v>0</v>
          </cell>
          <cell r="AV2418">
            <v>0</v>
          </cell>
        </row>
        <row r="2419">
          <cell r="E2419" t="str">
            <v>T25001729</v>
          </cell>
          <cell r="AP2419">
            <v>0</v>
          </cell>
          <cell r="AQ2419">
            <v>0</v>
          </cell>
          <cell r="AV2419">
            <v>0</v>
          </cell>
        </row>
        <row r="2420">
          <cell r="E2420" t="str">
            <v>T25001741</v>
          </cell>
          <cell r="AP2420">
            <v>0</v>
          </cell>
          <cell r="AQ2420">
            <v>0</v>
          </cell>
          <cell r="AV2420">
            <v>0</v>
          </cell>
        </row>
        <row r="2421">
          <cell r="E2421" t="str">
            <v>T25001742</v>
          </cell>
          <cell r="AP2421">
            <v>0</v>
          </cell>
          <cell r="AQ2421">
            <v>0</v>
          </cell>
          <cell r="AV2421">
            <v>0</v>
          </cell>
        </row>
        <row r="2422">
          <cell r="E2422" t="str">
            <v>T25001746</v>
          </cell>
          <cell r="AP2422">
            <v>0</v>
          </cell>
          <cell r="AQ2422">
            <v>0</v>
          </cell>
          <cell r="AV2422">
            <v>0</v>
          </cell>
        </row>
        <row r="2423">
          <cell r="E2423" t="str">
            <v>T25001750</v>
          </cell>
          <cell r="AP2423">
            <v>0</v>
          </cell>
          <cell r="AQ2423">
            <v>0</v>
          </cell>
          <cell r="AV2423">
            <v>0</v>
          </cell>
        </row>
        <row r="2424">
          <cell r="E2424" t="str">
            <v>T25001751</v>
          </cell>
          <cell r="AP2424">
            <v>0</v>
          </cell>
          <cell r="AQ2424">
            <v>0</v>
          </cell>
          <cell r="AV2424">
            <v>0</v>
          </cell>
        </row>
        <row r="2425">
          <cell r="E2425" t="str">
            <v>T25001752</v>
          </cell>
          <cell r="AP2425">
            <v>0</v>
          </cell>
          <cell r="AQ2425">
            <v>0</v>
          </cell>
          <cell r="AV2425">
            <v>0</v>
          </cell>
        </row>
        <row r="2426">
          <cell r="E2426" t="str">
            <v>T25001756</v>
          </cell>
          <cell r="AP2426">
            <v>0</v>
          </cell>
          <cell r="AQ2426">
            <v>0</v>
          </cell>
          <cell r="AV2426">
            <v>0</v>
          </cell>
        </row>
        <row r="2427">
          <cell r="E2427" t="str">
            <v>T25001757</v>
          </cell>
          <cell r="AP2427">
            <v>0</v>
          </cell>
          <cell r="AQ2427">
            <v>0</v>
          </cell>
          <cell r="AV2427">
            <v>0</v>
          </cell>
        </row>
        <row r="2428">
          <cell r="E2428" t="str">
            <v>T25001764</v>
          </cell>
          <cell r="AP2428">
            <v>0</v>
          </cell>
          <cell r="AQ2428">
            <v>0</v>
          </cell>
          <cell r="AV2428">
            <v>0</v>
          </cell>
        </row>
        <row r="2429">
          <cell r="E2429" t="str">
            <v>T25001765</v>
          </cell>
          <cell r="AP2429">
            <v>0</v>
          </cell>
          <cell r="AQ2429">
            <v>0</v>
          </cell>
          <cell r="AV2429">
            <v>0</v>
          </cell>
        </row>
        <row r="2430">
          <cell r="E2430" t="str">
            <v>T25001766</v>
          </cell>
          <cell r="AP2430">
            <v>0</v>
          </cell>
          <cell r="AQ2430">
            <v>0</v>
          </cell>
          <cell r="AV2430">
            <v>0</v>
          </cell>
        </row>
        <row r="2431">
          <cell r="E2431" t="str">
            <v>T25001767</v>
          </cell>
          <cell r="AP2431">
            <v>0</v>
          </cell>
          <cell r="AQ2431">
            <v>0</v>
          </cell>
          <cell r="AV2431">
            <v>0</v>
          </cell>
        </row>
        <row r="2432">
          <cell r="E2432" t="str">
            <v>T25001768</v>
          </cell>
          <cell r="AP2432">
            <v>0</v>
          </cell>
          <cell r="AQ2432">
            <v>0</v>
          </cell>
          <cell r="AV2432">
            <v>0</v>
          </cell>
        </row>
        <row r="2433">
          <cell r="E2433" t="str">
            <v>T25001769</v>
          </cell>
          <cell r="AP2433">
            <v>0</v>
          </cell>
          <cell r="AQ2433">
            <v>0</v>
          </cell>
          <cell r="AV2433">
            <v>0</v>
          </cell>
        </row>
        <row r="2434">
          <cell r="E2434" t="str">
            <v>T25001807</v>
          </cell>
          <cell r="AP2434">
            <v>0</v>
          </cell>
          <cell r="AQ2434">
            <v>0</v>
          </cell>
          <cell r="AV2434">
            <v>0</v>
          </cell>
        </row>
        <row r="2435">
          <cell r="E2435" t="str">
            <v>T25001832</v>
          </cell>
          <cell r="AP2435">
            <v>0</v>
          </cell>
          <cell r="AQ2435">
            <v>0</v>
          </cell>
          <cell r="AV2435">
            <v>0</v>
          </cell>
        </row>
        <row r="2436">
          <cell r="E2436" t="str">
            <v>T25001896</v>
          </cell>
          <cell r="AP2436">
            <v>0</v>
          </cell>
          <cell r="AQ2436">
            <v>0</v>
          </cell>
          <cell r="AV2436">
            <v>0</v>
          </cell>
        </row>
        <row r="2437">
          <cell r="E2437" t="str">
            <v>T26000004</v>
          </cell>
          <cell r="AP2437">
            <v>0</v>
          </cell>
          <cell r="AQ2437">
            <v>0</v>
          </cell>
          <cell r="AV2437">
            <v>0</v>
          </cell>
        </row>
        <row r="2438">
          <cell r="E2438" t="str">
            <v>T26000005</v>
          </cell>
          <cell r="AP2438">
            <v>0</v>
          </cell>
          <cell r="AQ2438">
            <v>0</v>
          </cell>
          <cell r="AV2438">
            <v>0</v>
          </cell>
        </row>
        <row r="2439">
          <cell r="E2439" t="str">
            <v>T26000007</v>
          </cell>
          <cell r="AP2439">
            <v>0</v>
          </cell>
          <cell r="AQ2439">
            <v>0</v>
          </cell>
          <cell r="AV2439">
            <v>0</v>
          </cell>
        </row>
        <row r="2440">
          <cell r="E2440" t="str">
            <v>T26000011</v>
          </cell>
          <cell r="AP2440">
            <v>0</v>
          </cell>
          <cell r="AQ2440">
            <v>0</v>
          </cell>
          <cell r="AV2440">
            <v>0</v>
          </cell>
        </row>
        <row r="2441">
          <cell r="E2441" t="str">
            <v>T26000012</v>
          </cell>
          <cell r="AP2441">
            <v>0</v>
          </cell>
          <cell r="AQ2441">
            <v>0</v>
          </cell>
          <cell r="AV2441">
            <v>0</v>
          </cell>
        </row>
        <row r="2442">
          <cell r="E2442" t="str">
            <v>T26000015</v>
          </cell>
          <cell r="AP2442">
            <v>0</v>
          </cell>
          <cell r="AQ2442">
            <v>0</v>
          </cell>
          <cell r="AV2442">
            <v>0</v>
          </cell>
        </row>
        <row r="2443">
          <cell r="E2443" t="str">
            <v>T26000020</v>
          </cell>
          <cell r="AP2443">
            <v>0</v>
          </cell>
          <cell r="AQ2443">
            <v>0</v>
          </cell>
          <cell r="AV2443">
            <v>0</v>
          </cell>
        </row>
        <row r="2444">
          <cell r="E2444" t="str">
            <v>T26000048</v>
          </cell>
          <cell r="AP2444">
            <v>0</v>
          </cell>
          <cell r="AQ2444">
            <v>0</v>
          </cell>
          <cell r="AV2444">
            <v>0</v>
          </cell>
        </row>
        <row r="2445">
          <cell r="E2445" t="str">
            <v>T26000069</v>
          </cell>
          <cell r="AP2445">
            <v>0</v>
          </cell>
          <cell r="AQ2445">
            <v>0</v>
          </cell>
          <cell r="AV2445">
            <v>0</v>
          </cell>
        </row>
        <row r="2446">
          <cell r="E2446" t="str">
            <v>T26000080</v>
          </cell>
          <cell r="AP2446">
            <v>0</v>
          </cell>
          <cell r="AQ2446">
            <v>0</v>
          </cell>
          <cell r="AV2446">
            <v>0</v>
          </cell>
        </row>
        <row r="2447">
          <cell r="E2447" t="str">
            <v>T26000084</v>
          </cell>
          <cell r="AP2447">
            <v>0</v>
          </cell>
          <cell r="AQ2447">
            <v>0</v>
          </cell>
          <cell r="AV2447">
            <v>0</v>
          </cell>
        </row>
        <row r="2448">
          <cell r="E2448" t="str">
            <v>D25016874</v>
          </cell>
          <cell r="AP2448">
            <v>0</v>
          </cell>
          <cell r="AQ2448">
            <v>0</v>
          </cell>
          <cell r="AV2448">
            <v>0</v>
          </cell>
        </row>
        <row r="2449">
          <cell r="E2449" t="str">
            <v>D25016915</v>
          </cell>
          <cell r="AP2449">
            <v>0</v>
          </cell>
          <cell r="AQ2449">
            <v>0</v>
          </cell>
          <cell r="AV2449">
            <v>0</v>
          </cell>
        </row>
        <row r="2450">
          <cell r="E2450" t="str">
            <v>B25016903</v>
          </cell>
          <cell r="AP2450">
            <v>0</v>
          </cell>
          <cell r="AQ2450">
            <v>0</v>
          </cell>
          <cell r="AV2450">
            <v>0</v>
          </cell>
        </row>
        <row r="2451">
          <cell r="E2451" t="str">
            <v>D25019699</v>
          </cell>
          <cell r="AP2451">
            <v>0</v>
          </cell>
          <cell r="AQ2451">
            <v>0</v>
          </cell>
          <cell r="AV2451">
            <v>0</v>
          </cell>
        </row>
        <row r="2452">
          <cell r="E2452" t="str">
            <v>T26000001</v>
          </cell>
          <cell r="AP2452">
            <v>0</v>
          </cell>
          <cell r="AQ2452">
            <v>0</v>
          </cell>
          <cell r="AV2452">
            <v>0</v>
          </cell>
        </row>
        <row r="2453">
          <cell r="E2453" t="str">
            <v>B26000953</v>
          </cell>
          <cell r="AP2453">
            <v>0</v>
          </cell>
          <cell r="AQ2453">
            <v>0</v>
          </cell>
          <cell r="AV2453">
            <v>0</v>
          </cell>
        </row>
        <row r="2454">
          <cell r="E2454" t="str">
            <v>Z26000115</v>
          </cell>
          <cell r="AP2454">
            <v>0</v>
          </cell>
          <cell r="AQ2454">
            <v>0</v>
          </cell>
          <cell r="AV2454">
            <v>0</v>
          </cell>
        </row>
        <row r="2455">
          <cell r="E2455" t="str">
            <v>B25016592</v>
          </cell>
          <cell r="AP2455">
            <v>0</v>
          </cell>
          <cell r="AQ2455">
            <v>0</v>
          </cell>
          <cell r="AV2455">
            <v>0</v>
          </cell>
        </row>
        <row r="2456">
          <cell r="E2456" t="str">
            <v>B25016593</v>
          </cell>
          <cell r="AP2456">
            <v>0</v>
          </cell>
          <cell r="AQ2456">
            <v>0</v>
          </cell>
          <cell r="AV2456">
            <v>0</v>
          </cell>
        </row>
        <row r="2457">
          <cell r="E2457" t="str">
            <v>B25016626</v>
          </cell>
          <cell r="AP2457">
            <v>0</v>
          </cell>
          <cell r="AQ2457">
            <v>0</v>
          </cell>
          <cell r="AV2457">
            <v>0</v>
          </cell>
        </row>
        <row r="2458">
          <cell r="E2458" t="str">
            <v>B25016686</v>
          </cell>
          <cell r="AP2458">
            <v>0</v>
          </cell>
          <cell r="AQ2458">
            <v>0</v>
          </cell>
          <cell r="AV2458">
            <v>0</v>
          </cell>
        </row>
        <row r="2459">
          <cell r="E2459" t="str">
            <v>D25019320</v>
          </cell>
          <cell r="AP2459">
            <v>0</v>
          </cell>
          <cell r="AQ2459">
            <v>0</v>
          </cell>
          <cell r="AV2459">
            <v>0</v>
          </cell>
        </row>
        <row r="2460">
          <cell r="E2460" t="str">
            <v>B25016987</v>
          </cell>
          <cell r="AP2460">
            <v>0</v>
          </cell>
          <cell r="AQ2460">
            <v>0</v>
          </cell>
          <cell r="AV2460">
            <v>0</v>
          </cell>
        </row>
        <row r="2461">
          <cell r="E2461" t="str">
            <v>B25016996</v>
          </cell>
          <cell r="AP2461">
            <v>0</v>
          </cell>
          <cell r="AQ2461">
            <v>0</v>
          </cell>
          <cell r="AV2461">
            <v>0</v>
          </cell>
        </row>
        <row r="2462">
          <cell r="E2462" t="str">
            <v>B25016997</v>
          </cell>
          <cell r="AP2462">
            <v>0</v>
          </cell>
          <cell r="AQ2462">
            <v>0</v>
          </cell>
          <cell r="AV2462">
            <v>0</v>
          </cell>
        </row>
        <row r="2463">
          <cell r="E2463" t="str">
            <v>B26000162</v>
          </cell>
          <cell r="AP2463">
            <v>0</v>
          </cell>
          <cell r="AQ2463">
            <v>0</v>
          </cell>
          <cell r="AV2463">
            <v>0</v>
          </cell>
        </row>
        <row r="2464">
          <cell r="E2464" t="str">
            <v>D26000376</v>
          </cell>
          <cell r="AP2464">
            <v>0</v>
          </cell>
          <cell r="AQ2464">
            <v>0</v>
          </cell>
          <cell r="AV2464">
            <v>0</v>
          </cell>
        </row>
        <row r="2465">
          <cell r="E2465" t="str">
            <v>D26000585</v>
          </cell>
          <cell r="AP2465">
            <v>0</v>
          </cell>
          <cell r="AQ2465">
            <v>0</v>
          </cell>
          <cell r="AV2465">
            <v>0</v>
          </cell>
        </row>
        <row r="2466">
          <cell r="E2466" t="str">
            <v>D26000586</v>
          </cell>
          <cell r="AP2466">
            <v>0</v>
          </cell>
          <cell r="AQ2466">
            <v>0</v>
          </cell>
          <cell r="AV2466">
            <v>0</v>
          </cell>
        </row>
        <row r="2467">
          <cell r="E2467" t="str">
            <v>D26000864</v>
          </cell>
          <cell r="AP2467">
            <v>0</v>
          </cell>
          <cell r="AQ2467">
            <v>0</v>
          </cell>
          <cell r="AV2467">
            <v>0</v>
          </cell>
        </row>
        <row r="2468">
          <cell r="E2468" t="str">
            <v>D26000929</v>
          </cell>
          <cell r="AP2468">
            <v>0</v>
          </cell>
          <cell r="AQ2468">
            <v>0</v>
          </cell>
          <cell r="AV2468">
            <v>0</v>
          </cell>
        </row>
        <row r="2469">
          <cell r="E2469" t="str">
            <v>D26001042</v>
          </cell>
          <cell r="AP2469">
            <v>0</v>
          </cell>
          <cell r="AQ2469">
            <v>0</v>
          </cell>
          <cell r="AV2469">
            <v>0</v>
          </cell>
        </row>
        <row r="2470">
          <cell r="E2470" t="str">
            <v>B26001102</v>
          </cell>
          <cell r="AP2470">
            <v>0</v>
          </cell>
          <cell r="AQ2470">
            <v>0</v>
          </cell>
          <cell r="AV2470">
            <v>0</v>
          </cell>
        </row>
        <row r="2471">
          <cell r="E2471" t="str">
            <v>T25001845</v>
          </cell>
          <cell r="AP2471">
            <v>0</v>
          </cell>
          <cell r="AQ2471">
            <v>0</v>
          </cell>
          <cell r="AV2471">
            <v>0</v>
          </cell>
        </row>
        <row r="2472">
          <cell r="E2472" t="str">
            <v>B26000289</v>
          </cell>
          <cell r="AP2472">
            <v>0</v>
          </cell>
          <cell r="AQ2472">
            <v>0</v>
          </cell>
          <cell r="AV2472">
            <v>0</v>
          </cell>
        </row>
        <row r="2473">
          <cell r="E2473" t="str">
            <v>B26001305</v>
          </cell>
          <cell r="AP2473">
            <v>0</v>
          </cell>
          <cell r="AQ2473">
            <v>0</v>
          </cell>
          <cell r="AV2473">
            <v>0</v>
          </cell>
        </row>
        <row r="2474">
          <cell r="E2474" t="str">
            <v>Z25003207</v>
          </cell>
          <cell r="AP2474">
            <v>0</v>
          </cell>
          <cell r="AQ2474">
            <v>0</v>
          </cell>
          <cell r="AV2474">
            <v>0</v>
          </cell>
        </row>
        <row r="2475">
          <cell r="E2475" t="str">
            <v>Z26000041</v>
          </cell>
          <cell r="AP2475">
            <v>0</v>
          </cell>
          <cell r="AQ2475">
            <v>0</v>
          </cell>
          <cell r="AV2475">
            <v>0</v>
          </cell>
        </row>
        <row r="2476">
          <cell r="E2476" t="str">
            <v>Z26000045</v>
          </cell>
          <cell r="AP2476">
            <v>0</v>
          </cell>
          <cell r="AQ2476">
            <v>0</v>
          </cell>
          <cell r="AV2476">
            <v>0</v>
          </cell>
        </row>
        <row r="2477">
          <cell r="E2477" t="str">
            <v>Z26000288</v>
          </cell>
          <cell r="AP2477">
            <v>0</v>
          </cell>
          <cell r="AQ2477">
            <v>0</v>
          </cell>
          <cell r="AV2477">
            <v>0</v>
          </cell>
        </row>
        <row r="2478">
          <cell r="E2478" t="str">
            <v>Z26000292</v>
          </cell>
          <cell r="AP2478">
            <v>0</v>
          </cell>
          <cell r="AQ2478">
            <v>0</v>
          </cell>
          <cell r="AV2478">
            <v>0</v>
          </cell>
        </row>
        <row r="2479">
          <cell r="E2479" t="str">
            <v>B26001144</v>
          </cell>
          <cell r="AP2479">
            <v>0</v>
          </cell>
          <cell r="AQ2479">
            <v>0</v>
          </cell>
          <cell r="AV2479">
            <v>0</v>
          </cell>
        </row>
        <row r="2480">
          <cell r="E2480" t="str">
            <v>B26001241</v>
          </cell>
          <cell r="AP2480">
            <v>0</v>
          </cell>
          <cell r="AQ2480">
            <v>0</v>
          </cell>
          <cell r="AV2480">
            <v>0</v>
          </cell>
        </row>
        <row r="2481">
          <cell r="E2481" t="str">
            <v>B26001406</v>
          </cell>
          <cell r="AP2481">
            <v>0</v>
          </cell>
          <cell r="AQ2481">
            <v>0</v>
          </cell>
          <cell r="AV2481">
            <v>0</v>
          </cell>
        </row>
        <row r="2482">
          <cell r="E2482" t="str">
            <v>B26001415</v>
          </cell>
          <cell r="AP2482">
            <v>0</v>
          </cell>
          <cell r="AQ2482">
            <v>0</v>
          </cell>
          <cell r="AV2482">
            <v>0</v>
          </cell>
        </row>
        <row r="2483">
          <cell r="E2483" t="str">
            <v>B25016070</v>
          </cell>
          <cell r="AP2483">
            <v>0</v>
          </cell>
          <cell r="AQ2483">
            <v>0</v>
          </cell>
          <cell r="AV2483">
            <v>0</v>
          </cell>
        </row>
        <row r="2484">
          <cell r="E2484" t="str">
            <v>D25018774</v>
          </cell>
          <cell r="AP2484">
            <v>0</v>
          </cell>
          <cell r="AQ2484">
            <v>0</v>
          </cell>
          <cell r="AV2484">
            <v>0</v>
          </cell>
        </row>
        <row r="2485">
          <cell r="E2485" t="str">
            <v>T25001898</v>
          </cell>
          <cell r="AP2485">
            <v>0</v>
          </cell>
          <cell r="AQ2485">
            <v>0</v>
          </cell>
          <cell r="AV2485">
            <v>0</v>
          </cell>
        </row>
        <row r="2486">
          <cell r="E2486" t="str">
            <v>D25016578</v>
          </cell>
          <cell r="AP2486">
            <v>0</v>
          </cell>
          <cell r="AQ2486">
            <v>0</v>
          </cell>
          <cell r="AV2486">
            <v>0</v>
          </cell>
        </row>
        <row r="2487">
          <cell r="E2487" t="str">
            <v>B26000464</v>
          </cell>
          <cell r="AP2487">
            <v>0</v>
          </cell>
          <cell r="AQ2487">
            <v>0</v>
          </cell>
          <cell r="AV2487">
            <v>0</v>
          </cell>
        </row>
        <row r="2488">
          <cell r="E2488" t="str">
            <v>B26001015</v>
          </cell>
          <cell r="AP2488">
            <v>0</v>
          </cell>
          <cell r="AQ2488">
            <v>0</v>
          </cell>
          <cell r="AV2488">
            <v>0</v>
          </cell>
        </row>
        <row r="2489">
          <cell r="E2489" t="str">
            <v>B26001016</v>
          </cell>
          <cell r="AP2489">
            <v>0</v>
          </cell>
          <cell r="AQ2489">
            <v>0</v>
          </cell>
          <cell r="AV2489">
            <v>0</v>
          </cell>
        </row>
        <row r="2490">
          <cell r="E2490" t="str">
            <v>T25001826</v>
          </cell>
          <cell r="AP2490">
            <v>0</v>
          </cell>
          <cell r="AQ2490">
            <v>0</v>
          </cell>
          <cell r="AV2490">
            <v>0</v>
          </cell>
        </row>
        <row r="2491">
          <cell r="E2491" t="str">
            <v>D26000017</v>
          </cell>
          <cell r="AP2491">
            <v>0</v>
          </cell>
          <cell r="AQ2491">
            <v>0</v>
          </cell>
          <cell r="AV2491">
            <v>0</v>
          </cell>
        </row>
        <row r="2492">
          <cell r="E2492" t="str">
            <v>B26001154</v>
          </cell>
          <cell r="AP2492">
            <v>0</v>
          </cell>
          <cell r="AQ2492">
            <v>0</v>
          </cell>
          <cell r="AV2492">
            <v>0</v>
          </cell>
        </row>
        <row r="2493">
          <cell r="E2493" t="str">
            <v>B26001167</v>
          </cell>
          <cell r="AP2493">
            <v>0</v>
          </cell>
          <cell r="AQ2493">
            <v>0</v>
          </cell>
          <cell r="AV2493">
            <v>0</v>
          </cell>
        </row>
        <row r="2494">
          <cell r="E2494" t="str">
            <v>B26001222</v>
          </cell>
          <cell r="AP2494">
            <v>0</v>
          </cell>
          <cell r="AQ2494">
            <v>0</v>
          </cell>
          <cell r="AV2494">
            <v>0</v>
          </cell>
        </row>
        <row r="2495">
          <cell r="E2495" t="str">
            <v>B26001223</v>
          </cell>
          <cell r="AP2495">
            <v>0</v>
          </cell>
          <cell r="AQ2495">
            <v>0</v>
          </cell>
          <cell r="AV2495">
            <v>0</v>
          </cell>
        </row>
        <row r="2496">
          <cell r="E2496" t="str">
            <v>B26000048</v>
          </cell>
          <cell r="AP2496">
            <v>0</v>
          </cell>
          <cell r="AQ2496">
            <v>0</v>
          </cell>
          <cell r="AV2496">
            <v>0</v>
          </cell>
        </row>
        <row r="2497">
          <cell r="E2497" t="str">
            <v>D25018564</v>
          </cell>
          <cell r="AP2497">
            <v>0</v>
          </cell>
          <cell r="AQ2497">
            <v>0</v>
          </cell>
          <cell r="AV2497">
            <v>43275000</v>
          </cell>
        </row>
        <row r="2498">
          <cell r="E2498" t="str">
            <v>B25016409</v>
          </cell>
          <cell r="AP2498">
            <v>0</v>
          </cell>
          <cell r="AQ2498">
            <v>0</v>
          </cell>
          <cell r="AV2498">
            <v>156187500</v>
          </cell>
        </row>
        <row r="2499">
          <cell r="E2499" t="str">
            <v>B25016414</v>
          </cell>
          <cell r="AP2499">
            <v>0</v>
          </cell>
          <cell r="AQ2499">
            <v>0</v>
          </cell>
          <cell r="AV2499">
            <v>18600000</v>
          </cell>
        </row>
        <row r="2500">
          <cell r="E2500" t="str">
            <v>B25016421</v>
          </cell>
          <cell r="AP2500">
            <v>0</v>
          </cell>
          <cell r="AQ2500">
            <v>0</v>
          </cell>
          <cell r="AV2500">
            <v>0</v>
          </cell>
        </row>
        <row r="2501">
          <cell r="E2501" t="str">
            <v>B25016438</v>
          </cell>
          <cell r="AP2501">
            <v>0</v>
          </cell>
          <cell r="AQ2501">
            <v>0</v>
          </cell>
          <cell r="AV2501">
            <v>0</v>
          </cell>
        </row>
        <row r="2502">
          <cell r="E2502" t="str">
            <v>D26000472</v>
          </cell>
          <cell r="AP2502">
            <v>0</v>
          </cell>
          <cell r="AQ2502">
            <v>0</v>
          </cell>
          <cell r="AV2502">
            <v>0</v>
          </cell>
        </row>
        <row r="2503">
          <cell r="E2503" t="str">
            <v>D26000473</v>
          </cell>
          <cell r="AP2503">
            <v>0</v>
          </cell>
          <cell r="AQ2503">
            <v>0</v>
          </cell>
          <cell r="AV2503">
            <v>0</v>
          </cell>
        </row>
        <row r="2504">
          <cell r="E2504" t="str">
            <v>T26000028</v>
          </cell>
          <cell r="AP2504">
            <v>0</v>
          </cell>
          <cell r="AQ2504">
            <v>0</v>
          </cell>
          <cell r="AV2504">
            <v>0</v>
          </cell>
        </row>
        <row r="2505">
          <cell r="E2505" t="str">
            <v>B26000832</v>
          </cell>
          <cell r="AP2505">
            <v>0</v>
          </cell>
          <cell r="AQ2505">
            <v>0</v>
          </cell>
          <cell r="AV2505">
            <v>0</v>
          </cell>
        </row>
        <row r="2506">
          <cell r="E2506" t="str">
            <v>B25016762</v>
          </cell>
          <cell r="AP2506">
            <v>0</v>
          </cell>
          <cell r="AQ2506">
            <v>0</v>
          </cell>
          <cell r="AV2506">
            <v>0</v>
          </cell>
        </row>
        <row r="2507">
          <cell r="E2507" t="str">
            <v>B26000183</v>
          </cell>
          <cell r="AP2507">
            <v>0</v>
          </cell>
          <cell r="AQ2507">
            <v>0</v>
          </cell>
          <cell r="AV2507">
            <v>0</v>
          </cell>
        </row>
        <row r="2508">
          <cell r="E2508" t="str">
            <v>D26000634</v>
          </cell>
          <cell r="AP2508">
            <v>0</v>
          </cell>
          <cell r="AQ2508">
            <v>0</v>
          </cell>
          <cell r="AV2508">
            <v>0</v>
          </cell>
        </row>
        <row r="2509">
          <cell r="E2509" t="str">
            <v>D26000797</v>
          </cell>
          <cell r="AP2509">
            <v>0</v>
          </cell>
          <cell r="AQ2509">
            <v>0</v>
          </cell>
          <cell r="AV2509">
            <v>0</v>
          </cell>
        </row>
        <row r="2510">
          <cell r="E2510" t="str">
            <v>B26001194</v>
          </cell>
          <cell r="AP2510">
            <v>0</v>
          </cell>
          <cell r="AQ2510">
            <v>0</v>
          </cell>
          <cell r="AV2510">
            <v>0</v>
          </cell>
        </row>
        <row r="2511">
          <cell r="E2511" t="str">
            <v>D26001311</v>
          </cell>
          <cell r="AP2511">
            <v>0</v>
          </cell>
          <cell r="AQ2511">
            <v>0</v>
          </cell>
          <cell r="AV2511">
            <v>0</v>
          </cell>
        </row>
        <row r="2512">
          <cell r="E2512" t="str">
            <v>D26000188</v>
          </cell>
          <cell r="AP2512">
            <v>0</v>
          </cell>
          <cell r="AQ2512">
            <v>0</v>
          </cell>
          <cell r="AV2512">
            <v>0</v>
          </cell>
        </row>
        <row r="2513">
          <cell r="E2513" t="str">
            <v>B26000211</v>
          </cell>
          <cell r="AP2513">
            <v>0</v>
          </cell>
          <cell r="AQ2513">
            <v>0</v>
          </cell>
          <cell r="AV2513">
            <v>0</v>
          </cell>
        </row>
        <row r="2514">
          <cell r="E2514" t="str">
            <v>B25015599</v>
          </cell>
          <cell r="AP2514">
            <v>0</v>
          </cell>
          <cell r="AQ2514">
            <v>0</v>
          </cell>
          <cell r="AV2514">
            <v>0</v>
          </cell>
        </row>
        <row r="2515">
          <cell r="E2515" t="str">
            <v>D25018078</v>
          </cell>
          <cell r="AP2515">
            <v>0</v>
          </cell>
          <cell r="AQ2515">
            <v>0</v>
          </cell>
          <cell r="AV2515">
            <v>0</v>
          </cell>
        </row>
        <row r="2516">
          <cell r="E2516" t="str">
            <v>D25019361</v>
          </cell>
          <cell r="AP2516">
            <v>0</v>
          </cell>
          <cell r="AQ2516">
            <v>0</v>
          </cell>
          <cell r="AV2516">
            <v>0</v>
          </cell>
        </row>
        <row r="2517">
          <cell r="E2517" t="str">
            <v>B26000354</v>
          </cell>
          <cell r="AP2517">
            <v>0</v>
          </cell>
          <cell r="AQ2517">
            <v>0</v>
          </cell>
          <cell r="AV2517">
            <v>0</v>
          </cell>
        </row>
        <row r="2518">
          <cell r="E2518" t="str">
            <v>D26000448</v>
          </cell>
          <cell r="AP2518">
            <v>0</v>
          </cell>
          <cell r="AQ2518">
            <v>0</v>
          </cell>
          <cell r="AV2518">
            <v>0</v>
          </cell>
        </row>
        <row r="2519">
          <cell r="E2519" t="str">
            <v>B26000835</v>
          </cell>
          <cell r="AP2519">
            <v>0</v>
          </cell>
          <cell r="AQ2519">
            <v>0</v>
          </cell>
          <cell r="AV2519">
            <v>0</v>
          </cell>
        </row>
        <row r="2520">
          <cell r="E2520" t="str">
            <v>D26000920</v>
          </cell>
          <cell r="AP2520">
            <v>0</v>
          </cell>
          <cell r="AQ2520">
            <v>0</v>
          </cell>
          <cell r="AV2520">
            <v>0</v>
          </cell>
        </row>
        <row r="2521">
          <cell r="E2521" t="str">
            <v>B26000897</v>
          </cell>
          <cell r="AP2521">
            <v>0</v>
          </cell>
          <cell r="AQ2521">
            <v>0</v>
          </cell>
          <cell r="AV2521">
            <v>0</v>
          </cell>
        </row>
        <row r="2522">
          <cell r="E2522" t="str">
            <v>D26000963</v>
          </cell>
          <cell r="AP2522">
            <v>0</v>
          </cell>
          <cell r="AQ2522">
            <v>0</v>
          </cell>
          <cell r="AV2522">
            <v>0</v>
          </cell>
        </row>
        <row r="2523">
          <cell r="E2523" t="str">
            <v>B26001369</v>
          </cell>
          <cell r="AP2523">
            <v>0</v>
          </cell>
          <cell r="AQ2523">
            <v>0</v>
          </cell>
          <cell r="AV2523">
            <v>0</v>
          </cell>
        </row>
        <row r="2524">
          <cell r="E2524" t="str">
            <v>D26001450</v>
          </cell>
          <cell r="AP2524">
            <v>0</v>
          </cell>
          <cell r="AQ2524">
            <v>0</v>
          </cell>
          <cell r="AV2524">
            <v>0</v>
          </cell>
        </row>
        <row r="2525">
          <cell r="E2525" t="str">
            <v>D26001453</v>
          </cell>
          <cell r="AP2525">
            <v>0</v>
          </cell>
          <cell r="AQ2525">
            <v>0</v>
          </cell>
          <cell r="AV2525">
            <v>0</v>
          </cell>
        </row>
        <row r="2526">
          <cell r="E2526" t="str">
            <v>D26001482</v>
          </cell>
          <cell r="AP2526">
            <v>0</v>
          </cell>
          <cell r="AQ2526">
            <v>0</v>
          </cell>
          <cell r="AV2526">
            <v>0</v>
          </cell>
        </row>
        <row r="2527">
          <cell r="E2527" t="str">
            <v>D26001492</v>
          </cell>
          <cell r="AP2527">
            <v>0</v>
          </cell>
          <cell r="AQ2527">
            <v>0</v>
          </cell>
          <cell r="AV2527">
            <v>0</v>
          </cell>
        </row>
        <row r="2528">
          <cell r="E2528" t="str">
            <v>B26001296</v>
          </cell>
          <cell r="AP2528">
            <v>0</v>
          </cell>
          <cell r="AQ2528">
            <v>0</v>
          </cell>
          <cell r="AV2528">
            <v>0</v>
          </cell>
        </row>
        <row r="2529">
          <cell r="E2529" t="str">
            <v>D26001432</v>
          </cell>
          <cell r="AP2529">
            <v>0</v>
          </cell>
          <cell r="AQ2529">
            <v>0</v>
          </cell>
          <cell r="AV2529">
            <v>0</v>
          </cell>
        </row>
        <row r="2530">
          <cell r="E2530" t="str">
            <v>D26000072</v>
          </cell>
          <cell r="AP2530">
            <v>0</v>
          </cell>
          <cell r="AQ2530">
            <v>0</v>
          </cell>
          <cell r="AV2530">
            <v>0</v>
          </cell>
        </row>
        <row r="2531">
          <cell r="E2531" t="str">
            <v>D25019244</v>
          </cell>
          <cell r="AP2531">
            <v>0</v>
          </cell>
          <cell r="AQ2531">
            <v>0</v>
          </cell>
          <cell r="AV2531">
            <v>0</v>
          </cell>
        </row>
        <row r="2532">
          <cell r="E2532" t="str">
            <v>D26001058</v>
          </cell>
          <cell r="AP2532">
            <v>0</v>
          </cell>
          <cell r="AQ2532">
            <v>0</v>
          </cell>
          <cell r="AV2532">
            <v>0</v>
          </cell>
        </row>
        <row r="2533">
          <cell r="E2533" t="str">
            <v>D26001059</v>
          </cell>
          <cell r="AP2533">
            <v>0</v>
          </cell>
          <cell r="AQ2533">
            <v>0</v>
          </cell>
          <cell r="AV2533">
            <v>0</v>
          </cell>
        </row>
        <row r="2534">
          <cell r="E2534" t="str">
            <v>D25016207</v>
          </cell>
          <cell r="AP2534">
            <v>0</v>
          </cell>
          <cell r="AQ2534">
            <v>0</v>
          </cell>
          <cell r="AV2534">
            <v>0</v>
          </cell>
        </row>
        <row r="2535">
          <cell r="E2535" t="str">
            <v>D25016208</v>
          </cell>
          <cell r="AP2535">
            <v>0</v>
          </cell>
          <cell r="AQ2535">
            <v>0</v>
          </cell>
          <cell r="AV2535">
            <v>0</v>
          </cell>
        </row>
        <row r="2536">
          <cell r="E2536" t="str">
            <v>D26000628</v>
          </cell>
          <cell r="AP2536">
            <v>0</v>
          </cell>
          <cell r="AQ2536">
            <v>0</v>
          </cell>
          <cell r="AV2536">
            <v>0</v>
          </cell>
        </row>
        <row r="2537">
          <cell r="E2537" t="str">
            <v>D26000641</v>
          </cell>
          <cell r="AP2537">
            <v>0</v>
          </cell>
          <cell r="AQ2537">
            <v>0</v>
          </cell>
          <cell r="AV2537">
            <v>0</v>
          </cell>
        </row>
        <row r="2538">
          <cell r="E2538" t="str">
            <v>B26001101</v>
          </cell>
          <cell r="AP2538">
            <v>0</v>
          </cell>
          <cell r="AQ2538">
            <v>0</v>
          </cell>
          <cell r="AV2538">
            <v>0</v>
          </cell>
        </row>
        <row r="2539">
          <cell r="E2539" t="str">
            <v>T26000077</v>
          </cell>
          <cell r="AP2539">
            <v>0</v>
          </cell>
          <cell r="AQ2539">
            <v>0</v>
          </cell>
          <cell r="AV2539">
            <v>0</v>
          </cell>
        </row>
        <row r="2540">
          <cell r="E2540" t="str">
            <v>B26001331</v>
          </cell>
          <cell r="AP2540">
            <v>0</v>
          </cell>
          <cell r="AQ2540">
            <v>0</v>
          </cell>
          <cell r="AV2540">
            <v>0</v>
          </cell>
        </row>
        <row r="2541">
          <cell r="E2541" t="str">
            <v>B26001620</v>
          </cell>
          <cell r="AP2541">
            <v>0</v>
          </cell>
          <cell r="AQ2541">
            <v>0</v>
          </cell>
          <cell r="AV2541">
            <v>0</v>
          </cell>
        </row>
        <row r="2542">
          <cell r="E2542" t="str">
            <v>Z26000046</v>
          </cell>
          <cell r="AP2542">
            <v>0</v>
          </cell>
          <cell r="AQ2542">
            <v>0</v>
          </cell>
          <cell r="AV2542">
            <v>0</v>
          </cell>
        </row>
        <row r="2543">
          <cell r="E2543" t="str">
            <v>Z26000118</v>
          </cell>
          <cell r="AP2543">
            <v>0</v>
          </cell>
          <cell r="AQ2543">
            <v>0</v>
          </cell>
          <cell r="AV2543">
            <v>0</v>
          </cell>
        </row>
        <row r="2544">
          <cell r="E2544" t="str">
            <v>Z26000147</v>
          </cell>
          <cell r="AP2544">
            <v>0</v>
          </cell>
          <cell r="AQ2544">
            <v>0</v>
          </cell>
          <cell r="AV2544">
            <v>0</v>
          </cell>
        </row>
        <row r="2545">
          <cell r="E2545" t="str">
            <v>B26000769</v>
          </cell>
          <cell r="AP2545">
            <v>0</v>
          </cell>
          <cell r="AQ2545">
            <v>0</v>
          </cell>
          <cell r="AV2545">
            <v>0</v>
          </cell>
        </row>
        <row r="2546">
          <cell r="E2546" t="str">
            <v>D26000872</v>
          </cell>
          <cell r="AP2546">
            <v>0</v>
          </cell>
          <cell r="AQ2546">
            <v>0</v>
          </cell>
          <cell r="AV2546">
            <v>0</v>
          </cell>
        </row>
        <row r="2547">
          <cell r="E2547" t="str">
            <v>D26000888</v>
          </cell>
          <cell r="AP2547">
            <v>0</v>
          </cell>
          <cell r="AQ2547">
            <v>0</v>
          </cell>
          <cell r="AV2547">
            <v>0</v>
          </cell>
        </row>
        <row r="2548">
          <cell r="E2548" t="str">
            <v>D26000889</v>
          </cell>
          <cell r="AP2548">
            <v>0</v>
          </cell>
          <cell r="AQ2548">
            <v>0</v>
          </cell>
          <cell r="AV2548">
            <v>0</v>
          </cell>
        </row>
        <row r="2549">
          <cell r="E2549" t="str">
            <v>D26000890</v>
          </cell>
          <cell r="AP2549">
            <v>0</v>
          </cell>
          <cell r="AQ2549">
            <v>0</v>
          </cell>
          <cell r="AV2549">
            <v>0</v>
          </cell>
        </row>
        <row r="2550">
          <cell r="E2550" t="str">
            <v>B26001075</v>
          </cell>
          <cell r="AP2550">
            <v>0</v>
          </cell>
          <cell r="AQ2550">
            <v>0</v>
          </cell>
          <cell r="AV2550">
            <v>0</v>
          </cell>
        </row>
        <row r="2551">
          <cell r="E2551" t="str">
            <v>D26001352</v>
          </cell>
          <cell r="AP2551">
            <v>0</v>
          </cell>
          <cell r="AQ2551">
            <v>0</v>
          </cell>
          <cell r="AV2551">
            <v>0</v>
          </cell>
        </row>
        <row r="2552">
          <cell r="E2552" t="str">
            <v>D26001353</v>
          </cell>
          <cell r="AP2552">
            <v>0</v>
          </cell>
          <cell r="AQ2552">
            <v>0</v>
          </cell>
          <cell r="AV2552">
            <v>0</v>
          </cell>
        </row>
        <row r="2553">
          <cell r="E2553" t="str">
            <v>D26001487</v>
          </cell>
          <cell r="AP2553">
            <v>0</v>
          </cell>
          <cell r="AQ2553">
            <v>0</v>
          </cell>
          <cell r="AV2553">
            <v>0</v>
          </cell>
        </row>
        <row r="2554">
          <cell r="E2554" t="str">
            <v>D26001518</v>
          </cell>
          <cell r="AP2554">
            <v>0</v>
          </cell>
          <cell r="AQ2554">
            <v>0</v>
          </cell>
          <cell r="AV2554">
            <v>0</v>
          </cell>
        </row>
        <row r="2555">
          <cell r="E2555" t="str">
            <v>T25001634K</v>
          </cell>
          <cell r="AP2555">
            <v>0</v>
          </cell>
          <cell r="AQ2555">
            <v>0</v>
          </cell>
          <cell r="AV2555">
            <v>0</v>
          </cell>
        </row>
        <row r="2556">
          <cell r="E2556" t="str">
            <v>T25001713K</v>
          </cell>
          <cell r="AP2556">
            <v>0</v>
          </cell>
          <cell r="AQ2556">
            <v>0</v>
          </cell>
          <cell r="AV2556">
            <v>0</v>
          </cell>
        </row>
        <row r="2557">
          <cell r="E2557" t="str">
            <v>T26000058K</v>
          </cell>
          <cell r="AP2557">
            <v>0</v>
          </cell>
          <cell r="AQ2557">
            <v>0</v>
          </cell>
          <cell r="AV2557">
            <v>0</v>
          </cell>
        </row>
        <row r="2558">
          <cell r="E2558" t="str">
            <v>B26001628</v>
          </cell>
          <cell r="AP2558">
            <v>0</v>
          </cell>
          <cell r="AQ2558">
            <v>0</v>
          </cell>
          <cell r="AV2558">
            <v>0</v>
          </cell>
        </row>
        <row r="2559">
          <cell r="E2559" t="str">
            <v>D26001031</v>
          </cell>
          <cell r="AP2559">
            <v>0</v>
          </cell>
          <cell r="AQ2559">
            <v>0</v>
          </cell>
          <cell r="AV2559">
            <v>0</v>
          </cell>
        </row>
        <row r="2560">
          <cell r="E2560" t="str">
            <v>D26001032</v>
          </cell>
          <cell r="AP2560">
            <v>0</v>
          </cell>
          <cell r="AQ2560">
            <v>0</v>
          </cell>
          <cell r="AV2560">
            <v>0</v>
          </cell>
        </row>
        <row r="2561">
          <cell r="E2561" t="str">
            <v>B25016367</v>
          </cell>
          <cell r="AP2561">
            <v>0</v>
          </cell>
          <cell r="AQ2561">
            <v>0</v>
          </cell>
          <cell r="AV2561">
            <v>0</v>
          </cell>
        </row>
        <row r="2562">
          <cell r="E2562" t="str">
            <v>B25016369</v>
          </cell>
          <cell r="AP2562">
            <v>0</v>
          </cell>
          <cell r="AQ2562">
            <v>0</v>
          </cell>
          <cell r="AV2562">
            <v>0</v>
          </cell>
        </row>
        <row r="2563">
          <cell r="E2563" t="str">
            <v>T25001240K</v>
          </cell>
          <cell r="AP2563">
            <v>0</v>
          </cell>
          <cell r="AQ2563">
            <v>0</v>
          </cell>
          <cell r="AV2563">
            <v>0</v>
          </cell>
        </row>
        <row r="2564">
          <cell r="E2564" t="str">
            <v>D25018578</v>
          </cell>
          <cell r="AP2564">
            <v>0</v>
          </cell>
          <cell r="AQ2564">
            <v>0</v>
          </cell>
          <cell r="AV2564">
            <v>0</v>
          </cell>
        </row>
        <row r="2565">
          <cell r="E2565" t="str">
            <v>T25001802</v>
          </cell>
          <cell r="AP2565">
            <v>0</v>
          </cell>
          <cell r="AQ2565">
            <v>0</v>
          </cell>
          <cell r="AV2565">
            <v>0</v>
          </cell>
        </row>
        <row r="2566">
          <cell r="E2566" t="str">
            <v>T25001804</v>
          </cell>
          <cell r="AP2566">
            <v>0</v>
          </cell>
          <cell r="AQ2566">
            <v>0</v>
          </cell>
          <cell r="AV2566">
            <v>0</v>
          </cell>
        </row>
        <row r="2567">
          <cell r="E2567" t="str">
            <v>B25016613</v>
          </cell>
          <cell r="AP2567">
            <v>0</v>
          </cell>
          <cell r="AQ2567">
            <v>0</v>
          </cell>
          <cell r="AV2567">
            <v>0</v>
          </cell>
        </row>
        <row r="2568">
          <cell r="E2568" t="str">
            <v>B25016673</v>
          </cell>
          <cell r="AP2568">
            <v>0</v>
          </cell>
          <cell r="AQ2568">
            <v>0</v>
          </cell>
          <cell r="AV2568">
            <v>0</v>
          </cell>
        </row>
        <row r="2569">
          <cell r="E2569" t="str">
            <v>B25017077</v>
          </cell>
          <cell r="AP2569">
            <v>0</v>
          </cell>
          <cell r="AQ2569">
            <v>0</v>
          </cell>
          <cell r="AV2569">
            <v>0</v>
          </cell>
        </row>
        <row r="2570">
          <cell r="E2570" t="str">
            <v>D25019708</v>
          </cell>
          <cell r="AP2570">
            <v>0</v>
          </cell>
          <cell r="AQ2570">
            <v>0</v>
          </cell>
          <cell r="AV2570">
            <v>0</v>
          </cell>
        </row>
        <row r="2571">
          <cell r="E2571" t="str">
            <v>B26000538</v>
          </cell>
          <cell r="AP2571">
            <v>0</v>
          </cell>
          <cell r="AQ2571">
            <v>0</v>
          </cell>
          <cell r="AV2571">
            <v>0</v>
          </cell>
        </row>
        <row r="2572">
          <cell r="E2572" t="str">
            <v>D26000556</v>
          </cell>
          <cell r="AP2572">
            <v>0</v>
          </cell>
          <cell r="AQ2572">
            <v>0</v>
          </cell>
          <cell r="AV2572">
            <v>0</v>
          </cell>
        </row>
        <row r="2573">
          <cell r="E2573" t="str">
            <v>T26000031</v>
          </cell>
          <cell r="AP2573">
            <v>0</v>
          </cell>
          <cell r="AQ2573">
            <v>0</v>
          </cell>
          <cell r="AV2573">
            <v>0</v>
          </cell>
        </row>
        <row r="2574">
          <cell r="E2574" t="str">
            <v>D26000863</v>
          </cell>
          <cell r="AP2574">
            <v>0</v>
          </cell>
          <cell r="AQ2574">
            <v>0</v>
          </cell>
          <cell r="AV2574">
            <v>0</v>
          </cell>
        </row>
        <row r="2575">
          <cell r="E2575" t="str">
            <v>D26000868</v>
          </cell>
          <cell r="AP2575">
            <v>0</v>
          </cell>
          <cell r="AQ2575">
            <v>0</v>
          </cell>
          <cell r="AV2575">
            <v>0</v>
          </cell>
        </row>
        <row r="2576">
          <cell r="E2576" t="str">
            <v>D26000876</v>
          </cell>
          <cell r="AP2576">
            <v>0</v>
          </cell>
          <cell r="AQ2576">
            <v>0</v>
          </cell>
          <cell r="AV2576">
            <v>0</v>
          </cell>
        </row>
        <row r="2577">
          <cell r="E2577" t="str">
            <v>T26000049</v>
          </cell>
          <cell r="AP2577">
            <v>0</v>
          </cell>
          <cell r="AQ2577">
            <v>0</v>
          </cell>
          <cell r="AV2577">
            <v>0</v>
          </cell>
        </row>
        <row r="2578">
          <cell r="E2578" t="str">
            <v>T26000056</v>
          </cell>
          <cell r="AP2578">
            <v>0</v>
          </cell>
          <cell r="AQ2578">
            <v>0</v>
          </cell>
          <cell r="AV2578">
            <v>0</v>
          </cell>
        </row>
        <row r="2579">
          <cell r="E2579" t="str">
            <v>B26001091</v>
          </cell>
          <cell r="AP2579">
            <v>0</v>
          </cell>
          <cell r="AQ2579">
            <v>0</v>
          </cell>
          <cell r="AV2579">
            <v>0</v>
          </cell>
        </row>
        <row r="2580">
          <cell r="E2580" t="str">
            <v>B26001121</v>
          </cell>
          <cell r="AP2580">
            <v>0</v>
          </cell>
          <cell r="AQ2580">
            <v>0</v>
          </cell>
          <cell r="AV2580">
            <v>0</v>
          </cell>
        </row>
        <row r="2581">
          <cell r="E2581" t="str">
            <v>B26001122</v>
          </cell>
          <cell r="AP2581">
            <v>0</v>
          </cell>
          <cell r="AQ2581">
            <v>0</v>
          </cell>
          <cell r="AV2581">
            <v>0</v>
          </cell>
        </row>
        <row r="2582">
          <cell r="E2582" t="str">
            <v>B26001127</v>
          </cell>
          <cell r="AP2582">
            <v>0</v>
          </cell>
          <cell r="AQ2582">
            <v>0</v>
          </cell>
          <cell r="AV2582">
            <v>0</v>
          </cell>
        </row>
        <row r="2583">
          <cell r="E2583" t="str">
            <v>D26001370</v>
          </cell>
          <cell r="AP2583">
            <v>0</v>
          </cell>
          <cell r="AQ2583">
            <v>0</v>
          </cell>
          <cell r="AV2583">
            <v>0</v>
          </cell>
        </row>
        <row r="2584">
          <cell r="E2584" t="str">
            <v>D26001592</v>
          </cell>
          <cell r="AP2584">
            <v>0</v>
          </cell>
          <cell r="AQ2584">
            <v>0</v>
          </cell>
          <cell r="AV2584">
            <v>0</v>
          </cell>
        </row>
        <row r="2585">
          <cell r="E2585" t="str">
            <v>B26001587</v>
          </cell>
          <cell r="AP2585">
            <v>0</v>
          </cell>
          <cell r="AQ2585">
            <v>0</v>
          </cell>
          <cell r="AV2585">
            <v>0</v>
          </cell>
        </row>
        <row r="2586">
          <cell r="E2586" t="str">
            <v>D25017349</v>
          </cell>
          <cell r="AP2586">
            <v>0</v>
          </cell>
          <cell r="AQ2586">
            <v>0</v>
          </cell>
          <cell r="AV2586">
            <v>0</v>
          </cell>
        </row>
        <row r="2587">
          <cell r="E2587" t="str">
            <v>B26000144</v>
          </cell>
          <cell r="AP2587">
            <v>0</v>
          </cell>
          <cell r="AQ2587">
            <v>0</v>
          </cell>
          <cell r="AV2587">
            <v>0</v>
          </cell>
        </row>
        <row r="2588">
          <cell r="E2588" t="str">
            <v>D26000192</v>
          </cell>
          <cell r="AP2588">
            <v>0</v>
          </cell>
          <cell r="AQ2588">
            <v>0</v>
          </cell>
          <cell r="AV2588">
            <v>0</v>
          </cell>
        </row>
        <row r="2589">
          <cell r="E2589" t="str">
            <v>D26000588</v>
          </cell>
          <cell r="AP2589">
            <v>0</v>
          </cell>
          <cell r="AQ2589">
            <v>0</v>
          </cell>
          <cell r="AV2589">
            <v>0</v>
          </cell>
        </row>
        <row r="2590">
          <cell r="E2590" t="str">
            <v>D26000589</v>
          </cell>
          <cell r="AP2590">
            <v>0</v>
          </cell>
          <cell r="AQ2590">
            <v>0</v>
          </cell>
          <cell r="AV2590">
            <v>0</v>
          </cell>
        </row>
        <row r="2591">
          <cell r="E2591" t="str">
            <v>D26000800</v>
          </cell>
          <cell r="AP2591">
            <v>0</v>
          </cell>
          <cell r="AQ2591">
            <v>0</v>
          </cell>
          <cell r="AV2591">
            <v>0</v>
          </cell>
        </row>
        <row r="2592">
          <cell r="E2592" t="str">
            <v>D26000823</v>
          </cell>
          <cell r="AP2592">
            <v>0</v>
          </cell>
          <cell r="AQ2592">
            <v>0</v>
          </cell>
          <cell r="AV2592">
            <v>0</v>
          </cell>
        </row>
        <row r="2593">
          <cell r="E2593" t="str">
            <v>B26001342</v>
          </cell>
          <cell r="AP2593">
            <v>0</v>
          </cell>
          <cell r="AQ2593">
            <v>0</v>
          </cell>
          <cell r="AV2593">
            <v>0</v>
          </cell>
        </row>
        <row r="2594">
          <cell r="E2594" t="str">
            <v>B26001343</v>
          </cell>
          <cell r="AP2594">
            <v>0</v>
          </cell>
          <cell r="AQ2594">
            <v>0</v>
          </cell>
          <cell r="AV2594">
            <v>0</v>
          </cell>
        </row>
        <row r="2595">
          <cell r="E2595" t="str">
            <v>B26001522</v>
          </cell>
          <cell r="AP2595">
            <v>0</v>
          </cell>
          <cell r="AQ2595">
            <v>0</v>
          </cell>
          <cell r="AV2595">
            <v>0</v>
          </cell>
        </row>
        <row r="2596">
          <cell r="E2596" t="str">
            <v>D26001740</v>
          </cell>
          <cell r="AP2596">
            <v>0</v>
          </cell>
          <cell r="AQ2596">
            <v>0</v>
          </cell>
          <cell r="AV2596">
            <v>0</v>
          </cell>
        </row>
        <row r="2597">
          <cell r="E2597" t="str">
            <v>B25015214</v>
          </cell>
          <cell r="AP2597">
            <v>0</v>
          </cell>
          <cell r="AQ2597">
            <v>0</v>
          </cell>
          <cell r="AV2597">
            <v>0</v>
          </cell>
        </row>
        <row r="2598">
          <cell r="E2598" t="str">
            <v>B25015215</v>
          </cell>
          <cell r="AP2598">
            <v>0</v>
          </cell>
          <cell r="AQ2598">
            <v>0</v>
          </cell>
          <cell r="AV2598">
            <v>0</v>
          </cell>
        </row>
        <row r="2599">
          <cell r="E2599" t="str">
            <v>D25017683</v>
          </cell>
          <cell r="AP2599">
            <v>0</v>
          </cell>
          <cell r="AQ2599">
            <v>0</v>
          </cell>
          <cell r="AV2599">
            <v>0</v>
          </cell>
        </row>
        <row r="2600">
          <cell r="E2600" t="str">
            <v>B25015403</v>
          </cell>
          <cell r="AP2600">
            <v>0</v>
          </cell>
          <cell r="AQ2600">
            <v>0</v>
          </cell>
          <cell r="AV2600">
            <v>0</v>
          </cell>
        </row>
        <row r="2601">
          <cell r="E2601" t="str">
            <v>B25015712</v>
          </cell>
          <cell r="AP2601">
            <v>0</v>
          </cell>
          <cell r="AQ2601">
            <v>0</v>
          </cell>
          <cell r="AV2601">
            <v>0</v>
          </cell>
        </row>
        <row r="2602">
          <cell r="E2602" t="str">
            <v>B25015714</v>
          </cell>
          <cell r="AP2602">
            <v>0</v>
          </cell>
          <cell r="AQ2602">
            <v>0</v>
          </cell>
          <cell r="AV2602">
            <v>0</v>
          </cell>
        </row>
        <row r="2603">
          <cell r="E2603" t="str">
            <v>B25015862</v>
          </cell>
          <cell r="AP2603">
            <v>0</v>
          </cell>
          <cell r="AQ2603">
            <v>0</v>
          </cell>
          <cell r="AV2603">
            <v>0</v>
          </cell>
        </row>
        <row r="2604">
          <cell r="E2604" t="str">
            <v>B25015863</v>
          </cell>
          <cell r="AP2604">
            <v>0</v>
          </cell>
          <cell r="AQ2604">
            <v>0</v>
          </cell>
          <cell r="AV2604">
            <v>0</v>
          </cell>
        </row>
        <row r="2605">
          <cell r="E2605" t="str">
            <v>B25016045</v>
          </cell>
          <cell r="AP2605">
            <v>0</v>
          </cell>
          <cell r="AQ2605">
            <v>0</v>
          </cell>
          <cell r="AV2605">
            <v>0</v>
          </cell>
        </row>
        <row r="2606">
          <cell r="E2606" t="str">
            <v>B25016365</v>
          </cell>
          <cell r="AP2606">
            <v>0</v>
          </cell>
          <cell r="AQ2606">
            <v>0</v>
          </cell>
          <cell r="AV2606">
            <v>0</v>
          </cell>
        </row>
        <row r="2607">
          <cell r="E2607" t="str">
            <v>B25016370</v>
          </cell>
          <cell r="AP2607">
            <v>0</v>
          </cell>
          <cell r="AQ2607">
            <v>0</v>
          </cell>
          <cell r="AV2607">
            <v>0</v>
          </cell>
        </row>
        <row r="2608">
          <cell r="E2608" t="str">
            <v>D25018821</v>
          </cell>
          <cell r="AP2608">
            <v>0</v>
          </cell>
          <cell r="AQ2608">
            <v>0</v>
          </cell>
          <cell r="AV2608">
            <v>0</v>
          </cell>
        </row>
        <row r="2609">
          <cell r="E2609" t="str">
            <v>B25016386</v>
          </cell>
          <cell r="AP2609">
            <v>0</v>
          </cell>
          <cell r="AQ2609">
            <v>0</v>
          </cell>
          <cell r="AV2609">
            <v>0</v>
          </cell>
        </row>
        <row r="2610">
          <cell r="E2610" t="str">
            <v>B25016466</v>
          </cell>
          <cell r="AP2610">
            <v>0</v>
          </cell>
          <cell r="AQ2610">
            <v>0</v>
          </cell>
          <cell r="AV2610">
            <v>0</v>
          </cell>
        </row>
        <row r="2611">
          <cell r="E2611" t="str">
            <v>B25016695</v>
          </cell>
          <cell r="AP2611">
            <v>0</v>
          </cell>
          <cell r="AQ2611">
            <v>0</v>
          </cell>
          <cell r="AV2611">
            <v>0</v>
          </cell>
        </row>
        <row r="2612">
          <cell r="E2612" t="str">
            <v>B25016696</v>
          </cell>
          <cell r="AP2612">
            <v>0</v>
          </cell>
          <cell r="AQ2612">
            <v>0</v>
          </cell>
          <cell r="AV2612">
            <v>0</v>
          </cell>
        </row>
        <row r="2613">
          <cell r="E2613" t="str">
            <v>B25017117</v>
          </cell>
          <cell r="AP2613">
            <v>0</v>
          </cell>
          <cell r="AQ2613">
            <v>0</v>
          </cell>
          <cell r="AV2613">
            <v>0</v>
          </cell>
        </row>
        <row r="2614">
          <cell r="E2614" t="str">
            <v>B25017118</v>
          </cell>
          <cell r="AP2614">
            <v>0</v>
          </cell>
          <cell r="AQ2614">
            <v>0</v>
          </cell>
          <cell r="AV2614">
            <v>0</v>
          </cell>
        </row>
        <row r="2615">
          <cell r="E2615" t="str">
            <v>B26000110</v>
          </cell>
          <cell r="AP2615">
            <v>0</v>
          </cell>
          <cell r="AQ2615">
            <v>0</v>
          </cell>
          <cell r="AV2615">
            <v>0</v>
          </cell>
        </row>
        <row r="2616">
          <cell r="E2616" t="str">
            <v>B26000111</v>
          </cell>
          <cell r="AP2616">
            <v>0</v>
          </cell>
          <cell r="AQ2616">
            <v>0</v>
          </cell>
          <cell r="AV2616">
            <v>0</v>
          </cell>
        </row>
        <row r="2617">
          <cell r="E2617" t="str">
            <v>D26000050</v>
          </cell>
          <cell r="AP2617">
            <v>0</v>
          </cell>
          <cell r="AQ2617">
            <v>0</v>
          </cell>
          <cell r="AV2617">
            <v>0</v>
          </cell>
        </row>
        <row r="2618">
          <cell r="E2618" t="str">
            <v>D26000159</v>
          </cell>
          <cell r="AP2618">
            <v>0</v>
          </cell>
          <cell r="AQ2618">
            <v>0</v>
          </cell>
          <cell r="AV2618">
            <v>0</v>
          </cell>
        </row>
        <row r="2619">
          <cell r="E2619" t="str">
            <v>D26000160</v>
          </cell>
          <cell r="AP2619">
            <v>0</v>
          </cell>
          <cell r="AQ2619">
            <v>0</v>
          </cell>
          <cell r="AV2619">
            <v>0</v>
          </cell>
        </row>
        <row r="2620">
          <cell r="E2620" t="str">
            <v>T26000010</v>
          </cell>
          <cell r="AP2620">
            <v>0</v>
          </cell>
          <cell r="AQ2620">
            <v>0</v>
          </cell>
          <cell r="AV2620">
            <v>0</v>
          </cell>
        </row>
        <row r="2621">
          <cell r="E2621" t="str">
            <v>B26000174</v>
          </cell>
          <cell r="AP2621">
            <v>0</v>
          </cell>
          <cell r="AQ2621">
            <v>0</v>
          </cell>
          <cell r="AV2621">
            <v>0</v>
          </cell>
        </row>
        <row r="2622">
          <cell r="E2622" t="str">
            <v>D26000481</v>
          </cell>
          <cell r="AP2622">
            <v>0</v>
          </cell>
          <cell r="AQ2622">
            <v>0</v>
          </cell>
          <cell r="AV2622">
            <v>0</v>
          </cell>
        </row>
        <row r="2623">
          <cell r="E2623" t="str">
            <v>B26000547</v>
          </cell>
          <cell r="AP2623">
            <v>0</v>
          </cell>
          <cell r="AQ2623">
            <v>0</v>
          </cell>
          <cell r="AV2623">
            <v>0</v>
          </cell>
        </row>
        <row r="2624">
          <cell r="E2624" t="str">
            <v>B26000548</v>
          </cell>
          <cell r="AP2624">
            <v>0</v>
          </cell>
          <cell r="AQ2624">
            <v>0</v>
          </cell>
          <cell r="AV2624">
            <v>0</v>
          </cell>
        </row>
        <row r="2625">
          <cell r="E2625" t="str">
            <v>B26000549</v>
          </cell>
          <cell r="AP2625">
            <v>0</v>
          </cell>
          <cell r="AQ2625">
            <v>0</v>
          </cell>
          <cell r="AV2625">
            <v>0</v>
          </cell>
        </row>
        <row r="2626">
          <cell r="E2626" t="str">
            <v>B26000820</v>
          </cell>
          <cell r="AP2626">
            <v>0</v>
          </cell>
          <cell r="AQ2626">
            <v>0</v>
          </cell>
          <cell r="AV2626">
            <v>0</v>
          </cell>
        </row>
        <row r="2627">
          <cell r="E2627" t="str">
            <v>D26000934</v>
          </cell>
          <cell r="AP2627">
            <v>0</v>
          </cell>
          <cell r="AQ2627">
            <v>0</v>
          </cell>
          <cell r="AV2627">
            <v>0</v>
          </cell>
        </row>
        <row r="2628">
          <cell r="E2628" t="str">
            <v>D26001000</v>
          </cell>
          <cell r="AP2628">
            <v>0</v>
          </cell>
          <cell r="AQ2628">
            <v>0</v>
          </cell>
          <cell r="AV2628">
            <v>0</v>
          </cell>
        </row>
        <row r="2629">
          <cell r="E2629" t="str">
            <v>D26001001</v>
          </cell>
          <cell r="AP2629">
            <v>0</v>
          </cell>
          <cell r="AQ2629">
            <v>0</v>
          </cell>
          <cell r="AV2629">
            <v>0</v>
          </cell>
        </row>
        <row r="2630">
          <cell r="E2630" t="str">
            <v>D26001252</v>
          </cell>
          <cell r="AP2630">
            <v>0</v>
          </cell>
          <cell r="AQ2630">
            <v>0</v>
          </cell>
          <cell r="AV2630">
            <v>0</v>
          </cell>
        </row>
        <row r="2631">
          <cell r="E2631" t="str">
            <v>D26001253</v>
          </cell>
          <cell r="AP2631">
            <v>0</v>
          </cell>
          <cell r="AQ2631">
            <v>0</v>
          </cell>
          <cell r="AV2631">
            <v>0</v>
          </cell>
        </row>
        <row r="2632">
          <cell r="E2632" t="str">
            <v>D26001397</v>
          </cell>
          <cell r="AP2632">
            <v>0</v>
          </cell>
          <cell r="AQ2632">
            <v>0</v>
          </cell>
          <cell r="AV2632">
            <v>0</v>
          </cell>
        </row>
        <row r="2633">
          <cell r="E2633" t="str">
            <v>D26001406</v>
          </cell>
          <cell r="AP2633">
            <v>0</v>
          </cell>
          <cell r="AQ2633">
            <v>0</v>
          </cell>
          <cell r="AV2633">
            <v>0</v>
          </cell>
        </row>
        <row r="2634">
          <cell r="E2634" t="str">
            <v>B25016758</v>
          </cell>
          <cell r="AP2634">
            <v>0</v>
          </cell>
          <cell r="AQ2634">
            <v>0</v>
          </cell>
          <cell r="AV2634">
            <v>0</v>
          </cell>
        </row>
        <row r="2635">
          <cell r="E2635" t="str">
            <v>D25019709</v>
          </cell>
          <cell r="AP2635">
            <v>0</v>
          </cell>
          <cell r="AQ2635">
            <v>0</v>
          </cell>
          <cell r="AV2635">
            <v>0</v>
          </cell>
        </row>
        <row r="2636">
          <cell r="E2636" t="str">
            <v>D26000706</v>
          </cell>
          <cell r="AP2636">
            <v>0</v>
          </cell>
          <cell r="AQ2636">
            <v>0</v>
          </cell>
          <cell r="AV2636">
            <v>0</v>
          </cell>
        </row>
        <row r="2637">
          <cell r="E2637" t="str">
            <v>T26000081</v>
          </cell>
          <cell r="AP2637">
            <v>0</v>
          </cell>
          <cell r="AQ2637">
            <v>0</v>
          </cell>
          <cell r="AV2637">
            <v>0</v>
          </cell>
        </row>
        <row r="2638">
          <cell r="E2638" t="str">
            <v>D26001293</v>
          </cell>
          <cell r="AP2638">
            <v>0</v>
          </cell>
          <cell r="AQ2638">
            <v>0</v>
          </cell>
          <cell r="AV2638">
            <v>0</v>
          </cell>
        </row>
        <row r="2639">
          <cell r="E2639" t="str">
            <v>D26001649</v>
          </cell>
          <cell r="AP2639">
            <v>0</v>
          </cell>
          <cell r="AQ2639">
            <v>0</v>
          </cell>
          <cell r="AV2639">
            <v>0</v>
          </cell>
        </row>
        <row r="2640">
          <cell r="E2640" t="str">
            <v>T26000107</v>
          </cell>
          <cell r="AP2640">
            <v>0</v>
          </cell>
          <cell r="AQ2640">
            <v>0</v>
          </cell>
          <cell r="AV2640">
            <v>0</v>
          </cell>
        </row>
        <row r="2641">
          <cell r="E2641" t="str">
            <v>D25019163</v>
          </cell>
          <cell r="AP2641">
            <v>0</v>
          </cell>
          <cell r="AQ2641">
            <v>0</v>
          </cell>
          <cell r="AV2641">
            <v>0</v>
          </cell>
        </row>
        <row r="2642">
          <cell r="E2642" t="str">
            <v>B25016853</v>
          </cell>
          <cell r="AP2642">
            <v>0</v>
          </cell>
          <cell r="AQ2642">
            <v>0</v>
          </cell>
          <cell r="AV2642">
            <v>0</v>
          </cell>
        </row>
        <row r="2643">
          <cell r="E2643" t="str">
            <v>D26000411</v>
          </cell>
          <cell r="AP2643">
            <v>0</v>
          </cell>
          <cell r="AQ2643">
            <v>0</v>
          </cell>
          <cell r="AV2643">
            <v>0</v>
          </cell>
        </row>
        <row r="2644">
          <cell r="E2644" t="str">
            <v>D26000748</v>
          </cell>
          <cell r="AP2644">
            <v>0</v>
          </cell>
          <cell r="AQ2644">
            <v>0</v>
          </cell>
          <cell r="AV2644">
            <v>0</v>
          </cell>
        </row>
        <row r="2645">
          <cell r="E2645" t="str">
            <v>D26000966</v>
          </cell>
          <cell r="AP2645">
            <v>0</v>
          </cell>
          <cell r="AQ2645">
            <v>0</v>
          </cell>
          <cell r="AV2645">
            <v>0</v>
          </cell>
        </row>
        <row r="2646">
          <cell r="E2646" t="str">
            <v>D25018954</v>
          </cell>
          <cell r="AP2646">
            <v>0</v>
          </cell>
          <cell r="AQ2646">
            <v>0</v>
          </cell>
          <cell r="AV2646">
            <v>0</v>
          </cell>
        </row>
        <row r="2647">
          <cell r="E2647" t="str">
            <v>B26001208</v>
          </cell>
          <cell r="AP2647">
            <v>0</v>
          </cell>
          <cell r="AQ2647">
            <v>0</v>
          </cell>
          <cell r="AV2647">
            <v>0</v>
          </cell>
        </row>
        <row r="2648">
          <cell r="E2648" t="str">
            <v>B26001209</v>
          </cell>
          <cell r="AP2648">
            <v>0</v>
          </cell>
          <cell r="AQ2648">
            <v>0</v>
          </cell>
          <cell r="AV2648">
            <v>0</v>
          </cell>
        </row>
        <row r="2649">
          <cell r="E2649" t="str">
            <v>B25016542</v>
          </cell>
          <cell r="AP2649">
            <v>0</v>
          </cell>
          <cell r="AQ2649">
            <v>0</v>
          </cell>
          <cell r="AV2649">
            <v>0</v>
          </cell>
        </row>
        <row r="2650">
          <cell r="E2650" t="str">
            <v>B26001414</v>
          </cell>
          <cell r="AP2650">
            <v>0</v>
          </cell>
          <cell r="AQ2650">
            <v>0</v>
          </cell>
          <cell r="AV2650">
            <v>0</v>
          </cell>
        </row>
        <row r="2651">
          <cell r="E2651" t="str">
            <v>D26000532</v>
          </cell>
          <cell r="AP2651">
            <v>0</v>
          </cell>
          <cell r="AQ2651">
            <v>0</v>
          </cell>
          <cell r="AV2651">
            <v>0</v>
          </cell>
        </row>
        <row r="2652">
          <cell r="E2652" t="str">
            <v>D26001348</v>
          </cell>
          <cell r="AP2652">
            <v>0</v>
          </cell>
          <cell r="AQ2652">
            <v>0</v>
          </cell>
          <cell r="AV2652">
            <v>0</v>
          </cell>
        </row>
        <row r="2653">
          <cell r="E2653" t="str">
            <v>Z26000290</v>
          </cell>
          <cell r="AP2653">
            <v>0</v>
          </cell>
          <cell r="AQ2653">
            <v>0</v>
          </cell>
          <cell r="AV2653">
            <v>0</v>
          </cell>
        </row>
        <row r="2654">
          <cell r="E2654" t="str">
            <v>Z26000293</v>
          </cell>
          <cell r="AP2654">
            <v>0</v>
          </cell>
          <cell r="AQ2654">
            <v>0</v>
          </cell>
          <cell r="AV2654">
            <v>0</v>
          </cell>
        </row>
        <row r="2655">
          <cell r="E2655" t="str">
            <v>Z26000296</v>
          </cell>
          <cell r="AP2655">
            <v>0</v>
          </cell>
          <cell r="AQ2655">
            <v>0</v>
          </cell>
          <cell r="AV2655">
            <v>0</v>
          </cell>
        </row>
        <row r="2656">
          <cell r="E2656" t="str">
            <v>Z26000297</v>
          </cell>
          <cell r="AP2656">
            <v>0</v>
          </cell>
          <cell r="AQ2656">
            <v>0</v>
          </cell>
          <cell r="AV2656">
            <v>0</v>
          </cell>
        </row>
        <row r="2657">
          <cell r="E2657" t="str">
            <v>Z26000299</v>
          </cell>
          <cell r="AP2657">
            <v>0</v>
          </cell>
          <cell r="AQ2657">
            <v>0</v>
          </cell>
          <cell r="AV2657">
            <v>0</v>
          </cell>
        </row>
        <row r="2658">
          <cell r="E2658" t="str">
            <v>B25014986</v>
          </cell>
          <cell r="AP2658">
            <v>0</v>
          </cell>
          <cell r="AQ2658">
            <v>0</v>
          </cell>
          <cell r="AV2658">
            <v>0</v>
          </cell>
        </row>
        <row r="2659">
          <cell r="E2659" t="str">
            <v>D25019317</v>
          </cell>
          <cell r="AP2659">
            <v>0</v>
          </cell>
          <cell r="AQ2659">
            <v>0</v>
          </cell>
          <cell r="AV2659">
            <v>0</v>
          </cell>
        </row>
        <row r="2660">
          <cell r="E2660" t="str">
            <v>D25019601</v>
          </cell>
          <cell r="AP2660">
            <v>0</v>
          </cell>
          <cell r="AQ2660">
            <v>0</v>
          </cell>
          <cell r="AV2660">
            <v>0</v>
          </cell>
        </row>
        <row r="2661">
          <cell r="E2661" t="str">
            <v>D26000157</v>
          </cell>
          <cell r="AP2661">
            <v>0</v>
          </cell>
          <cell r="AQ2661">
            <v>0</v>
          </cell>
          <cell r="AV2661">
            <v>0</v>
          </cell>
        </row>
        <row r="2662">
          <cell r="E2662" t="str">
            <v>D26000158</v>
          </cell>
          <cell r="AP2662">
            <v>0</v>
          </cell>
          <cell r="AQ2662">
            <v>0</v>
          </cell>
          <cell r="AV2662">
            <v>0</v>
          </cell>
        </row>
        <row r="2663">
          <cell r="E2663" t="str">
            <v>B26000947</v>
          </cell>
          <cell r="AP2663">
            <v>0</v>
          </cell>
          <cell r="AQ2663">
            <v>0</v>
          </cell>
          <cell r="AV2663">
            <v>0</v>
          </cell>
        </row>
        <row r="2664">
          <cell r="E2664" t="str">
            <v>B26000948</v>
          </cell>
          <cell r="AP2664">
            <v>0</v>
          </cell>
          <cell r="AQ2664">
            <v>0</v>
          </cell>
          <cell r="AV2664">
            <v>0</v>
          </cell>
        </row>
        <row r="2665">
          <cell r="E2665" t="str">
            <v>B26000966</v>
          </cell>
          <cell r="AP2665">
            <v>0</v>
          </cell>
          <cell r="AQ2665">
            <v>0</v>
          </cell>
          <cell r="AV2665">
            <v>0</v>
          </cell>
        </row>
        <row r="2666">
          <cell r="E2666" t="str">
            <v>B26001118</v>
          </cell>
          <cell r="AP2666">
            <v>0</v>
          </cell>
          <cell r="AQ2666">
            <v>0</v>
          </cell>
          <cell r="AV2666">
            <v>0</v>
          </cell>
        </row>
        <row r="2667">
          <cell r="E2667" t="str">
            <v>B26001119</v>
          </cell>
          <cell r="AP2667">
            <v>0</v>
          </cell>
          <cell r="AQ2667">
            <v>0</v>
          </cell>
          <cell r="AV2667">
            <v>0</v>
          </cell>
        </row>
        <row r="2668">
          <cell r="E2668" t="str">
            <v>B26001249</v>
          </cell>
          <cell r="AP2668">
            <v>0</v>
          </cell>
          <cell r="AQ2668">
            <v>0</v>
          </cell>
          <cell r="AV2668">
            <v>0</v>
          </cell>
        </row>
        <row r="2669">
          <cell r="E2669" t="str">
            <v>B26001250</v>
          </cell>
          <cell r="AP2669">
            <v>0</v>
          </cell>
          <cell r="AQ2669">
            <v>0</v>
          </cell>
          <cell r="AV2669">
            <v>0</v>
          </cell>
        </row>
        <row r="2670">
          <cell r="E2670" t="str">
            <v>B26001475</v>
          </cell>
          <cell r="AP2670">
            <v>0</v>
          </cell>
          <cell r="AQ2670">
            <v>0</v>
          </cell>
          <cell r="AV2670">
            <v>0</v>
          </cell>
        </row>
        <row r="2671">
          <cell r="E2671" t="str">
            <v>B26001478</v>
          </cell>
          <cell r="AP2671">
            <v>0</v>
          </cell>
          <cell r="AQ2671">
            <v>0</v>
          </cell>
          <cell r="AV2671">
            <v>0</v>
          </cell>
        </row>
        <row r="2672">
          <cell r="E2672" t="str">
            <v>B26001642</v>
          </cell>
          <cell r="AP2672">
            <v>0</v>
          </cell>
          <cell r="AQ2672">
            <v>0</v>
          </cell>
          <cell r="AV2672">
            <v>0</v>
          </cell>
        </row>
        <row r="2673">
          <cell r="E2673" t="str">
            <v>B26001643</v>
          </cell>
          <cell r="AP2673">
            <v>0</v>
          </cell>
          <cell r="AQ2673">
            <v>0</v>
          </cell>
          <cell r="AV2673">
            <v>0</v>
          </cell>
        </row>
        <row r="2674">
          <cell r="E2674" t="str">
            <v>D25015134</v>
          </cell>
          <cell r="AP2674">
            <v>0</v>
          </cell>
          <cell r="AQ2674">
            <v>0</v>
          </cell>
          <cell r="AV2674">
            <v>0</v>
          </cell>
        </row>
        <row r="2675">
          <cell r="E2675" t="str">
            <v>D25015237</v>
          </cell>
          <cell r="AP2675">
            <v>0</v>
          </cell>
          <cell r="AQ2675">
            <v>0</v>
          </cell>
          <cell r="AV2675">
            <v>0</v>
          </cell>
        </row>
        <row r="2676">
          <cell r="E2676" t="str">
            <v>B25012977</v>
          </cell>
          <cell r="AP2676">
            <v>0</v>
          </cell>
          <cell r="AQ2676">
            <v>0</v>
          </cell>
          <cell r="AV2676">
            <v>0</v>
          </cell>
        </row>
        <row r="2677">
          <cell r="E2677" t="str">
            <v>D25015318</v>
          </cell>
          <cell r="AP2677">
            <v>0</v>
          </cell>
          <cell r="AQ2677">
            <v>0</v>
          </cell>
          <cell r="AV2677">
            <v>0</v>
          </cell>
        </row>
        <row r="2678">
          <cell r="E2678" t="str">
            <v>T25001535</v>
          </cell>
          <cell r="AP2678">
            <v>0</v>
          </cell>
          <cell r="AQ2678">
            <v>0</v>
          </cell>
          <cell r="AV2678">
            <v>0</v>
          </cell>
        </row>
        <row r="2679">
          <cell r="E2679" t="str">
            <v>T25001567</v>
          </cell>
          <cell r="AP2679">
            <v>0</v>
          </cell>
          <cell r="AQ2679">
            <v>0</v>
          </cell>
          <cell r="AV2679">
            <v>0</v>
          </cell>
        </row>
        <row r="2680">
          <cell r="E2680" t="str">
            <v>D25016827</v>
          </cell>
          <cell r="AP2680">
            <v>0</v>
          </cell>
          <cell r="AQ2680">
            <v>0</v>
          </cell>
          <cell r="AV2680">
            <v>0</v>
          </cell>
        </row>
        <row r="2681">
          <cell r="E2681" t="str">
            <v>D25017607</v>
          </cell>
          <cell r="AP2681">
            <v>0</v>
          </cell>
          <cell r="AQ2681">
            <v>0</v>
          </cell>
          <cell r="AV2681">
            <v>0</v>
          </cell>
        </row>
        <row r="2682">
          <cell r="E2682" t="str">
            <v>D25017620</v>
          </cell>
          <cell r="AP2682">
            <v>0</v>
          </cell>
          <cell r="AQ2682">
            <v>0</v>
          </cell>
          <cell r="AV2682">
            <v>0</v>
          </cell>
        </row>
        <row r="2683">
          <cell r="E2683" t="str">
            <v>D25017774</v>
          </cell>
          <cell r="AP2683">
            <v>0</v>
          </cell>
          <cell r="AQ2683">
            <v>0</v>
          </cell>
          <cell r="AV2683">
            <v>0</v>
          </cell>
        </row>
        <row r="2684">
          <cell r="E2684" t="str">
            <v>D25018154</v>
          </cell>
          <cell r="AP2684">
            <v>0</v>
          </cell>
          <cell r="AQ2684">
            <v>0</v>
          </cell>
          <cell r="AV2684">
            <v>0</v>
          </cell>
        </row>
        <row r="2685">
          <cell r="E2685" t="str">
            <v>B25016005</v>
          </cell>
          <cell r="AP2685">
            <v>0</v>
          </cell>
          <cell r="AQ2685">
            <v>0</v>
          </cell>
          <cell r="AV2685">
            <v>0</v>
          </cell>
        </row>
        <row r="2686">
          <cell r="E2686" t="str">
            <v>D25018740</v>
          </cell>
          <cell r="AP2686">
            <v>0</v>
          </cell>
          <cell r="AQ2686">
            <v>0</v>
          </cell>
          <cell r="AV2686">
            <v>0</v>
          </cell>
        </row>
        <row r="2687">
          <cell r="E2687" t="str">
            <v>B25016651</v>
          </cell>
          <cell r="AP2687">
            <v>0</v>
          </cell>
          <cell r="AQ2687">
            <v>0</v>
          </cell>
          <cell r="AV2687">
            <v>0</v>
          </cell>
        </row>
        <row r="2688">
          <cell r="E2688" t="str">
            <v>D25019319</v>
          </cell>
          <cell r="AP2688">
            <v>0</v>
          </cell>
          <cell r="AQ2688">
            <v>0</v>
          </cell>
          <cell r="AV2688">
            <v>0</v>
          </cell>
        </row>
        <row r="2689">
          <cell r="E2689" t="str">
            <v>D25019704</v>
          </cell>
          <cell r="AP2689">
            <v>0</v>
          </cell>
          <cell r="AQ2689">
            <v>0</v>
          </cell>
          <cell r="AV2689">
            <v>0</v>
          </cell>
        </row>
        <row r="2690">
          <cell r="E2690" t="str">
            <v>B26000642</v>
          </cell>
          <cell r="AP2690">
            <v>0</v>
          </cell>
          <cell r="AQ2690">
            <v>0</v>
          </cell>
          <cell r="AV2690">
            <v>0</v>
          </cell>
        </row>
        <row r="2691">
          <cell r="E2691" t="str">
            <v>D26000695</v>
          </cell>
          <cell r="AP2691">
            <v>0</v>
          </cell>
          <cell r="AQ2691">
            <v>0</v>
          </cell>
          <cell r="AV2691">
            <v>0</v>
          </cell>
        </row>
        <row r="2692">
          <cell r="E2692" t="str">
            <v>B26000765</v>
          </cell>
          <cell r="AP2692">
            <v>0</v>
          </cell>
          <cell r="AQ2692">
            <v>0</v>
          </cell>
          <cell r="AV2692">
            <v>0</v>
          </cell>
        </row>
        <row r="2693">
          <cell r="E2693" t="str">
            <v>D26001107</v>
          </cell>
          <cell r="AP2693">
            <v>0</v>
          </cell>
          <cell r="AQ2693">
            <v>0</v>
          </cell>
          <cell r="AV2693">
            <v>0</v>
          </cell>
        </row>
        <row r="2694">
          <cell r="E2694" t="str">
            <v>D26001255</v>
          </cell>
          <cell r="AP2694">
            <v>0</v>
          </cell>
          <cell r="AQ2694">
            <v>0</v>
          </cell>
          <cell r="AV2694">
            <v>0</v>
          </cell>
        </row>
        <row r="2695">
          <cell r="E2695" t="str">
            <v>D26001507</v>
          </cell>
          <cell r="AP2695">
            <v>0</v>
          </cell>
          <cell r="AQ2695">
            <v>0</v>
          </cell>
          <cell r="AV2695">
            <v>0</v>
          </cell>
        </row>
        <row r="2696">
          <cell r="E2696" t="str">
            <v>B26001502</v>
          </cell>
          <cell r="AP2696">
            <v>0</v>
          </cell>
          <cell r="AQ2696">
            <v>0</v>
          </cell>
          <cell r="AV2696">
            <v>0</v>
          </cell>
        </row>
        <row r="2697">
          <cell r="E2697" t="str">
            <v>T25001562k</v>
          </cell>
          <cell r="AP2697">
            <v>0</v>
          </cell>
          <cell r="AQ2697">
            <v>0</v>
          </cell>
          <cell r="AV2697">
            <v>0</v>
          </cell>
        </row>
        <row r="2698">
          <cell r="E2698" t="str">
            <v>B25016773</v>
          </cell>
          <cell r="AP2698">
            <v>0</v>
          </cell>
          <cell r="AQ2698">
            <v>0</v>
          </cell>
          <cell r="AV2698">
            <v>0</v>
          </cell>
        </row>
        <row r="2699">
          <cell r="E2699" t="str">
            <v>B25016778</v>
          </cell>
          <cell r="AP2699">
            <v>0</v>
          </cell>
          <cell r="AQ2699">
            <v>0</v>
          </cell>
          <cell r="AV2699">
            <v>0</v>
          </cell>
        </row>
        <row r="2700">
          <cell r="E2700" t="str">
            <v>B26000578</v>
          </cell>
          <cell r="AP2700">
            <v>0</v>
          </cell>
          <cell r="AQ2700">
            <v>0</v>
          </cell>
          <cell r="AV2700">
            <v>0</v>
          </cell>
        </row>
        <row r="2701">
          <cell r="E2701" t="str">
            <v>B26000657</v>
          </cell>
          <cell r="AP2701">
            <v>0</v>
          </cell>
          <cell r="AQ2701">
            <v>0</v>
          </cell>
          <cell r="AV2701">
            <v>0</v>
          </cell>
        </row>
        <row r="2702">
          <cell r="E2702" t="str">
            <v>D26000766</v>
          </cell>
          <cell r="AP2702">
            <v>0</v>
          </cell>
          <cell r="AQ2702">
            <v>0</v>
          </cell>
          <cell r="AV2702">
            <v>0</v>
          </cell>
        </row>
        <row r="2703">
          <cell r="E2703" t="str">
            <v>B26001187</v>
          </cell>
          <cell r="AP2703">
            <v>0</v>
          </cell>
          <cell r="AQ2703">
            <v>0</v>
          </cell>
          <cell r="AV2703">
            <v>0</v>
          </cell>
        </row>
        <row r="2704">
          <cell r="E2704" t="str">
            <v>D26001270</v>
          </cell>
          <cell r="AP2704">
            <v>0</v>
          </cell>
          <cell r="AQ2704">
            <v>0</v>
          </cell>
          <cell r="AV2704">
            <v>0</v>
          </cell>
        </row>
        <row r="2705">
          <cell r="E2705" t="str">
            <v>D26001401</v>
          </cell>
          <cell r="AP2705">
            <v>0</v>
          </cell>
          <cell r="AQ2705">
            <v>0</v>
          </cell>
          <cell r="AV2705">
            <v>0</v>
          </cell>
        </row>
        <row r="2706">
          <cell r="E2706" t="str">
            <v>D26001431</v>
          </cell>
          <cell r="AP2706">
            <v>0</v>
          </cell>
          <cell r="AQ2706">
            <v>0</v>
          </cell>
          <cell r="AV2706">
            <v>0</v>
          </cell>
        </row>
        <row r="2707">
          <cell r="E2707" t="str">
            <v>B26000978</v>
          </cell>
          <cell r="AP2707">
            <v>0</v>
          </cell>
          <cell r="AQ2707">
            <v>0</v>
          </cell>
          <cell r="AV2707">
            <v>0</v>
          </cell>
        </row>
        <row r="2708">
          <cell r="E2708" t="str">
            <v>T26000067</v>
          </cell>
          <cell r="AP2708">
            <v>0</v>
          </cell>
          <cell r="AQ2708">
            <v>0</v>
          </cell>
          <cell r="AV2708">
            <v>0</v>
          </cell>
        </row>
        <row r="2709">
          <cell r="E2709" t="str">
            <v>T25001828</v>
          </cell>
          <cell r="AP2709">
            <v>0</v>
          </cell>
          <cell r="AQ2709">
            <v>0</v>
          </cell>
          <cell r="AV2709">
            <v>0</v>
          </cell>
        </row>
        <row r="2710">
          <cell r="E2710" t="str">
            <v>T25001833</v>
          </cell>
          <cell r="AP2710">
            <v>0</v>
          </cell>
          <cell r="AQ2710">
            <v>0</v>
          </cell>
          <cell r="AV2710">
            <v>0</v>
          </cell>
        </row>
        <row r="2711">
          <cell r="E2711" t="str">
            <v>B26000222</v>
          </cell>
          <cell r="AP2711">
            <v>0</v>
          </cell>
          <cell r="AQ2711">
            <v>0</v>
          </cell>
          <cell r="AV2711">
            <v>0</v>
          </cell>
        </row>
        <row r="2712">
          <cell r="E2712" t="str">
            <v>B26001178</v>
          </cell>
          <cell r="AP2712">
            <v>0</v>
          </cell>
          <cell r="AQ2712">
            <v>0</v>
          </cell>
          <cell r="AV2712">
            <v>0</v>
          </cell>
        </row>
        <row r="2713">
          <cell r="E2713" t="str">
            <v>B26001179</v>
          </cell>
          <cell r="AP2713">
            <v>0</v>
          </cell>
          <cell r="AQ2713">
            <v>0</v>
          </cell>
          <cell r="AV2713">
            <v>0</v>
          </cell>
        </row>
        <row r="2714">
          <cell r="E2714" t="str">
            <v>D26001703</v>
          </cell>
          <cell r="AP2714">
            <v>0</v>
          </cell>
          <cell r="AQ2714">
            <v>0</v>
          </cell>
          <cell r="AV2714">
            <v>0</v>
          </cell>
        </row>
        <row r="2715">
          <cell r="E2715" t="str">
            <v>T25001654</v>
          </cell>
          <cell r="AP2715">
            <v>0</v>
          </cell>
          <cell r="AQ2715">
            <v>0</v>
          </cell>
          <cell r="AV2715">
            <v>0</v>
          </cell>
        </row>
        <row r="2716">
          <cell r="E2716" t="str">
            <v>T25001690</v>
          </cell>
          <cell r="AP2716">
            <v>0</v>
          </cell>
          <cell r="AQ2716">
            <v>0</v>
          </cell>
          <cell r="AV2716">
            <v>0</v>
          </cell>
        </row>
        <row r="2717">
          <cell r="E2717" t="str">
            <v>T25001745</v>
          </cell>
          <cell r="AP2717">
            <v>0</v>
          </cell>
          <cell r="AQ2717">
            <v>0</v>
          </cell>
          <cell r="AV2717">
            <v>0</v>
          </cell>
        </row>
        <row r="2718">
          <cell r="E2718" t="str">
            <v>B25015470</v>
          </cell>
          <cell r="AP2718">
            <v>0</v>
          </cell>
          <cell r="AQ2718">
            <v>0</v>
          </cell>
          <cell r="AV2718">
            <v>0</v>
          </cell>
        </row>
        <row r="2719">
          <cell r="E2719">
            <v>250207</v>
          </cell>
          <cell r="AP2719">
            <v>0</v>
          </cell>
          <cell r="AQ2719">
            <v>0</v>
          </cell>
          <cell r="AV2719">
            <v>0</v>
          </cell>
        </row>
        <row r="2720">
          <cell r="E2720" t="str">
            <v>B25017090</v>
          </cell>
          <cell r="AP2720">
            <v>0</v>
          </cell>
          <cell r="AQ2720">
            <v>0</v>
          </cell>
          <cell r="AV2720">
            <v>0</v>
          </cell>
        </row>
        <row r="2721">
          <cell r="E2721" t="str">
            <v>B26000159</v>
          </cell>
          <cell r="AP2721">
            <v>0</v>
          </cell>
          <cell r="AQ2721">
            <v>0</v>
          </cell>
          <cell r="AV2721">
            <v>0</v>
          </cell>
        </row>
        <row r="2722">
          <cell r="E2722" t="str">
            <v>D26000121</v>
          </cell>
          <cell r="AP2722">
            <v>0</v>
          </cell>
          <cell r="AQ2722">
            <v>0</v>
          </cell>
          <cell r="AV2722">
            <v>0</v>
          </cell>
        </row>
        <row r="2723">
          <cell r="E2723" t="str">
            <v>T26000008</v>
          </cell>
          <cell r="AP2723">
            <v>0</v>
          </cell>
          <cell r="AQ2723">
            <v>0</v>
          </cell>
          <cell r="AV2723">
            <v>0</v>
          </cell>
        </row>
        <row r="2724">
          <cell r="E2724" t="str">
            <v>D26000439</v>
          </cell>
          <cell r="AP2724">
            <v>0</v>
          </cell>
          <cell r="AQ2724">
            <v>0</v>
          </cell>
          <cell r="AV2724">
            <v>0</v>
          </cell>
        </row>
        <row r="2725">
          <cell r="E2725" t="str">
            <v>D26000742</v>
          </cell>
          <cell r="AP2725">
            <v>0</v>
          </cell>
          <cell r="AQ2725">
            <v>0</v>
          </cell>
          <cell r="AV2725">
            <v>0</v>
          </cell>
        </row>
        <row r="2726">
          <cell r="E2726" t="str">
            <v>T26000037K</v>
          </cell>
          <cell r="AP2726">
            <v>0</v>
          </cell>
          <cell r="AQ2726">
            <v>0</v>
          </cell>
          <cell r="AV2726">
            <v>0</v>
          </cell>
        </row>
        <row r="2727">
          <cell r="E2727" t="str">
            <v>T26000087</v>
          </cell>
          <cell r="AP2727">
            <v>0</v>
          </cell>
          <cell r="AQ2727">
            <v>0</v>
          </cell>
          <cell r="AV2727">
            <v>0</v>
          </cell>
        </row>
        <row r="2728">
          <cell r="E2728" t="str">
            <v>D26001362</v>
          </cell>
          <cell r="AP2728">
            <v>0</v>
          </cell>
          <cell r="AQ2728">
            <v>0</v>
          </cell>
          <cell r="AV2728">
            <v>0</v>
          </cell>
        </row>
        <row r="2729">
          <cell r="E2729" t="str">
            <v>T26000111</v>
          </cell>
          <cell r="AP2729">
            <v>0</v>
          </cell>
          <cell r="AQ2729">
            <v>0</v>
          </cell>
          <cell r="AV2729">
            <v>0</v>
          </cell>
        </row>
        <row r="2730">
          <cell r="E2730" t="str">
            <v>B25014948</v>
          </cell>
          <cell r="AP2730">
            <v>0</v>
          </cell>
          <cell r="AQ2730">
            <v>0</v>
          </cell>
          <cell r="AV2730">
            <v>0</v>
          </cell>
        </row>
        <row r="2731">
          <cell r="E2731" t="str">
            <v>D25018257</v>
          </cell>
          <cell r="AP2731">
            <v>0</v>
          </cell>
          <cell r="AQ2731">
            <v>0</v>
          </cell>
          <cell r="AV2731">
            <v>0</v>
          </cell>
        </row>
        <row r="2732">
          <cell r="E2732" t="str">
            <v>B25015870</v>
          </cell>
          <cell r="AP2732">
            <v>0</v>
          </cell>
          <cell r="AQ2732">
            <v>0</v>
          </cell>
          <cell r="AV2732">
            <v>0</v>
          </cell>
        </row>
        <row r="2733">
          <cell r="E2733" t="str">
            <v>B25016191</v>
          </cell>
          <cell r="AP2733">
            <v>0</v>
          </cell>
          <cell r="AQ2733">
            <v>0</v>
          </cell>
          <cell r="AV2733">
            <v>0</v>
          </cell>
        </row>
        <row r="2734">
          <cell r="E2734" t="str">
            <v>B25016709</v>
          </cell>
          <cell r="AP2734">
            <v>0</v>
          </cell>
          <cell r="AQ2734">
            <v>0</v>
          </cell>
          <cell r="AV2734">
            <v>0</v>
          </cell>
        </row>
        <row r="2735">
          <cell r="E2735" t="str">
            <v>D26000546</v>
          </cell>
          <cell r="AP2735">
            <v>0</v>
          </cell>
          <cell r="AQ2735">
            <v>0</v>
          </cell>
          <cell r="AV2735">
            <v>0</v>
          </cell>
        </row>
        <row r="2736">
          <cell r="E2736" t="str">
            <v>D26000623</v>
          </cell>
          <cell r="AP2736">
            <v>0</v>
          </cell>
          <cell r="AQ2736">
            <v>0</v>
          </cell>
          <cell r="AV2736">
            <v>0</v>
          </cell>
        </row>
        <row r="2737">
          <cell r="E2737" t="str">
            <v>D26001522</v>
          </cell>
          <cell r="AP2737">
            <v>0</v>
          </cell>
          <cell r="AQ2737">
            <v>0</v>
          </cell>
          <cell r="AV2737">
            <v>0</v>
          </cell>
        </row>
        <row r="2738">
          <cell r="E2738" t="str">
            <v>R26000001</v>
          </cell>
          <cell r="AP2738">
            <v>0</v>
          </cell>
          <cell r="AQ2738">
            <v>0</v>
          </cell>
          <cell r="AV2738">
            <v>0</v>
          </cell>
        </row>
        <row r="2739">
          <cell r="E2739" t="str">
            <v>T25001576</v>
          </cell>
          <cell r="AP2739">
            <v>0</v>
          </cell>
          <cell r="AQ2739">
            <v>0</v>
          </cell>
          <cell r="AV2739">
            <v>0</v>
          </cell>
        </row>
        <row r="2740">
          <cell r="E2740" t="str">
            <v>B25014771</v>
          </cell>
          <cell r="AP2740">
            <v>0</v>
          </cell>
          <cell r="AQ2740">
            <v>0</v>
          </cell>
          <cell r="AV2740">
            <v>0</v>
          </cell>
        </row>
        <row r="2741">
          <cell r="E2741" t="str">
            <v>B25015904</v>
          </cell>
          <cell r="AP2741">
            <v>0</v>
          </cell>
          <cell r="AQ2741">
            <v>0</v>
          </cell>
          <cell r="AV2741">
            <v>0</v>
          </cell>
        </row>
        <row r="2742">
          <cell r="E2742" t="str">
            <v>D25019221</v>
          </cell>
          <cell r="AP2742">
            <v>0</v>
          </cell>
          <cell r="AQ2742">
            <v>0</v>
          </cell>
          <cell r="AV2742">
            <v>0</v>
          </cell>
        </row>
        <row r="2743">
          <cell r="E2743" t="str">
            <v>T26000072</v>
          </cell>
          <cell r="AP2743">
            <v>0</v>
          </cell>
          <cell r="AQ2743">
            <v>0</v>
          </cell>
          <cell r="AV2743">
            <v>0</v>
          </cell>
        </row>
        <row r="2744">
          <cell r="E2744" t="str">
            <v>T26000075</v>
          </cell>
          <cell r="AP2744">
            <v>0</v>
          </cell>
          <cell r="AQ2744">
            <v>0</v>
          </cell>
          <cell r="AV2744">
            <v>0</v>
          </cell>
        </row>
        <row r="2745">
          <cell r="E2745" t="str">
            <v>B26001333</v>
          </cell>
          <cell r="AP2745">
            <v>0</v>
          </cell>
          <cell r="AQ2745">
            <v>0</v>
          </cell>
          <cell r="AV2745">
            <v>0</v>
          </cell>
        </row>
        <row r="2746">
          <cell r="E2746" t="str">
            <v>D26000750</v>
          </cell>
          <cell r="AP2746">
            <v>0</v>
          </cell>
          <cell r="AQ2746">
            <v>0</v>
          </cell>
          <cell r="AV2746">
            <v>0</v>
          </cell>
        </row>
        <row r="2747">
          <cell r="E2747" t="str">
            <v>D26000851</v>
          </cell>
          <cell r="AP2747">
            <v>0</v>
          </cell>
          <cell r="AQ2747">
            <v>0</v>
          </cell>
          <cell r="AV2747">
            <v>0</v>
          </cell>
        </row>
        <row r="2748">
          <cell r="E2748" t="str">
            <v>D26001010</v>
          </cell>
          <cell r="AP2748">
            <v>0</v>
          </cell>
          <cell r="AQ2748">
            <v>0</v>
          </cell>
          <cell r="AV2748">
            <v>0</v>
          </cell>
        </row>
        <row r="2749">
          <cell r="E2749" t="str">
            <v>D26001589</v>
          </cell>
          <cell r="AP2749">
            <v>0</v>
          </cell>
          <cell r="AQ2749">
            <v>0</v>
          </cell>
          <cell r="AV2749">
            <v>0</v>
          </cell>
        </row>
        <row r="2750">
          <cell r="E2750" t="str">
            <v>Z25003250</v>
          </cell>
          <cell r="AP2750">
            <v>0</v>
          </cell>
          <cell r="AQ2750">
            <v>0</v>
          </cell>
          <cell r="AV2750">
            <v>0</v>
          </cell>
        </row>
        <row r="2751">
          <cell r="E2751" t="str">
            <v>D25015849</v>
          </cell>
          <cell r="AP2751">
            <v>0</v>
          </cell>
          <cell r="AQ2751">
            <v>0</v>
          </cell>
          <cell r="AV2751">
            <v>0</v>
          </cell>
        </row>
        <row r="2752">
          <cell r="E2752">
            <v>250144</v>
          </cell>
          <cell r="AP2752">
            <v>0</v>
          </cell>
          <cell r="AQ2752">
            <v>0</v>
          </cell>
          <cell r="AV2752">
            <v>0</v>
          </cell>
        </row>
        <row r="2753">
          <cell r="E2753">
            <v>250149</v>
          </cell>
          <cell r="AP2753">
            <v>0</v>
          </cell>
          <cell r="AQ2753">
            <v>0</v>
          </cell>
          <cell r="AV2753">
            <v>0</v>
          </cell>
        </row>
        <row r="2754">
          <cell r="E2754" t="str">
            <v>B25014405</v>
          </cell>
          <cell r="AP2754">
            <v>0</v>
          </cell>
          <cell r="AQ2754">
            <v>0</v>
          </cell>
          <cell r="AV2754">
            <v>0</v>
          </cell>
        </row>
        <row r="2755">
          <cell r="E2755" t="str">
            <v>B25015908</v>
          </cell>
          <cell r="AP2755">
            <v>0</v>
          </cell>
          <cell r="AQ2755">
            <v>0</v>
          </cell>
          <cell r="AV2755">
            <v>0</v>
          </cell>
        </row>
        <row r="2756">
          <cell r="E2756" t="str">
            <v>D25018315</v>
          </cell>
          <cell r="AP2756">
            <v>0</v>
          </cell>
          <cell r="AQ2756">
            <v>0</v>
          </cell>
          <cell r="AV2756">
            <v>0</v>
          </cell>
        </row>
        <row r="2757">
          <cell r="E2757" t="str">
            <v>D25018762</v>
          </cell>
          <cell r="AP2757">
            <v>0</v>
          </cell>
          <cell r="AQ2757">
            <v>0</v>
          </cell>
          <cell r="AV2757">
            <v>0</v>
          </cell>
        </row>
        <row r="2758">
          <cell r="E2758" t="str">
            <v>D25018851</v>
          </cell>
          <cell r="AP2758">
            <v>0</v>
          </cell>
          <cell r="AQ2758">
            <v>0</v>
          </cell>
          <cell r="AV2758">
            <v>0</v>
          </cell>
        </row>
        <row r="2759">
          <cell r="E2759" t="str">
            <v>B25016978</v>
          </cell>
          <cell r="AP2759">
            <v>0</v>
          </cell>
          <cell r="AQ2759">
            <v>0</v>
          </cell>
          <cell r="AV2759">
            <v>0</v>
          </cell>
        </row>
        <row r="2760">
          <cell r="E2760" t="str">
            <v>B25017020</v>
          </cell>
          <cell r="AP2760">
            <v>0</v>
          </cell>
          <cell r="AQ2760">
            <v>0</v>
          </cell>
          <cell r="AV2760">
            <v>0</v>
          </cell>
        </row>
        <row r="2761">
          <cell r="E2761" t="str">
            <v>D25019626</v>
          </cell>
          <cell r="AP2761">
            <v>0</v>
          </cell>
          <cell r="AQ2761">
            <v>0</v>
          </cell>
          <cell r="AV2761">
            <v>0</v>
          </cell>
        </row>
        <row r="2762">
          <cell r="E2762" t="str">
            <v>B26000278</v>
          </cell>
          <cell r="AP2762">
            <v>0</v>
          </cell>
          <cell r="AQ2762">
            <v>0</v>
          </cell>
          <cell r="AV2762">
            <v>0</v>
          </cell>
        </row>
        <row r="2763">
          <cell r="E2763" t="str">
            <v>B26000628</v>
          </cell>
          <cell r="AP2763">
            <v>0</v>
          </cell>
          <cell r="AQ2763">
            <v>0</v>
          </cell>
          <cell r="AV2763">
            <v>0</v>
          </cell>
        </row>
        <row r="2764">
          <cell r="E2764" t="str">
            <v>B26000074</v>
          </cell>
          <cell r="AP2764">
            <v>0</v>
          </cell>
          <cell r="AQ2764">
            <v>0</v>
          </cell>
          <cell r="AV2764">
            <v>0</v>
          </cell>
        </row>
        <row r="2765">
          <cell r="E2765" t="str">
            <v>B26000533</v>
          </cell>
          <cell r="AP2765">
            <v>0</v>
          </cell>
          <cell r="AQ2765">
            <v>0</v>
          </cell>
          <cell r="AV2765">
            <v>0</v>
          </cell>
        </row>
        <row r="2766">
          <cell r="E2766" t="str">
            <v>D26001597</v>
          </cell>
          <cell r="AP2766">
            <v>0</v>
          </cell>
          <cell r="AQ2766">
            <v>0</v>
          </cell>
          <cell r="AV2766">
            <v>0</v>
          </cell>
        </row>
        <row r="2767">
          <cell r="E2767" t="str">
            <v>D25017597</v>
          </cell>
          <cell r="AP2767">
            <v>0</v>
          </cell>
          <cell r="AQ2767">
            <v>0</v>
          </cell>
          <cell r="AV2767">
            <v>0</v>
          </cell>
        </row>
        <row r="2768">
          <cell r="E2768" t="str">
            <v>D25019506</v>
          </cell>
          <cell r="AP2768">
            <v>0</v>
          </cell>
          <cell r="AQ2768">
            <v>0</v>
          </cell>
          <cell r="AV2768">
            <v>0</v>
          </cell>
        </row>
        <row r="2769">
          <cell r="E2769" t="str">
            <v>B26001471</v>
          </cell>
          <cell r="AP2769">
            <v>0</v>
          </cell>
          <cell r="AQ2769">
            <v>0</v>
          </cell>
          <cell r="AV2769">
            <v>0</v>
          </cell>
        </row>
        <row r="2770">
          <cell r="E2770" t="str">
            <v>T25001473</v>
          </cell>
          <cell r="AP2770">
            <v>0</v>
          </cell>
          <cell r="AQ2770">
            <v>0</v>
          </cell>
          <cell r="AV2770">
            <v>0</v>
          </cell>
        </row>
        <row r="2771">
          <cell r="E2771" t="str">
            <v>T25001831</v>
          </cell>
          <cell r="AP2771">
            <v>0</v>
          </cell>
          <cell r="AQ2771">
            <v>0</v>
          </cell>
          <cell r="AV2771">
            <v>0</v>
          </cell>
        </row>
        <row r="2772">
          <cell r="E2772" t="str">
            <v>D25019065</v>
          </cell>
          <cell r="AP2772">
            <v>0</v>
          </cell>
          <cell r="AQ2772">
            <v>0</v>
          </cell>
          <cell r="AV2772">
            <v>0</v>
          </cell>
        </row>
        <row r="2773">
          <cell r="E2773" t="str">
            <v>D25019213</v>
          </cell>
          <cell r="AP2773">
            <v>0</v>
          </cell>
          <cell r="AQ2773">
            <v>0</v>
          </cell>
          <cell r="AV2773">
            <v>0</v>
          </cell>
        </row>
        <row r="2774">
          <cell r="E2774" t="str">
            <v>D25019332</v>
          </cell>
          <cell r="AP2774">
            <v>0</v>
          </cell>
          <cell r="AQ2774">
            <v>0</v>
          </cell>
          <cell r="AV2774">
            <v>0</v>
          </cell>
        </row>
        <row r="2775">
          <cell r="E2775" t="str">
            <v>D25019445</v>
          </cell>
          <cell r="AP2775">
            <v>0</v>
          </cell>
          <cell r="AQ2775">
            <v>0</v>
          </cell>
          <cell r="AV2775">
            <v>0</v>
          </cell>
        </row>
        <row r="2776">
          <cell r="E2776" t="str">
            <v>D25019683</v>
          </cell>
          <cell r="AP2776">
            <v>0</v>
          </cell>
          <cell r="AQ2776">
            <v>0</v>
          </cell>
          <cell r="AV2776">
            <v>0</v>
          </cell>
        </row>
        <row r="2777">
          <cell r="E2777" t="str">
            <v>D26000422</v>
          </cell>
          <cell r="AP2777">
            <v>0</v>
          </cell>
          <cell r="AQ2777">
            <v>0</v>
          </cell>
          <cell r="AV2777">
            <v>0</v>
          </cell>
        </row>
        <row r="2778">
          <cell r="E2778" t="str">
            <v>B26000426</v>
          </cell>
          <cell r="AP2778">
            <v>0</v>
          </cell>
          <cell r="AQ2778">
            <v>0</v>
          </cell>
          <cell r="AV2778">
            <v>0</v>
          </cell>
        </row>
        <row r="2779">
          <cell r="E2779" t="str">
            <v>B26000457</v>
          </cell>
          <cell r="AP2779">
            <v>0</v>
          </cell>
          <cell r="AQ2779">
            <v>0</v>
          </cell>
          <cell r="AV2779">
            <v>0</v>
          </cell>
        </row>
        <row r="2780">
          <cell r="E2780" t="str">
            <v>B26000596</v>
          </cell>
          <cell r="AP2780">
            <v>0</v>
          </cell>
          <cell r="AQ2780">
            <v>0</v>
          </cell>
          <cell r="AV2780">
            <v>0</v>
          </cell>
        </row>
        <row r="2781">
          <cell r="E2781" t="str">
            <v>D26000936</v>
          </cell>
          <cell r="AP2781">
            <v>0</v>
          </cell>
          <cell r="AQ2781">
            <v>0</v>
          </cell>
          <cell r="AV2781">
            <v>0</v>
          </cell>
        </row>
        <row r="2782">
          <cell r="E2782" t="str">
            <v>D26001127</v>
          </cell>
          <cell r="AP2782">
            <v>0</v>
          </cell>
          <cell r="AQ2782">
            <v>0</v>
          </cell>
          <cell r="AV2782">
            <v>0</v>
          </cell>
        </row>
        <row r="2783">
          <cell r="E2783" t="str">
            <v>D26001360</v>
          </cell>
          <cell r="AP2783">
            <v>0</v>
          </cell>
          <cell r="AQ2783">
            <v>0</v>
          </cell>
          <cell r="AV2783">
            <v>0</v>
          </cell>
        </row>
        <row r="2784">
          <cell r="E2784" t="str">
            <v>T25001873</v>
          </cell>
          <cell r="AP2784">
            <v>0</v>
          </cell>
          <cell r="AQ2784">
            <v>0</v>
          </cell>
          <cell r="AV2784">
            <v>0</v>
          </cell>
        </row>
        <row r="2785">
          <cell r="E2785" t="str">
            <v>D25019628</v>
          </cell>
          <cell r="AP2785">
            <v>0</v>
          </cell>
          <cell r="AQ2785">
            <v>0</v>
          </cell>
          <cell r="AV2785">
            <v>0</v>
          </cell>
        </row>
        <row r="2786">
          <cell r="E2786" t="str">
            <v>D25019721</v>
          </cell>
          <cell r="AP2786">
            <v>0</v>
          </cell>
          <cell r="AQ2786">
            <v>0</v>
          </cell>
          <cell r="AV2786">
            <v>0</v>
          </cell>
        </row>
        <row r="2787">
          <cell r="E2787" t="str">
            <v>B26000452</v>
          </cell>
          <cell r="AP2787">
            <v>0</v>
          </cell>
          <cell r="AQ2787">
            <v>0</v>
          </cell>
          <cell r="AV2787">
            <v>0</v>
          </cell>
        </row>
        <row r="2788">
          <cell r="E2788" t="str">
            <v>T25001857</v>
          </cell>
          <cell r="AP2788">
            <v>0</v>
          </cell>
          <cell r="AQ2788">
            <v>0</v>
          </cell>
          <cell r="AV2788">
            <v>0</v>
          </cell>
        </row>
        <row r="2789">
          <cell r="E2789" t="str">
            <v>B25016933</v>
          </cell>
          <cell r="AP2789">
            <v>0</v>
          </cell>
          <cell r="AQ2789">
            <v>0</v>
          </cell>
          <cell r="AV2789">
            <v>0</v>
          </cell>
        </row>
        <row r="2790">
          <cell r="E2790" t="str">
            <v>D26000881</v>
          </cell>
          <cell r="AP2790">
            <v>0</v>
          </cell>
          <cell r="AQ2790">
            <v>0</v>
          </cell>
          <cell r="AV2790">
            <v>0</v>
          </cell>
        </row>
        <row r="2791">
          <cell r="E2791" t="str">
            <v>D26000954</v>
          </cell>
          <cell r="AP2791">
            <v>0</v>
          </cell>
          <cell r="AQ2791">
            <v>0</v>
          </cell>
          <cell r="AV2791">
            <v>0</v>
          </cell>
        </row>
        <row r="2792">
          <cell r="E2792" t="str">
            <v>D26000956</v>
          </cell>
          <cell r="AP2792">
            <v>0</v>
          </cell>
          <cell r="AQ2792">
            <v>0</v>
          </cell>
          <cell r="AV2792">
            <v>0</v>
          </cell>
        </row>
        <row r="2793">
          <cell r="E2793" t="str">
            <v>B26001363</v>
          </cell>
          <cell r="AP2793">
            <v>0</v>
          </cell>
          <cell r="AQ2793">
            <v>0</v>
          </cell>
          <cell r="AV2793">
            <v>0</v>
          </cell>
        </row>
        <row r="2794">
          <cell r="E2794" t="str">
            <v>B26000488</v>
          </cell>
          <cell r="AP2794">
            <v>0</v>
          </cell>
          <cell r="AQ2794">
            <v>0</v>
          </cell>
          <cell r="AV2794">
            <v>0</v>
          </cell>
        </row>
        <row r="2795">
          <cell r="E2795" t="str">
            <v>D26001734</v>
          </cell>
          <cell r="AP2795">
            <v>0</v>
          </cell>
          <cell r="AQ2795">
            <v>0</v>
          </cell>
          <cell r="AV2795">
            <v>0</v>
          </cell>
        </row>
        <row r="2796">
          <cell r="E2796" t="str">
            <v>D26001735</v>
          </cell>
          <cell r="AP2796">
            <v>0</v>
          </cell>
          <cell r="AQ2796">
            <v>0</v>
          </cell>
          <cell r="AV2796">
            <v>0</v>
          </cell>
        </row>
        <row r="2797">
          <cell r="E2797" t="str">
            <v>B25016727</v>
          </cell>
          <cell r="AP2797">
            <v>0</v>
          </cell>
          <cell r="AQ2797">
            <v>0</v>
          </cell>
          <cell r="AV2797">
            <v>0</v>
          </cell>
        </row>
        <row r="2798">
          <cell r="E2798" t="str">
            <v>B26000129</v>
          </cell>
          <cell r="AP2798">
            <v>0</v>
          </cell>
          <cell r="AQ2798">
            <v>0</v>
          </cell>
          <cell r="AV2798">
            <v>0</v>
          </cell>
        </row>
        <row r="2799">
          <cell r="E2799" t="str">
            <v>B26000158</v>
          </cell>
          <cell r="AP2799">
            <v>0</v>
          </cell>
          <cell r="AQ2799">
            <v>0</v>
          </cell>
          <cell r="AV2799">
            <v>0</v>
          </cell>
        </row>
        <row r="2800">
          <cell r="E2800" t="str">
            <v>D26000198</v>
          </cell>
          <cell r="AP2800">
            <v>0</v>
          </cell>
          <cell r="AQ2800">
            <v>0</v>
          </cell>
          <cell r="AV2800">
            <v>0</v>
          </cell>
        </row>
        <row r="2801">
          <cell r="E2801" t="str">
            <v>D26000503</v>
          </cell>
          <cell r="AP2801">
            <v>0</v>
          </cell>
          <cell r="AQ2801">
            <v>0</v>
          </cell>
          <cell r="AV2801">
            <v>0</v>
          </cell>
        </row>
        <row r="2802">
          <cell r="E2802" t="str">
            <v>D26000716</v>
          </cell>
          <cell r="AP2802">
            <v>0</v>
          </cell>
          <cell r="AQ2802">
            <v>0</v>
          </cell>
          <cell r="AV2802">
            <v>0</v>
          </cell>
        </row>
        <row r="2803">
          <cell r="E2803" t="str">
            <v>D26000724</v>
          </cell>
          <cell r="AP2803">
            <v>0</v>
          </cell>
          <cell r="AQ2803">
            <v>0</v>
          </cell>
          <cell r="AV2803">
            <v>0</v>
          </cell>
        </row>
        <row r="2804">
          <cell r="E2804" t="str">
            <v>B26001025</v>
          </cell>
          <cell r="AP2804">
            <v>0</v>
          </cell>
          <cell r="AQ2804">
            <v>0</v>
          </cell>
          <cell r="AV2804">
            <v>0</v>
          </cell>
        </row>
        <row r="2805">
          <cell r="E2805" t="str">
            <v>D26001525</v>
          </cell>
          <cell r="AP2805">
            <v>0</v>
          </cell>
          <cell r="AQ2805">
            <v>0</v>
          </cell>
          <cell r="AV2805">
            <v>0</v>
          </cell>
        </row>
        <row r="2806">
          <cell r="E2806" t="str">
            <v>D26001590</v>
          </cell>
          <cell r="AP2806">
            <v>0</v>
          </cell>
          <cell r="AQ2806">
            <v>0</v>
          </cell>
          <cell r="AV2806">
            <v>0</v>
          </cell>
        </row>
        <row r="2807">
          <cell r="E2807" t="str">
            <v>B26000447</v>
          </cell>
          <cell r="AP2807">
            <v>0</v>
          </cell>
          <cell r="AQ2807">
            <v>0</v>
          </cell>
          <cell r="AV2807">
            <v>0</v>
          </cell>
        </row>
        <row r="2808">
          <cell r="E2808" t="str">
            <v>B25016334</v>
          </cell>
          <cell r="AP2808">
            <v>0</v>
          </cell>
          <cell r="AQ2808">
            <v>0</v>
          </cell>
          <cell r="AV2808">
            <v>0</v>
          </cell>
        </row>
        <row r="2809">
          <cell r="E2809" t="str">
            <v>B25016529</v>
          </cell>
          <cell r="AP2809">
            <v>0</v>
          </cell>
          <cell r="AQ2809">
            <v>0</v>
          </cell>
          <cell r="AV2809">
            <v>0</v>
          </cell>
        </row>
        <row r="2810">
          <cell r="E2810" t="str">
            <v>B26000414</v>
          </cell>
          <cell r="AP2810">
            <v>0</v>
          </cell>
          <cell r="AQ2810">
            <v>0</v>
          </cell>
          <cell r="AV2810">
            <v>0</v>
          </cell>
        </row>
        <row r="2811">
          <cell r="E2811" t="str">
            <v>B26001424</v>
          </cell>
          <cell r="AP2811">
            <v>0</v>
          </cell>
          <cell r="AQ2811">
            <v>0</v>
          </cell>
          <cell r="AV2811">
            <v>0</v>
          </cell>
        </row>
        <row r="2812">
          <cell r="E2812" t="str">
            <v>D25018644</v>
          </cell>
          <cell r="AP2812">
            <v>0</v>
          </cell>
          <cell r="AQ2812">
            <v>0</v>
          </cell>
          <cell r="AV2812">
            <v>0</v>
          </cell>
        </row>
        <row r="2813">
          <cell r="E2813" t="str">
            <v>D25019241</v>
          </cell>
          <cell r="AP2813">
            <v>0</v>
          </cell>
          <cell r="AQ2813">
            <v>0</v>
          </cell>
          <cell r="AV2813">
            <v>0</v>
          </cell>
        </row>
        <row r="2814">
          <cell r="E2814" t="str">
            <v>B25017119</v>
          </cell>
          <cell r="AP2814">
            <v>0</v>
          </cell>
          <cell r="AQ2814">
            <v>0</v>
          </cell>
          <cell r="AV2814">
            <v>0</v>
          </cell>
        </row>
        <row r="2815">
          <cell r="E2815" t="str">
            <v>D26000410</v>
          </cell>
          <cell r="AP2815">
            <v>0</v>
          </cell>
          <cell r="AQ2815">
            <v>0</v>
          </cell>
          <cell r="AV2815">
            <v>0</v>
          </cell>
        </row>
        <row r="2816">
          <cell r="E2816" t="str">
            <v>B26001140</v>
          </cell>
          <cell r="AP2816">
            <v>0</v>
          </cell>
          <cell r="AQ2816">
            <v>0</v>
          </cell>
          <cell r="AV2816">
            <v>0</v>
          </cell>
        </row>
        <row r="2817">
          <cell r="E2817" t="str">
            <v>B26001505</v>
          </cell>
          <cell r="AP2817">
            <v>0</v>
          </cell>
          <cell r="AQ2817">
            <v>0</v>
          </cell>
          <cell r="AV2817">
            <v>0</v>
          </cell>
        </row>
        <row r="2818">
          <cell r="E2818" t="str">
            <v>D25016662</v>
          </cell>
          <cell r="AP2818">
            <v>0</v>
          </cell>
          <cell r="AQ2818">
            <v>0</v>
          </cell>
          <cell r="AV2818">
            <v>0</v>
          </cell>
        </row>
        <row r="2819">
          <cell r="E2819" t="str">
            <v>B25014446</v>
          </cell>
          <cell r="AP2819">
            <v>0</v>
          </cell>
          <cell r="AQ2819">
            <v>0</v>
          </cell>
          <cell r="AV2819">
            <v>0</v>
          </cell>
        </row>
        <row r="2820">
          <cell r="E2820" t="str">
            <v>B25014447</v>
          </cell>
          <cell r="AP2820">
            <v>0</v>
          </cell>
          <cell r="AQ2820">
            <v>0</v>
          </cell>
          <cell r="AV2820">
            <v>0</v>
          </cell>
        </row>
        <row r="2821">
          <cell r="E2821" t="str">
            <v>D25019693</v>
          </cell>
          <cell r="AP2821">
            <v>0</v>
          </cell>
          <cell r="AQ2821">
            <v>0</v>
          </cell>
          <cell r="AV2821">
            <v>0</v>
          </cell>
        </row>
        <row r="2822">
          <cell r="E2822" t="str">
            <v>D26000787</v>
          </cell>
          <cell r="AP2822">
            <v>0</v>
          </cell>
          <cell r="AQ2822">
            <v>0</v>
          </cell>
          <cell r="AV2822">
            <v>0</v>
          </cell>
        </row>
        <row r="2823">
          <cell r="E2823" t="str">
            <v>B26001474</v>
          </cell>
          <cell r="AP2823">
            <v>0</v>
          </cell>
          <cell r="AQ2823">
            <v>0</v>
          </cell>
          <cell r="AV2823">
            <v>0</v>
          </cell>
        </row>
        <row r="2824">
          <cell r="E2824" t="str">
            <v>B26000338</v>
          </cell>
          <cell r="AP2824">
            <v>0</v>
          </cell>
          <cell r="AQ2824">
            <v>0</v>
          </cell>
          <cell r="AV2824">
            <v>0</v>
          </cell>
        </row>
        <row r="2825">
          <cell r="E2825" t="str">
            <v>B26000339</v>
          </cell>
          <cell r="AP2825">
            <v>0</v>
          </cell>
          <cell r="AQ2825">
            <v>0</v>
          </cell>
          <cell r="AV2825">
            <v>0</v>
          </cell>
        </row>
        <row r="2826">
          <cell r="E2826" t="str">
            <v>B26000340</v>
          </cell>
          <cell r="AP2826">
            <v>0</v>
          </cell>
          <cell r="AQ2826">
            <v>0</v>
          </cell>
          <cell r="AV2826">
            <v>0</v>
          </cell>
        </row>
        <row r="2827">
          <cell r="E2827" t="str">
            <v>B26001085</v>
          </cell>
          <cell r="AP2827">
            <v>0</v>
          </cell>
          <cell r="AQ2827">
            <v>0</v>
          </cell>
          <cell r="AV2827">
            <v>0</v>
          </cell>
        </row>
        <row r="2828">
          <cell r="E2828" t="str">
            <v>B26001133</v>
          </cell>
          <cell r="AP2828">
            <v>0</v>
          </cell>
          <cell r="AQ2828">
            <v>0</v>
          </cell>
          <cell r="AV2828">
            <v>0</v>
          </cell>
        </row>
        <row r="2829">
          <cell r="E2829" t="str">
            <v>D26000958</v>
          </cell>
          <cell r="AP2829">
            <v>0</v>
          </cell>
          <cell r="AQ2829">
            <v>0</v>
          </cell>
          <cell r="AV2829">
            <v>0</v>
          </cell>
        </row>
        <row r="2830">
          <cell r="E2830" t="str">
            <v>D26000959</v>
          </cell>
          <cell r="AP2830">
            <v>0</v>
          </cell>
          <cell r="AQ2830">
            <v>0</v>
          </cell>
          <cell r="AV2830">
            <v>0</v>
          </cell>
        </row>
        <row r="2831">
          <cell r="E2831" t="str">
            <v>D26001641</v>
          </cell>
          <cell r="AP2831">
            <v>0</v>
          </cell>
          <cell r="AQ2831">
            <v>0</v>
          </cell>
          <cell r="AV2831">
            <v>0</v>
          </cell>
        </row>
        <row r="2832">
          <cell r="E2832" t="str">
            <v>D25019256</v>
          </cell>
          <cell r="AP2832">
            <v>0</v>
          </cell>
          <cell r="AQ2832">
            <v>0</v>
          </cell>
          <cell r="AV2832">
            <v>0</v>
          </cell>
        </row>
        <row r="2833">
          <cell r="E2833" t="str">
            <v>B25016895</v>
          </cell>
          <cell r="AP2833">
            <v>0</v>
          </cell>
          <cell r="AQ2833">
            <v>0</v>
          </cell>
          <cell r="AV2833">
            <v>0</v>
          </cell>
        </row>
        <row r="2834">
          <cell r="E2834" t="str">
            <v>D26000225</v>
          </cell>
          <cell r="AP2834">
            <v>0</v>
          </cell>
          <cell r="AQ2834">
            <v>0</v>
          </cell>
          <cell r="AV2834">
            <v>0</v>
          </cell>
        </row>
        <row r="2835">
          <cell r="E2835" t="str">
            <v>D26001335</v>
          </cell>
          <cell r="AP2835">
            <v>0</v>
          </cell>
          <cell r="AQ2835">
            <v>0</v>
          </cell>
          <cell r="AV2835">
            <v>0</v>
          </cell>
        </row>
        <row r="2836">
          <cell r="E2836" t="str">
            <v>D26000248</v>
          </cell>
          <cell r="AP2836">
            <v>0</v>
          </cell>
          <cell r="AQ2836">
            <v>0</v>
          </cell>
          <cell r="AV2836">
            <v>0</v>
          </cell>
        </row>
        <row r="2837">
          <cell r="E2837" t="str">
            <v>D25017916</v>
          </cell>
          <cell r="AP2837">
            <v>0</v>
          </cell>
          <cell r="AQ2837">
            <v>0</v>
          </cell>
          <cell r="AV2837">
            <v>0</v>
          </cell>
        </row>
        <row r="2838">
          <cell r="E2838" t="str">
            <v>T25001762</v>
          </cell>
          <cell r="AP2838">
            <v>0</v>
          </cell>
          <cell r="AQ2838">
            <v>0</v>
          </cell>
          <cell r="AV2838">
            <v>0</v>
          </cell>
        </row>
        <row r="2839">
          <cell r="E2839" t="str">
            <v>B25016635</v>
          </cell>
          <cell r="AP2839">
            <v>0</v>
          </cell>
          <cell r="AQ2839">
            <v>0</v>
          </cell>
          <cell r="AV2839">
            <v>0</v>
          </cell>
        </row>
        <row r="2840">
          <cell r="E2840" t="str">
            <v>T25001862</v>
          </cell>
          <cell r="AP2840">
            <v>0</v>
          </cell>
          <cell r="AQ2840">
            <v>0</v>
          </cell>
          <cell r="AV2840">
            <v>0</v>
          </cell>
        </row>
        <row r="2841">
          <cell r="E2841" t="str">
            <v>T26000045k</v>
          </cell>
          <cell r="AP2841">
            <v>0</v>
          </cell>
          <cell r="AQ2841">
            <v>0</v>
          </cell>
          <cell r="AV2841">
            <v>0</v>
          </cell>
        </row>
        <row r="2842">
          <cell r="E2842" t="str">
            <v>D21000994</v>
          </cell>
          <cell r="AP2842">
            <v>0</v>
          </cell>
          <cell r="AQ2842">
            <v>0</v>
          </cell>
          <cell r="AV2842">
            <v>0</v>
          </cell>
        </row>
        <row r="2843">
          <cell r="E2843" t="str">
            <v>D25015293</v>
          </cell>
          <cell r="AP2843">
            <v>0</v>
          </cell>
          <cell r="AQ2843">
            <v>0</v>
          </cell>
          <cell r="AV2843">
            <v>0</v>
          </cell>
        </row>
        <row r="2844">
          <cell r="E2844" t="str">
            <v>D25015583</v>
          </cell>
          <cell r="AP2844">
            <v>0</v>
          </cell>
          <cell r="AQ2844">
            <v>0</v>
          </cell>
          <cell r="AV2844">
            <v>0</v>
          </cell>
        </row>
        <row r="2845">
          <cell r="E2845" t="str">
            <v>D25016141</v>
          </cell>
          <cell r="AP2845">
            <v>0</v>
          </cell>
          <cell r="AQ2845">
            <v>0</v>
          </cell>
          <cell r="AV2845">
            <v>0</v>
          </cell>
        </row>
        <row r="2846">
          <cell r="E2846" t="str">
            <v>T25001595</v>
          </cell>
          <cell r="AP2846">
            <v>0</v>
          </cell>
          <cell r="AQ2846">
            <v>0</v>
          </cell>
          <cell r="AV2846">
            <v>0</v>
          </cell>
        </row>
        <row r="2847">
          <cell r="E2847" t="str">
            <v>B25014837</v>
          </cell>
          <cell r="AP2847">
            <v>0</v>
          </cell>
          <cell r="AQ2847">
            <v>0</v>
          </cell>
          <cell r="AV2847">
            <v>0</v>
          </cell>
        </row>
        <row r="2848">
          <cell r="E2848" t="str">
            <v>B25015409</v>
          </cell>
          <cell r="AP2848">
            <v>0</v>
          </cell>
          <cell r="AQ2848">
            <v>0</v>
          </cell>
          <cell r="AV2848">
            <v>0</v>
          </cell>
        </row>
        <row r="2849">
          <cell r="E2849" t="str">
            <v>B25016067</v>
          </cell>
          <cell r="AP2849">
            <v>0</v>
          </cell>
          <cell r="AQ2849">
            <v>0</v>
          </cell>
          <cell r="AV2849">
            <v>0</v>
          </cell>
        </row>
        <row r="2850">
          <cell r="E2850" t="str">
            <v>D25018472</v>
          </cell>
          <cell r="AP2850">
            <v>0</v>
          </cell>
          <cell r="AQ2850">
            <v>0</v>
          </cell>
          <cell r="AV2850">
            <v>0</v>
          </cell>
        </row>
        <row r="2851">
          <cell r="E2851" t="str">
            <v>D25018888</v>
          </cell>
          <cell r="AP2851">
            <v>0</v>
          </cell>
          <cell r="AQ2851">
            <v>0</v>
          </cell>
          <cell r="AV2851">
            <v>0</v>
          </cell>
        </row>
        <row r="2852">
          <cell r="E2852" t="str">
            <v>B25016767</v>
          </cell>
          <cell r="AP2852">
            <v>0</v>
          </cell>
          <cell r="AQ2852">
            <v>0</v>
          </cell>
          <cell r="AV2852">
            <v>0</v>
          </cell>
        </row>
        <row r="2853">
          <cell r="E2853" t="str">
            <v>B25016768</v>
          </cell>
          <cell r="AP2853">
            <v>0</v>
          </cell>
          <cell r="AQ2853">
            <v>0</v>
          </cell>
          <cell r="AV2853">
            <v>0</v>
          </cell>
        </row>
        <row r="2854">
          <cell r="E2854" t="str">
            <v>B25016769</v>
          </cell>
          <cell r="AP2854">
            <v>0</v>
          </cell>
          <cell r="AQ2854">
            <v>0</v>
          </cell>
          <cell r="AV2854">
            <v>0</v>
          </cell>
        </row>
        <row r="2855">
          <cell r="E2855" t="str">
            <v>T25001878</v>
          </cell>
          <cell r="AP2855">
            <v>0</v>
          </cell>
          <cell r="AQ2855">
            <v>0</v>
          </cell>
          <cell r="AV2855">
            <v>0</v>
          </cell>
        </row>
        <row r="2856">
          <cell r="E2856" t="str">
            <v>D25019426</v>
          </cell>
          <cell r="AP2856">
            <v>0</v>
          </cell>
          <cell r="AQ2856">
            <v>0</v>
          </cell>
          <cell r="AV2856">
            <v>0</v>
          </cell>
        </row>
        <row r="2857">
          <cell r="E2857" t="str">
            <v>D25019525</v>
          </cell>
          <cell r="AP2857">
            <v>0</v>
          </cell>
          <cell r="AQ2857">
            <v>0</v>
          </cell>
          <cell r="AV2857">
            <v>0</v>
          </cell>
        </row>
        <row r="2858">
          <cell r="E2858" t="str">
            <v>B26000135</v>
          </cell>
          <cell r="AP2858">
            <v>0</v>
          </cell>
          <cell r="AQ2858">
            <v>0</v>
          </cell>
          <cell r="AV2858">
            <v>0</v>
          </cell>
        </row>
        <row r="2859">
          <cell r="E2859" t="str">
            <v>D26000138</v>
          </cell>
          <cell r="AP2859">
            <v>0</v>
          </cell>
          <cell r="AQ2859">
            <v>0</v>
          </cell>
          <cell r="AV2859">
            <v>0</v>
          </cell>
        </row>
        <row r="2860">
          <cell r="E2860" t="str">
            <v>D26000258</v>
          </cell>
          <cell r="AP2860">
            <v>0</v>
          </cell>
          <cell r="AQ2860">
            <v>0</v>
          </cell>
          <cell r="AV2860">
            <v>0</v>
          </cell>
        </row>
        <row r="2861">
          <cell r="E2861" t="str">
            <v>D26000379</v>
          </cell>
          <cell r="AP2861">
            <v>0</v>
          </cell>
          <cell r="AQ2861">
            <v>0</v>
          </cell>
          <cell r="AV2861">
            <v>0</v>
          </cell>
        </row>
        <row r="2862">
          <cell r="E2862" t="str">
            <v>D26000443</v>
          </cell>
          <cell r="AP2862">
            <v>0</v>
          </cell>
          <cell r="AQ2862">
            <v>0</v>
          </cell>
          <cell r="AV2862">
            <v>0</v>
          </cell>
        </row>
        <row r="2863">
          <cell r="E2863" t="str">
            <v>T26000091</v>
          </cell>
          <cell r="AP2863">
            <v>0</v>
          </cell>
          <cell r="AQ2863">
            <v>0</v>
          </cell>
          <cell r="AV2863">
            <v>0</v>
          </cell>
        </row>
        <row r="2864">
          <cell r="E2864" t="str">
            <v>D26001260</v>
          </cell>
          <cell r="AP2864">
            <v>0</v>
          </cell>
          <cell r="AQ2864">
            <v>0</v>
          </cell>
          <cell r="AV2864">
            <v>0</v>
          </cell>
        </row>
        <row r="2865">
          <cell r="E2865" t="str">
            <v>B26000210</v>
          </cell>
          <cell r="AP2865">
            <v>0</v>
          </cell>
          <cell r="AQ2865">
            <v>0</v>
          </cell>
          <cell r="AV2865">
            <v>0</v>
          </cell>
        </row>
        <row r="2866">
          <cell r="E2866" t="str">
            <v>D26000907</v>
          </cell>
          <cell r="AP2866">
            <v>0</v>
          </cell>
          <cell r="AQ2866">
            <v>0</v>
          </cell>
          <cell r="AV2866">
            <v>0</v>
          </cell>
        </row>
        <row r="2867">
          <cell r="E2867" t="str">
            <v>D25019115</v>
          </cell>
          <cell r="AP2867">
            <v>0</v>
          </cell>
          <cell r="AQ2867">
            <v>0</v>
          </cell>
          <cell r="AV2867">
            <v>0</v>
          </cell>
        </row>
        <row r="2868">
          <cell r="E2868" t="str">
            <v>D25019212</v>
          </cell>
          <cell r="AP2868">
            <v>0</v>
          </cell>
          <cell r="AQ2868">
            <v>0</v>
          </cell>
          <cell r="AV2868">
            <v>0</v>
          </cell>
        </row>
        <row r="2869">
          <cell r="E2869" t="str">
            <v>B26000007</v>
          </cell>
          <cell r="AP2869">
            <v>0</v>
          </cell>
          <cell r="AQ2869">
            <v>0</v>
          </cell>
          <cell r="AV2869">
            <v>0</v>
          </cell>
        </row>
        <row r="2870">
          <cell r="E2870" t="str">
            <v>B26000094</v>
          </cell>
          <cell r="AP2870">
            <v>0</v>
          </cell>
          <cell r="AQ2870">
            <v>0</v>
          </cell>
          <cell r="AV2870">
            <v>0</v>
          </cell>
        </row>
        <row r="2871">
          <cell r="E2871" t="str">
            <v>B26000232</v>
          </cell>
          <cell r="AP2871">
            <v>0</v>
          </cell>
          <cell r="AQ2871">
            <v>0</v>
          </cell>
          <cell r="AV2871">
            <v>0</v>
          </cell>
        </row>
        <row r="2872">
          <cell r="E2872" t="str">
            <v>D26000652</v>
          </cell>
          <cell r="AP2872">
            <v>0</v>
          </cell>
          <cell r="AQ2872">
            <v>0</v>
          </cell>
          <cell r="AV2872">
            <v>0</v>
          </cell>
        </row>
        <row r="2873">
          <cell r="E2873" t="str">
            <v>B26000855</v>
          </cell>
          <cell r="AP2873">
            <v>0</v>
          </cell>
          <cell r="AQ2873">
            <v>0</v>
          </cell>
          <cell r="AV2873">
            <v>0</v>
          </cell>
        </row>
        <row r="2874">
          <cell r="E2874" t="str">
            <v>D26001047</v>
          </cell>
          <cell r="AP2874">
            <v>0</v>
          </cell>
          <cell r="AQ2874">
            <v>0</v>
          </cell>
          <cell r="AV2874">
            <v>0</v>
          </cell>
        </row>
        <row r="2875">
          <cell r="E2875" t="str">
            <v>B26001565</v>
          </cell>
          <cell r="AP2875">
            <v>0</v>
          </cell>
          <cell r="AQ2875">
            <v>0</v>
          </cell>
          <cell r="AV2875">
            <v>0</v>
          </cell>
        </row>
        <row r="2876">
          <cell r="E2876" t="str">
            <v>D25016822</v>
          </cell>
          <cell r="AP2876">
            <v>0</v>
          </cell>
          <cell r="AQ2876">
            <v>0</v>
          </cell>
          <cell r="AV2876">
            <v>0</v>
          </cell>
        </row>
        <row r="2877">
          <cell r="E2877" t="str">
            <v>D25016823</v>
          </cell>
          <cell r="AP2877">
            <v>0</v>
          </cell>
          <cell r="AQ2877">
            <v>0</v>
          </cell>
          <cell r="AV2877">
            <v>0</v>
          </cell>
        </row>
        <row r="2878">
          <cell r="E2878" t="str">
            <v>D25016917</v>
          </cell>
          <cell r="AP2878">
            <v>0</v>
          </cell>
          <cell r="AQ2878">
            <v>0</v>
          </cell>
          <cell r="AV2878">
            <v>0</v>
          </cell>
        </row>
        <row r="2879">
          <cell r="E2879" t="str">
            <v>B25014748</v>
          </cell>
          <cell r="AP2879">
            <v>0</v>
          </cell>
          <cell r="AQ2879">
            <v>0</v>
          </cell>
          <cell r="AV2879">
            <v>0</v>
          </cell>
        </row>
        <row r="2880">
          <cell r="E2880" t="str">
            <v>D25017496</v>
          </cell>
          <cell r="AP2880">
            <v>0</v>
          </cell>
          <cell r="AQ2880">
            <v>0</v>
          </cell>
          <cell r="AV2880">
            <v>0</v>
          </cell>
        </row>
        <row r="2881">
          <cell r="E2881" t="str">
            <v>D25017925</v>
          </cell>
          <cell r="AP2881">
            <v>0</v>
          </cell>
          <cell r="AQ2881">
            <v>0</v>
          </cell>
          <cell r="AV2881">
            <v>0</v>
          </cell>
        </row>
        <row r="2882">
          <cell r="E2882" t="str">
            <v>B25015850</v>
          </cell>
          <cell r="AP2882">
            <v>0</v>
          </cell>
          <cell r="AQ2882">
            <v>0</v>
          </cell>
          <cell r="AV2882">
            <v>0</v>
          </cell>
        </row>
        <row r="2883">
          <cell r="E2883" t="str">
            <v>B25015851</v>
          </cell>
          <cell r="AP2883">
            <v>0</v>
          </cell>
          <cell r="AQ2883">
            <v>0</v>
          </cell>
          <cell r="AV2883">
            <v>0</v>
          </cell>
        </row>
        <row r="2884">
          <cell r="E2884" t="str">
            <v>B25016043</v>
          </cell>
          <cell r="AP2884">
            <v>0</v>
          </cell>
          <cell r="AQ2884">
            <v>0</v>
          </cell>
          <cell r="AV2884">
            <v>0</v>
          </cell>
        </row>
        <row r="2885">
          <cell r="E2885" t="str">
            <v>B25016050</v>
          </cell>
          <cell r="AP2885">
            <v>0</v>
          </cell>
          <cell r="AQ2885">
            <v>0</v>
          </cell>
          <cell r="AV2885">
            <v>0</v>
          </cell>
        </row>
        <row r="2886">
          <cell r="E2886" t="str">
            <v>B25016074</v>
          </cell>
          <cell r="AP2886">
            <v>0</v>
          </cell>
          <cell r="AQ2886">
            <v>0</v>
          </cell>
          <cell r="AV2886">
            <v>0</v>
          </cell>
        </row>
        <row r="2887">
          <cell r="E2887" t="str">
            <v>B25016744</v>
          </cell>
          <cell r="AP2887">
            <v>0</v>
          </cell>
          <cell r="AQ2887">
            <v>0</v>
          </cell>
          <cell r="AV2887">
            <v>0</v>
          </cell>
        </row>
        <row r="2888">
          <cell r="E2888" t="str">
            <v>T25001872</v>
          </cell>
          <cell r="AP2888">
            <v>0</v>
          </cell>
          <cell r="AQ2888">
            <v>0</v>
          </cell>
          <cell r="AV2888">
            <v>0</v>
          </cell>
        </row>
        <row r="2889">
          <cell r="E2889" t="str">
            <v>D26000340</v>
          </cell>
          <cell r="AP2889">
            <v>0</v>
          </cell>
          <cell r="AQ2889">
            <v>0</v>
          </cell>
          <cell r="AV2889">
            <v>0</v>
          </cell>
        </row>
        <row r="2890">
          <cell r="E2890" t="str">
            <v>B26000589</v>
          </cell>
          <cell r="AP2890">
            <v>0</v>
          </cell>
          <cell r="AQ2890">
            <v>0</v>
          </cell>
          <cell r="AV2890">
            <v>0</v>
          </cell>
        </row>
        <row r="2891">
          <cell r="E2891" t="str">
            <v>B26000664</v>
          </cell>
          <cell r="AP2891">
            <v>0</v>
          </cell>
          <cell r="AQ2891">
            <v>0</v>
          </cell>
          <cell r="AV2891">
            <v>0</v>
          </cell>
        </row>
        <row r="2892">
          <cell r="E2892" t="str">
            <v>D26000767</v>
          </cell>
          <cell r="AP2892">
            <v>0</v>
          </cell>
          <cell r="AQ2892">
            <v>0</v>
          </cell>
          <cell r="AV2892">
            <v>0</v>
          </cell>
        </row>
        <row r="2893">
          <cell r="E2893" t="str">
            <v>D26001109</v>
          </cell>
          <cell r="AP2893">
            <v>0</v>
          </cell>
          <cell r="AQ2893">
            <v>0</v>
          </cell>
          <cell r="AV2893">
            <v>0</v>
          </cell>
        </row>
        <row r="2894">
          <cell r="E2894" t="str">
            <v>D26001346</v>
          </cell>
          <cell r="AP2894">
            <v>0</v>
          </cell>
          <cell r="AQ2894">
            <v>0</v>
          </cell>
          <cell r="AV2894">
            <v>0</v>
          </cell>
        </row>
        <row r="2895">
          <cell r="E2895" t="str">
            <v>B26001518</v>
          </cell>
          <cell r="AP2895">
            <v>0</v>
          </cell>
          <cell r="AQ2895">
            <v>0</v>
          </cell>
          <cell r="AV2895">
            <v>0</v>
          </cell>
        </row>
        <row r="2896">
          <cell r="E2896" t="str">
            <v>T25001684</v>
          </cell>
          <cell r="AP2896">
            <v>0</v>
          </cell>
          <cell r="AQ2896">
            <v>0</v>
          </cell>
          <cell r="AV2896">
            <v>0</v>
          </cell>
        </row>
        <row r="2897">
          <cell r="E2897" t="str">
            <v>Z25003200</v>
          </cell>
          <cell r="AP2897">
            <v>0</v>
          </cell>
          <cell r="AQ2897">
            <v>0</v>
          </cell>
          <cell r="AV2897">
            <v>0</v>
          </cell>
        </row>
        <row r="2898">
          <cell r="E2898" t="str">
            <v>Z25003359</v>
          </cell>
          <cell r="AP2898">
            <v>0</v>
          </cell>
          <cell r="AQ2898">
            <v>0</v>
          </cell>
          <cell r="AV2898">
            <v>0</v>
          </cell>
        </row>
        <row r="2899">
          <cell r="E2899" t="str">
            <v>Z25003386</v>
          </cell>
          <cell r="AP2899">
            <v>0</v>
          </cell>
          <cell r="AQ2899">
            <v>0</v>
          </cell>
          <cell r="AV2899">
            <v>0</v>
          </cell>
        </row>
        <row r="2900">
          <cell r="E2900" t="str">
            <v>Z25003387</v>
          </cell>
          <cell r="AP2900">
            <v>0</v>
          </cell>
          <cell r="AQ2900">
            <v>0</v>
          </cell>
          <cell r="AV2900">
            <v>0</v>
          </cell>
        </row>
        <row r="2901">
          <cell r="E2901" t="str">
            <v>Z25003396</v>
          </cell>
          <cell r="AP2901">
            <v>0</v>
          </cell>
          <cell r="AQ2901">
            <v>0</v>
          </cell>
          <cell r="AV2901">
            <v>0</v>
          </cell>
        </row>
        <row r="2902">
          <cell r="E2902" t="str">
            <v>Z26000002</v>
          </cell>
          <cell r="AP2902">
            <v>0</v>
          </cell>
          <cell r="AQ2902">
            <v>0</v>
          </cell>
          <cell r="AV2902">
            <v>0</v>
          </cell>
        </row>
        <row r="2903">
          <cell r="E2903" t="str">
            <v>Z26000015</v>
          </cell>
          <cell r="AP2903">
            <v>0</v>
          </cell>
          <cell r="AQ2903">
            <v>0</v>
          </cell>
          <cell r="AV2903">
            <v>0</v>
          </cell>
        </row>
        <row r="2904">
          <cell r="E2904" t="str">
            <v>Z26000028</v>
          </cell>
          <cell r="AP2904">
            <v>0</v>
          </cell>
          <cell r="AQ2904">
            <v>0</v>
          </cell>
          <cell r="AV2904">
            <v>0</v>
          </cell>
        </row>
        <row r="2905">
          <cell r="E2905" t="str">
            <v>Z26000032</v>
          </cell>
          <cell r="AP2905">
            <v>0</v>
          </cell>
          <cell r="AQ2905">
            <v>0</v>
          </cell>
          <cell r="AV2905">
            <v>0</v>
          </cell>
        </row>
        <row r="2906">
          <cell r="E2906" t="str">
            <v>Z26000059</v>
          </cell>
          <cell r="AP2906">
            <v>0</v>
          </cell>
          <cell r="AQ2906">
            <v>0</v>
          </cell>
          <cell r="AV2906">
            <v>0</v>
          </cell>
        </row>
        <row r="2907">
          <cell r="E2907" t="str">
            <v>Z26000064</v>
          </cell>
          <cell r="AP2907">
            <v>0</v>
          </cell>
          <cell r="AQ2907">
            <v>0</v>
          </cell>
          <cell r="AV2907">
            <v>0</v>
          </cell>
        </row>
        <row r="2908">
          <cell r="E2908" t="str">
            <v>Z26000067</v>
          </cell>
          <cell r="AP2908">
            <v>0</v>
          </cell>
          <cell r="AQ2908">
            <v>0</v>
          </cell>
          <cell r="AV2908">
            <v>0</v>
          </cell>
        </row>
        <row r="2909">
          <cell r="E2909" t="str">
            <v>Z26000075</v>
          </cell>
          <cell r="AP2909">
            <v>0</v>
          </cell>
          <cell r="AQ2909">
            <v>0</v>
          </cell>
          <cell r="AV2909">
            <v>0</v>
          </cell>
        </row>
        <row r="2910">
          <cell r="E2910" t="str">
            <v>Z26000076</v>
          </cell>
          <cell r="AP2910">
            <v>0</v>
          </cell>
          <cell r="AQ2910">
            <v>0</v>
          </cell>
          <cell r="AV2910">
            <v>0</v>
          </cell>
        </row>
        <row r="2911">
          <cell r="E2911" t="str">
            <v>Z26000090</v>
          </cell>
          <cell r="AP2911">
            <v>0</v>
          </cell>
          <cell r="AQ2911">
            <v>0</v>
          </cell>
          <cell r="AV2911">
            <v>0</v>
          </cell>
        </row>
        <row r="2912">
          <cell r="E2912" t="str">
            <v>Z26000099</v>
          </cell>
          <cell r="AP2912">
            <v>0</v>
          </cell>
          <cell r="AQ2912">
            <v>0</v>
          </cell>
          <cell r="AV2912">
            <v>0</v>
          </cell>
        </row>
        <row r="2913">
          <cell r="E2913" t="str">
            <v>Z26000107</v>
          </cell>
          <cell r="AP2913">
            <v>0</v>
          </cell>
          <cell r="AQ2913">
            <v>0</v>
          </cell>
          <cell r="AV2913">
            <v>0</v>
          </cell>
        </row>
        <row r="2914">
          <cell r="E2914" t="str">
            <v>Z26000113</v>
          </cell>
          <cell r="AP2914">
            <v>0</v>
          </cell>
          <cell r="AQ2914">
            <v>0</v>
          </cell>
          <cell r="AV2914">
            <v>0</v>
          </cell>
        </row>
        <row r="2915">
          <cell r="E2915" t="str">
            <v>Z26000114</v>
          </cell>
          <cell r="AP2915">
            <v>0</v>
          </cell>
          <cell r="AQ2915">
            <v>0</v>
          </cell>
          <cell r="AV2915">
            <v>0</v>
          </cell>
        </row>
        <row r="2916">
          <cell r="E2916" t="str">
            <v>Z26000134</v>
          </cell>
          <cell r="AP2916">
            <v>0</v>
          </cell>
          <cell r="AQ2916">
            <v>0</v>
          </cell>
          <cell r="AV2916">
            <v>0</v>
          </cell>
        </row>
        <row r="2917">
          <cell r="E2917" t="str">
            <v>Z26000141</v>
          </cell>
          <cell r="AP2917">
            <v>0</v>
          </cell>
          <cell r="AQ2917">
            <v>0</v>
          </cell>
          <cell r="AV2917">
            <v>0</v>
          </cell>
        </row>
        <row r="2918">
          <cell r="E2918" t="str">
            <v>Z26000156</v>
          </cell>
          <cell r="AP2918">
            <v>0</v>
          </cell>
          <cell r="AQ2918">
            <v>0</v>
          </cell>
          <cell r="AV2918">
            <v>0</v>
          </cell>
        </row>
        <row r="2919">
          <cell r="E2919" t="str">
            <v>Z26000171</v>
          </cell>
          <cell r="AP2919">
            <v>0</v>
          </cell>
          <cell r="AQ2919">
            <v>0</v>
          </cell>
          <cell r="AV2919">
            <v>0</v>
          </cell>
        </row>
        <row r="2920">
          <cell r="E2920" t="str">
            <v>Z26000179</v>
          </cell>
          <cell r="AP2920">
            <v>0</v>
          </cell>
          <cell r="AQ2920">
            <v>0</v>
          </cell>
          <cell r="AV2920">
            <v>0</v>
          </cell>
        </row>
        <row r="2921">
          <cell r="E2921" t="str">
            <v>Z26000183</v>
          </cell>
          <cell r="AP2921">
            <v>0</v>
          </cell>
          <cell r="AQ2921">
            <v>0</v>
          </cell>
          <cell r="AV2921">
            <v>0</v>
          </cell>
        </row>
        <row r="2922">
          <cell r="E2922" t="str">
            <v>Z26000184</v>
          </cell>
          <cell r="AP2922">
            <v>0</v>
          </cell>
          <cell r="AQ2922">
            <v>0</v>
          </cell>
          <cell r="AV2922">
            <v>0</v>
          </cell>
        </row>
        <row r="2923">
          <cell r="E2923" t="str">
            <v>Z26000185</v>
          </cell>
          <cell r="AP2923">
            <v>0</v>
          </cell>
          <cell r="AQ2923">
            <v>0</v>
          </cell>
          <cell r="AV2923">
            <v>0</v>
          </cell>
        </row>
        <row r="2924">
          <cell r="E2924" t="str">
            <v>Z26000187</v>
          </cell>
          <cell r="AP2924">
            <v>0</v>
          </cell>
          <cell r="AQ2924">
            <v>0</v>
          </cell>
          <cell r="AV2924">
            <v>0</v>
          </cell>
        </row>
        <row r="2925">
          <cell r="E2925" t="str">
            <v>Z26000190</v>
          </cell>
          <cell r="AP2925">
            <v>0</v>
          </cell>
          <cell r="AQ2925">
            <v>0</v>
          </cell>
          <cell r="AV2925">
            <v>0</v>
          </cell>
        </row>
        <row r="2926">
          <cell r="E2926" t="str">
            <v>Z26000196</v>
          </cell>
          <cell r="AP2926">
            <v>0</v>
          </cell>
          <cell r="AQ2926">
            <v>0</v>
          </cell>
          <cell r="AV2926">
            <v>0</v>
          </cell>
        </row>
        <row r="2927">
          <cell r="E2927" t="str">
            <v>Z26000223</v>
          </cell>
          <cell r="AP2927">
            <v>0</v>
          </cell>
          <cell r="AQ2927">
            <v>0</v>
          </cell>
          <cell r="AV2927">
            <v>0</v>
          </cell>
        </row>
        <row r="2928">
          <cell r="E2928" t="str">
            <v>Z26000224</v>
          </cell>
          <cell r="AP2928">
            <v>0</v>
          </cell>
          <cell r="AQ2928">
            <v>0</v>
          </cell>
          <cell r="AV2928">
            <v>0</v>
          </cell>
        </row>
        <row r="2929">
          <cell r="E2929" t="str">
            <v>Z26000248</v>
          </cell>
          <cell r="AP2929">
            <v>0</v>
          </cell>
          <cell r="AQ2929">
            <v>0</v>
          </cell>
          <cell r="AV2929">
            <v>0</v>
          </cell>
        </row>
        <row r="2930">
          <cell r="E2930" t="str">
            <v>Z26000251</v>
          </cell>
          <cell r="AP2930">
            <v>0</v>
          </cell>
          <cell r="AQ2930">
            <v>0</v>
          </cell>
          <cell r="AV2930">
            <v>0</v>
          </cell>
        </row>
        <row r="2931">
          <cell r="E2931" t="str">
            <v>Z26000253</v>
          </cell>
          <cell r="AP2931">
            <v>0</v>
          </cell>
          <cell r="AQ2931">
            <v>0</v>
          </cell>
          <cell r="AV2931">
            <v>0</v>
          </cell>
        </row>
        <row r="2932">
          <cell r="E2932" t="str">
            <v>Z26000254</v>
          </cell>
          <cell r="AP2932">
            <v>0</v>
          </cell>
          <cell r="AQ2932">
            <v>0</v>
          </cell>
          <cell r="AV2932">
            <v>0</v>
          </cell>
        </row>
        <row r="2933">
          <cell r="E2933" t="str">
            <v>Z26000289</v>
          </cell>
          <cell r="AP2933">
            <v>0</v>
          </cell>
          <cell r="AQ2933">
            <v>0</v>
          </cell>
          <cell r="AV2933">
            <v>0</v>
          </cell>
        </row>
        <row r="2934">
          <cell r="E2934" t="str">
            <v>Z26000294</v>
          </cell>
          <cell r="AP2934">
            <v>0</v>
          </cell>
          <cell r="AQ2934">
            <v>0</v>
          </cell>
          <cell r="AV2934">
            <v>0</v>
          </cell>
        </row>
        <row r="2935">
          <cell r="E2935" t="str">
            <v>Z26000301</v>
          </cell>
          <cell r="AP2935">
            <v>0</v>
          </cell>
          <cell r="AQ2935">
            <v>0</v>
          </cell>
          <cell r="AV2935">
            <v>0</v>
          </cell>
        </row>
        <row r="2936">
          <cell r="E2936" t="str">
            <v>Z260006</v>
          </cell>
          <cell r="AP2936">
            <v>0</v>
          </cell>
          <cell r="AQ2936">
            <v>0</v>
          </cell>
          <cell r="AV2936">
            <v>0</v>
          </cell>
        </row>
        <row r="2937">
          <cell r="E2937" t="str">
            <v>B26000613</v>
          </cell>
          <cell r="AP2937">
            <v>0</v>
          </cell>
          <cell r="AQ2937">
            <v>0</v>
          </cell>
          <cell r="AV2937">
            <v>0</v>
          </cell>
        </row>
        <row r="2938">
          <cell r="E2938" t="str">
            <v>B26001035</v>
          </cell>
          <cell r="AP2938">
            <v>0</v>
          </cell>
          <cell r="AQ2938">
            <v>0</v>
          </cell>
          <cell r="AV2938">
            <v>0</v>
          </cell>
        </row>
        <row r="2939">
          <cell r="E2939" t="str">
            <v>D26001531</v>
          </cell>
          <cell r="AP2939">
            <v>0</v>
          </cell>
          <cell r="AQ2939">
            <v>0</v>
          </cell>
          <cell r="AV2939">
            <v>0</v>
          </cell>
        </row>
        <row r="2940">
          <cell r="E2940" t="str">
            <v>B26001523</v>
          </cell>
          <cell r="AP2940">
            <v>0</v>
          </cell>
          <cell r="AQ2940">
            <v>0</v>
          </cell>
          <cell r="AV2940">
            <v>0</v>
          </cell>
        </row>
        <row r="2941">
          <cell r="E2941" t="str">
            <v>B26000797</v>
          </cell>
          <cell r="AP2941">
            <v>0</v>
          </cell>
          <cell r="AQ2941">
            <v>0</v>
          </cell>
          <cell r="AV2941">
            <v>0</v>
          </cell>
        </row>
        <row r="2942">
          <cell r="E2942" t="str">
            <v>B26001396</v>
          </cell>
          <cell r="AP2942">
            <v>0</v>
          </cell>
          <cell r="AQ2942">
            <v>0</v>
          </cell>
          <cell r="AV2942">
            <v>0</v>
          </cell>
        </row>
        <row r="2943">
          <cell r="E2943" t="str">
            <v>D26000187</v>
          </cell>
          <cell r="AP2943">
            <v>0</v>
          </cell>
          <cell r="AQ2943">
            <v>0</v>
          </cell>
          <cell r="AV2943">
            <v>0</v>
          </cell>
        </row>
        <row r="2944">
          <cell r="E2944" t="str">
            <v>D26001166</v>
          </cell>
          <cell r="AP2944">
            <v>0</v>
          </cell>
          <cell r="AQ2944">
            <v>0</v>
          </cell>
          <cell r="AV2944">
            <v>0</v>
          </cell>
        </row>
        <row r="2945">
          <cell r="E2945" t="str">
            <v>D26000368</v>
          </cell>
          <cell r="AP2945">
            <v>0</v>
          </cell>
          <cell r="AQ2945">
            <v>0</v>
          </cell>
          <cell r="AV2945">
            <v>0</v>
          </cell>
        </row>
        <row r="2946">
          <cell r="E2946" t="str">
            <v>B26001617</v>
          </cell>
          <cell r="AP2946">
            <v>0</v>
          </cell>
          <cell r="AQ2946">
            <v>0</v>
          </cell>
          <cell r="AV2946">
            <v>0</v>
          </cell>
        </row>
        <row r="2947">
          <cell r="E2947" t="str">
            <v>D25017927</v>
          </cell>
          <cell r="AP2947">
            <v>0</v>
          </cell>
          <cell r="AQ2947">
            <v>0</v>
          </cell>
          <cell r="AV2947">
            <v>0</v>
          </cell>
        </row>
        <row r="2948">
          <cell r="E2948" t="str">
            <v>D25018875</v>
          </cell>
          <cell r="AP2948">
            <v>0</v>
          </cell>
          <cell r="AQ2948">
            <v>0</v>
          </cell>
          <cell r="AV2948">
            <v>0</v>
          </cell>
        </row>
        <row r="2949">
          <cell r="E2949" t="str">
            <v>B26000196</v>
          </cell>
          <cell r="AP2949">
            <v>0</v>
          </cell>
          <cell r="AQ2949">
            <v>0</v>
          </cell>
          <cell r="AV2949">
            <v>0</v>
          </cell>
        </row>
        <row r="2950">
          <cell r="E2950" t="str">
            <v>B26000236</v>
          </cell>
          <cell r="AP2950">
            <v>0</v>
          </cell>
          <cell r="AQ2950">
            <v>0</v>
          </cell>
          <cell r="AV2950">
            <v>0</v>
          </cell>
        </row>
        <row r="2951">
          <cell r="E2951" t="str">
            <v>B26001165</v>
          </cell>
          <cell r="AP2951">
            <v>0</v>
          </cell>
          <cell r="AQ2951">
            <v>0</v>
          </cell>
          <cell r="AV2951">
            <v>0</v>
          </cell>
        </row>
        <row r="2952">
          <cell r="E2952" t="str">
            <v>D25019027</v>
          </cell>
          <cell r="AP2952">
            <v>0</v>
          </cell>
          <cell r="AQ2952">
            <v>0</v>
          </cell>
          <cell r="AV2952">
            <v>0</v>
          </cell>
        </row>
        <row r="2953">
          <cell r="E2953" t="str">
            <v>D25019224</v>
          </cell>
          <cell r="AP2953">
            <v>0</v>
          </cell>
          <cell r="AQ2953">
            <v>0</v>
          </cell>
          <cell r="AV2953">
            <v>0</v>
          </cell>
        </row>
        <row r="2954">
          <cell r="E2954" t="str">
            <v>B25016888</v>
          </cell>
          <cell r="AP2954">
            <v>0</v>
          </cell>
          <cell r="AQ2954">
            <v>0</v>
          </cell>
          <cell r="AV2954">
            <v>0</v>
          </cell>
        </row>
        <row r="2955">
          <cell r="E2955" t="str">
            <v>B25016889</v>
          </cell>
          <cell r="AP2955">
            <v>0</v>
          </cell>
          <cell r="AQ2955">
            <v>0</v>
          </cell>
          <cell r="AV2955">
            <v>0</v>
          </cell>
        </row>
        <row r="2956">
          <cell r="E2956" t="str">
            <v>B25016891</v>
          </cell>
          <cell r="AP2956">
            <v>0</v>
          </cell>
          <cell r="AQ2956">
            <v>0</v>
          </cell>
          <cell r="AV2956">
            <v>0</v>
          </cell>
        </row>
        <row r="2957">
          <cell r="E2957" t="str">
            <v>B25016893</v>
          </cell>
          <cell r="AP2957">
            <v>0</v>
          </cell>
          <cell r="AQ2957">
            <v>0</v>
          </cell>
          <cell r="AV2957">
            <v>0</v>
          </cell>
        </row>
        <row r="2958">
          <cell r="E2958" t="str">
            <v>B25016900</v>
          </cell>
          <cell r="AP2958">
            <v>0</v>
          </cell>
          <cell r="AQ2958">
            <v>0</v>
          </cell>
          <cell r="AV2958">
            <v>0</v>
          </cell>
        </row>
        <row r="2959">
          <cell r="E2959" t="str">
            <v>B26000098</v>
          </cell>
          <cell r="AP2959">
            <v>0</v>
          </cell>
          <cell r="AQ2959">
            <v>0</v>
          </cell>
          <cell r="AV2959">
            <v>0</v>
          </cell>
        </row>
        <row r="2960">
          <cell r="E2960" t="str">
            <v>B26000099</v>
          </cell>
          <cell r="AP2960">
            <v>0</v>
          </cell>
          <cell r="AQ2960">
            <v>0</v>
          </cell>
          <cell r="AV2960">
            <v>0</v>
          </cell>
        </row>
        <row r="2961">
          <cell r="E2961" t="str">
            <v>B26000100</v>
          </cell>
          <cell r="AP2961">
            <v>0</v>
          </cell>
          <cell r="AQ2961">
            <v>0</v>
          </cell>
          <cell r="AV2961">
            <v>0</v>
          </cell>
        </row>
        <row r="2962">
          <cell r="E2962" t="str">
            <v>B26000282</v>
          </cell>
          <cell r="AP2962">
            <v>0</v>
          </cell>
          <cell r="AQ2962">
            <v>0</v>
          </cell>
          <cell r="AV2962">
            <v>0</v>
          </cell>
        </row>
        <row r="2963">
          <cell r="E2963" t="str">
            <v>B26000283</v>
          </cell>
          <cell r="AP2963">
            <v>0</v>
          </cell>
          <cell r="AQ2963">
            <v>0</v>
          </cell>
          <cell r="AV2963">
            <v>0</v>
          </cell>
        </row>
        <row r="2964">
          <cell r="E2964" t="str">
            <v>B26000749</v>
          </cell>
          <cell r="AP2964">
            <v>0</v>
          </cell>
          <cell r="AQ2964">
            <v>0</v>
          </cell>
          <cell r="AV2964">
            <v>0</v>
          </cell>
        </row>
        <row r="2965">
          <cell r="E2965" t="str">
            <v>B26000750</v>
          </cell>
          <cell r="AP2965">
            <v>0</v>
          </cell>
          <cell r="AQ2965">
            <v>0</v>
          </cell>
          <cell r="AV2965">
            <v>0</v>
          </cell>
        </row>
        <row r="2966">
          <cell r="E2966" t="str">
            <v>B26000751</v>
          </cell>
          <cell r="AP2966">
            <v>0</v>
          </cell>
          <cell r="AQ2966">
            <v>0</v>
          </cell>
          <cell r="AV2966">
            <v>0</v>
          </cell>
        </row>
        <row r="2967">
          <cell r="E2967" t="str">
            <v>B26000752</v>
          </cell>
          <cell r="AP2967">
            <v>0</v>
          </cell>
          <cell r="AQ2967">
            <v>0</v>
          </cell>
          <cell r="AV2967">
            <v>0</v>
          </cell>
        </row>
        <row r="2968">
          <cell r="E2968" t="str">
            <v>B26000753</v>
          </cell>
          <cell r="AP2968">
            <v>0</v>
          </cell>
          <cell r="AQ2968">
            <v>0</v>
          </cell>
          <cell r="AV2968">
            <v>0</v>
          </cell>
        </row>
        <row r="2969">
          <cell r="E2969" t="str">
            <v>B26000988</v>
          </cell>
          <cell r="AP2969">
            <v>0</v>
          </cell>
          <cell r="AQ2969">
            <v>0</v>
          </cell>
          <cell r="AV2969">
            <v>0</v>
          </cell>
        </row>
        <row r="2970">
          <cell r="E2970" t="str">
            <v>D26001423</v>
          </cell>
          <cell r="AP2970">
            <v>0</v>
          </cell>
          <cell r="AQ2970">
            <v>0</v>
          </cell>
          <cell r="AV2970">
            <v>0</v>
          </cell>
        </row>
        <row r="2971">
          <cell r="E2971" t="str">
            <v>D26001424</v>
          </cell>
          <cell r="AP2971">
            <v>0</v>
          </cell>
          <cell r="AQ2971">
            <v>0</v>
          </cell>
          <cell r="AV2971">
            <v>0</v>
          </cell>
        </row>
        <row r="2972">
          <cell r="E2972" t="str">
            <v>B26001393</v>
          </cell>
          <cell r="AP2972">
            <v>0</v>
          </cell>
          <cell r="AQ2972">
            <v>0</v>
          </cell>
          <cell r="AV2972">
            <v>0</v>
          </cell>
        </row>
        <row r="2973">
          <cell r="E2973" t="str">
            <v>T25001704</v>
          </cell>
          <cell r="AP2973">
            <v>0</v>
          </cell>
          <cell r="AQ2973">
            <v>0</v>
          </cell>
          <cell r="AV2973">
            <v>0</v>
          </cell>
        </row>
        <row r="2974">
          <cell r="E2974" t="str">
            <v>T25001810</v>
          </cell>
          <cell r="AP2974">
            <v>0</v>
          </cell>
          <cell r="AQ2974">
            <v>0</v>
          </cell>
          <cell r="AV2974">
            <v>0</v>
          </cell>
        </row>
        <row r="2975">
          <cell r="E2975" t="str">
            <v>T25001813</v>
          </cell>
          <cell r="AP2975">
            <v>0</v>
          </cell>
          <cell r="AQ2975">
            <v>0</v>
          </cell>
          <cell r="AV2975">
            <v>0</v>
          </cell>
        </row>
        <row r="2976">
          <cell r="E2976" t="str">
            <v>Z25003043</v>
          </cell>
          <cell r="AP2976">
            <v>0</v>
          </cell>
          <cell r="AQ2976">
            <v>0</v>
          </cell>
          <cell r="AV2976">
            <v>0</v>
          </cell>
        </row>
        <row r="2977">
          <cell r="E2977" t="str">
            <v>Z25003090</v>
          </cell>
          <cell r="AP2977">
            <v>0</v>
          </cell>
          <cell r="AQ2977">
            <v>0</v>
          </cell>
          <cell r="AV2977">
            <v>0</v>
          </cell>
        </row>
        <row r="2978">
          <cell r="E2978" t="str">
            <v>Z25003155</v>
          </cell>
          <cell r="AP2978">
            <v>0</v>
          </cell>
          <cell r="AQ2978">
            <v>0</v>
          </cell>
          <cell r="AV2978">
            <v>0</v>
          </cell>
        </row>
        <row r="2979">
          <cell r="E2979" t="str">
            <v>Z25003160</v>
          </cell>
          <cell r="AP2979">
            <v>0</v>
          </cell>
          <cell r="AQ2979">
            <v>0</v>
          </cell>
          <cell r="AV2979">
            <v>0</v>
          </cell>
        </row>
        <row r="2980">
          <cell r="E2980" t="str">
            <v>Z25003231</v>
          </cell>
          <cell r="AP2980">
            <v>0</v>
          </cell>
          <cell r="AQ2980">
            <v>0</v>
          </cell>
          <cell r="AV2980">
            <v>0</v>
          </cell>
        </row>
        <row r="2981">
          <cell r="E2981" t="str">
            <v>Z26000132</v>
          </cell>
          <cell r="AP2981">
            <v>0</v>
          </cell>
          <cell r="AQ2981">
            <v>0</v>
          </cell>
          <cell r="AV2981">
            <v>0</v>
          </cell>
        </row>
        <row r="2982">
          <cell r="E2982" t="str">
            <v>Z26000165</v>
          </cell>
          <cell r="AP2982">
            <v>0</v>
          </cell>
          <cell r="AQ2982">
            <v>0</v>
          </cell>
          <cell r="AV2982">
            <v>0</v>
          </cell>
        </row>
        <row r="2983">
          <cell r="E2983" t="str">
            <v>Z26000295</v>
          </cell>
          <cell r="AP2983">
            <v>0</v>
          </cell>
          <cell r="AQ2983">
            <v>0</v>
          </cell>
          <cell r="AV2983">
            <v>0</v>
          </cell>
        </row>
        <row r="2984">
          <cell r="E2984" t="str">
            <v>B25017064</v>
          </cell>
          <cell r="AP2984">
            <v>0</v>
          </cell>
          <cell r="AQ2984">
            <v>0</v>
          </cell>
          <cell r="AV2984">
            <v>0</v>
          </cell>
        </row>
        <row r="2985">
          <cell r="E2985" t="str">
            <v>B25017065</v>
          </cell>
          <cell r="AP2985">
            <v>0</v>
          </cell>
          <cell r="AQ2985">
            <v>0</v>
          </cell>
          <cell r="AV2985">
            <v>0</v>
          </cell>
        </row>
        <row r="2986">
          <cell r="E2986" t="str">
            <v>D25019700</v>
          </cell>
          <cell r="AP2986">
            <v>0</v>
          </cell>
          <cell r="AQ2986">
            <v>0</v>
          </cell>
          <cell r="AV2986">
            <v>0</v>
          </cell>
        </row>
        <row r="2987">
          <cell r="E2987" t="str">
            <v>D26000005</v>
          </cell>
          <cell r="AP2987">
            <v>0</v>
          </cell>
          <cell r="AQ2987">
            <v>0</v>
          </cell>
          <cell r="AV2987">
            <v>0</v>
          </cell>
        </row>
        <row r="2988">
          <cell r="E2988" t="str">
            <v>D26001014</v>
          </cell>
          <cell r="AP2988">
            <v>0</v>
          </cell>
          <cell r="AQ2988">
            <v>0</v>
          </cell>
          <cell r="AV2988">
            <v>0</v>
          </cell>
        </row>
        <row r="2989">
          <cell r="E2989" t="str">
            <v>D25017673</v>
          </cell>
          <cell r="AP2989">
            <v>0</v>
          </cell>
          <cell r="AQ2989">
            <v>0</v>
          </cell>
          <cell r="AV2989">
            <v>0</v>
          </cell>
        </row>
        <row r="2990">
          <cell r="E2990" t="str">
            <v>B26001151</v>
          </cell>
          <cell r="AP2990">
            <v>0</v>
          </cell>
          <cell r="AQ2990">
            <v>0</v>
          </cell>
          <cell r="AV2990">
            <v>0</v>
          </cell>
        </row>
        <row r="2991">
          <cell r="E2991" t="str">
            <v>B26001152</v>
          </cell>
          <cell r="AP2991">
            <v>0</v>
          </cell>
          <cell r="AQ2991">
            <v>0</v>
          </cell>
          <cell r="AV2991">
            <v>0</v>
          </cell>
        </row>
        <row r="2992">
          <cell r="E2992" t="str">
            <v>B26000491</v>
          </cell>
          <cell r="AP2992">
            <v>0</v>
          </cell>
          <cell r="AQ2992">
            <v>0</v>
          </cell>
          <cell r="AV2992">
            <v>0</v>
          </cell>
        </row>
        <row r="2993">
          <cell r="E2993" t="str">
            <v>B26001583</v>
          </cell>
          <cell r="AP2993">
            <v>0</v>
          </cell>
          <cell r="AQ2993">
            <v>0</v>
          </cell>
          <cell r="AV2993">
            <v>0</v>
          </cell>
        </row>
        <row r="2994">
          <cell r="E2994" t="str">
            <v>T26000039</v>
          </cell>
          <cell r="AP2994">
            <v>0</v>
          </cell>
          <cell r="AQ2994">
            <v>0</v>
          </cell>
          <cell r="AV2994">
            <v>0</v>
          </cell>
        </row>
        <row r="2995">
          <cell r="E2995" t="str">
            <v>B26000251</v>
          </cell>
          <cell r="AP2995">
            <v>0</v>
          </cell>
          <cell r="AQ2995">
            <v>0</v>
          </cell>
          <cell r="AV2995">
            <v>0</v>
          </cell>
        </row>
        <row r="2996">
          <cell r="E2996" t="str">
            <v>D25017355</v>
          </cell>
          <cell r="AP2996">
            <v>0</v>
          </cell>
          <cell r="AQ2996">
            <v>0</v>
          </cell>
          <cell r="AV2996">
            <v>0</v>
          </cell>
        </row>
        <row r="2997">
          <cell r="E2997" t="str">
            <v>D25017877</v>
          </cell>
          <cell r="AP2997">
            <v>0</v>
          </cell>
          <cell r="AQ2997">
            <v>0</v>
          </cell>
          <cell r="AV2997">
            <v>0</v>
          </cell>
        </row>
        <row r="2998">
          <cell r="E2998" t="str">
            <v>T25001788</v>
          </cell>
          <cell r="AP2998">
            <v>0</v>
          </cell>
          <cell r="AQ2998">
            <v>0</v>
          </cell>
          <cell r="AV2998">
            <v>0</v>
          </cell>
        </row>
        <row r="2999">
          <cell r="E2999" t="str">
            <v>B26000020</v>
          </cell>
          <cell r="AP2999">
            <v>0</v>
          </cell>
          <cell r="AQ2999">
            <v>0</v>
          </cell>
          <cell r="AV2999">
            <v>0</v>
          </cell>
        </row>
        <row r="3000">
          <cell r="E3000" t="str">
            <v>D26000163</v>
          </cell>
          <cell r="AP3000">
            <v>0</v>
          </cell>
          <cell r="AQ3000">
            <v>0</v>
          </cell>
          <cell r="AV3000">
            <v>0</v>
          </cell>
        </row>
        <row r="3001">
          <cell r="E3001" t="str">
            <v>B26000199</v>
          </cell>
          <cell r="AP3001">
            <v>0</v>
          </cell>
          <cell r="AQ3001">
            <v>0</v>
          </cell>
          <cell r="AV3001">
            <v>0</v>
          </cell>
        </row>
        <row r="3002">
          <cell r="E3002" t="str">
            <v>B26000279</v>
          </cell>
          <cell r="AP3002">
            <v>0</v>
          </cell>
          <cell r="AQ3002">
            <v>0</v>
          </cell>
          <cell r="AV3002">
            <v>0</v>
          </cell>
        </row>
        <row r="3003">
          <cell r="E3003" t="str">
            <v>D26000286</v>
          </cell>
          <cell r="AP3003">
            <v>0</v>
          </cell>
          <cell r="AQ3003">
            <v>0</v>
          </cell>
          <cell r="AV3003">
            <v>0</v>
          </cell>
        </row>
        <row r="3004">
          <cell r="E3004" t="str">
            <v>D26000287</v>
          </cell>
          <cell r="AP3004">
            <v>0</v>
          </cell>
          <cell r="AQ3004">
            <v>0</v>
          </cell>
          <cell r="AV3004">
            <v>0</v>
          </cell>
        </row>
        <row r="3005">
          <cell r="E3005" t="str">
            <v>D26000295</v>
          </cell>
          <cell r="AP3005">
            <v>0</v>
          </cell>
          <cell r="AQ3005">
            <v>0</v>
          </cell>
          <cell r="AV3005">
            <v>0</v>
          </cell>
        </row>
        <row r="3006">
          <cell r="E3006" t="str">
            <v>B26000368</v>
          </cell>
          <cell r="AP3006">
            <v>0</v>
          </cell>
          <cell r="AQ3006">
            <v>0</v>
          </cell>
          <cell r="AV3006">
            <v>0</v>
          </cell>
        </row>
        <row r="3007">
          <cell r="E3007" t="str">
            <v>B26000477</v>
          </cell>
          <cell r="AP3007">
            <v>0</v>
          </cell>
          <cell r="AQ3007">
            <v>0</v>
          </cell>
          <cell r="AV3007">
            <v>0</v>
          </cell>
        </row>
        <row r="3008">
          <cell r="E3008" t="str">
            <v>B26000506</v>
          </cell>
          <cell r="AP3008">
            <v>0</v>
          </cell>
          <cell r="AQ3008">
            <v>0</v>
          </cell>
          <cell r="AV3008">
            <v>0</v>
          </cell>
        </row>
        <row r="3009">
          <cell r="E3009" t="str">
            <v>D26000803</v>
          </cell>
          <cell r="AP3009">
            <v>0</v>
          </cell>
          <cell r="AQ3009">
            <v>0</v>
          </cell>
          <cell r="AV3009">
            <v>0</v>
          </cell>
        </row>
        <row r="3010">
          <cell r="E3010" t="str">
            <v>D26000856</v>
          </cell>
          <cell r="AP3010">
            <v>0</v>
          </cell>
          <cell r="AQ3010">
            <v>0</v>
          </cell>
          <cell r="AV3010">
            <v>0</v>
          </cell>
        </row>
        <row r="3011">
          <cell r="E3011" t="str">
            <v>B26000936</v>
          </cell>
          <cell r="AP3011">
            <v>0</v>
          </cell>
          <cell r="AQ3011">
            <v>0</v>
          </cell>
          <cell r="AV3011">
            <v>0</v>
          </cell>
        </row>
        <row r="3012">
          <cell r="E3012" t="str">
            <v>D26001023</v>
          </cell>
          <cell r="AP3012">
            <v>0</v>
          </cell>
          <cell r="AQ3012">
            <v>0</v>
          </cell>
          <cell r="AV3012">
            <v>0</v>
          </cell>
        </row>
        <row r="3013">
          <cell r="E3013" t="str">
            <v>D26001089</v>
          </cell>
          <cell r="AP3013">
            <v>0</v>
          </cell>
          <cell r="AQ3013">
            <v>0</v>
          </cell>
          <cell r="AV3013">
            <v>0</v>
          </cell>
        </row>
        <row r="3014">
          <cell r="E3014" t="str">
            <v>D26001213</v>
          </cell>
          <cell r="AP3014">
            <v>0</v>
          </cell>
          <cell r="AQ3014">
            <v>0</v>
          </cell>
          <cell r="AV3014">
            <v>0</v>
          </cell>
        </row>
        <row r="3015">
          <cell r="E3015" t="str">
            <v>D26001282</v>
          </cell>
          <cell r="AP3015">
            <v>0</v>
          </cell>
          <cell r="AQ3015">
            <v>0</v>
          </cell>
          <cell r="AV3015">
            <v>0</v>
          </cell>
        </row>
        <row r="3016">
          <cell r="E3016" t="str">
            <v>B26001392</v>
          </cell>
          <cell r="AP3016">
            <v>0</v>
          </cell>
          <cell r="AQ3016">
            <v>0</v>
          </cell>
          <cell r="AV3016">
            <v>0</v>
          </cell>
        </row>
        <row r="3017">
          <cell r="E3017" t="str">
            <v>D26001449</v>
          </cell>
          <cell r="AP3017">
            <v>0</v>
          </cell>
          <cell r="AQ3017">
            <v>0</v>
          </cell>
          <cell r="AV3017">
            <v>0</v>
          </cell>
        </row>
        <row r="3018">
          <cell r="E3018" t="str">
            <v>B26001503</v>
          </cell>
          <cell r="AP3018">
            <v>0</v>
          </cell>
          <cell r="AQ3018">
            <v>0</v>
          </cell>
          <cell r="AV3018">
            <v>0</v>
          </cell>
        </row>
        <row r="3019">
          <cell r="E3019" t="str">
            <v>D26001707</v>
          </cell>
          <cell r="AP3019">
            <v>0</v>
          </cell>
          <cell r="AQ3019">
            <v>0</v>
          </cell>
          <cell r="AV3019">
            <v>0</v>
          </cell>
        </row>
        <row r="3020">
          <cell r="E3020" t="str">
            <v>B26000256</v>
          </cell>
          <cell r="AP3020">
            <v>0</v>
          </cell>
          <cell r="AQ3020">
            <v>0</v>
          </cell>
          <cell r="AV3020">
            <v>0</v>
          </cell>
        </row>
        <row r="3021">
          <cell r="E3021" t="str">
            <v>B26000257</v>
          </cell>
          <cell r="AP3021">
            <v>0</v>
          </cell>
          <cell r="AQ3021">
            <v>0</v>
          </cell>
          <cell r="AV3021">
            <v>0</v>
          </cell>
        </row>
        <row r="3022">
          <cell r="E3022" t="str">
            <v>D26000318</v>
          </cell>
          <cell r="AP3022">
            <v>0</v>
          </cell>
          <cell r="AQ3022">
            <v>0</v>
          </cell>
          <cell r="AV3022">
            <v>0</v>
          </cell>
        </row>
        <row r="3023">
          <cell r="E3023" t="str">
            <v>D26000480</v>
          </cell>
          <cell r="AP3023">
            <v>0</v>
          </cell>
          <cell r="AQ3023">
            <v>0</v>
          </cell>
          <cell r="AV3023">
            <v>0</v>
          </cell>
        </row>
        <row r="3024">
          <cell r="E3024" t="str">
            <v>B26000619</v>
          </cell>
          <cell r="AP3024">
            <v>0</v>
          </cell>
          <cell r="AQ3024">
            <v>0</v>
          </cell>
          <cell r="AV3024">
            <v>0</v>
          </cell>
        </row>
        <row r="3025">
          <cell r="E3025" t="str">
            <v>D26000685</v>
          </cell>
          <cell r="AP3025">
            <v>0</v>
          </cell>
          <cell r="AQ3025">
            <v>0</v>
          </cell>
          <cell r="AV3025">
            <v>0</v>
          </cell>
        </row>
        <row r="3026">
          <cell r="E3026" t="str">
            <v>D26000693</v>
          </cell>
          <cell r="AP3026">
            <v>0</v>
          </cell>
          <cell r="AQ3026">
            <v>0</v>
          </cell>
          <cell r="AV3026">
            <v>0</v>
          </cell>
        </row>
        <row r="3027">
          <cell r="E3027" t="str">
            <v>Z26000252</v>
          </cell>
          <cell r="AP3027">
            <v>0</v>
          </cell>
          <cell r="AQ3027">
            <v>0</v>
          </cell>
          <cell r="AV3027">
            <v>0</v>
          </cell>
        </row>
        <row r="3028">
          <cell r="E3028" t="str">
            <v>D25015709</v>
          </cell>
          <cell r="AP3028">
            <v>0</v>
          </cell>
          <cell r="AQ3028">
            <v>0</v>
          </cell>
          <cell r="AV3028">
            <v>0</v>
          </cell>
        </row>
        <row r="3029">
          <cell r="E3029" t="str">
            <v>B25014743</v>
          </cell>
          <cell r="AP3029">
            <v>0</v>
          </cell>
          <cell r="AQ3029">
            <v>0</v>
          </cell>
          <cell r="AV3029">
            <v>0</v>
          </cell>
        </row>
        <row r="3030">
          <cell r="E3030" t="str">
            <v>D25017479</v>
          </cell>
          <cell r="AP3030">
            <v>0</v>
          </cell>
          <cell r="AQ3030">
            <v>0</v>
          </cell>
          <cell r="AV3030">
            <v>0</v>
          </cell>
        </row>
        <row r="3031">
          <cell r="E3031" t="str">
            <v>D25018020</v>
          </cell>
          <cell r="AP3031">
            <v>0</v>
          </cell>
          <cell r="AQ3031">
            <v>0</v>
          </cell>
          <cell r="AV3031">
            <v>0</v>
          </cell>
        </row>
        <row r="3032">
          <cell r="E3032" t="str">
            <v>D25018021</v>
          </cell>
          <cell r="AP3032">
            <v>0</v>
          </cell>
          <cell r="AQ3032">
            <v>0</v>
          </cell>
          <cell r="AV3032">
            <v>0</v>
          </cell>
        </row>
        <row r="3033">
          <cell r="E3033" t="str">
            <v>D25018022</v>
          </cell>
          <cell r="AP3033">
            <v>0</v>
          </cell>
          <cell r="AQ3033">
            <v>0</v>
          </cell>
          <cell r="AV3033">
            <v>0</v>
          </cell>
        </row>
        <row r="3034">
          <cell r="E3034" t="str">
            <v>B25015872</v>
          </cell>
          <cell r="AP3034">
            <v>0</v>
          </cell>
          <cell r="AQ3034">
            <v>0</v>
          </cell>
          <cell r="AV3034">
            <v>0</v>
          </cell>
        </row>
        <row r="3035">
          <cell r="E3035" t="str">
            <v>B25015919</v>
          </cell>
          <cell r="AP3035">
            <v>0</v>
          </cell>
          <cell r="AQ3035">
            <v>0</v>
          </cell>
          <cell r="AV3035">
            <v>0</v>
          </cell>
        </row>
        <row r="3036">
          <cell r="E3036" t="str">
            <v>B25015920</v>
          </cell>
          <cell r="AP3036">
            <v>0</v>
          </cell>
          <cell r="AQ3036">
            <v>0</v>
          </cell>
          <cell r="AV3036">
            <v>0</v>
          </cell>
        </row>
        <row r="3037">
          <cell r="E3037" t="str">
            <v>B25015979</v>
          </cell>
          <cell r="AP3037">
            <v>0</v>
          </cell>
          <cell r="AQ3037">
            <v>0</v>
          </cell>
          <cell r="AV3037">
            <v>0</v>
          </cell>
        </row>
        <row r="3038">
          <cell r="E3038" t="str">
            <v>B25016020</v>
          </cell>
          <cell r="AP3038">
            <v>0</v>
          </cell>
          <cell r="AQ3038">
            <v>0</v>
          </cell>
          <cell r="AV3038">
            <v>0</v>
          </cell>
        </row>
        <row r="3039">
          <cell r="E3039" t="str">
            <v>B25016321</v>
          </cell>
          <cell r="AP3039">
            <v>0</v>
          </cell>
          <cell r="AQ3039">
            <v>0</v>
          </cell>
          <cell r="AV3039">
            <v>0</v>
          </cell>
        </row>
        <row r="3040">
          <cell r="E3040" t="str">
            <v>B25016322</v>
          </cell>
          <cell r="AP3040">
            <v>0</v>
          </cell>
          <cell r="AQ3040">
            <v>0</v>
          </cell>
          <cell r="AV3040">
            <v>0</v>
          </cell>
        </row>
        <row r="3041">
          <cell r="E3041" t="str">
            <v>B25016356</v>
          </cell>
          <cell r="AP3041">
            <v>0</v>
          </cell>
          <cell r="AQ3041">
            <v>0</v>
          </cell>
          <cell r="AV3041">
            <v>0</v>
          </cell>
        </row>
        <row r="3042">
          <cell r="E3042" t="str">
            <v>B25016719</v>
          </cell>
          <cell r="AP3042">
            <v>0</v>
          </cell>
          <cell r="AQ3042">
            <v>0</v>
          </cell>
          <cell r="AV3042">
            <v>0</v>
          </cell>
        </row>
        <row r="3043">
          <cell r="E3043" t="str">
            <v>T25001870</v>
          </cell>
          <cell r="AP3043">
            <v>0</v>
          </cell>
          <cell r="AQ3043">
            <v>0</v>
          </cell>
          <cell r="AV3043">
            <v>0</v>
          </cell>
        </row>
        <row r="3044">
          <cell r="E3044" t="str">
            <v>B25016949</v>
          </cell>
          <cell r="AP3044">
            <v>0</v>
          </cell>
          <cell r="AQ3044">
            <v>0</v>
          </cell>
          <cell r="AV3044">
            <v>0</v>
          </cell>
        </row>
        <row r="3045">
          <cell r="E3045" t="str">
            <v>D25019456</v>
          </cell>
          <cell r="AP3045">
            <v>0</v>
          </cell>
          <cell r="AQ3045">
            <v>0</v>
          </cell>
          <cell r="AV3045">
            <v>0</v>
          </cell>
        </row>
        <row r="3046">
          <cell r="E3046" t="str">
            <v>B25017120</v>
          </cell>
          <cell r="AP3046">
            <v>0</v>
          </cell>
          <cell r="AQ3046">
            <v>0</v>
          </cell>
          <cell r="AV3046">
            <v>0</v>
          </cell>
        </row>
        <row r="3047">
          <cell r="E3047" t="str">
            <v>D25019687</v>
          </cell>
          <cell r="AP3047">
            <v>0</v>
          </cell>
          <cell r="AQ3047">
            <v>0</v>
          </cell>
          <cell r="AV3047">
            <v>0</v>
          </cell>
        </row>
        <row r="3048">
          <cell r="E3048" t="str">
            <v>D26000526</v>
          </cell>
          <cell r="AP3048">
            <v>0</v>
          </cell>
          <cell r="AQ3048">
            <v>0</v>
          </cell>
          <cell r="AV3048">
            <v>0</v>
          </cell>
        </row>
        <row r="3049">
          <cell r="E3049" t="str">
            <v>D26000793</v>
          </cell>
          <cell r="AP3049">
            <v>0</v>
          </cell>
          <cell r="AQ3049">
            <v>0</v>
          </cell>
          <cell r="AV3049">
            <v>0</v>
          </cell>
        </row>
        <row r="3050">
          <cell r="E3050" t="str">
            <v>D26000794</v>
          </cell>
          <cell r="AP3050">
            <v>0</v>
          </cell>
          <cell r="AQ3050">
            <v>0</v>
          </cell>
          <cell r="AV3050">
            <v>0</v>
          </cell>
        </row>
        <row r="3051">
          <cell r="E3051" t="str">
            <v>B26000762</v>
          </cell>
          <cell r="AP3051">
            <v>0</v>
          </cell>
          <cell r="AQ3051">
            <v>0</v>
          </cell>
          <cell r="AV3051">
            <v>0</v>
          </cell>
        </row>
        <row r="3052">
          <cell r="E3052" t="str">
            <v>B26000763</v>
          </cell>
          <cell r="AP3052">
            <v>0</v>
          </cell>
          <cell r="AQ3052">
            <v>0</v>
          </cell>
          <cell r="AV3052">
            <v>0</v>
          </cell>
        </row>
        <row r="3053">
          <cell r="E3053" t="str">
            <v>B26000789</v>
          </cell>
          <cell r="AP3053">
            <v>0</v>
          </cell>
          <cell r="AQ3053">
            <v>0</v>
          </cell>
          <cell r="AV3053">
            <v>0</v>
          </cell>
        </row>
        <row r="3054">
          <cell r="E3054" t="str">
            <v>B26001310</v>
          </cell>
          <cell r="AP3054">
            <v>0</v>
          </cell>
          <cell r="AQ3054">
            <v>0</v>
          </cell>
          <cell r="AV3054">
            <v>0</v>
          </cell>
        </row>
        <row r="3055">
          <cell r="E3055" t="str">
            <v>B26001316</v>
          </cell>
          <cell r="AP3055">
            <v>0</v>
          </cell>
          <cell r="AQ3055">
            <v>0</v>
          </cell>
          <cell r="AV3055">
            <v>0</v>
          </cell>
        </row>
        <row r="3056">
          <cell r="E3056" t="str">
            <v>D26001513</v>
          </cell>
          <cell r="AP3056">
            <v>0</v>
          </cell>
          <cell r="AQ3056">
            <v>0</v>
          </cell>
          <cell r="AV3056">
            <v>0</v>
          </cell>
        </row>
        <row r="3057">
          <cell r="E3057" t="str">
            <v>B26001625</v>
          </cell>
          <cell r="AP3057">
            <v>0</v>
          </cell>
          <cell r="AQ3057">
            <v>0</v>
          </cell>
          <cell r="AV3057">
            <v>0</v>
          </cell>
        </row>
        <row r="3058">
          <cell r="E3058" t="str">
            <v>T26000085</v>
          </cell>
          <cell r="AP3058">
            <v>0</v>
          </cell>
          <cell r="AQ3058">
            <v>0</v>
          </cell>
          <cell r="AV3058">
            <v>0</v>
          </cell>
        </row>
        <row r="3059">
          <cell r="E3059" t="str">
            <v>D26001736</v>
          </cell>
          <cell r="AP3059">
            <v>0</v>
          </cell>
          <cell r="AQ3059">
            <v>0</v>
          </cell>
          <cell r="AV3059">
            <v>0</v>
          </cell>
        </row>
        <row r="3060">
          <cell r="E3060" t="str">
            <v>T25001809</v>
          </cell>
          <cell r="AP3060">
            <v>0</v>
          </cell>
          <cell r="AQ3060">
            <v>0</v>
          </cell>
          <cell r="AV3060">
            <v>0</v>
          </cell>
        </row>
        <row r="3061">
          <cell r="E3061" t="str">
            <v>D25018352</v>
          </cell>
          <cell r="AP3061">
            <v>0</v>
          </cell>
          <cell r="AQ3061">
            <v>0</v>
          </cell>
          <cell r="AV3061">
            <v>0</v>
          </cell>
        </row>
        <row r="3062">
          <cell r="E3062" t="str">
            <v>B26000071</v>
          </cell>
          <cell r="AP3062">
            <v>0</v>
          </cell>
          <cell r="AQ3062">
            <v>0</v>
          </cell>
          <cell r="AV3062">
            <v>0</v>
          </cell>
        </row>
        <row r="3063">
          <cell r="E3063" t="str">
            <v>D26000107</v>
          </cell>
          <cell r="AP3063">
            <v>0</v>
          </cell>
          <cell r="AQ3063">
            <v>0</v>
          </cell>
          <cell r="AV3063">
            <v>0</v>
          </cell>
        </row>
        <row r="3064">
          <cell r="E3064" t="str">
            <v>B26000208</v>
          </cell>
          <cell r="AP3064">
            <v>0</v>
          </cell>
          <cell r="AQ3064">
            <v>0</v>
          </cell>
          <cell r="AV3064">
            <v>0</v>
          </cell>
        </row>
        <row r="3065">
          <cell r="E3065" t="str">
            <v>D26000269</v>
          </cell>
          <cell r="AP3065">
            <v>0</v>
          </cell>
          <cell r="AQ3065">
            <v>0</v>
          </cell>
          <cell r="AV3065">
            <v>0</v>
          </cell>
        </row>
        <row r="3066">
          <cell r="E3066" t="str">
            <v>D26000433</v>
          </cell>
          <cell r="AP3066">
            <v>0</v>
          </cell>
          <cell r="AQ3066">
            <v>0</v>
          </cell>
          <cell r="AV3066">
            <v>0</v>
          </cell>
        </row>
        <row r="3067">
          <cell r="E3067" t="str">
            <v>D26000434</v>
          </cell>
          <cell r="AP3067">
            <v>0</v>
          </cell>
          <cell r="AQ3067">
            <v>0</v>
          </cell>
          <cell r="AV3067">
            <v>0</v>
          </cell>
        </row>
        <row r="3068">
          <cell r="E3068" t="str">
            <v>D26000478</v>
          </cell>
          <cell r="AP3068">
            <v>0</v>
          </cell>
          <cell r="AQ3068">
            <v>0</v>
          </cell>
          <cell r="AV3068">
            <v>0</v>
          </cell>
        </row>
        <row r="3069">
          <cell r="E3069" t="str">
            <v>D26000479</v>
          </cell>
          <cell r="AP3069">
            <v>0</v>
          </cell>
          <cell r="AQ3069">
            <v>0</v>
          </cell>
          <cell r="AV3069">
            <v>0</v>
          </cell>
        </row>
        <row r="3070">
          <cell r="E3070" t="str">
            <v>D26000530</v>
          </cell>
          <cell r="AP3070">
            <v>0</v>
          </cell>
          <cell r="AQ3070">
            <v>0</v>
          </cell>
          <cell r="AV3070">
            <v>0</v>
          </cell>
        </row>
        <row r="3071">
          <cell r="E3071" t="str">
            <v>D26000576</v>
          </cell>
          <cell r="AP3071">
            <v>0</v>
          </cell>
          <cell r="AQ3071">
            <v>0</v>
          </cell>
          <cell r="AV3071">
            <v>0</v>
          </cell>
        </row>
        <row r="3072">
          <cell r="E3072" t="str">
            <v>B26000654</v>
          </cell>
          <cell r="AP3072">
            <v>0</v>
          </cell>
          <cell r="AQ3072">
            <v>0</v>
          </cell>
          <cell r="AV3072">
            <v>0</v>
          </cell>
        </row>
        <row r="3073">
          <cell r="E3073" t="str">
            <v>D26000717</v>
          </cell>
          <cell r="AP3073">
            <v>0</v>
          </cell>
          <cell r="AQ3073">
            <v>0</v>
          </cell>
          <cell r="AV3073">
            <v>0</v>
          </cell>
        </row>
        <row r="3074">
          <cell r="E3074" t="str">
            <v>D26000720</v>
          </cell>
          <cell r="AP3074">
            <v>0</v>
          </cell>
          <cell r="AQ3074">
            <v>0</v>
          </cell>
          <cell r="AV3074">
            <v>0</v>
          </cell>
        </row>
        <row r="3075">
          <cell r="E3075" t="str">
            <v>D26000740</v>
          </cell>
          <cell r="AP3075">
            <v>0</v>
          </cell>
          <cell r="AQ3075">
            <v>0</v>
          </cell>
          <cell r="AV3075">
            <v>0</v>
          </cell>
        </row>
        <row r="3076">
          <cell r="E3076" t="str">
            <v>D26000967</v>
          </cell>
          <cell r="AP3076">
            <v>0</v>
          </cell>
          <cell r="AQ3076">
            <v>0</v>
          </cell>
          <cell r="AV3076">
            <v>0</v>
          </cell>
        </row>
        <row r="3077">
          <cell r="E3077" t="str">
            <v>D26000968</v>
          </cell>
          <cell r="AP3077">
            <v>0</v>
          </cell>
          <cell r="AQ3077">
            <v>0</v>
          </cell>
          <cell r="AV3077">
            <v>0</v>
          </cell>
        </row>
        <row r="3078">
          <cell r="E3078" t="str">
            <v>B26001048</v>
          </cell>
          <cell r="AP3078">
            <v>0</v>
          </cell>
          <cell r="AQ3078">
            <v>0</v>
          </cell>
          <cell r="AV3078">
            <v>0</v>
          </cell>
        </row>
        <row r="3079">
          <cell r="E3079" t="str">
            <v>D26001069</v>
          </cell>
          <cell r="AP3079">
            <v>0</v>
          </cell>
          <cell r="AQ3079">
            <v>0</v>
          </cell>
          <cell r="AV3079">
            <v>0</v>
          </cell>
        </row>
        <row r="3080">
          <cell r="E3080" t="str">
            <v>B26001108</v>
          </cell>
          <cell r="AP3080">
            <v>0</v>
          </cell>
          <cell r="AQ3080">
            <v>0</v>
          </cell>
          <cell r="AV3080">
            <v>0</v>
          </cell>
        </row>
        <row r="3081">
          <cell r="E3081" t="str">
            <v>D26001173</v>
          </cell>
          <cell r="AP3081">
            <v>0</v>
          </cell>
          <cell r="AQ3081">
            <v>0</v>
          </cell>
          <cell r="AV3081">
            <v>0</v>
          </cell>
        </row>
        <row r="3082">
          <cell r="E3082" t="str">
            <v>B26001171</v>
          </cell>
          <cell r="AP3082">
            <v>0</v>
          </cell>
          <cell r="AQ3082">
            <v>0</v>
          </cell>
          <cell r="AV3082">
            <v>0</v>
          </cell>
        </row>
        <row r="3083">
          <cell r="E3083" t="str">
            <v>D26001725</v>
          </cell>
          <cell r="AP3083">
            <v>0</v>
          </cell>
          <cell r="AQ3083">
            <v>0</v>
          </cell>
          <cell r="AV3083">
            <v>0</v>
          </cell>
        </row>
        <row r="3084">
          <cell r="E3084" t="str">
            <v>D26001726</v>
          </cell>
          <cell r="AP3084">
            <v>0</v>
          </cell>
          <cell r="AQ3084">
            <v>0</v>
          </cell>
          <cell r="AV3084">
            <v>0</v>
          </cell>
        </row>
        <row r="3085">
          <cell r="E3085" t="str">
            <v>D26001728</v>
          </cell>
          <cell r="AP3085">
            <v>0</v>
          </cell>
          <cell r="AQ3085">
            <v>0</v>
          </cell>
          <cell r="AV3085">
            <v>0</v>
          </cell>
        </row>
        <row r="3086">
          <cell r="E3086" t="str">
            <v>D26000001</v>
          </cell>
          <cell r="AP3086">
            <v>0</v>
          </cell>
          <cell r="AQ3086">
            <v>0</v>
          </cell>
          <cell r="AV3086">
            <v>0</v>
          </cell>
        </row>
        <row r="3087">
          <cell r="E3087" t="str">
            <v>B26000904</v>
          </cell>
          <cell r="AP3087">
            <v>0</v>
          </cell>
          <cell r="AQ3087">
            <v>0</v>
          </cell>
          <cell r="AV3087">
            <v>0</v>
          </cell>
        </row>
        <row r="3088">
          <cell r="E3088" t="str">
            <v>D25018828</v>
          </cell>
          <cell r="AP3088">
            <v>0</v>
          </cell>
          <cell r="AQ3088">
            <v>0</v>
          </cell>
          <cell r="AV3088">
            <v>0</v>
          </cell>
        </row>
        <row r="3089">
          <cell r="E3089" t="str">
            <v>D25018922</v>
          </cell>
          <cell r="AP3089">
            <v>0</v>
          </cell>
          <cell r="AQ3089">
            <v>0</v>
          </cell>
          <cell r="AV3089">
            <v>0</v>
          </cell>
        </row>
        <row r="3090">
          <cell r="E3090" t="str">
            <v>B25017069</v>
          </cell>
          <cell r="AP3090">
            <v>0</v>
          </cell>
          <cell r="AQ3090">
            <v>0</v>
          </cell>
          <cell r="AV3090">
            <v>0</v>
          </cell>
        </row>
        <row r="3091">
          <cell r="E3091" t="str">
            <v>D26000058</v>
          </cell>
          <cell r="AP3091">
            <v>0</v>
          </cell>
          <cell r="AQ3091">
            <v>0</v>
          </cell>
          <cell r="AV3091">
            <v>0</v>
          </cell>
        </row>
        <row r="3092">
          <cell r="E3092" t="str">
            <v>B26000793</v>
          </cell>
          <cell r="AP3092">
            <v>0</v>
          </cell>
          <cell r="AQ3092">
            <v>0</v>
          </cell>
          <cell r="AV3092">
            <v>0</v>
          </cell>
        </row>
        <row r="3093">
          <cell r="E3093" t="str">
            <v>D26000841</v>
          </cell>
          <cell r="AP3093">
            <v>0</v>
          </cell>
          <cell r="AQ3093">
            <v>0</v>
          </cell>
          <cell r="AV3093">
            <v>0</v>
          </cell>
        </row>
        <row r="3094">
          <cell r="E3094" t="str">
            <v>D25016708</v>
          </cell>
          <cell r="AP3094">
            <v>0</v>
          </cell>
          <cell r="AQ3094">
            <v>0</v>
          </cell>
          <cell r="AV3094">
            <v>0</v>
          </cell>
        </row>
        <row r="3095">
          <cell r="E3095" t="str">
            <v>D25016757</v>
          </cell>
          <cell r="AP3095">
            <v>0</v>
          </cell>
          <cell r="AQ3095">
            <v>0</v>
          </cell>
          <cell r="AV3095">
            <v>0</v>
          </cell>
        </row>
        <row r="3096">
          <cell r="E3096" t="str">
            <v>D25016775</v>
          </cell>
          <cell r="AP3096">
            <v>0</v>
          </cell>
          <cell r="AQ3096">
            <v>0</v>
          </cell>
          <cell r="AV3096">
            <v>0</v>
          </cell>
        </row>
        <row r="3097">
          <cell r="E3097" t="str">
            <v>D25016810</v>
          </cell>
          <cell r="AP3097">
            <v>0</v>
          </cell>
          <cell r="AQ3097">
            <v>0</v>
          </cell>
          <cell r="AV3097">
            <v>0</v>
          </cell>
        </row>
        <row r="3098">
          <cell r="E3098" t="str">
            <v>D25017225</v>
          </cell>
          <cell r="AP3098">
            <v>0</v>
          </cell>
          <cell r="AQ3098">
            <v>0</v>
          </cell>
          <cell r="AV3098">
            <v>0</v>
          </cell>
        </row>
        <row r="3099">
          <cell r="E3099" t="str">
            <v>D25017226</v>
          </cell>
          <cell r="AP3099">
            <v>0</v>
          </cell>
          <cell r="AQ3099">
            <v>0</v>
          </cell>
          <cell r="AV3099">
            <v>0</v>
          </cell>
        </row>
        <row r="3100">
          <cell r="E3100" t="str">
            <v>B25015513</v>
          </cell>
          <cell r="AP3100">
            <v>0</v>
          </cell>
          <cell r="AQ3100">
            <v>0</v>
          </cell>
          <cell r="AV3100">
            <v>0</v>
          </cell>
        </row>
        <row r="3101">
          <cell r="E3101" t="str">
            <v>B25015514</v>
          </cell>
          <cell r="AP3101">
            <v>0</v>
          </cell>
          <cell r="AQ3101">
            <v>0</v>
          </cell>
          <cell r="AV3101">
            <v>0</v>
          </cell>
        </row>
        <row r="3102">
          <cell r="E3102" t="str">
            <v>B25015515</v>
          </cell>
          <cell r="AP3102">
            <v>0</v>
          </cell>
          <cell r="AQ3102">
            <v>0</v>
          </cell>
          <cell r="AV3102">
            <v>0</v>
          </cell>
        </row>
        <row r="3103">
          <cell r="E3103" t="str">
            <v>D25018069</v>
          </cell>
          <cell r="AP3103">
            <v>0</v>
          </cell>
          <cell r="AQ3103">
            <v>0</v>
          </cell>
          <cell r="AV3103">
            <v>0</v>
          </cell>
        </row>
        <row r="3104">
          <cell r="E3104" t="str">
            <v>B25015835</v>
          </cell>
          <cell r="AP3104">
            <v>0</v>
          </cell>
          <cell r="AQ3104">
            <v>0</v>
          </cell>
          <cell r="AV3104">
            <v>0</v>
          </cell>
        </row>
        <row r="3105">
          <cell r="E3105" t="str">
            <v>B25016212</v>
          </cell>
          <cell r="AP3105">
            <v>0</v>
          </cell>
          <cell r="AQ3105">
            <v>0</v>
          </cell>
          <cell r="AV3105">
            <v>0</v>
          </cell>
        </row>
        <row r="3106">
          <cell r="E3106" t="str">
            <v>B25016213</v>
          </cell>
          <cell r="AP3106">
            <v>0</v>
          </cell>
          <cell r="AQ3106">
            <v>0</v>
          </cell>
          <cell r="AV3106">
            <v>0</v>
          </cell>
        </row>
        <row r="3107">
          <cell r="E3107" t="str">
            <v>B25016214</v>
          </cell>
          <cell r="AP3107">
            <v>0</v>
          </cell>
          <cell r="AQ3107">
            <v>0</v>
          </cell>
          <cell r="AV3107">
            <v>0</v>
          </cell>
        </row>
        <row r="3108">
          <cell r="E3108" t="str">
            <v>D25018682</v>
          </cell>
          <cell r="AP3108">
            <v>0</v>
          </cell>
          <cell r="AQ3108">
            <v>0</v>
          </cell>
          <cell r="AV3108">
            <v>0</v>
          </cell>
        </row>
        <row r="3109">
          <cell r="E3109" t="str">
            <v>D25018981</v>
          </cell>
          <cell r="AP3109">
            <v>0</v>
          </cell>
          <cell r="AQ3109">
            <v>0</v>
          </cell>
          <cell r="AV3109">
            <v>0</v>
          </cell>
        </row>
        <row r="3110">
          <cell r="E3110" t="str">
            <v>D25018982</v>
          </cell>
          <cell r="AP3110">
            <v>0</v>
          </cell>
          <cell r="AQ3110">
            <v>0</v>
          </cell>
          <cell r="AV3110">
            <v>0</v>
          </cell>
        </row>
        <row r="3111">
          <cell r="E3111" t="str">
            <v>B25016652</v>
          </cell>
          <cell r="AP3111">
            <v>0</v>
          </cell>
          <cell r="AQ3111">
            <v>0</v>
          </cell>
          <cell r="AV3111">
            <v>0</v>
          </cell>
        </row>
        <row r="3112">
          <cell r="E3112" t="str">
            <v>D25019404</v>
          </cell>
          <cell r="AP3112">
            <v>0</v>
          </cell>
          <cell r="AQ3112">
            <v>0</v>
          </cell>
          <cell r="AV3112">
            <v>0</v>
          </cell>
        </row>
        <row r="3113">
          <cell r="E3113" t="str">
            <v>D25019412</v>
          </cell>
          <cell r="AP3113">
            <v>0</v>
          </cell>
          <cell r="AQ3113">
            <v>0</v>
          </cell>
          <cell r="AV3113">
            <v>0</v>
          </cell>
        </row>
        <row r="3114">
          <cell r="E3114" t="str">
            <v>B25016948</v>
          </cell>
          <cell r="AP3114">
            <v>0</v>
          </cell>
          <cell r="AQ3114">
            <v>0</v>
          </cell>
          <cell r="AV3114">
            <v>0</v>
          </cell>
        </row>
        <row r="3115">
          <cell r="E3115" t="str">
            <v>B26000518</v>
          </cell>
          <cell r="AP3115">
            <v>0</v>
          </cell>
          <cell r="AQ3115">
            <v>0</v>
          </cell>
          <cell r="AV3115">
            <v>0</v>
          </cell>
        </row>
        <row r="3116">
          <cell r="E3116" t="str">
            <v>B26001491</v>
          </cell>
          <cell r="AP3116">
            <v>0</v>
          </cell>
          <cell r="AQ3116">
            <v>0</v>
          </cell>
          <cell r="AV3116">
            <v>0</v>
          </cell>
        </row>
        <row r="3117">
          <cell r="E3117" t="str">
            <v>B26001513</v>
          </cell>
          <cell r="AP3117">
            <v>0</v>
          </cell>
          <cell r="AQ3117">
            <v>0</v>
          </cell>
          <cell r="AV3117">
            <v>0</v>
          </cell>
        </row>
        <row r="3118">
          <cell r="E3118" t="str">
            <v>D26000290</v>
          </cell>
          <cell r="AP3118">
            <v>0</v>
          </cell>
          <cell r="AQ3118">
            <v>0</v>
          </cell>
          <cell r="AV3118">
            <v>0</v>
          </cell>
        </row>
        <row r="3119">
          <cell r="E3119" t="str">
            <v>D26000359</v>
          </cell>
          <cell r="AP3119">
            <v>0</v>
          </cell>
          <cell r="AQ3119">
            <v>0</v>
          </cell>
          <cell r="AV3119">
            <v>0</v>
          </cell>
        </row>
        <row r="3120">
          <cell r="E3120" t="str">
            <v>T26000051</v>
          </cell>
          <cell r="AP3120">
            <v>0</v>
          </cell>
          <cell r="AQ3120">
            <v>0</v>
          </cell>
          <cell r="AV3120">
            <v>0</v>
          </cell>
        </row>
        <row r="3121">
          <cell r="E3121" t="str">
            <v>D26001215</v>
          </cell>
          <cell r="AP3121">
            <v>0</v>
          </cell>
          <cell r="AQ3121">
            <v>0</v>
          </cell>
          <cell r="AV3121">
            <v>0</v>
          </cell>
        </row>
        <row r="3122">
          <cell r="E3122" t="str">
            <v>Z25002766</v>
          </cell>
          <cell r="AP3122">
            <v>0</v>
          </cell>
          <cell r="AQ3122">
            <v>0</v>
          </cell>
          <cell r="AV3122">
            <v>0</v>
          </cell>
        </row>
        <row r="3123">
          <cell r="E3123" t="str">
            <v>Z25002859</v>
          </cell>
          <cell r="AP3123">
            <v>0</v>
          </cell>
          <cell r="AQ3123">
            <v>0</v>
          </cell>
          <cell r="AV3123">
            <v>0</v>
          </cell>
        </row>
        <row r="3124">
          <cell r="E3124" t="str">
            <v>T25001721k</v>
          </cell>
          <cell r="AP3124">
            <v>0</v>
          </cell>
          <cell r="AQ3124">
            <v>0</v>
          </cell>
          <cell r="AV3124">
            <v>0</v>
          </cell>
        </row>
        <row r="3125">
          <cell r="E3125" t="str">
            <v>T25001773</v>
          </cell>
          <cell r="AP3125">
            <v>0</v>
          </cell>
          <cell r="AQ3125">
            <v>0</v>
          </cell>
          <cell r="AV3125">
            <v>0</v>
          </cell>
        </row>
        <row r="3126">
          <cell r="E3126" t="str">
            <v>Z25003134</v>
          </cell>
          <cell r="AP3126">
            <v>0</v>
          </cell>
          <cell r="AQ3126">
            <v>0</v>
          </cell>
          <cell r="AV3126">
            <v>0</v>
          </cell>
        </row>
        <row r="3127">
          <cell r="E3127" t="str">
            <v>Z25003135</v>
          </cell>
          <cell r="AP3127">
            <v>0</v>
          </cell>
          <cell r="AQ3127">
            <v>0</v>
          </cell>
          <cell r="AV3127">
            <v>0</v>
          </cell>
        </row>
        <row r="3128">
          <cell r="E3128" t="str">
            <v>Z25003187</v>
          </cell>
          <cell r="AP3128">
            <v>0</v>
          </cell>
          <cell r="AQ3128">
            <v>0</v>
          </cell>
          <cell r="AV3128">
            <v>0</v>
          </cell>
        </row>
        <row r="3129">
          <cell r="E3129" t="str">
            <v>Z25003220</v>
          </cell>
          <cell r="AP3129">
            <v>0</v>
          </cell>
          <cell r="AQ3129">
            <v>0</v>
          </cell>
          <cell r="AV3129">
            <v>0</v>
          </cell>
        </row>
        <row r="3130">
          <cell r="E3130" t="str">
            <v>Z25003223</v>
          </cell>
          <cell r="AP3130">
            <v>0</v>
          </cell>
          <cell r="AQ3130">
            <v>0</v>
          </cell>
          <cell r="AV3130">
            <v>0</v>
          </cell>
        </row>
        <row r="3131">
          <cell r="E3131" t="str">
            <v>Z25003225</v>
          </cell>
          <cell r="AP3131">
            <v>0</v>
          </cell>
          <cell r="AQ3131">
            <v>0</v>
          </cell>
          <cell r="AV3131">
            <v>0</v>
          </cell>
        </row>
        <row r="3132">
          <cell r="E3132" t="str">
            <v>Z25003233</v>
          </cell>
          <cell r="AP3132">
            <v>0</v>
          </cell>
          <cell r="AQ3132">
            <v>0</v>
          </cell>
          <cell r="AV3132">
            <v>0</v>
          </cell>
        </row>
        <row r="3133">
          <cell r="E3133" t="str">
            <v>Z25003234</v>
          </cell>
          <cell r="AP3133">
            <v>0</v>
          </cell>
          <cell r="AQ3133">
            <v>0</v>
          </cell>
          <cell r="AV3133">
            <v>0</v>
          </cell>
        </row>
        <row r="3134">
          <cell r="E3134" t="str">
            <v>Z25003308</v>
          </cell>
          <cell r="AP3134">
            <v>0</v>
          </cell>
          <cell r="AQ3134">
            <v>0</v>
          </cell>
          <cell r="AV3134">
            <v>0</v>
          </cell>
        </row>
        <row r="3135">
          <cell r="E3135" t="str">
            <v>Z25003317</v>
          </cell>
          <cell r="AP3135">
            <v>0</v>
          </cell>
          <cell r="AQ3135">
            <v>0</v>
          </cell>
          <cell r="AV3135">
            <v>0</v>
          </cell>
        </row>
        <row r="3136">
          <cell r="E3136" t="str">
            <v>Z25003335</v>
          </cell>
          <cell r="AP3136">
            <v>0</v>
          </cell>
          <cell r="AQ3136">
            <v>0</v>
          </cell>
          <cell r="AV3136">
            <v>0</v>
          </cell>
        </row>
        <row r="3137">
          <cell r="E3137" t="str">
            <v>Z25003373</v>
          </cell>
          <cell r="AP3137">
            <v>0</v>
          </cell>
          <cell r="AQ3137">
            <v>0</v>
          </cell>
          <cell r="AV3137">
            <v>0</v>
          </cell>
        </row>
        <row r="3138">
          <cell r="E3138" t="str">
            <v>Z25003389</v>
          </cell>
          <cell r="AP3138">
            <v>0</v>
          </cell>
          <cell r="AQ3138">
            <v>0</v>
          </cell>
          <cell r="AV3138">
            <v>0</v>
          </cell>
        </row>
        <row r="3139">
          <cell r="E3139" t="str">
            <v>Z25003390</v>
          </cell>
          <cell r="AP3139">
            <v>0</v>
          </cell>
          <cell r="AQ3139">
            <v>0</v>
          </cell>
          <cell r="AV3139">
            <v>0</v>
          </cell>
        </row>
        <row r="3140">
          <cell r="E3140" t="str">
            <v>Z25003391</v>
          </cell>
          <cell r="AP3140">
            <v>0</v>
          </cell>
          <cell r="AQ3140">
            <v>0</v>
          </cell>
          <cell r="AV3140">
            <v>0</v>
          </cell>
        </row>
        <row r="3141">
          <cell r="E3141" t="str">
            <v>Z26000120</v>
          </cell>
          <cell r="AP3141">
            <v>0</v>
          </cell>
          <cell r="AQ3141">
            <v>0</v>
          </cell>
          <cell r="AV3141">
            <v>0</v>
          </cell>
        </row>
        <row r="3142">
          <cell r="E3142" t="str">
            <v>Z26000255</v>
          </cell>
          <cell r="AP3142">
            <v>0</v>
          </cell>
          <cell r="AQ3142">
            <v>0</v>
          </cell>
          <cell r="AV3142">
            <v>0</v>
          </cell>
        </row>
        <row r="3143">
          <cell r="E3143" t="str">
            <v>Z26000271</v>
          </cell>
          <cell r="AP3143">
            <v>0</v>
          </cell>
          <cell r="AQ3143">
            <v>0</v>
          </cell>
          <cell r="AV3143">
            <v>0</v>
          </cell>
        </row>
        <row r="3144">
          <cell r="E3144" t="str">
            <v>D25019524</v>
          </cell>
          <cell r="AP3144">
            <v>0</v>
          </cell>
          <cell r="AQ3144">
            <v>0</v>
          </cell>
          <cell r="AV3144">
            <v>0</v>
          </cell>
        </row>
        <row r="3145">
          <cell r="E3145" t="str">
            <v>D26000308</v>
          </cell>
          <cell r="AP3145">
            <v>0</v>
          </cell>
          <cell r="AQ3145">
            <v>0</v>
          </cell>
          <cell r="AV3145">
            <v>0</v>
          </cell>
        </row>
        <row r="3146">
          <cell r="E3146" t="str">
            <v>D26000335</v>
          </cell>
          <cell r="AP3146">
            <v>0</v>
          </cell>
          <cell r="AQ3146">
            <v>0</v>
          </cell>
          <cell r="AV3146">
            <v>0</v>
          </cell>
        </row>
        <row r="3147">
          <cell r="E3147" t="str">
            <v>D26000356</v>
          </cell>
          <cell r="AP3147">
            <v>0</v>
          </cell>
          <cell r="AQ3147">
            <v>0</v>
          </cell>
          <cell r="AV3147">
            <v>0</v>
          </cell>
        </row>
        <row r="3148">
          <cell r="E3148" t="str">
            <v>B26000542</v>
          </cell>
          <cell r="AP3148">
            <v>0</v>
          </cell>
          <cell r="AQ3148">
            <v>0</v>
          </cell>
          <cell r="AV3148">
            <v>0</v>
          </cell>
        </row>
        <row r="3149">
          <cell r="E3149" t="str">
            <v>D26000567</v>
          </cell>
          <cell r="AP3149">
            <v>0</v>
          </cell>
          <cell r="AQ3149">
            <v>0</v>
          </cell>
          <cell r="AV3149">
            <v>0</v>
          </cell>
        </row>
        <row r="3150">
          <cell r="E3150" t="str">
            <v>D26000580</v>
          </cell>
          <cell r="AP3150">
            <v>0</v>
          </cell>
          <cell r="AQ3150">
            <v>0</v>
          </cell>
          <cell r="AV3150">
            <v>0</v>
          </cell>
        </row>
        <row r="3151">
          <cell r="E3151" t="str">
            <v>B26000785</v>
          </cell>
          <cell r="AP3151">
            <v>0</v>
          </cell>
          <cell r="AQ3151">
            <v>0</v>
          </cell>
          <cell r="AV3151">
            <v>0</v>
          </cell>
        </row>
        <row r="3152">
          <cell r="E3152" t="str">
            <v>D26000902</v>
          </cell>
          <cell r="AP3152">
            <v>0</v>
          </cell>
          <cell r="AQ3152">
            <v>0</v>
          </cell>
          <cell r="AV3152">
            <v>0</v>
          </cell>
        </row>
        <row r="3153">
          <cell r="E3153" t="str">
            <v>D26000903</v>
          </cell>
          <cell r="AP3153">
            <v>0</v>
          </cell>
          <cell r="AQ3153">
            <v>0</v>
          </cell>
          <cell r="AV3153">
            <v>0</v>
          </cell>
        </row>
        <row r="3154">
          <cell r="E3154" t="str">
            <v>D26001077</v>
          </cell>
          <cell r="AP3154">
            <v>0</v>
          </cell>
          <cell r="AQ3154">
            <v>0</v>
          </cell>
          <cell r="AV3154">
            <v>0</v>
          </cell>
        </row>
        <row r="3155">
          <cell r="E3155" t="str">
            <v>D26001170</v>
          </cell>
          <cell r="AP3155">
            <v>0</v>
          </cell>
          <cell r="AQ3155">
            <v>0</v>
          </cell>
          <cell r="AV3155">
            <v>0</v>
          </cell>
        </row>
        <row r="3156">
          <cell r="E3156" t="str">
            <v>B26001441</v>
          </cell>
          <cell r="AP3156">
            <v>0</v>
          </cell>
          <cell r="AQ3156">
            <v>0</v>
          </cell>
          <cell r="AV3156">
            <v>0</v>
          </cell>
        </row>
        <row r="3157">
          <cell r="E3157" t="str">
            <v>B26001442</v>
          </cell>
          <cell r="AP3157">
            <v>0</v>
          </cell>
          <cell r="AQ3157">
            <v>0</v>
          </cell>
          <cell r="AV3157">
            <v>0</v>
          </cell>
        </row>
        <row r="3158">
          <cell r="E3158" t="str">
            <v>D26001593</v>
          </cell>
          <cell r="AP3158">
            <v>0</v>
          </cell>
          <cell r="AQ3158">
            <v>0</v>
          </cell>
          <cell r="AV3158">
            <v>0</v>
          </cell>
        </row>
        <row r="3159">
          <cell r="E3159" t="str">
            <v>D26001729</v>
          </cell>
          <cell r="AP3159">
            <v>0</v>
          </cell>
          <cell r="AQ3159">
            <v>0</v>
          </cell>
          <cell r="AV3159">
            <v>0</v>
          </cell>
        </row>
        <row r="3160">
          <cell r="E3160" t="str">
            <v>D26000294</v>
          </cell>
          <cell r="AP3160">
            <v>0</v>
          </cell>
          <cell r="AQ3160">
            <v>0</v>
          </cell>
          <cell r="AV3160">
            <v>0</v>
          </cell>
        </row>
        <row r="3161">
          <cell r="E3161" t="str">
            <v>D25007848</v>
          </cell>
          <cell r="AP3161">
            <v>0</v>
          </cell>
          <cell r="AQ3161">
            <v>0</v>
          </cell>
          <cell r="AV3161">
            <v>0</v>
          </cell>
        </row>
        <row r="3162">
          <cell r="E3162" t="str">
            <v>D25018088</v>
          </cell>
          <cell r="AP3162">
            <v>0</v>
          </cell>
          <cell r="AQ3162">
            <v>0</v>
          </cell>
          <cell r="AV3162">
            <v>0</v>
          </cell>
        </row>
        <row r="3163">
          <cell r="E3163" t="str">
            <v>D25018089</v>
          </cell>
          <cell r="AP3163">
            <v>0</v>
          </cell>
          <cell r="AQ3163">
            <v>0</v>
          </cell>
          <cell r="AV3163">
            <v>0</v>
          </cell>
        </row>
        <row r="3164">
          <cell r="E3164" t="str">
            <v>D25018111</v>
          </cell>
          <cell r="AP3164">
            <v>0</v>
          </cell>
          <cell r="AQ3164">
            <v>0</v>
          </cell>
          <cell r="AV3164">
            <v>0</v>
          </cell>
        </row>
        <row r="3165">
          <cell r="E3165" t="str">
            <v>D25018518</v>
          </cell>
          <cell r="AP3165">
            <v>0</v>
          </cell>
          <cell r="AQ3165">
            <v>0</v>
          </cell>
          <cell r="AV3165">
            <v>0</v>
          </cell>
        </row>
        <row r="3166">
          <cell r="E3166" t="str">
            <v>D25018397</v>
          </cell>
          <cell r="AP3166">
            <v>0</v>
          </cell>
          <cell r="AQ3166">
            <v>0</v>
          </cell>
          <cell r="AV3166">
            <v>0</v>
          </cell>
        </row>
        <row r="3167">
          <cell r="E3167" t="str">
            <v>B25016387</v>
          </cell>
          <cell r="AP3167">
            <v>0</v>
          </cell>
          <cell r="AQ3167">
            <v>0</v>
          </cell>
          <cell r="AV3167">
            <v>0</v>
          </cell>
        </row>
        <row r="3168">
          <cell r="E3168" t="str">
            <v>B25016784</v>
          </cell>
          <cell r="AP3168">
            <v>0</v>
          </cell>
          <cell r="AQ3168">
            <v>0</v>
          </cell>
          <cell r="AV3168">
            <v>0</v>
          </cell>
        </row>
        <row r="3169">
          <cell r="E3169" t="str">
            <v>B26000121</v>
          </cell>
          <cell r="AP3169">
            <v>0</v>
          </cell>
          <cell r="AQ3169">
            <v>0</v>
          </cell>
          <cell r="AV3169">
            <v>0</v>
          </cell>
        </row>
        <row r="3170">
          <cell r="E3170" t="str">
            <v>T26000009</v>
          </cell>
          <cell r="AP3170">
            <v>0</v>
          </cell>
          <cell r="AQ3170">
            <v>0</v>
          </cell>
          <cell r="AV3170">
            <v>0</v>
          </cell>
        </row>
        <row r="3171">
          <cell r="E3171" t="str">
            <v>B26001639</v>
          </cell>
          <cell r="AP3171">
            <v>0</v>
          </cell>
          <cell r="AQ3171">
            <v>0</v>
          </cell>
          <cell r="AV3171">
            <v>0</v>
          </cell>
        </row>
        <row r="3172">
          <cell r="E3172" t="str">
            <v>C26000091</v>
          </cell>
          <cell r="AP3172">
            <v>0</v>
          </cell>
          <cell r="AQ3172">
            <v>0</v>
          </cell>
          <cell r="AV3172">
            <v>0</v>
          </cell>
        </row>
        <row r="3173">
          <cell r="E3173" t="str">
            <v>C26000090</v>
          </cell>
          <cell r="AP3173">
            <v>0</v>
          </cell>
          <cell r="AQ3173">
            <v>0</v>
          </cell>
          <cell r="AV3173">
            <v>0</v>
          </cell>
        </row>
        <row r="3174">
          <cell r="E3174" t="str">
            <v>Z25001658</v>
          </cell>
          <cell r="AP3174">
            <v>0</v>
          </cell>
          <cell r="AQ3174">
            <v>0</v>
          </cell>
          <cell r="AV3174">
            <v>0</v>
          </cell>
        </row>
        <row r="3175">
          <cell r="E3175" t="str">
            <v>D25016592</v>
          </cell>
          <cell r="AP3175">
            <v>0</v>
          </cell>
          <cell r="AQ3175">
            <v>0</v>
          </cell>
          <cell r="AV3175">
            <v>0</v>
          </cell>
        </row>
        <row r="3176">
          <cell r="E3176" t="str">
            <v>D25016592</v>
          </cell>
          <cell r="AP3176">
            <v>0</v>
          </cell>
          <cell r="AQ3176">
            <v>0</v>
          </cell>
          <cell r="AV3176">
            <v>0</v>
          </cell>
        </row>
        <row r="3177">
          <cell r="E3177" t="str">
            <v>D25016593</v>
          </cell>
          <cell r="AP3177">
            <v>0</v>
          </cell>
          <cell r="AQ3177">
            <v>0</v>
          </cell>
          <cell r="AV3177">
            <v>0</v>
          </cell>
        </row>
        <row r="3178">
          <cell r="E3178" t="str">
            <v>B25014498</v>
          </cell>
          <cell r="AP3178">
            <v>0</v>
          </cell>
          <cell r="AQ3178">
            <v>0</v>
          </cell>
          <cell r="AV3178">
            <v>0</v>
          </cell>
        </row>
        <row r="3179">
          <cell r="E3179" t="str">
            <v>D25016986</v>
          </cell>
          <cell r="AP3179">
            <v>0</v>
          </cell>
          <cell r="AQ3179">
            <v>0</v>
          </cell>
          <cell r="AV3179">
            <v>0</v>
          </cell>
        </row>
        <row r="3180">
          <cell r="E3180" t="str">
            <v>B25014854</v>
          </cell>
          <cell r="AP3180">
            <v>0</v>
          </cell>
          <cell r="AQ3180">
            <v>0</v>
          </cell>
          <cell r="AV3180">
            <v>0</v>
          </cell>
        </row>
        <row r="3181">
          <cell r="E3181" t="str">
            <v>B25014854</v>
          </cell>
          <cell r="AP3181">
            <v>0</v>
          </cell>
          <cell r="AQ3181">
            <v>0</v>
          </cell>
          <cell r="AV3181">
            <v>0</v>
          </cell>
        </row>
        <row r="3182">
          <cell r="E3182" t="str">
            <v>B25014854</v>
          </cell>
          <cell r="AP3182">
            <v>0</v>
          </cell>
          <cell r="AQ3182">
            <v>0</v>
          </cell>
          <cell r="AV3182">
            <v>0</v>
          </cell>
        </row>
        <row r="3183">
          <cell r="E3183" t="str">
            <v>B25015007</v>
          </cell>
          <cell r="AP3183">
            <v>0</v>
          </cell>
          <cell r="AQ3183">
            <v>0</v>
          </cell>
          <cell r="AV3183">
            <v>0</v>
          </cell>
        </row>
        <row r="3184">
          <cell r="E3184" t="str">
            <v>B25015128</v>
          </cell>
          <cell r="AP3184">
            <v>0</v>
          </cell>
          <cell r="AQ3184">
            <v>0</v>
          </cell>
          <cell r="AV3184">
            <v>0</v>
          </cell>
        </row>
        <row r="3185">
          <cell r="E3185" t="str">
            <v>B25015128</v>
          </cell>
          <cell r="AP3185">
            <v>0</v>
          </cell>
          <cell r="AQ3185">
            <v>0</v>
          </cell>
          <cell r="AV3185">
            <v>0</v>
          </cell>
        </row>
        <row r="3186">
          <cell r="E3186" t="str">
            <v>D25017390</v>
          </cell>
          <cell r="AP3186">
            <v>0</v>
          </cell>
          <cell r="AQ3186">
            <v>0</v>
          </cell>
          <cell r="AV3186">
            <v>0</v>
          </cell>
        </row>
        <row r="3187">
          <cell r="E3187" t="str">
            <v>D25017390</v>
          </cell>
          <cell r="AP3187">
            <v>0</v>
          </cell>
          <cell r="AQ3187">
            <v>0</v>
          </cell>
          <cell r="AV3187">
            <v>0</v>
          </cell>
        </row>
        <row r="3188">
          <cell r="E3188" t="str">
            <v>D25017390</v>
          </cell>
          <cell r="AP3188">
            <v>0</v>
          </cell>
          <cell r="AQ3188">
            <v>0</v>
          </cell>
          <cell r="AV3188">
            <v>0</v>
          </cell>
        </row>
        <row r="3189">
          <cell r="E3189" t="str">
            <v>D25017390</v>
          </cell>
          <cell r="AP3189">
            <v>0</v>
          </cell>
          <cell r="AQ3189">
            <v>0</v>
          </cell>
          <cell r="AV3189">
            <v>0</v>
          </cell>
        </row>
        <row r="3190">
          <cell r="E3190" t="str">
            <v>D25017390</v>
          </cell>
          <cell r="AP3190">
            <v>0</v>
          </cell>
          <cell r="AQ3190">
            <v>0</v>
          </cell>
          <cell r="AV3190">
            <v>0</v>
          </cell>
        </row>
        <row r="3191">
          <cell r="E3191" t="str">
            <v>D25017390</v>
          </cell>
          <cell r="AP3191">
            <v>0</v>
          </cell>
          <cell r="AQ3191">
            <v>0</v>
          </cell>
          <cell r="AV3191">
            <v>0</v>
          </cell>
        </row>
        <row r="3192">
          <cell r="E3192" t="str">
            <v>D25017390</v>
          </cell>
          <cell r="AP3192">
            <v>0</v>
          </cell>
          <cell r="AQ3192">
            <v>0</v>
          </cell>
          <cell r="AV3192">
            <v>0</v>
          </cell>
        </row>
        <row r="3193">
          <cell r="E3193" t="str">
            <v>D25017390</v>
          </cell>
          <cell r="AP3193">
            <v>0</v>
          </cell>
          <cell r="AQ3193">
            <v>0</v>
          </cell>
          <cell r="AV3193">
            <v>0</v>
          </cell>
        </row>
        <row r="3194">
          <cell r="E3194" t="str">
            <v>D25017391</v>
          </cell>
          <cell r="AP3194">
            <v>0</v>
          </cell>
          <cell r="AQ3194">
            <v>0</v>
          </cell>
          <cell r="AV3194">
            <v>0</v>
          </cell>
        </row>
        <row r="3195">
          <cell r="E3195" t="str">
            <v>D25017398</v>
          </cell>
          <cell r="AP3195">
            <v>0</v>
          </cell>
          <cell r="AQ3195">
            <v>0</v>
          </cell>
          <cell r="AV3195">
            <v>0</v>
          </cell>
        </row>
        <row r="3196">
          <cell r="E3196" t="str">
            <v>D25017735</v>
          </cell>
          <cell r="AP3196">
            <v>0</v>
          </cell>
          <cell r="AQ3196">
            <v>0</v>
          </cell>
          <cell r="AV3196">
            <v>0</v>
          </cell>
        </row>
        <row r="3197">
          <cell r="E3197" t="str">
            <v>D25017735</v>
          </cell>
          <cell r="AP3197">
            <v>0</v>
          </cell>
          <cell r="AQ3197">
            <v>0</v>
          </cell>
          <cell r="AV3197">
            <v>0</v>
          </cell>
        </row>
        <row r="3198">
          <cell r="E3198" t="str">
            <v>D25017735</v>
          </cell>
          <cell r="AP3198">
            <v>0</v>
          </cell>
          <cell r="AQ3198">
            <v>0</v>
          </cell>
          <cell r="AV3198">
            <v>0</v>
          </cell>
        </row>
        <row r="3199">
          <cell r="E3199" t="str">
            <v>D25017752</v>
          </cell>
          <cell r="AP3199">
            <v>0</v>
          </cell>
          <cell r="AQ3199">
            <v>0</v>
          </cell>
          <cell r="AV3199">
            <v>0</v>
          </cell>
        </row>
        <row r="3200">
          <cell r="E3200" t="str">
            <v>D25017752</v>
          </cell>
          <cell r="AP3200">
            <v>0</v>
          </cell>
          <cell r="AQ3200">
            <v>0</v>
          </cell>
          <cell r="AV3200">
            <v>0</v>
          </cell>
        </row>
        <row r="3201">
          <cell r="E3201" t="str">
            <v>B25015422</v>
          </cell>
          <cell r="AP3201">
            <v>0</v>
          </cell>
          <cell r="AQ3201">
            <v>0</v>
          </cell>
          <cell r="AV3201">
            <v>0</v>
          </cell>
        </row>
        <row r="3202">
          <cell r="E3202" t="str">
            <v>B25015422</v>
          </cell>
          <cell r="AP3202">
            <v>0</v>
          </cell>
          <cell r="AQ3202">
            <v>0</v>
          </cell>
          <cell r="AV3202">
            <v>0</v>
          </cell>
        </row>
        <row r="3203">
          <cell r="E3203" t="str">
            <v>B25015422</v>
          </cell>
          <cell r="AP3203">
            <v>0</v>
          </cell>
          <cell r="AQ3203">
            <v>0</v>
          </cell>
          <cell r="AV3203">
            <v>0</v>
          </cell>
        </row>
        <row r="3204">
          <cell r="E3204" t="str">
            <v>B25015422</v>
          </cell>
          <cell r="AP3204">
            <v>0</v>
          </cell>
          <cell r="AQ3204">
            <v>0</v>
          </cell>
          <cell r="AV3204">
            <v>0</v>
          </cell>
        </row>
        <row r="3205">
          <cell r="E3205" t="str">
            <v>B25015422</v>
          </cell>
          <cell r="AP3205">
            <v>0</v>
          </cell>
          <cell r="AQ3205">
            <v>0</v>
          </cell>
          <cell r="AV3205">
            <v>0</v>
          </cell>
        </row>
        <row r="3206">
          <cell r="E3206" t="str">
            <v>B25015422</v>
          </cell>
          <cell r="AP3206">
            <v>0</v>
          </cell>
          <cell r="AQ3206">
            <v>0</v>
          </cell>
          <cell r="AV3206">
            <v>0</v>
          </cell>
        </row>
        <row r="3207">
          <cell r="E3207" t="str">
            <v>B25015561</v>
          </cell>
          <cell r="AP3207">
            <v>0</v>
          </cell>
          <cell r="AQ3207">
            <v>0</v>
          </cell>
          <cell r="AV3207">
            <v>0</v>
          </cell>
        </row>
        <row r="3208">
          <cell r="E3208" t="str">
            <v>D25018029</v>
          </cell>
          <cell r="AP3208">
            <v>0</v>
          </cell>
          <cell r="AQ3208">
            <v>0</v>
          </cell>
          <cell r="AV3208">
            <v>0</v>
          </cell>
        </row>
        <row r="3209">
          <cell r="E3209" t="str">
            <v>D25018029</v>
          </cell>
          <cell r="AP3209">
            <v>0</v>
          </cell>
          <cell r="AQ3209">
            <v>0</v>
          </cell>
          <cell r="AV3209">
            <v>0</v>
          </cell>
        </row>
        <row r="3210">
          <cell r="E3210" t="str">
            <v>D25018029</v>
          </cell>
          <cell r="AP3210">
            <v>0</v>
          </cell>
          <cell r="AQ3210">
            <v>0</v>
          </cell>
          <cell r="AV3210">
            <v>0</v>
          </cell>
        </row>
        <row r="3211">
          <cell r="E3211" t="str">
            <v>D25018065</v>
          </cell>
          <cell r="AP3211">
            <v>0</v>
          </cell>
          <cell r="AQ3211">
            <v>0</v>
          </cell>
          <cell r="AV3211">
            <v>0</v>
          </cell>
        </row>
        <row r="3212">
          <cell r="E3212" t="str">
            <v>D25018103</v>
          </cell>
          <cell r="AP3212">
            <v>0</v>
          </cell>
          <cell r="AQ3212">
            <v>0</v>
          </cell>
          <cell r="AV3212">
            <v>0</v>
          </cell>
        </row>
        <row r="3213">
          <cell r="E3213" t="str">
            <v>D25018268</v>
          </cell>
          <cell r="AP3213">
            <v>0</v>
          </cell>
          <cell r="AQ3213">
            <v>0</v>
          </cell>
          <cell r="AV3213">
            <v>0</v>
          </cell>
        </row>
        <row r="3214">
          <cell r="E3214" t="str">
            <v>D25018268</v>
          </cell>
          <cell r="AP3214">
            <v>0</v>
          </cell>
          <cell r="AQ3214">
            <v>0</v>
          </cell>
          <cell r="AV3214">
            <v>0</v>
          </cell>
        </row>
        <row r="3215">
          <cell r="E3215" t="str">
            <v>D25018268</v>
          </cell>
          <cell r="AP3215">
            <v>0</v>
          </cell>
          <cell r="AQ3215">
            <v>0</v>
          </cell>
          <cell r="AV3215">
            <v>0</v>
          </cell>
        </row>
        <row r="3216">
          <cell r="E3216" t="str">
            <v>D25018268</v>
          </cell>
          <cell r="AP3216">
            <v>0</v>
          </cell>
          <cell r="AQ3216">
            <v>0</v>
          </cell>
          <cell r="AV3216">
            <v>0</v>
          </cell>
        </row>
        <row r="3217">
          <cell r="E3217" t="str">
            <v>D25018268</v>
          </cell>
          <cell r="AP3217">
            <v>0</v>
          </cell>
          <cell r="AQ3217">
            <v>0</v>
          </cell>
          <cell r="AV3217">
            <v>0</v>
          </cell>
        </row>
        <row r="3218">
          <cell r="E3218" t="str">
            <v>B25015876</v>
          </cell>
          <cell r="AP3218">
            <v>0</v>
          </cell>
          <cell r="AQ3218">
            <v>0</v>
          </cell>
          <cell r="AV3218">
            <v>0</v>
          </cell>
        </row>
        <row r="3219">
          <cell r="E3219" t="str">
            <v>B25016042</v>
          </cell>
          <cell r="AP3219">
            <v>0</v>
          </cell>
          <cell r="AQ3219">
            <v>0</v>
          </cell>
          <cell r="AV3219">
            <v>0</v>
          </cell>
        </row>
        <row r="3220">
          <cell r="E3220" t="str">
            <v>B25016058</v>
          </cell>
          <cell r="AP3220">
            <v>0</v>
          </cell>
          <cell r="AQ3220">
            <v>0</v>
          </cell>
          <cell r="AV3220">
            <v>0</v>
          </cell>
        </row>
        <row r="3221">
          <cell r="E3221" t="str">
            <v>B25016058</v>
          </cell>
          <cell r="AP3221">
            <v>0</v>
          </cell>
          <cell r="AQ3221">
            <v>0</v>
          </cell>
          <cell r="AV3221">
            <v>0</v>
          </cell>
        </row>
        <row r="3222">
          <cell r="E3222" t="str">
            <v>B25016073</v>
          </cell>
          <cell r="AP3222">
            <v>0</v>
          </cell>
          <cell r="AQ3222">
            <v>0</v>
          </cell>
          <cell r="AV3222">
            <v>0</v>
          </cell>
        </row>
        <row r="3223">
          <cell r="E3223" t="str">
            <v>B25016323</v>
          </cell>
          <cell r="AP3223">
            <v>0</v>
          </cell>
          <cell r="AQ3223">
            <v>0</v>
          </cell>
          <cell r="AV3223">
            <v>0</v>
          </cell>
        </row>
        <row r="3224">
          <cell r="E3224" t="str">
            <v>B25016323</v>
          </cell>
          <cell r="AP3224">
            <v>0</v>
          </cell>
          <cell r="AQ3224">
            <v>0</v>
          </cell>
          <cell r="AV3224">
            <v>0</v>
          </cell>
        </row>
        <row r="3225">
          <cell r="E3225" t="str">
            <v>B25016323</v>
          </cell>
          <cell r="AP3225">
            <v>0</v>
          </cell>
          <cell r="AQ3225">
            <v>0</v>
          </cell>
          <cell r="AV3225">
            <v>0</v>
          </cell>
        </row>
        <row r="3226">
          <cell r="E3226" t="str">
            <v>B25016323</v>
          </cell>
          <cell r="AP3226">
            <v>0</v>
          </cell>
          <cell r="AQ3226">
            <v>0</v>
          </cell>
          <cell r="AV3226">
            <v>0</v>
          </cell>
        </row>
        <row r="3227">
          <cell r="E3227" t="str">
            <v>B25016368</v>
          </cell>
          <cell r="AP3227">
            <v>0</v>
          </cell>
          <cell r="AQ3227">
            <v>0</v>
          </cell>
          <cell r="AV3227">
            <v>0</v>
          </cell>
        </row>
        <row r="3228">
          <cell r="E3228" t="str">
            <v>B25016611</v>
          </cell>
          <cell r="AP3228">
            <v>0</v>
          </cell>
          <cell r="AQ3228">
            <v>0</v>
          </cell>
          <cell r="AV3228">
            <v>0</v>
          </cell>
        </row>
        <row r="3229">
          <cell r="E3229" t="str">
            <v>D25019062</v>
          </cell>
          <cell r="AP3229">
            <v>0</v>
          </cell>
          <cell r="AQ3229">
            <v>0</v>
          </cell>
          <cell r="AV3229">
            <v>0</v>
          </cell>
        </row>
        <row r="3230">
          <cell r="E3230" t="str">
            <v>D25019062</v>
          </cell>
          <cell r="AP3230">
            <v>0</v>
          </cell>
          <cell r="AQ3230">
            <v>0</v>
          </cell>
          <cell r="AV3230">
            <v>0</v>
          </cell>
        </row>
        <row r="3231">
          <cell r="E3231" t="str">
            <v>D25019062</v>
          </cell>
          <cell r="AP3231">
            <v>0</v>
          </cell>
          <cell r="AQ3231">
            <v>0</v>
          </cell>
          <cell r="AV3231">
            <v>0</v>
          </cell>
        </row>
        <row r="3232">
          <cell r="E3232" t="str">
            <v>D25019153</v>
          </cell>
          <cell r="AP3232">
            <v>0</v>
          </cell>
          <cell r="AQ3232">
            <v>0</v>
          </cell>
          <cell r="AV3232">
            <v>0</v>
          </cell>
        </row>
        <row r="3233">
          <cell r="E3233" t="str">
            <v>D25019210</v>
          </cell>
          <cell r="AP3233">
            <v>0</v>
          </cell>
          <cell r="AQ3233">
            <v>0</v>
          </cell>
          <cell r="AV3233">
            <v>0</v>
          </cell>
        </row>
        <row r="3234">
          <cell r="E3234" t="str">
            <v>D25019264</v>
          </cell>
          <cell r="AP3234">
            <v>0</v>
          </cell>
          <cell r="AQ3234">
            <v>0</v>
          </cell>
          <cell r="AV3234">
            <v>0</v>
          </cell>
        </row>
        <row r="3235">
          <cell r="E3235" t="str">
            <v>D25019264</v>
          </cell>
          <cell r="AP3235">
            <v>0</v>
          </cell>
          <cell r="AQ3235">
            <v>0</v>
          </cell>
          <cell r="AV3235">
            <v>0</v>
          </cell>
        </row>
        <row r="3236">
          <cell r="E3236" t="str">
            <v>D25019264</v>
          </cell>
          <cell r="AP3236">
            <v>0</v>
          </cell>
          <cell r="AQ3236">
            <v>0</v>
          </cell>
          <cell r="AV3236">
            <v>0</v>
          </cell>
        </row>
        <row r="3237">
          <cell r="E3237" t="str">
            <v>D25019268</v>
          </cell>
          <cell r="AP3237">
            <v>0</v>
          </cell>
          <cell r="AQ3237">
            <v>0</v>
          </cell>
          <cell r="AV3237">
            <v>0</v>
          </cell>
        </row>
        <row r="3238">
          <cell r="E3238" t="str">
            <v>D25019268</v>
          </cell>
          <cell r="AP3238">
            <v>0</v>
          </cell>
          <cell r="AQ3238">
            <v>0</v>
          </cell>
          <cell r="AV3238">
            <v>0</v>
          </cell>
        </row>
        <row r="3239">
          <cell r="E3239" t="str">
            <v>D25019269</v>
          </cell>
          <cell r="AP3239">
            <v>0</v>
          </cell>
          <cell r="AQ3239">
            <v>0</v>
          </cell>
          <cell r="AV3239">
            <v>0</v>
          </cell>
        </row>
        <row r="3240">
          <cell r="E3240" t="str">
            <v>D25019356</v>
          </cell>
          <cell r="AP3240">
            <v>0</v>
          </cell>
          <cell r="AQ3240">
            <v>0</v>
          </cell>
          <cell r="AV3240">
            <v>0</v>
          </cell>
        </row>
        <row r="3241">
          <cell r="E3241" t="str">
            <v>D25019356</v>
          </cell>
          <cell r="AP3241">
            <v>0</v>
          </cell>
          <cell r="AQ3241">
            <v>0</v>
          </cell>
          <cell r="AV3241">
            <v>0</v>
          </cell>
        </row>
        <row r="3242">
          <cell r="E3242" t="str">
            <v>D25019394</v>
          </cell>
          <cell r="AP3242">
            <v>0</v>
          </cell>
          <cell r="AQ3242">
            <v>0</v>
          </cell>
          <cell r="AV3242">
            <v>0</v>
          </cell>
        </row>
        <row r="3243">
          <cell r="E3243" t="str">
            <v>D25019394</v>
          </cell>
          <cell r="AP3243">
            <v>0</v>
          </cell>
          <cell r="AQ3243">
            <v>0</v>
          </cell>
          <cell r="AV3243">
            <v>0</v>
          </cell>
        </row>
        <row r="3244">
          <cell r="E3244" t="str">
            <v>D25019517</v>
          </cell>
          <cell r="AP3244">
            <v>0</v>
          </cell>
          <cell r="AQ3244">
            <v>0</v>
          </cell>
          <cell r="AV3244">
            <v>0</v>
          </cell>
        </row>
        <row r="3245">
          <cell r="E3245" t="str">
            <v>D25019517</v>
          </cell>
          <cell r="AP3245">
            <v>0</v>
          </cell>
          <cell r="AQ3245">
            <v>0</v>
          </cell>
          <cell r="AV3245">
            <v>0</v>
          </cell>
        </row>
        <row r="3246">
          <cell r="E3246" t="str">
            <v>D25019595</v>
          </cell>
          <cell r="AP3246">
            <v>0</v>
          </cell>
          <cell r="AQ3246">
            <v>0</v>
          </cell>
          <cell r="AV3246">
            <v>0</v>
          </cell>
        </row>
        <row r="3247">
          <cell r="E3247" t="str">
            <v>D25019595</v>
          </cell>
          <cell r="AP3247">
            <v>0</v>
          </cell>
          <cell r="AQ3247">
            <v>0</v>
          </cell>
          <cell r="AV3247">
            <v>0</v>
          </cell>
        </row>
        <row r="3248">
          <cell r="E3248" t="str">
            <v>D25019595</v>
          </cell>
          <cell r="AP3248">
            <v>0</v>
          </cell>
          <cell r="AQ3248">
            <v>0</v>
          </cell>
          <cell r="AV3248">
            <v>0</v>
          </cell>
        </row>
        <row r="3249">
          <cell r="E3249" t="str">
            <v>D25019596</v>
          </cell>
          <cell r="AP3249">
            <v>0</v>
          </cell>
          <cell r="AQ3249">
            <v>0</v>
          </cell>
          <cell r="AV3249">
            <v>0</v>
          </cell>
        </row>
        <row r="3250">
          <cell r="E3250" t="str">
            <v>D25019596</v>
          </cell>
          <cell r="AP3250">
            <v>0</v>
          </cell>
          <cell r="AQ3250">
            <v>0</v>
          </cell>
          <cell r="AV3250">
            <v>0</v>
          </cell>
        </row>
        <row r="3251">
          <cell r="E3251" t="str">
            <v>D25019596</v>
          </cell>
          <cell r="AP3251">
            <v>0</v>
          </cell>
          <cell r="AQ3251">
            <v>0</v>
          </cell>
          <cell r="AV3251">
            <v>0</v>
          </cell>
        </row>
        <row r="3252">
          <cell r="E3252" t="str">
            <v>D25019596</v>
          </cell>
          <cell r="AP3252">
            <v>0</v>
          </cell>
          <cell r="AQ3252">
            <v>0</v>
          </cell>
          <cell r="AV3252">
            <v>0</v>
          </cell>
        </row>
        <row r="3253">
          <cell r="E3253" t="str">
            <v>B25017086</v>
          </cell>
          <cell r="AP3253">
            <v>0</v>
          </cell>
          <cell r="AQ3253">
            <v>0</v>
          </cell>
          <cell r="AV3253">
            <v>0</v>
          </cell>
        </row>
        <row r="3254">
          <cell r="E3254" t="str">
            <v>B25017135</v>
          </cell>
          <cell r="AP3254">
            <v>0</v>
          </cell>
          <cell r="AQ3254">
            <v>0</v>
          </cell>
          <cell r="AV3254">
            <v>0</v>
          </cell>
        </row>
        <row r="3255">
          <cell r="E3255" t="str">
            <v>D26000080</v>
          </cell>
          <cell r="AP3255">
            <v>0</v>
          </cell>
          <cell r="AQ3255">
            <v>0</v>
          </cell>
          <cell r="AV3255">
            <v>0</v>
          </cell>
        </row>
        <row r="3256">
          <cell r="E3256" t="str">
            <v>D26000081</v>
          </cell>
          <cell r="AP3256">
            <v>0</v>
          </cell>
          <cell r="AQ3256">
            <v>0</v>
          </cell>
          <cell r="AV3256">
            <v>0</v>
          </cell>
        </row>
        <row r="3257">
          <cell r="E3257" t="str">
            <v>D26000083</v>
          </cell>
          <cell r="AP3257">
            <v>0</v>
          </cell>
          <cell r="AQ3257">
            <v>0</v>
          </cell>
          <cell r="AV3257">
            <v>0</v>
          </cell>
        </row>
        <row r="3258">
          <cell r="E3258" t="str">
            <v>D26000536</v>
          </cell>
          <cell r="AP3258">
            <v>0</v>
          </cell>
          <cell r="AQ3258">
            <v>0</v>
          </cell>
          <cell r="AV3258">
            <v>0</v>
          </cell>
        </row>
        <row r="3259">
          <cell r="E3259" t="str">
            <v>D26000583</v>
          </cell>
          <cell r="AP3259">
            <v>0</v>
          </cell>
          <cell r="AQ3259">
            <v>0</v>
          </cell>
          <cell r="AV3259">
            <v>0</v>
          </cell>
        </row>
        <row r="3260">
          <cell r="E3260" t="str">
            <v>D26001285</v>
          </cell>
          <cell r="AP3260">
            <v>0</v>
          </cell>
          <cell r="AQ3260">
            <v>0</v>
          </cell>
          <cell r="AV3260">
            <v>0</v>
          </cell>
        </row>
        <row r="3261">
          <cell r="E3261" t="str">
            <v>D26001475</v>
          </cell>
          <cell r="AP3261">
            <v>0</v>
          </cell>
          <cell r="AQ3261">
            <v>0</v>
          </cell>
          <cell r="AV3261">
            <v>0</v>
          </cell>
        </row>
        <row r="3262">
          <cell r="E3262" t="str">
            <v>D26001494</v>
          </cell>
          <cell r="AP3262">
            <v>0</v>
          </cell>
          <cell r="AQ3262">
            <v>0</v>
          </cell>
          <cell r="AV3262">
            <v>0</v>
          </cell>
        </row>
        <row r="3263">
          <cell r="E3263" t="str">
            <v>D26001508</v>
          </cell>
          <cell r="AP3263">
            <v>0</v>
          </cell>
          <cell r="AQ3263">
            <v>0</v>
          </cell>
          <cell r="AV3263">
            <v>0</v>
          </cell>
        </row>
        <row r="3264">
          <cell r="E3264" t="str">
            <v>D26001675</v>
          </cell>
          <cell r="AP3264">
            <v>0</v>
          </cell>
          <cell r="AQ3264">
            <v>0</v>
          </cell>
          <cell r="AV3264">
            <v>0</v>
          </cell>
        </row>
        <row r="3265">
          <cell r="E3265" t="str">
            <v>D26001676</v>
          </cell>
          <cell r="AP3265">
            <v>0</v>
          </cell>
          <cell r="AQ3265">
            <v>0</v>
          </cell>
          <cell r="AV3265">
            <v>0</v>
          </cell>
        </row>
        <row r="3266">
          <cell r="E3266" t="str">
            <v>D26001730</v>
          </cell>
          <cell r="AP3266">
            <v>0</v>
          </cell>
          <cell r="AQ3266">
            <v>0</v>
          </cell>
          <cell r="AV3266">
            <v>0</v>
          </cell>
        </row>
        <row r="3267">
          <cell r="E3267" t="str">
            <v>D25007908</v>
          </cell>
          <cell r="AP3267">
            <v>0</v>
          </cell>
          <cell r="AQ3267">
            <v>0</v>
          </cell>
          <cell r="AV3267">
            <v>0</v>
          </cell>
        </row>
        <row r="3268">
          <cell r="E3268" t="str">
            <v>D25015340</v>
          </cell>
          <cell r="AP3268">
            <v>0</v>
          </cell>
          <cell r="AQ3268">
            <v>0</v>
          </cell>
          <cell r="AV3268">
            <v>0</v>
          </cell>
        </row>
        <row r="3269">
          <cell r="E3269" t="str">
            <v>D25010159</v>
          </cell>
          <cell r="AP3269">
            <v>0</v>
          </cell>
          <cell r="AQ3269">
            <v>0</v>
          </cell>
          <cell r="AV3269">
            <v>0</v>
          </cell>
        </row>
        <row r="3270">
          <cell r="E3270" t="str">
            <v>B26001143</v>
          </cell>
          <cell r="AP3270">
            <v>0</v>
          </cell>
          <cell r="AQ3270">
            <v>0</v>
          </cell>
          <cell r="AV3270">
            <v>0</v>
          </cell>
        </row>
        <row r="3271">
          <cell r="E3271" t="str">
            <v>B26001586</v>
          </cell>
          <cell r="AP3271">
            <v>0</v>
          </cell>
          <cell r="AQ3271">
            <v>0</v>
          </cell>
          <cell r="AV3271">
            <v>1000000</v>
          </cell>
        </row>
        <row r="3272">
          <cell r="E3272" t="str">
            <v>D24016641</v>
          </cell>
          <cell r="AP3272">
            <v>0</v>
          </cell>
          <cell r="AQ3272">
            <v>0</v>
          </cell>
          <cell r="AV3272">
            <v>0</v>
          </cell>
        </row>
        <row r="3273">
          <cell r="E3273" t="str">
            <v>A26000136</v>
          </cell>
          <cell r="AP3273">
            <v>0</v>
          </cell>
          <cell r="AQ3273">
            <v>0</v>
          </cell>
          <cell r="AV3273">
            <v>0</v>
          </cell>
        </row>
        <row r="3274">
          <cell r="E3274" t="str">
            <v>A26000158</v>
          </cell>
          <cell r="AP3274">
            <v>0</v>
          </cell>
          <cell r="AQ3274">
            <v>0</v>
          </cell>
          <cell r="AV3274">
            <v>0</v>
          </cell>
        </row>
        <row r="3275">
          <cell r="E3275" t="str">
            <v>A26000161</v>
          </cell>
          <cell r="AP3275">
            <v>0</v>
          </cell>
          <cell r="AQ3275">
            <v>0</v>
          </cell>
          <cell r="AV3275">
            <v>0</v>
          </cell>
        </row>
        <row r="3276">
          <cell r="E3276" t="str">
            <v>A26000162</v>
          </cell>
          <cell r="AP3276">
            <v>0</v>
          </cell>
          <cell r="AQ3276">
            <v>0</v>
          </cell>
          <cell r="AV3276">
            <v>0</v>
          </cell>
        </row>
        <row r="3277">
          <cell r="E3277" t="str">
            <v>A26000164</v>
          </cell>
          <cell r="AP3277">
            <v>0</v>
          </cell>
          <cell r="AQ3277">
            <v>0</v>
          </cell>
          <cell r="AV3277">
            <v>0</v>
          </cell>
        </row>
        <row r="3278">
          <cell r="E3278" t="str">
            <v>A26000167</v>
          </cell>
          <cell r="AP3278">
            <v>0</v>
          </cell>
          <cell r="AQ3278">
            <v>0</v>
          </cell>
          <cell r="AV3278">
            <v>0</v>
          </cell>
        </row>
        <row r="3279">
          <cell r="E3279" t="str">
            <v>A26000169</v>
          </cell>
          <cell r="AP3279">
            <v>0</v>
          </cell>
          <cell r="AQ3279">
            <v>0</v>
          </cell>
          <cell r="AV3279">
            <v>0</v>
          </cell>
        </row>
        <row r="3280">
          <cell r="E3280" t="str">
            <v>A26000171</v>
          </cell>
          <cell r="AP3280">
            <v>0</v>
          </cell>
          <cell r="AQ3280">
            <v>0</v>
          </cell>
          <cell r="AV3280">
            <v>0</v>
          </cell>
        </row>
        <row r="3281">
          <cell r="E3281" t="str">
            <v>A26000172</v>
          </cell>
          <cell r="AP3281">
            <v>0</v>
          </cell>
          <cell r="AQ3281">
            <v>0</v>
          </cell>
          <cell r="AV3281">
            <v>0</v>
          </cell>
        </row>
        <row r="3282">
          <cell r="E3282" t="str">
            <v>A26000173</v>
          </cell>
          <cell r="AP3282">
            <v>0</v>
          </cell>
          <cell r="AQ3282">
            <v>0</v>
          </cell>
          <cell r="AV3282">
            <v>0</v>
          </cell>
        </row>
        <row r="3283">
          <cell r="E3283" t="str">
            <v>A26000174</v>
          </cell>
          <cell r="AP3283">
            <v>0</v>
          </cell>
          <cell r="AQ3283">
            <v>0</v>
          </cell>
          <cell r="AV3283">
            <v>0</v>
          </cell>
        </row>
        <row r="3284">
          <cell r="E3284" t="str">
            <v>A26000176</v>
          </cell>
          <cell r="AP3284">
            <v>0</v>
          </cell>
          <cell r="AQ3284">
            <v>0</v>
          </cell>
          <cell r="AV3284">
            <v>0</v>
          </cell>
        </row>
        <row r="3285">
          <cell r="E3285" t="str">
            <v>A26000177</v>
          </cell>
          <cell r="AP3285">
            <v>0</v>
          </cell>
          <cell r="AQ3285">
            <v>0</v>
          </cell>
          <cell r="AV3285">
            <v>0</v>
          </cell>
        </row>
        <row r="3286">
          <cell r="E3286" t="str">
            <v>A26000178</v>
          </cell>
          <cell r="AP3286">
            <v>0</v>
          </cell>
          <cell r="AQ3286">
            <v>0</v>
          </cell>
          <cell r="AV3286">
            <v>0</v>
          </cell>
        </row>
        <row r="3287">
          <cell r="E3287" t="str">
            <v>A26000179</v>
          </cell>
          <cell r="AP3287">
            <v>0</v>
          </cell>
          <cell r="AQ3287">
            <v>0</v>
          </cell>
          <cell r="AV3287">
            <v>0</v>
          </cell>
        </row>
        <row r="3288">
          <cell r="E3288" t="str">
            <v>A26000180</v>
          </cell>
          <cell r="AP3288">
            <v>0</v>
          </cell>
          <cell r="AQ3288">
            <v>0</v>
          </cell>
          <cell r="AV3288">
            <v>0</v>
          </cell>
        </row>
        <row r="3289">
          <cell r="E3289" t="str">
            <v>A26000181</v>
          </cell>
          <cell r="AP3289">
            <v>0</v>
          </cell>
          <cell r="AQ3289">
            <v>0</v>
          </cell>
          <cell r="AV3289">
            <v>0</v>
          </cell>
        </row>
        <row r="3290">
          <cell r="E3290" t="str">
            <v>A26000182</v>
          </cell>
          <cell r="AP3290">
            <v>0</v>
          </cell>
          <cell r="AQ3290">
            <v>0</v>
          </cell>
          <cell r="AV3290">
            <v>0</v>
          </cell>
        </row>
        <row r="3291">
          <cell r="E3291" t="str">
            <v>A26000185</v>
          </cell>
          <cell r="AP3291">
            <v>0</v>
          </cell>
          <cell r="AQ3291">
            <v>0</v>
          </cell>
          <cell r="AV3291">
            <v>0</v>
          </cell>
        </row>
        <row r="3292">
          <cell r="E3292" t="str">
            <v>A26000186</v>
          </cell>
          <cell r="AP3292">
            <v>0</v>
          </cell>
          <cell r="AQ3292">
            <v>0</v>
          </cell>
          <cell r="AV3292">
            <v>0</v>
          </cell>
        </row>
        <row r="3293">
          <cell r="E3293" t="str">
            <v>A26000187</v>
          </cell>
          <cell r="AP3293">
            <v>0</v>
          </cell>
          <cell r="AQ3293">
            <v>0</v>
          </cell>
          <cell r="AV3293">
            <v>0</v>
          </cell>
        </row>
        <row r="3294">
          <cell r="E3294" t="str">
            <v>A26000189</v>
          </cell>
          <cell r="AP3294">
            <v>0</v>
          </cell>
          <cell r="AQ3294">
            <v>0</v>
          </cell>
          <cell r="AV3294">
            <v>0</v>
          </cell>
        </row>
        <row r="3295">
          <cell r="E3295" t="str">
            <v>A25002320</v>
          </cell>
          <cell r="AP3295">
            <v>0</v>
          </cell>
          <cell r="AQ3295">
            <v>0</v>
          </cell>
          <cell r="AV3295">
            <v>0</v>
          </cell>
        </row>
        <row r="3296">
          <cell r="E3296" t="str">
            <v>A26000014</v>
          </cell>
          <cell r="AP3296">
            <v>0</v>
          </cell>
          <cell r="AQ3296">
            <v>0</v>
          </cell>
          <cell r="AV3296">
            <v>0</v>
          </cell>
        </row>
        <row r="3297">
          <cell r="E3297" t="str">
            <v>A26000060</v>
          </cell>
          <cell r="AP3297">
            <v>0</v>
          </cell>
          <cell r="AQ3297">
            <v>0</v>
          </cell>
          <cell r="AV3297">
            <v>0</v>
          </cell>
        </row>
        <row r="3298">
          <cell r="E3298" t="str">
            <v>A26000118</v>
          </cell>
          <cell r="AP3298">
            <v>0</v>
          </cell>
          <cell r="AQ3298">
            <v>0</v>
          </cell>
          <cell r="AV3298">
            <v>0</v>
          </cell>
        </row>
        <row r="3299">
          <cell r="E3299" t="str">
            <v>A26000143</v>
          </cell>
          <cell r="AP3299">
            <v>0</v>
          </cell>
          <cell r="AQ3299">
            <v>0</v>
          </cell>
          <cell r="AV3299">
            <v>0</v>
          </cell>
        </row>
        <row r="3300">
          <cell r="E3300" t="str">
            <v>A26000175</v>
          </cell>
          <cell r="AP3300">
            <v>0</v>
          </cell>
          <cell r="AQ3300">
            <v>0</v>
          </cell>
          <cell r="AV3300">
            <v>0</v>
          </cell>
        </row>
        <row r="3301">
          <cell r="E3301" t="str">
            <v>A26000183</v>
          </cell>
          <cell r="AP3301">
            <v>0</v>
          </cell>
          <cell r="AQ3301">
            <v>0</v>
          </cell>
          <cell r="AV3301">
            <v>0</v>
          </cell>
        </row>
        <row r="3302">
          <cell r="E3302" t="str">
            <v>A26000184</v>
          </cell>
          <cell r="AP3302">
            <v>0</v>
          </cell>
          <cell r="AQ3302">
            <v>0</v>
          </cell>
          <cell r="AV3302">
            <v>0</v>
          </cell>
        </row>
        <row r="3303">
          <cell r="E3303" t="str">
            <v>A26000188</v>
          </cell>
          <cell r="AP3303">
            <v>0</v>
          </cell>
          <cell r="AQ3303">
            <v>0</v>
          </cell>
          <cell r="AV3303">
            <v>0</v>
          </cell>
        </row>
        <row r="3304">
          <cell r="E3304" t="str">
            <v>D26000155</v>
          </cell>
          <cell r="AP3304">
            <v>0</v>
          </cell>
          <cell r="AQ3304">
            <v>0</v>
          </cell>
          <cell r="AV3304">
            <v>0</v>
          </cell>
        </row>
        <row r="3305">
          <cell r="E3305" t="str">
            <v>B26000336</v>
          </cell>
          <cell r="AP3305">
            <v>0</v>
          </cell>
          <cell r="AQ3305">
            <v>0</v>
          </cell>
          <cell r="AV3305">
            <v>0</v>
          </cell>
        </row>
        <row r="3306">
          <cell r="E3306" t="str">
            <v>B26000155</v>
          </cell>
          <cell r="AP3306">
            <v>0</v>
          </cell>
          <cell r="AQ3306">
            <v>0</v>
          </cell>
          <cell r="AV3306">
            <v>0</v>
          </cell>
        </row>
        <row r="3307">
          <cell r="E3307" t="str">
            <v>B25015869</v>
          </cell>
          <cell r="AP3307">
            <v>0</v>
          </cell>
          <cell r="AQ3307">
            <v>0</v>
          </cell>
          <cell r="AV3307">
            <v>0</v>
          </cell>
        </row>
        <row r="3308">
          <cell r="E3308" t="str">
            <v>B25016602</v>
          </cell>
          <cell r="AP3308">
            <v>0</v>
          </cell>
          <cell r="AQ3308">
            <v>0</v>
          </cell>
          <cell r="AV3308">
            <v>0</v>
          </cell>
        </row>
        <row r="3309">
          <cell r="E3309" t="str">
            <v>D26000826</v>
          </cell>
          <cell r="AP3309">
            <v>0</v>
          </cell>
          <cell r="AQ3309">
            <v>0</v>
          </cell>
          <cell r="AV3309">
            <v>0</v>
          </cell>
        </row>
        <row r="3310">
          <cell r="E3310" t="str">
            <v>T26000090</v>
          </cell>
          <cell r="AP3310">
            <v>0</v>
          </cell>
          <cell r="AQ3310">
            <v>0</v>
          </cell>
          <cell r="AV3310">
            <v>0</v>
          </cell>
        </row>
        <row r="3311">
          <cell r="E3311" t="str">
            <v>B26001266</v>
          </cell>
          <cell r="AP3311">
            <v>0</v>
          </cell>
          <cell r="AQ3311">
            <v>0</v>
          </cell>
          <cell r="AV3311">
            <v>0</v>
          </cell>
        </row>
        <row r="3312">
          <cell r="E3312" t="str">
            <v>T25001846</v>
          </cell>
          <cell r="AP3312">
            <v>0</v>
          </cell>
          <cell r="AQ3312">
            <v>0</v>
          </cell>
          <cell r="AV3312">
            <v>0</v>
          </cell>
        </row>
        <row r="3313">
          <cell r="E3313" t="str">
            <v>B26000627</v>
          </cell>
          <cell r="AP3313">
            <v>0</v>
          </cell>
          <cell r="AQ3313">
            <v>0</v>
          </cell>
          <cell r="AV3313">
            <v>0</v>
          </cell>
        </row>
        <row r="3314">
          <cell r="E3314" t="str">
            <v>D25019021</v>
          </cell>
          <cell r="AP3314">
            <v>0</v>
          </cell>
          <cell r="AQ3314">
            <v>0</v>
          </cell>
          <cell r="AV3314">
            <v>9000000</v>
          </cell>
        </row>
        <row r="3315">
          <cell r="E3315" t="str">
            <v>D25016703</v>
          </cell>
          <cell r="AP3315">
            <v>0</v>
          </cell>
          <cell r="AQ3315">
            <v>0</v>
          </cell>
          <cell r="AV3315">
            <v>0</v>
          </cell>
        </row>
        <row r="3316">
          <cell r="E3316" t="str">
            <v>B25016707</v>
          </cell>
          <cell r="AP3316">
            <v>0</v>
          </cell>
          <cell r="AQ3316">
            <v>0</v>
          </cell>
          <cell r="AV3316">
            <v>0</v>
          </cell>
        </row>
        <row r="3317">
          <cell r="E3317" t="str">
            <v>B25016708</v>
          </cell>
          <cell r="AP3317">
            <v>0</v>
          </cell>
          <cell r="AQ3317">
            <v>0</v>
          </cell>
          <cell r="AV3317">
            <v>0</v>
          </cell>
        </row>
        <row r="3318">
          <cell r="E3318" t="str">
            <v>B26000051</v>
          </cell>
          <cell r="AP3318">
            <v>0</v>
          </cell>
          <cell r="AQ3318">
            <v>0</v>
          </cell>
          <cell r="AV3318">
            <v>0</v>
          </cell>
        </row>
        <row r="3319">
          <cell r="E3319" t="str">
            <v>D26000324</v>
          </cell>
          <cell r="AP3319">
            <v>0</v>
          </cell>
          <cell r="AQ3319">
            <v>0</v>
          </cell>
          <cell r="AV3319">
            <v>0</v>
          </cell>
        </row>
        <row r="3320">
          <cell r="E3320" t="str">
            <v>D26000607</v>
          </cell>
          <cell r="AP3320">
            <v>0</v>
          </cell>
          <cell r="AQ3320">
            <v>0</v>
          </cell>
          <cell r="AV3320">
            <v>0</v>
          </cell>
        </row>
        <row r="3321">
          <cell r="E3321" t="str">
            <v>D26001548</v>
          </cell>
          <cell r="AP3321">
            <v>0</v>
          </cell>
          <cell r="AQ3321">
            <v>0</v>
          </cell>
          <cell r="AV3321">
            <v>0</v>
          </cell>
        </row>
        <row r="3322">
          <cell r="E3322" t="str">
            <v>B25015031</v>
          </cell>
          <cell r="AP3322">
            <v>0</v>
          </cell>
          <cell r="AQ3322">
            <v>0</v>
          </cell>
          <cell r="AV3322">
            <v>0</v>
          </cell>
        </row>
        <row r="3323">
          <cell r="E3323" t="str">
            <v>D25017570</v>
          </cell>
          <cell r="AP3323">
            <v>0</v>
          </cell>
          <cell r="AQ3323">
            <v>0</v>
          </cell>
          <cell r="AV3323">
            <v>0</v>
          </cell>
        </row>
        <row r="3324">
          <cell r="E3324" t="str">
            <v>D25017851</v>
          </cell>
          <cell r="AP3324">
            <v>0</v>
          </cell>
          <cell r="AQ3324">
            <v>0</v>
          </cell>
          <cell r="AV3324">
            <v>0</v>
          </cell>
        </row>
        <row r="3325">
          <cell r="E3325" t="str">
            <v>B25015708</v>
          </cell>
          <cell r="AP3325">
            <v>0</v>
          </cell>
          <cell r="AQ3325">
            <v>0</v>
          </cell>
          <cell r="AV3325">
            <v>0</v>
          </cell>
        </row>
        <row r="3326">
          <cell r="E3326" t="str">
            <v>D25018202</v>
          </cell>
          <cell r="AP3326">
            <v>0</v>
          </cell>
          <cell r="AQ3326">
            <v>0</v>
          </cell>
          <cell r="AV3326">
            <v>0</v>
          </cell>
        </row>
        <row r="3327">
          <cell r="E3327" t="str">
            <v>D25018246</v>
          </cell>
          <cell r="AP3327">
            <v>0</v>
          </cell>
          <cell r="AQ3327">
            <v>0</v>
          </cell>
          <cell r="AV3327">
            <v>0</v>
          </cell>
        </row>
        <row r="3328">
          <cell r="E3328" t="str">
            <v>D25018677</v>
          </cell>
          <cell r="AP3328">
            <v>0</v>
          </cell>
          <cell r="AQ3328">
            <v>0</v>
          </cell>
          <cell r="AV3328">
            <v>0</v>
          </cell>
        </row>
        <row r="3329">
          <cell r="E3329" t="str">
            <v>D25018814</v>
          </cell>
          <cell r="AP3329">
            <v>0</v>
          </cell>
          <cell r="AQ3329">
            <v>0</v>
          </cell>
          <cell r="AV3329">
            <v>0</v>
          </cell>
        </row>
        <row r="3330">
          <cell r="E3330" t="str">
            <v>D25018815</v>
          </cell>
          <cell r="AP3330">
            <v>0</v>
          </cell>
          <cell r="AQ3330">
            <v>0</v>
          </cell>
          <cell r="AV3330">
            <v>0</v>
          </cell>
        </row>
        <row r="3331">
          <cell r="E3331" t="str">
            <v>D25018817</v>
          </cell>
          <cell r="AP3331">
            <v>0</v>
          </cell>
          <cell r="AQ3331">
            <v>0</v>
          </cell>
          <cell r="AV3331">
            <v>0</v>
          </cell>
        </row>
        <row r="3332">
          <cell r="E3332" t="str">
            <v>D25019193</v>
          </cell>
          <cell r="AP3332">
            <v>0</v>
          </cell>
          <cell r="AQ3332">
            <v>0</v>
          </cell>
          <cell r="AV3332">
            <v>0</v>
          </cell>
        </row>
        <row r="3333">
          <cell r="E3333" t="str">
            <v>D25019219</v>
          </cell>
          <cell r="AP3333">
            <v>0</v>
          </cell>
          <cell r="AQ3333">
            <v>0</v>
          </cell>
          <cell r="AV3333">
            <v>0</v>
          </cell>
        </row>
        <row r="3334">
          <cell r="E3334" t="str">
            <v>D26000116</v>
          </cell>
          <cell r="AP3334">
            <v>0</v>
          </cell>
          <cell r="AQ3334">
            <v>0</v>
          </cell>
          <cell r="AV3334">
            <v>0</v>
          </cell>
        </row>
        <row r="3335">
          <cell r="E3335" t="str">
            <v>B26000296</v>
          </cell>
          <cell r="AP3335">
            <v>0</v>
          </cell>
          <cell r="AQ3335">
            <v>0</v>
          </cell>
          <cell r="AV3335">
            <v>0</v>
          </cell>
        </row>
        <row r="3336">
          <cell r="E3336" t="str">
            <v>D26001342</v>
          </cell>
          <cell r="AP3336">
            <v>0</v>
          </cell>
          <cell r="AQ3336">
            <v>0</v>
          </cell>
          <cell r="AV3336">
            <v>0</v>
          </cell>
        </row>
        <row r="3337">
          <cell r="E3337" t="str">
            <v>D26001717</v>
          </cell>
          <cell r="AP3337">
            <v>0</v>
          </cell>
          <cell r="AQ3337">
            <v>0</v>
          </cell>
          <cell r="AV3337">
            <v>0</v>
          </cell>
        </row>
        <row r="3338">
          <cell r="E3338" t="str">
            <v>D25013126</v>
          </cell>
          <cell r="AP3338">
            <v>0</v>
          </cell>
          <cell r="AQ3338">
            <v>0</v>
          </cell>
          <cell r="AV3338">
            <v>0</v>
          </cell>
        </row>
        <row r="3339">
          <cell r="E3339" t="str">
            <v>D25018753</v>
          </cell>
          <cell r="AP3339">
            <v>0</v>
          </cell>
          <cell r="AQ3339">
            <v>0</v>
          </cell>
          <cell r="AV3339">
            <v>0</v>
          </cell>
        </row>
        <row r="3340">
          <cell r="E3340" t="str">
            <v>D25018896</v>
          </cell>
          <cell r="AP3340">
            <v>0</v>
          </cell>
          <cell r="AQ3340">
            <v>0</v>
          </cell>
          <cell r="AV3340">
            <v>0</v>
          </cell>
        </row>
        <row r="3341">
          <cell r="E3341" t="str">
            <v>D25018897</v>
          </cell>
          <cell r="AP3341">
            <v>0</v>
          </cell>
          <cell r="AQ3341">
            <v>0</v>
          </cell>
          <cell r="AV3341">
            <v>0</v>
          </cell>
        </row>
        <row r="3342">
          <cell r="E3342" t="str">
            <v>D25018897</v>
          </cell>
          <cell r="AP3342">
            <v>0</v>
          </cell>
          <cell r="AQ3342">
            <v>0</v>
          </cell>
          <cell r="AV3342">
            <v>0</v>
          </cell>
        </row>
        <row r="3343">
          <cell r="E3343" t="str">
            <v>D25019002</v>
          </cell>
          <cell r="AP3343">
            <v>0</v>
          </cell>
          <cell r="AQ3343">
            <v>0</v>
          </cell>
          <cell r="AV3343">
            <v>0</v>
          </cell>
        </row>
        <row r="3344">
          <cell r="E3344" t="str">
            <v>B25016680</v>
          </cell>
          <cell r="AP3344">
            <v>0</v>
          </cell>
          <cell r="AQ3344">
            <v>0</v>
          </cell>
          <cell r="AV3344">
            <v>0</v>
          </cell>
        </row>
        <row r="3345">
          <cell r="E3345" t="str">
            <v>D25019416</v>
          </cell>
          <cell r="AP3345">
            <v>0</v>
          </cell>
          <cell r="AQ3345">
            <v>0</v>
          </cell>
          <cell r="AV3345">
            <v>0</v>
          </cell>
        </row>
        <row r="3346">
          <cell r="E3346" t="str">
            <v>D25019602</v>
          </cell>
          <cell r="AP3346">
            <v>0</v>
          </cell>
          <cell r="AQ3346">
            <v>0</v>
          </cell>
          <cell r="AV3346">
            <v>0</v>
          </cell>
        </row>
        <row r="3347">
          <cell r="E3347" t="str">
            <v>D25019602</v>
          </cell>
          <cell r="AP3347">
            <v>0</v>
          </cell>
          <cell r="AQ3347">
            <v>0</v>
          </cell>
          <cell r="AV3347">
            <v>0</v>
          </cell>
        </row>
        <row r="3348">
          <cell r="E3348" t="str">
            <v>D25019603</v>
          </cell>
          <cell r="AP3348">
            <v>0</v>
          </cell>
          <cell r="AQ3348">
            <v>0</v>
          </cell>
          <cell r="AV3348">
            <v>0</v>
          </cell>
        </row>
        <row r="3349">
          <cell r="E3349" t="str">
            <v>B26000026</v>
          </cell>
          <cell r="AP3349">
            <v>0</v>
          </cell>
          <cell r="AQ3349">
            <v>0</v>
          </cell>
          <cell r="AV3349">
            <v>0</v>
          </cell>
        </row>
        <row r="3350">
          <cell r="E3350" t="str">
            <v>B26000026</v>
          </cell>
          <cell r="AP3350">
            <v>0</v>
          </cell>
          <cell r="AQ3350">
            <v>0</v>
          </cell>
          <cell r="AV3350">
            <v>0</v>
          </cell>
        </row>
        <row r="3351">
          <cell r="E3351" t="str">
            <v>D26000082</v>
          </cell>
          <cell r="AP3351">
            <v>0</v>
          </cell>
          <cell r="AQ3351">
            <v>0</v>
          </cell>
          <cell r="AV3351">
            <v>0</v>
          </cell>
        </row>
        <row r="3352">
          <cell r="E3352" t="str">
            <v>B26001378</v>
          </cell>
          <cell r="AP3352">
            <v>0</v>
          </cell>
          <cell r="AQ3352">
            <v>0</v>
          </cell>
          <cell r="AV3352">
            <v>0</v>
          </cell>
        </row>
        <row r="3353">
          <cell r="E3353" t="str">
            <v>D26001502</v>
          </cell>
          <cell r="AP3353">
            <v>0</v>
          </cell>
          <cell r="AQ3353">
            <v>0</v>
          </cell>
          <cell r="AV3353">
            <v>0</v>
          </cell>
        </row>
        <row r="3354">
          <cell r="E3354" t="str">
            <v>B26001421</v>
          </cell>
          <cell r="AP3354">
            <v>0</v>
          </cell>
          <cell r="AQ3354">
            <v>0</v>
          </cell>
          <cell r="AV3354">
            <v>0</v>
          </cell>
        </row>
        <row r="3355">
          <cell r="E3355" t="str">
            <v>B26001422</v>
          </cell>
          <cell r="AP3355">
            <v>0</v>
          </cell>
          <cell r="AQ3355">
            <v>0</v>
          </cell>
          <cell r="AV3355">
            <v>0</v>
          </cell>
        </row>
        <row r="3356">
          <cell r="E3356" t="str">
            <v>B26001426</v>
          </cell>
          <cell r="AP3356">
            <v>0</v>
          </cell>
          <cell r="AQ3356">
            <v>0</v>
          </cell>
          <cell r="AV3356">
            <v>0</v>
          </cell>
        </row>
        <row r="3357">
          <cell r="E3357" t="str">
            <v>D26001606</v>
          </cell>
          <cell r="AP3357">
            <v>0</v>
          </cell>
          <cell r="AQ3357">
            <v>0</v>
          </cell>
          <cell r="AV3357">
            <v>0</v>
          </cell>
        </row>
        <row r="3358">
          <cell r="E3358" t="str">
            <v>D26001722</v>
          </cell>
          <cell r="AP3358">
            <v>0</v>
          </cell>
          <cell r="AQ3358">
            <v>0</v>
          </cell>
          <cell r="AV3358">
            <v>0</v>
          </cell>
        </row>
        <row r="3359">
          <cell r="E3359" t="str">
            <v>B26000217</v>
          </cell>
          <cell r="AP3359">
            <v>0</v>
          </cell>
          <cell r="AQ3359">
            <v>0</v>
          </cell>
          <cell r="AV3359">
            <v>0</v>
          </cell>
        </row>
        <row r="3360">
          <cell r="E3360" t="str">
            <v>B26000603</v>
          </cell>
          <cell r="AP3360">
            <v>0</v>
          </cell>
          <cell r="AQ3360">
            <v>0</v>
          </cell>
          <cell r="AV3360">
            <v>0</v>
          </cell>
        </row>
        <row r="3361">
          <cell r="E3361" t="str">
            <v>D26000728</v>
          </cell>
          <cell r="AP3361">
            <v>0</v>
          </cell>
          <cell r="AQ3361">
            <v>0</v>
          </cell>
          <cell r="AV3361">
            <v>0</v>
          </cell>
        </row>
        <row r="3362">
          <cell r="E3362" t="str">
            <v>D26001022</v>
          </cell>
          <cell r="AP3362">
            <v>0</v>
          </cell>
          <cell r="AQ3362">
            <v>0</v>
          </cell>
          <cell r="AV3362">
            <v>0</v>
          </cell>
        </row>
        <row r="3363">
          <cell r="E3363" t="str">
            <v>T26000070</v>
          </cell>
          <cell r="AP3363">
            <v>0</v>
          </cell>
          <cell r="AQ3363">
            <v>0</v>
          </cell>
          <cell r="AV3363">
            <v>0</v>
          </cell>
        </row>
        <row r="3364">
          <cell r="E3364" t="str">
            <v>T25001688</v>
          </cell>
          <cell r="AP3364">
            <v>0</v>
          </cell>
          <cell r="AQ3364">
            <v>0</v>
          </cell>
          <cell r="AV3364">
            <v>0</v>
          </cell>
        </row>
        <row r="3365">
          <cell r="E3365" t="str">
            <v>B25016829</v>
          </cell>
          <cell r="AP3365">
            <v>0</v>
          </cell>
          <cell r="AQ3365">
            <v>0</v>
          </cell>
          <cell r="AV3365">
            <v>0</v>
          </cell>
        </row>
        <row r="3366">
          <cell r="E3366" t="str">
            <v>B25016830</v>
          </cell>
          <cell r="AP3366">
            <v>0</v>
          </cell>
          <cell r="AQ3366">
            <v>0</v>
          </cell>
          <cell r="AV3366">
            <v>0</v>
          </cell>
        </row>
        <row r="3367">
          <cell r="E3367" t="str">
            <v>D25019556</v>
          </cell>
          <cell r="AP3367">
            <v>0</v>
          </cell>
          <cell r="AQ3367">
            <v>0</v>
          </cell>
          <cell r="AV3367">
            <v>0</v>
          </cell>
        </row>
        <row r="3368">
          <cell r="E3368" t="str">
            <v>D25019558</v>
          </cell>
          <cell r="AP3368">
            <v>0</v>
          </cell>
          <cell r="AQ3368">
            <v>0</v>
          </cell>
          <cell r="AV3368">
            <v>0</v>
          </cell>
        </row>
        <row r="3369">
          <cell r="E3369" t="str">
            <v>D25019566</v>
          </cell>
          <cell r="AP3369">
            <v>0</v>
          </cell>
          <cell r="AQ3369">
            <v>0</v>
          </cell>
          <cell r="AV3369">
            <v>0</v>
          </cell>
        </row>
        <row r="3370">
          <cell r="E3370" t="str">
            <v>D25019571</v>
          </cell>
          <cell r="AP3370">
            <v>0</v>
          </cell>
          <cell r="AQ3370">
            <v>0</v>
          </cell>
          <cell r="AV3370">
            <v>0</v>
          </cell>
        </row>
        <row r="3371">
          <cell r="E3371" t="str">
            <v>D25019672</v>
          </cell>
          <cell r="AP3371">
            <v>0</v>
          </cell>
          <cell r="AQ3371">
            <v>0</v>
          </cell>
          <cell r="AV3371">
            <v>0</v>
          </cell>
        </row>
        <row r="3372">
          <cell r="E3372" t="str">
            <v>D25019688</v>
          </cell>
          <cell r="AP3372">
            <v>0</v>
          </cell>
          <cell r="AQ3372">
            <v>0</v>
          </cell>
          <cell r="AV3372">
            <v>0</v>
          </cell>
        </row>
        <row r="3373">
          <cell r="E3373" t="str">
            <v>B26000656</v>
          </cell>
          <cell r="AP3373">
            <v>0</v>
          </cell>
          <cell r="AQ3373">
            <v>0</v>
          </cell>
          <cell r="AV3373">
            <v>0</v>
          </cell>
        </row>
        <row r="3374">
          <cell r="E3374" t="str">
            <v>B26000673</v>
          </cell>
          <cell r="AP3374">
            <v>0</v>
          </cell>
          <cell r="AQ3374">
            <v>0</v>
          </cell>
          <cell r="AV3374">
            <v>0</v>
          </cell>
        </row>
        <row r="3375">
          <cell r="E3375" t="str">
            <v>B26000674</v>
          </cell>
          <cell r="AP3375">
            <v>0</v>
          </cell>
          <cell r="AQ3375">
            <v>0</v>
          </cell>
          <cell r="AV3375">
            <v>0</v>
          </cell>
        </row>
        <row r="3376">
          <cell r="E3376" t="str">
            <v>B26000675</v>
          </cell>
          <cell r="AP3376">
            <v>0</v>
          </cell>
          <cell r="AQ3376">
            <v>0</v>
          </cell>
          <cell r="AV3376">
            <v>0</v>
          </cell>
        </row>
        <row r="3377">
          <cell r="E3377" t="str">
            <v>B26000692</v>
          </cell>
          <cell r="AP3377">
            <v>0</v>
          </cell>
          <cell r="AQ3377">
            <v>0</v>
          </cell>
          <cell r="AV3377">
            <v>0</v>
          </cell>
        </row>
        <row r="3378">
          <cell r="E3378" t="str">
            <v>B26001193</v>
          </cell>
          <cell r="AP3378">
            <v>0</v>
          </cell>
          <cell r="AQ3378">
            <v>0</v>
          </cell>
          <cell r="AV3378">
            <v>0</v>
          </cell>
        </row>
        <row r="3379">
          <cell r="E3379" t="str">
            <v>B25016204</v>
          </cell>
          <cell r="AP3379">
            <v>0</v>
          </cell>
          <cell r="AQ3379">
            <v>0</v>
          </cell>
          <cell r="AV3379">
            <v>0</v>
          </cell>
        </row>
        <row r="3380">
          <cell r="E3380" t="str">
            <v>B25016569</v>
          </cell>
          <cell r="AP3380">
            <v>0</v>
          </cell>
          <cell r="AQ3380">
            <v>0</v>
          </cell>
          <cell r="AV3380">
            <v>0</v>
          </cell>
        </row>
        <row r="3381">
          <cell r="E3381" t="str">
            <v>B25016864</v>
          </cell>
          <cell r="AP3381">
            <v>0</v>
          </cell>
          <cell r="AQ3381">
            <v>0</v>
          </cell>
          <cell r="AV3381">
            <v>0</v>
          </cell>
        </row>
        <row r="3382">
          <cell r="E3382" t="str">
            <v>B25016879</v>
          </cell>
          <cell r="AP3382">
            <v>0</v>
          </cell>
          <cell r="AQ3382">
            <v>0</v>
          </cell>
          <cell r="AV3382">
            <v>0</v>
          </cell>
        </row>
        <row r="3383">
          <cell r="E3383" t="str">
            <v>D26000118</v>
          </cell>
          <cell r="AP3383">
            <v>0</v>
          </cell>
          <cell r="AQ3383">
            <v>0</v>
          </cell>
          <cell r="AV3383">
            <v>0</v>
          </cell>
        </row>
        <row r="3384">
          <cell r="E3384" t="str">
            <v>D26000455</v>
          </cell>
          <cell r="AP3384">
            <v>0</v>
          </cell>
          <cell r="AQ3384">
            <v>0</v>
          </cell>
          <cell r="AV3384">
            <v>0</v>
          </cell>
        </row>
        <row r="3385">
          <cell r="E3385" t="str">
            <v>D26000456</v>
          </cell>
          <cell r="AP3385">
            <v>0</v>
          </cell>
          <cell r="AQ3385">
            <v>0</v>
          </cell>
          <cell r="AV3385">
            <v>0</v>
          </cell>
        </row>
        <row r="3386">
          <cell r="E3386" t="str">
            <v>D26000605</v>
          </cell>
          <cell r="AP3386">
            <v>0</v>
          </cell>
          <cell r="AQ3386">
            <v>0</v>
          </cell>
          <cell r="AV3386">
            <v>0</v>
          </cell>
        </row>
        <row r="3387">
          <cell r="E3387" t="str">
            <v>D26000834</v>
          </cell>
          <cell r="AP3387">
            <v>0</v>
          </cell>
          <cell r="AQ3387">
            <v>0</v>
          </cell>
          <cell r="AV3387">
            <v>0</v>
          </cell>
        </row>
        <row r="3388">
          <cell r="E3388" t="str">
            <v>D26001066</v>
          </cell>
          <cell r="AP3388">
            <v>0</v>
          </cell>
          <cell r="AQ3388">
            <v>0</v>
          </cell>
          <cell r="AV3388">
            <v>0</v>
          </cell>
        </row>
        <row r="3389">
          <cell r="E3389" t="str">
            <v>D26001545</v>
          </cell>
          <cell r="AP3389">
            <v>0</v>
          </cell>
          <cell r="AQ3389">
            <v>0</v>
          </cell>
          <cell r="AV3389">
            <v>0</v>
          </cell>
        </row>
        <row r="3390">
          <cell r="E3390" t="str">
            <v>T25001572</v>
          </cell>
          <cell r="AP3390">
            <v>0</v>
          </cell>
          <cell r="AQ3390">
            <v>0</v>
          </cell>
          <cell r="AV3390">
            <v>0</v>
          </cell>
        </row>
        <row r="3391">
          <cell r="E3391" t="str">
            <v>D26000847</v>
          </cell>
          <cell r="AP3391">
            <v>0</v>
          </cell>
          <cell r="AQ3391">
            <v>0</v>
          </cell>
          <cell r="AV3391">
            <v>0</v>
          </cell>
        </row>
        <row r="3392">
          <cell r="E3392" t="str">
            <v>D26001198</v>
          </cell>
          <cell r="AP3392">
            <v>0</v>
          </cell>
          <cell r="AQ3392">
            <v>0</v>
          </cell>
          <cell r="AV3392">
            <v>0</v>
          </cell>
        </row>
        <row r="3393">
          <cell r="E3393" t="str">
            <v>B25016111</v>
          </cell>
          <cell r="AP3393">
            <v>0</v>
          </cell>
          <cell r="AQ3393">
            <v>0</v>
          </cell>
          <cell r="AV3393">
            <v>0</v>
          </cell>
        </row>
        <row r="3394">
          <cell r="E3394" t="str">
            <v>B25016220</v>
          </cell>
          <cell r="AP3394">
            <v>0</v>
          </cell>
          <cell r="AQ3394">
            <v>0</v>
          </cell>
          <cell r="AV3394">
            <v>0</v>
          </cell>
        </row>
        <row r="3395">
          <cell r="E3395" t="str">
            <v>B25016230</v>
          </cell>
          <cell r="AP3395">
            <v>0</v>
          </cell>
          <cell r="AQ3395">
            <v>0</v>
          </cell>
          <cell r="AV3395">
            <v>0</v>
          </cell>
        </row>
        <row r="3396">
          <cell r="E3396" t="str">
            <v>D25018668</v>
          </cell>
          <cell r="AP3396">
            <v>0</v>
          </cell>
          <cell r="AQ3396">
            <v>0</v>
          </cell>
          <cell r="AV3396">
            <v>0</v>
          </cell>
        </row>
        <row r="3397">
          <cell r="E3397" t="str">
            <v>T25001414</v>
          </cell>
          <cell r="AP3397">
            <v>0</v>
          </cell>
          <cell r="AQ3397">
            <v>0</v>
          </cell>
          <cell r="AV3397">
            <v>0</v>
          </cell>
        </row>
        <row r="3398">
          <cell r="E3398" t="str">
            <v>D25014916</v>
          </cell>
          <cell r="AP3398">
            <v>0</v>
          </cell>
          <cell r="AQ3398">
            <v>0</v>
          </cell>
          <cell r="AV3398">
            <v>0</v>
          </cell>
        </row>
        <row r="3399">
          <cell r="E3399" t="str">
            <v>T25001479</v>
          </cell>
          <cell r="AP3399">
            <v>0</v>
          </cell>
          <cell r="AQ3399">
            <v>0</v>
          </cell>
          <cell r="AV3399">
            <v>0</v>
          </cell>
        </row>
        <row r="3400">
          <cell r="E3400" t="str">
            <v>B26001420</v>
          </cell>
          <cell r="AP3400">
            <v>0</v>
          </cell>
          <cell r="AQ3400">
            <v>0</v>
          </cell>
          <cell r="AV3400">
            <v>0</v>
          </cell>
        </row>
        <row r="3401">
          <cell r="E3401" t="str">
            <v>B25016555</v>
          </cell>
          <cell r="AP3401">
            <v>0</v>
          </cell>
          <cell r="AQ3401">
            <v>0</v>
          </cell>
          <cell r="AV3401">
            <v>0</v>
          </cell>
        </row>
        <row r="3402">
          <cell r="E3402" t="str">
            <v>D26000024</v>
          </cell>
          <cell r="AP3402">
            <v>0</v>
          </cell>
          <cell r="AQ3402">
            <v>0</v>
          </cell>
          <cell r="AV3402">
            <v>0</v>
          </cell>
        </row>
        <row r="3403">
          <cell r="E3403" t="str">
            <v>B26000460</v>
          </cell>
          <cell r="AP3403">
            <v>0</v>
          </cell>
          <cell r="AQ3403">
            <v>0</v>
          </cell>
          <cell r="AV3403">
            <v>0</v>
          </cell>
        </row>
        <row r="3404">
          <cell r="E3404" t="str">
            <v>B26000469</v>
          </cell>
          <cell r="AP3404">
            <v>0</v>
          </cell>
          <cell r="AQ3404">
            <v>0</v>
          </cell>
          <cell r="AV3404">
            <v>0</v>
          </cell>
        </row>
        <row r="3405">
          <cell r="E3405" t="str">
            <v>B26000484</v>
          </cell>
          <cell r="AP3405">
            <v>0</v>
          </cell>
          <cell r="AQ3405">
            <v>0</v>
          </cell>
          <cell r="AV3405">
            <v>0</v>
          </cell>
        </row>
        <row r="3406">
          <cell r="E3406" t="str">
            <v>D26000736</v>
          </cell>
          <cell r="AP3406">
            <v>0</v>
          </cell>
          <cell r="AQ3406">
            <v>0</v>
          </cell>
          <cell r="AV3406">
            <v>0</v>
          </cell>
        </row>
        <row r="3407">
          <cell r="E3407" t="str">
            <v>D26000807</v>
          </cell>
          <cell r="AP3407">
            <v>0</v>
          </cell>
          <cell r="AQ3407">
            <v>0</v>
          </cell>
          <cell r="AV3407">
            <v>0</v>
          </cell>
        </row>
        <row r="3408">
          <cell r="E3408" t="str">
            <v>D26000979</v>
          </cell>
          <cell r="AP3408">
            <v>0</v>
          </cell>
          <cell r="AQ3408">
            <v>0</v>
          </cell>
          <cell r="AV3408">
            <v>0</v>
          </cell>
        </row>
        <row r="3409">
          <cell r="E3409" t="str">
            <v>D26001218</v>
          </cell>
          <cell r="AP3409">
            <v>0</v>
          </cell>
          <cell r="AQ3409">
            <v>0</v>
          </cell>
          <cell r="AV3409">
            <v>0</v>
          </cell>
        </row>
        <row r="3410">
          <cell r="E3410" t="str">
            <v>B26001254</v>
          </cell>
          <cell r="AP3410">
            <v>0</v>
          </cell>
          <cell r="AQ3410">
            <v>0</v>
          </cell>
          <cell r="AV3410">
            <v>0</v>
          </cell>
        </row>
        <row r="3411">
          <cell r="E3411" t="str">
            <v>D26001412</v>
          </cell>
          <cell r="AP3411">
            <v>0</v>
          </cell>
          <cell r="AQ3411">
            <v>0</v>
          </cell>
          <cell r="AV3411">
            <v>0</v>
          </cell>
        </row>
        <row r="3412">
          <cell r="E3412" t="str">
            <v>B26001544</v>
          </cell>
          <cell r="AP3412">
            <v>0</v>
          </cell>
          <cell r="AQ3412">
            <v>0</v>
          </cell>
          <cell r="AV3412">
            <v>0</v>
          </cell>
        </row>
        <row r="3413">
          <cell r="E3413" t="str">
            <v>B25015299</v>
          </cell>
          <cell r="AP3413">
            <v>0</v>
          </cell>
          <cell r="AQ3413">
            <v>0</v>
          </cell>
          <cell r="AV3413">
            <v>0</v>
          </cell>
        </row>
        <row r="3414">
          <cell r="E3414" t="str">
            <v>L25000055</v>
          </cell>
          <cell r="AP3414">
            <v>0</v>
          </cell>
          <cell r="AQ3414">
            <v>0</v>
          </cell>
          <cell r="AV3414">
            <v>0</v>
          </cell>
        </row>
        <row r="3415">
          <cell r="E3415" t="str">
            <v>B25016854</v>
          </cell>
          <cell r="AP3415">
            <v>0</v>
          </cell>
          <cell r="AQ3415">
            <v>0</v>
          </cell>
          <cell r="AV3415">
            <v>0</v>
          </cell>
        </row>
        <row r="3416">
          <cell r="E3416" t="str">
            <v>D25019472</v>
          </cell>
          <cell r="AP3416">
            <v>0</v>
          </cell>
          <cell r="AQ3416">
            <v>0</v>
          </cell>
          <cell r="AV3416">
            <v>0</v>
          </cell>
        </row>
        <row r="3417">
          <cell r="E3417" t="str">
            <v>D26000075</v>
          </cell>
          <cell r="AP3417">
            <v>0</v>
          </cell>
          <cell r="AQ3417">
            <v>0</v>
          </cell>
          <cell r="AV3417">
            <v>0</v>
          </cell>
        </row>
        <row r="3418">
          <cell r="E3418" t="str">
            <v>D26000140</v>
          </cell>
          <cell r="AP3418">
            <v>0</v>
          </cell>
          <cell r="AQ3418">
            <v>0</v>
          </cell>
          <cell r="AV3418">
            <v>0</v>
          </cell>
        </row>
        <row r="3419">
          <cell r="E3419" t="str">
            <v>B26000899</v>
          </cell>
          <cell r="AP3419">
            <v>0</v>
          </cell>
          <cell r="AQ3419">
            <v>0</v>
          </cell>
          <cell r="AV3419">
            <v>0</v>
          </cell>
        </row>
        <row r="3420">
          <cell r="E3420" t="str">
            <v>B26000935</v>
          </cell>
          <cell r="AP3420">
            <v>0</v>
          </cell>
          <cell r="AQ3420">
            <v>0</v>
          </cell>
          <cell r="AV3420">
            <v>0</v>
          </cell>
        </row>
        <row r="3421">
          <cell r="E3421" t="str">
            <v>B26000128</v>
          </cell>
          <cell r="AP3421">
            <v>0</v>
          </cell>
          <cell r="AQ3421">
            <v>0</v>
          </cell>
          <cell r="AV3421">
            <v>0</v>
          </cell>
        </row>
        <row r="3422">
          <cell r="E3422" t="str">
            <v>D26000267</v>
          </cell>
          <cell r="AP3422">
            <v>0</v>
          </cell>
          <cell r="AQ3422">
            <v>0</v>
          </cell>
          <cell r="AV3422">
            <v>0</v>
          </cell>
        </row>
        <row r="3423">
          <cell r="E3423" t="str">
            <v>B26001353</v>
          </cell>
          <cell r="AP3423">
            <v>0</v>
          </cell>
          <cell r="AQ3423">
            <v>0</v>
          </cell>
          <cell r="AV3423">
            <v>0</v>
          </cell>
        </row>
        <row r="3424">
          <cell r="E3424" t="str">
            <v>D26001460</v>
          </cell>
          <cell r="AP3424">
            <v>0</v>
          </cell>
          <cell r="AQ3424">
            <v>0</v>
          </cell>
          <cell r="AV3424">
            <v>0</v>
          </cell>
        </row>
        <row r="3425">
          <cell r="E3425" t="str">
            <v>D26001461</v>
          </cell>
          <cell r="AP3425">
            <v>0</v>
          </cell>
          <cell r="AQ3425">
            <v>0</v>
          </cell>
          <cell r="AV3425">
            <v>0</v>
          </cell>
        </row>
        <row r="3426">
          <cell r="E3426" t="str">
            <v>B26000669</v>
          </cell>
          <cell r="AP3426">
            <v>0</v>
          </cell>
          <cell r="AQ3426">
            <v>0</v>
          </cell>
          <cell r="AV3426">
            <v>0</v>
          </cell>
        </row>
        <row r="3427">
          <cell r="E3427" t="str">
            <v>B26001598</v>
          </cell>
          <cell r="AP3427">
            <v>0</v>
          </cell>
          <cell r="AQ3427">
            <v>0</v>
          </cell>
          <cell r="AV3427">
            <v>0</v>
          </cell>
        </row>
        <row r="3428">
          <cell r="E3428" t="str">
            <v>D25016298</v>
          </cell>
          <cell r="AP3428">
            <v>0</v>
          </cell>
          <cell r="AQ3428">
            <v>0</v>
          </cell>
          <cell r="AV3428">
            <v>0</v>
          </cell>
        </row>
        <row r="3429">
          <cell r="E3429" t="str">
            <v>D25016299</v>
          </cell>
          <cell r="AP3429">
            <v>0</v>
          </cell>
          <cell r="AQ3429">
            <v>0</v>
          </cell>
          <cell r="AV3429">
            <v>0</v>
          </cell>
        </row>
        <row r="3430">
          <cell r="E3430" t="str">
            <v>D25016434</v>
          </cell>
          <cell r="AP3430">
            <v>0</v>
          </cell>
          <cell r="AQ3430">
            <v>0</v>
          </cell>
          <cell r="AV3430">
            <v>0</v>
          </cell>
        </row>
        <row r="3431">
          <cell r="E3431" t="str">
            <v>B25014206</v>
          </cell>
          <cell r="AP3431">
            <v>0</v>
          </cell>
          <cell r="AQ3431">
            <v>0</v>
          </cell>
          <cell r="AV3431">
            <v>0</v>
          </cell>
        </row>
        <row r="3432">
          <cell r="E3432" t="str">
            <v>D25016491</v>
          </cell>
          <cell r="AP3432">
            <v>0</v>
          </cell>
          <cell r="AQ3432">
            <v>0</v>
          </cell>
          <cell r="AV3432">
            <v>0</v>
          </cell>
        </row>
        <row r="3433">
          <cell r="E3433" t="str">
            <v>D25016604</v>
          </cell>
          <cell r="AP3433">
            <v>0</v>
          </cell>
          <cell r="AQ3433">
            <v>0</v>
          </cell>
          <cell r="AV3433">
            <v>0</v>
          </cell>
        </row>
        <row r="3434">
          <cell r="E3434" t="str">
            <v>D25016638</v>
          </cell>
          <cell r="AP3434">
            <v>0</v>
          </cell>
          <cell r="AQ3434">
            <v>0</v>
          </cell>
          <cell r="AV3434">
            <v>0</v>
          </cell>
        </row>
        <row r="3435">
          <cell r="E3435" t="str">
            <v>D25016644</v>
          </cell>
          <cell r="AP3435">
            <v>0</v>
          </cell>
          <cell r="AQ3435">
            <v>0</v>
          </cell>
          <cell r="AV3435">
            <v>0</v>
          </cell>
        </row>
        <row r="3436">
          <cell r="E3436" t="str">
            <v>D25016648</v>
          </cell>
          <cell r="AP3436">
            <v>0</v>
          </cell>
          <cell r="AQ3436">
            <v>0</v>
          </cell>
          <cell r="AV3436">
            <v>0</v>
          </cell>
        </row>
        <row r="3437">
          <cell r="E3437" t="str">
            <v>D25016717</v>
          </cell>
          <cell r="AP3437">
            <v>0</v>
          </cell>
          <cell r="AQ3437">
            <v>0</v>
          </cell>
          <cell r="AV3437">
            <v>0</v>
          </cell>
        </row>
        <row r="3438">
          <cell r="E3438" t="str">
            <v>B25014496</v>
          </cell>
          <cell r="AP3438">
            <v>0</v>
          </cell>
          <cell r="AQ3438">
            <v>0</v>
          </cell>
          <cell r="AV3438">
            <v>0</v>
          </cell>
        </row>
        <row r="3439">
          <cell r="E3439" t="str">
            <v>B25014496</v>
          </cell>
          <cell r="AP3439">
            <v>0</v>
          </cell>
          <cell r="AQ3439">
            <v>0</v>
          </cell>
          <cell r="AV3439">
            <v>0</v>
          </cell>
        </row>
        <row r="3440">
          <cell r="E3440" t="str">
            <v>B25014521</v>
          </cell>
          <cell r="AP3440">
            <v>0</v>
          </cell>
          <cell r="AQ3440">
            <v>0</v>
          </cell>
          <cell r="AV3440">
            <v>0</v>
          </cell>
        </row>
        <row r="3441">
          <cell r="E3441" t="str">
            <v>B25014584</v>
          </cell>
          <cell r="AP3441">
            <v>0</v>
          </cell>
          <cell r="AQ3441">
            <v>0</v>
          </cell>
          <cell r="AV3441">
            <v>0</v>
          </cell>
        </row>
        <row r="3442">
          <cell r="E3442" t="str">
            <v>B25014584</v>
          </cell>
          <cell r="AP3442">
            <v>0</v>
          </cell>
          <cell r="AQ3442">
            <v>0</v>
          </cell>
          <cell r="AV3442">
            <v>0</v>
          </cell>
        </row>
        <row r="3443">
          <cell r="E3443" t="str">
            <v>B25014662</v>
          </cell>
          <cell r="AP3443">
            <v>0</v>
          </cell>
          <cell r="AQ3443">
            <v>0</v>
          </cell>
          <cell r="AV3443">
            <v>0</v>
          </cell>
        </row>
        <row r="3444">
          <cell r="E3444" t="str">
            <v>B25014786</v>
          </cell>
          <cell r="AP3444">
            <v>0</v>
          </cell>
          <cell r="AQ3444">
            <v>0</v>
          </cell>
          <cell r="AV3444">
            <v>0</v>
          </cell>
        </row>
        <row r="3445">
          <cell r="E3445" t="str">
            <v>B25014786</v>
          </cell>
          <cell r="AP3445">
            <v>0</v>
          </cell>
          <cell r="AQ3445">
            <v>0</v>
          </cell>
          <cell r="AV3445">
            <v>0</v>
          </cell>
        </row>
        <row r="3446">
          <cell r="E3446" t="str">
            <v>B25014787</v>
          </cell>
          <cell r="AP3446">
            <v>0</v>
          </cell>
          <cell r="AQ3446">
            <v>0</v>
          </cell>
          <cell r="AV3446">
            <v>0</v>
          </cell>
        </row>
        <row r="3447">
          <cell r="E3447" t="str">
            <v>B25014840</v>
          </cell>
          <cell r="AP3447">
            <v>0</v>
          </cell>
          <cell r="AQ3447">
            <v>0</v>
          </cell>
          <cell r="AV3447">
            <v>0</v>
          </cell>
        </row>
        <row r="3448">
          <cell r="E3448" t="str">
            <v>B25014879</v>
          </cell>
          <cell r="AP3448">
            <v>0</v>
          </cell>
          <cell r="AQ3448">
            <v>0</v>
          </cell>
          <cell r="AV3448">
            <v>0</v>
          </cell>
        </row>
        <row r="3449">
          <cell r="E3449" t="str">
            <v>B25014883</v>
          </cell>
          <cell r="AP3449">
            <v>0</v>
          </cell>
          <cell r="AQ3449">
            <v>0</v>
          </cell>
          <cell r="AV3449">
            <v>0</v>
          </cell>
        </row>
        <row r="3450">
          <cell r="E3450" t="str">
            <v>B25014884</v>
          </cell>
          <cell r="AP3450">
            <v>0</v>
          </cell>
          <cell r="AQ3450">
            <v>0</v>
          </cell>
          <cell r="AV3450">
            <v>0</v>
          </cell>
        </row>
        <row r="3451">
          <cell r="E3451" t="str">
            <v>D25017290</v>
          </cell>
          <cell r="AP3451">
            <v>0</v>
          </cell>
          <cell r="AQ3451">
            <v>0</v>
          </cell>
          <cell r="AV3451">
            <v>0</v>
          </cell>
        </row>
        <row r="3452">
          <cell r="E3452" t="str">
            <v>D25017291</v>
          </cell>
          <cell r="AP3452">
            <v>0</v>
          </cell>
          <cell r="AQ3452">
            <v>0</v>
          </cell>
          <cell r="AV3452">
            <v>0</v>
          </cell>
        </row>
        <row r="3453">
          <cell r="E3453" t="str">
            <v>B25015055</v>
          </cell>
          <cell r="AP3453">
            <v>0</v>
          </cell>
          <cell r="AQ3453">
            <v>0</v>
          </cell>
          <cell r="AV3453">
            <v>0</v>
          </cell>
        </row>
        <row r="3454">
          <cell r="E3454" t="str">
            <v>B25015056</v>
          </cell>
          <cell r="AP3454">
            <v>0</v>
          </cell>
          <cell r="AQ3454">
            <v>0</v>
          </cell>
          <cell r="AV3454">
            <v>0</v>
          </cell>
        </row>
        <row r="3455">
          <cell r="E3455" t="str">
            <v>B25015062</v>
          </cell>
          <cell r="AP3455">
            <v>0</v>
          </cell>
          <cell r="AQ3455">
            <v>0</v>
          </cell>
          <cell r="AV3455">
            <v>0</v>
          </cell>
        </row>
        <row r="3456">
          <cell r="E3456" t="str">
            <v>D25017388</v>
          </cell>
          <cell r="AP3456">
            <v>0</v>
          </cell>
          <cell r="AQ3456">
            <v>0</v>
          </cell>
          <cell r="AV3456">
            <v>0</v>
          </cell>
        </row>
        <row r="3457">
          <cell r="E3457" t="str">
            <v>D25017569</v>
          </cell>
          <cell r="AP3457">
            <v>0</v>
          </cell>
          <cell r="AQ3457">
            <v>0</v>
          </cell>
          <cell r="AV3457">
            <v>0</v>
          </cell>
        </row>
        <row r="3458">
          <cell r="E3458" t="str">
            <v>D25017569</v>
          </cell>
          <cell r="AP3458">
            <v>0</v>
          </cell>
          <cell r="AQ3458">
            <v>0</v>
          </cell>
          <cell r="AV3458">
            <v>0</v>
          </cell>
        </row>
        <row r="3459">
          <cell r="E3459" t="str">
            <v>D25017576</v>
          </cell>
          <cell r="AP3459">
            <v>0</v>
          </cell>
          <cell r="AQ3459">
            <v>0</v>
          </cell>
          <cell r="AV3459">
            <v>0</v>
          </cell>
        </row>
        <row r="3460">
          <cell r="E3460" t="str">
            <v>D25017578</v>
          </cell>
          <cell r="AP3460">
            <v>0</v>
          </cell>
          <cell r="AQ3460">
            <v>0</v>
          </cell>
          <cell r="AV3460">
            <v>0</v>
          </cell>
        </row>
        <row r="3461">
          <cell r="E3461" t="str">
            <v>B25015257</v>
          </cell>
          <cell r="AP3461">
            <v>0</v>
          </cell>
          <cell r="AQ3461">
            <v>0</v>
          </cell>
          <cell r="AV3461">
            <v>0</v>
          </cell>
        </row>
        <row r="3462">
          <cell r="E3462" t="str">
            <v>B25015259</v>
          </cell>
          <cell r="AP3462">
            <v>0</v>
          </cell>
          <cell r="AQ3462">
            <v>0</v>
          </cell>
          <cell r="AV3462">
            <v>0</v>
          </cell>
        </row>
        <row r="3463">
          <cell r="E3463" t="str">
            <v>B25015354</v>
          </cell>
          <cell r="AP3463">
            <v>0</v>
          </cell>
          <cell r="AQ3463">
            <v>0</v>
          </cell>
          <cell r="AV3463">
            <v>0</v>
          </cell>
        </row>
        <row r="3464">
          <cell r="E3464" t="str">
            <v>D25017763</v>
          </cell>
          <cell r="AP3464">
            <v>0</v>
          </cell>
          <cell r="AQ3464">
            <v>0</v>
          </cell>
          <cell r="AV3464">
            <v>0</v>
          </cell>
        </row>
        <row r="3465">
          <cell r="E3465" t="str">
            <v>D25017810</v>
          </cell>
          <cell r="AP3465">
            <v>0</v>
          </cell>
          <cell r="AQ3465">
            <v>0</v>
          </cell>
          <cell r="AV3465">
            <v>0</v>
          </cell>
        </row>
        <row r="3466">
          <cell r="E3466" t="str">
            <v>D25017866</v>
          </cell>
          <cell r="AP3466">
            <v>0</v>
          </cell>
          <cell r="AQ3466">
            <v>0</v>
          </cell>
          <cell r="AV3466">
            <v>0</v>
          </cell>
        </row>
        <row r="3467">
          <cell r="E3467" t="str">
            <v>D25017867</v>
          </cell>
          <cell r="AP3467">
            <v>0</v>
          </cell>
          <cell r="AQ3467">
            <v>0</v>
          </cell>
          <cell r="AV3467">
            <v>0</v>
          </cell>
        </row>
        <row r="3468">
          <cell r="E3468" t="str">
            <v>D25017990</v>
          </cell>
          <cell r="AP3468">
            <v>0</v>
          </cell>
          <cell r="AQ3468">
            <v>0</v>
          </cell>
          <cell r="AV3468">
            <v>0</v>
          </cell>
        </row>
        <row r="3469">
          <cell r="E3469" t="str">
            <v>B25015598</v>
          </cell>
          <cell r="AP3469">
            <v>0</v>
          </cell>
          <cell r="AQ3469">
            <v>0</v>
          </cell>
          <cell r="AV3469">
            <v>0</v>
          </cell>
        </row>
        <row r="3470">
          <cell r="E3470" t="str">
            <v>D25018031</v>
          </cell>
          <cell r="AP3470">
            <v>0</v>
          </cell>
          <cell r="AQ3470">
            <v>0</v>
          </cell>
          <cell r="AV3470">
            <v>0</v>
          </cell>
        </row>
        <row r="3471">
          <cell r="E3471" t="str">
            <v>D25018033</v>
          </cell>
          <cell r="AP3471">
            <v>0</v>
          </cell>
          <cell r="AQ3471">
            <v>0</v>
          </cell>
          <cell r="AV3471">
            <v>0</v>
          </cell>
        </row>
        <row r="3472">
          <cell r="E3472" t="str">
            <v>D25018260</v>
          </cell>
          <cell r="AP3472">
            <v>0</v>
          </cell>
          <cell r="AQ3472">
            <v>0</v>
          </cell>
          <cell r="AV3472">
            <v>0</v>
          </cell>
        </row>
        <row r="3473">
          <cell r="E3473" t="str">
            <v>D25018263</v>
          </cell>
          <cell r="AP3473">
            <v>0</v>
          </cell>
          <cell r="AQ3473">
            <v>0</v>
          </cell>
          <cell r="AV3473">
            <v>0</v>
          </cell>
        </row>
        <row r="3474">
          <cell r="E3474" t="str">
            <v>B25015923</v>
          </cell>
          <cell r="AP3474">
            <v>0</v>
          </cell>
          <cell r="AQ3474">
            <v>0</v>
          </cell>
          <cell r="AV3474">
            <v>0</v>
          </cell>
        </row>
        <row r="3475">
          <cell r="E3475" t="str">
            <v>B25016082</v>
          </cell>
          <cell r="AP3475">
            <v>0</v>
          </cell>
          <cell r="AQ3475">
            <v>0</v>
          </cell>
          <cell r="AV3475">
            <v>0</v>
          </cell>
        </row>
        <row r="3476">
          <cell r="E3476" t="str">
            <v>B25016108</v>
          </cell>
          <cell r="AP3476">
            <v>0</v>
          </cell>
          <cell r="AQ3476">
            <v>0</v>
          </cell>
          <cell r="AV3476">
            <v>0</v>
          </cell>
        </row>
        <row r="3477">
          <cell r="E3477" t="str">
            <v>B25016108</v>
          </cell>
          <cell r="AP3477">
            <v>0</v>
          </cell>
          <cell r="AQ3477">
            <v>0</v>
          </cell>
          <cell r="AV3477">
            <v>0</v>
          </cell>
        </row>
        <row r="3478">
          <cell r="E3478" t="str">
            <v>B25016109</v>
          </cell>
          <cell r="AP3478">
            <v>0</v>
          </cell>
          <cell r="AQ3478">
            <v>0</v>
          </cell>
          <cell r="AV3478">
            <v>0</v>
          </cell>
        </row>
        <row r="3479">
          <cell r="E3479" t="str">
            <v>B25016109</v>
          </cell>
          <cell r="AP3479">
            <v>0</v>
          </cell>
          <cell r="AQ3479">
            <v>0</v>
          </cell>
          <cell r="AV3479">
            <v>0</v>
          </cell>
        </row>
        <row r="3480">
          <cell r="E3480" t="str">
            <v>B25016109</v>
          </cell>
          <cell r="AP3480">
            <v>0</v>
          </cell>
          <cell r="AQ3480">
            <v>0</v>
          </cell>
          <cell r="AV3480">
            <v>0</v>
          </cell>
        </row>
        <row r="3481">
          <cell r="E3481" t="str">
            <v>B25016135</v>
          </cell>
          <cell r="AP3481">
            <v>0</v>
          </cell>
          <cell r="AQ3481">
            <v>0</v>
          </cell>
          <cell r="AV3481">
            <v>0</v>
          </cell>
        </row>
        <row r="3482">
          <cell r="E3482" t="str">
            <v>D25018533</v>
          </cell>
          <cell r="AP3482">
            <v>0</v>
          </cell>
          <cell r="AQ3482">
            <v>0</v>
          </cell>
          <cell r="AV3482">
            <v>0</v>
          </cell>
        </row>
        <row r="3483">
          <cell r="E3483" t="str">
            <v>D25018535</v>
          </cell>
          <cell r="AP3483">
            <v>0</v>
          </cell>
          <cell r="AQ3483">
            <v>0</v>
          </cell>
          <cell r="AV3483">
            <v>0</v>
          </cell>
        </row>
        <row r="3484">
          <cell r="E3484" t="str">
            <v>D25018566</v>
          </cell>
          <cell r="AP3484">
            <v>0</v>
          </cell>
          <cell r="AQ3484">
            <v>0</v>
          </cell>
          <cell r="AV3484">
            <v>0</v>
          </cell>
        </row>
        <row r="3485">
          <cell r="E3485" t="str">
            <v>D25018589</v>
          </cell>
          <cell r="AP3485">
            <v>0</v>
          </cell>
          <cell r="AQ3485">
            <v>0</v>
          </cell>
          <cell r="AV3485">
            <v>0</v>
          </cell>
        </row>
        <row r="3486">
          <cell r="E3486" t="str">
            <v>D25018600</v>
          </cell>
          <cell r="AP3486">
            <v>0</v>
          </cell>
          <cell r="AQ3486">
            <v>0</v>
          </cell>
          <cell r="AV3486">
            <v>0</v>
          </cell>
        </row>
        <row r="3487">
          <cell r="E3487" t="str">
            <v>D25018624</v>
          </cell>
          <cell r="AP3487">
            <v>0</v>
          </cell>
          <cell r="AQ3487">
            <v>0</v>
          </cell>
          <cell r="AV3487">
            <v>0</v>
          </cell>
        </row>
        <row r="3488">
          <cell r="E3488" t="str">
            <v>D25018624</v>
          </cell>
          <cell r="AP3488">
            <v>0</v>
          </cell>
          <cell r="AQ3488">
            <v>0</v>
          </cell>
          <cell r="AV3488">
            <v>0</v>
          </cell>
        </row>
        <row r="3489">
          <cell r="E3489" t="str">
            <v>D25018652</v>
          </cell>
          <cell r="AP3489">
            <v>0</v>
          </cell>
          <cell r="AQ3489">
            <v>0</v>
          </cell>
          <cell r="AV3489">
            <v>0</v>
          </cell>
        </row>
        <row r="3490">
          <cell r="E3490" t="str">
            <v>B25016253</v>
          </cell>
          <cell r="AP3490">
            <v>0</v>
          </cell>
          <cell r="AQ3490">
            <v>0</v>
          </cell>
          <cell r="AV3490">
            <v>0</v>
          </cell>
        </row>
        <row r="3491">
          <cell r="E3491" t="str">
            <v>B25016254</v>
          </cell>
          <cell r="AP3491">
            <v>0</v>
          </cell>
          <cell r="AQ3491">
            <v>0</v>
          </cell>
          <cell r="AV3491">
            <v>0</v>
          </cell>
        </row>
        <row r="3492">
          <cell r="E3492" t="str">
            <v>B25016329</v>
          </cell>
          <cell r="AP3492">
            <v>0</v>
          </cell>
          <cell r="AQ3492">
            <v>0</v>
          </cell>
          <cell r="AV3492">
            <v>0</v>
          </cell>
        </row>
        <row r="3493">
          <cell r="E3493" t="str">
            <v>B25016366</v>
          </cell>
          <cell r="AP3493">
            <v>0</v>
          </cell>
          <cell r="AQ3493">
            <v>0</v>
          </cell>
          <cell r="AV3493">
            <v>0</v>
          </cell>
        </row>
        <row r="3494">
          <cell r="E3494" t="str">
            <v>B25016462</v>
          </cell>
          <cell r="AP3494">
            <v>0</v>
          </cell>
          <cell r="AQ3494">
            <v>0</v>
          </cell>
          <cell r="AV3494">
            <v>0</v>
          </cell>
        </row>
        <row r="3495">
          <cell r="E3495" t="str">
            <v>B25016463</v>
          </cell>
          <cell r="AP3495">
            <v>0</v>
          </cell>
          <cell r="AQ3495">
            <v>0</v>
          </cell>
          <cell r="AV3495">
            <v>0</v>
          </cell>
        </row>
        <row r="3496">
          <cell r="E3496" t="str">
            <v>B25016463</v>
          </cell>
          <cell r="AP3496">
            <v>0</v>
          </cell>
          <cell r="AQ3496">
            <v>0</v>
          </cell>
          <cell r="AV3496">
            <v>0</v>
          </cell>
        </row>
        <row r="3497">
          <cell r="E3497" t="str">
            <v>B25016463</v>
          </cell>
          <cell r="AP3497">
            <v>0</v>
          </cell>
          <cell r="AQ3497">
            <v>0</v>
          </cell>
          <cell r="AV3497">
            <v>0</v>
          </cell>
        </row>
        <row r="3498">
          <cell r="E3498" t="str">
            <v>B25016463</v>
          </cell>
          <cell r="AP3498">
            <v>0</v>
          </cell>
          <cell r="AQ3498">
            <v>0</v>
          </cell>
          <cell r="AV3498">
            <v>0</v>
          </cell>
        </row>
        <row r="3499">
          <cell r="E3499" t="str">
            <v>B25016467</v>
          </cell>
          <cell r="AP3499">
            <v>0</v>
          </cell>
          <cell r="AQ3499">
            <v>0</v>
          </cell>
          <cell r="AV3499">
            <v>0</v>
          </cell>
        </row>
        <row r="3500">
          <cell r="E3500" t="str">
            <v>D25018945</v>
          </cell>
          <cell r="AP3500">
            <v>0</v>
          </cell>
          <cell r="AQ3500">
            <v>0</v>
          </cell>
          <cell r="AV3500">
            <v>0</v>
          </cell>
        </row>
        <row r="3501">
          <cell r="E3501" t="str">
            <v>B25016583</v>
          </cell>
          <cell r="AP3501">
            <v>0</v>
          </cell>
          <cell r="AQ3501">
            <v>0</v>
          </cell>
          <cell r="AV3501">
            <v>0</v>
          </cell>
        </row>
        <row r="3502">
          <cell r="E3502" t="str">
            <v>D25019041</v>
          </cell>
          <cell r="AP3502">
            <v>0</v>
          </cell>
          <cell r="AQ3502">
            <v>0</v>
          </cell>
          <cell r="AV3502">
            <v>0</v>
          </cell>
        </row>
        <row r="3503">
          <cell r="E3503" t="str">
            <v>D25019047</v>
          </cell>
          <cell r="AP3503">
            <v>0</v>
          </cell>
          <cell r="AQ3503">
            <v>0</v>
          </cell>
          <cell r="AV3503">
            <v>0</v>
          </cell>
        </row>
        <row r="3504">
          <cell r="E3504" t="str">
            <v>D25019074</v>
          </cell>
          <cell r="AP3504">
            <v>0</v>
          </cell>
          <cell r="AQ3504">
            <v>0</v>
          </cell>
          <cell r="AV3504">
            <v>0</v>
          </cell>
        </row>
        <row r="3505">
          <cell r="E3505" t="str">
            <v>D25019354</v>
          </cell>
          <cell r="AP3505">
            <v>0</v>
          </cell>
          <cell r="AQ3505">
            <v>0</v>
          </cell>
          <cell r="AV3505">
            <v>0</v>
          </cell>
        </row>
        <row r="3506">
          <cell r="E3506" t="str">
            <v>B25016951</v>
          </cell>
          <cell r="AP3506">
            <v>0</v>
          </cell>
          <cell r="AQ3506">
            <v>0</v>
          </cell>
          <cell r="AV3506">
            <v>0</v>
          </cell>
        </row>
        <row r="3507">
          <cell r="E3507" t="str">
            <v>B25016968</v>
          </cell>
          <cell r="AP3507">
            <v>0</v>
          </cell>
          <cell r="AQ3507">
            <v>0</v>
          </cell>
          <cell r="AV3507">
            <v>0</v>
          </cell>
        </row>
        <row r="3508">
          <cell r="E3508" t="str">
            <v>B25016976</v>
          </cell>
          <cell r="AP3508">
            <v>0</v>
          </cell>
          <cell r="AQ3508">
            <v>0</v>
          </cell>
          <cell r="AV3508">
            <v>0</v>
          </cell>
        </row>
        <row r="3509">
          <cell r="E3509" t="str">
            <v>B25017051</v>
          </cell>
          <cell r="AP3509">
            <v>0</v>
          </cell>
          <cell r="AQ3509">
            <v>0</v>
          </cell>
          <cell r="AV3509">
            <v>0</v>
          </cell>
        </row>
        <row r="3510">
          <cell r="E3510" t="str">
            <v>D25019669</v>
          </cell>
          <cell r="AP3510">
            <v>0</v>
          </cell>
          <cell r="AQ3510">
            <v>0</v>
          </cell>
          <cell r="AV3510">
            <v>0</v>
          </cell>
        </row>
        <row r="3511">
          <cell r="E3511" t="str">
            <v>B25017144</v>
          </cell>
          <cell r="AP3511">
            <v>0</v>
          </cell>
          <cell r="AQ3511">
            <v>0</v>
          </cell>
          <cell r="AV3511">
            <v>0</v>
          </cell>
        </row>
        <row r="3512">
          <cell r="E3512" t="str">
            <v>B26000011</v>
          </cell>
          <cell r="AP3512">
            <v>0</v>
          </cell>
          <cell r="AQ3512">
            <v>0</v>
          </cell>
          <cell r="AV3512">
            <v>0</v>
          </cell>
        </row>
        <row r="3513">
          <cell r="E3513" t="str">
            <v>D26000003</v>
          </cell>
          <cell r="AP3513">
            <v>0</v>
          </cell>
          <cell r="AQ3513">
            <v>0</v>
          </cell>
          <cell r="AV3513">
            <v>0</v>
          </cell>
        </row>
        <row r="3514">
          <cell r="E3514" t="str">
            <v>D26000004</v>
          </cell>
          <cell r="AP3514">
            <v>0</v>
          </cell>
          <cell r="AQ3514">
            <v>0</v>
          </cell>
          <cell r="AV3514">
            <v>0</v>
          </cell>
        </row>
        <row r="3515">
          <cell r="E3515" t="str">
            <v>D26000038</v>
          </cell>
          <cell r="AP3515">
            <v>0</v>
          </cell>
          <cell r="AQ3515">
            <v>0</v>
          </cell>
          <cell r="AV3515">
            <v>0</v>
          </cell>
        </row>
        <row r="3516">
          <cell r="E3516" t="str">
            <v>D26000043</v>
          </cell>
          <cell r="AP3516">
            <v>0</v>
          </cell>
          <cell r="AQ3516">
            <v>0</v>
          </cell>
          <cell r="AV3516">
            <v>0</v>
          </cell>
        </row>
        <row r="3517">
          <cell r="E3517" t="str">
            <v>B26000223</v>
          </cell>
          <cell r="AP3517">
            <v>0</v>
          </cell>
          <cell r="AQ3517">
            <v>0</v>
          </cell>
          <cell r="AV3517">
            <v>0</v>
          </cell>
        </row>
        <row r="3518">
          <cell r="E3518" t="str">
            <v>D26000251</v>
          </cell>
          <cell r="AP3518">
            <v>0</v>
          </cell>
          <cell r="AQ3518">
            <v>0</v>
          </cell>
          <cell r="AV3518">
            <v>0</v>
          </cell>
        </row>
        <row r="3519">
          <cell r="E3519" t="str">
            <v>D26000296</v>
          </cell>
          <cell r="AP3519">
            <v>0</v>
          </cell>
          <cell r="AQ3519">
            <v>0</v>
          </cell>
          <cell r="AV3519">
            <v>0</v>
          </cell>
        </row>
        <row r="3520">
          <cell r="E3520" t="str">
            <v>D26000305</v>
          </cell>
          <cell r="AP3520">
            <v>0</v>
          </cell>
          <cell r="AQ3520">
            <v>0</v>
          </cell>
          <cell r="AV3520">
            <v>0</v>
          </cell>
        </row>
        <row r="3521">
          <cell r="E3521" t="str">
            <v>D26000307</v>
          </cell>
          <cell r="AP3521">
            <v>0</v>
          </cell>
          <cell r="AQ3521">
            <v>0</v>
          </cell>
          <cell r="AV3521">
            <v>0</v>
          </cell>
        </row>
        <row r="3522">
          <cell r="E3522" t="str">
            <v>D26000320</v>
          </cell>
          <cell r="AP3522">
            <v>0</v>
          </cell>
          <cell r="AQ3522">
            <v>0</v>
          </cell>
          <cell r="AV3522">
            <v>0</v>
          </cell>
        </row>
        <row r="3523">
          <cell r="E3523" t="str">
            <v>D26000328</v>
          </cell>
          <cell r="AP3523">
            <v>0</v>
          </cell>
          <cell r="AQ3523">
            <v>0</v>
          </cell>
          <cell r="AV3523">
            <v>0</v>
          </cell>
        </row>
        <row r="3524">
          <cell r="E3524" t="str">
            <v>D26000458</v>
          </cell>
          <cell r="AP3524">
            <v>0</v>
          </cell>
          <cell r="AQ3524">
            <v>0</v>
          </cell>
          <cell r="AV3524">
            <v>0</v>
          </cell>
        </row>
        <row r="3525">
          <cell r="E3525" t="str">
            <v>D26000465</v>
          </cell>
          <cell r="AP3525">
            <v>0</v>
          </cell>
          <cell r="AQ3525">
            <v>0</v>
          </cell>
          <cell r="AV3525">
            <v>0</v>
          </cell>
        </row>
        <row r="3526">
          <cell r="E3526" t="str">
            <v>D26000468</v>
          </cell>
          <cell r="AP3526">
            <v>0</v>
          </cell>
          <cell r="AQ3526">
            <v>0</v>
          </cell>
          <cell r="AV3526">
            <v>0</v>
          </cell>
        </row>
        <row r="3527">
          <cell r="E3527" t="str">
            <v>B26000576</v>
          </cell>
          <cell r="AP3527">
            <v>0</v>
          </cell>
          <cell r="AQ3527">
            <v>0</v>
          </cell>
          <cell r="AV3527">
            <v>0</v>
          </cell>
        </row>
        <row r="3528">
          <cell r="E3528" t="str">
            <v>B26000577</v>
          </cell>
          <cell r="AP3528">
            <v>0</v>
          </cell>
          <cell r="AQ3528">
            <v>0</v>
          </cell>
          <cell r="AV3528">
            <v>0</v>
          </cell>
        </row>
        <row r="3529">
          <cell r="E3529" t="str">
            <v>D26000677</v>
          </cell>
          <cell r="AP3529">
            <v>0</v>
          </cell>
          <cell r="AQ3529">
            <v>0</v>
          </cell>
          <cell r="AV3529">
            <v>0</v>
          </cell>
        </row>
        <row r="3530">
          <cell r="E3530" t="str">
            <v>D26000726</v>
          </cell>
          <cell r="AP3530">
            <v>0</v>
          </cell>
          <cell r="AQ3530">
            <v>0</v>
          </cell>
          <cell r="AV3530">
            <v>0</v>
          </cell>
        </row>
        <row r="3531">
          <cell r="E3531" t="str">
            <v>D26000727</v>
          </cell>
          <cell r="AP3531">
            <v>0</v>
          </cell>
          <cell r="AQ3531">
            <v>0</v>
          </cell>
          <cell r="AV3531">
            <v>0</v>
          </cell>
        </row>
        <row r="3532">
          <cell r="E3532" t="str">
            <v>D26000777</v>
          </cell>
          <cell r="AP3532">
            <v>0</v>
          </cell>
          <cell r="AQ3532">
            <v>0</v>
          </cell>
          <cell r="AV3532">
            <v>0</v>
          </cell>
        </row>
        <row r="3533">
          <cell r="E3533" t="str">
            <v>B26000792</v>
          </cell>
          <cell r="AP3533">
            <v>0</v>
          </cell>
          <cell r="AQ3533">
            <v>0</v>
          </cell>
          <cell r="AV3533">
            <v>0</v>
          </cell>
        </row>
        <row r="3534">
          <cell r="E3534" t="str">
            <v>D26000871</v>
          </cell>
          <cell r="AP3534">
            <v>0</v>
          </cell>
          <cell r="AQ3534">
            <v>0</v>
          </cell>
          <cell r="AV3534">
            <v>0</v>
          </cell>
        </row>
        <row r="3535">
          <cell r="E3535" t="str">
            <v>D26000986</v>
          </cell>
          <cell r="AP3535">
            <v>0</v>
          </cell>
          <cell r="AQ3535">
            <v>0</v>
          </cell>
          <cell r="AV3535">
            <v>0</v>
          </cell>
        </row>
        <row r="3536">
          <cell r="E3536" t="str">
            <v>B26001097</v>
          </cell>
          <cell r="AP3536">
            <v>0</v>
          </cell>
          <cell r="AQ3536">
            <v>0</v>
          </cell>
          <cell r="AV3536">
            <v>0</v>
          </cell>
        </row>
        <row r="3537">
          <cell r="E3537" t="str">
            <v>D26001331</v>
          </cell>
          <cell r="AP3537">
            <v>0</v>
          </cell>
          <cell r="AQ3537">
            <v>0</v>
          </cell>
          <cell r="AV3537">
            <v>0</v>
          </cell>
        </row>
        <row r="3538">
          <cell r="E3538" t="str">
            <v>B26001276</v>
          </cell>
          <cell r="AP3538">
            <v>0</v>
          </cell>
          <cell r="AQ3538">
            <v>0</v>
          </cell>
          <cell r="AV3538">
            <v>0</v>
          </cell>
        </row>
        <row r="3539">
          <cell r="E3539" t="str">
            <v>B26001349</v>
          </cell>
          <cell r="AP3539">
            <v>0</v>
          </cell>
          <cell r="AQ3539">
            <v>0</v>
          </cell>
          <cell r="AV3539">
            <v>0</v>
          </cell>
        </row>
        <row r="3540">
          <cell r="E3540" t="str">
            <v>B26001401</v>
          </cell>
          <cell r="AP3540">
            <v>0</v>
          </cell>
          <cell r="AQ3540">
            <v>0</v>
          </cell>
          <cell r="AV3540">
            <v>0</v>
          </cell>
        </row>
        <row r="3541">
          <cell r="E3541" t="str">
            <v>D26001429</v>
          </cell>
          <cell r="AP3541">
            <v>0</v>
          </cell>
          <cell r="AQ3541">
            <v>0</v>
          </cell>
          <cell r="AV3541">
            <v>0</v>
          </cell>
        </row>
        <row r="3542">
          <cell r="E3542" t="str">
            <v>D26001430</v>
          </cell>
          <cell r="AP3542">
            <v>0</v>
          </cell>
          <cell r="AQ3542">
            <v>0</v>
          </cell>
          <cell r="AV3542">
            <v>0</v>
          </cell>
        </row>
        <row r="3543">
          <cell r="E3543" t="str">
            <v>D26001447</v>
          </cell>
          <cell r="AP3543">
            <v>0</v>
          </cell>
          <cell r="AQ3543">
            <v>0</v>
          </cell>
          <cell r="AV3543">
            <v>0</v>
          </cell>
        </row>
        <row r="3544">
          <cell r="E3544" t="str">
            <v>D26001485</v>
          </cell>
          <cell r="AP3544">
            <v>0</v>
          </cell>
          <cell r="AQ3544">
            <v>0</v>
          </cell>
          <cell r="AV3544">
            <v>0</v>
          </cell>
        </row>
        <row r="3545">
          <cell r="E3545" t="str">
            <v>D26001493</v>
          </cell>
          <cell r="AP3545">
            <v>0</v>
          </cell>
          <cell r="AQ3545">
            <v>0</v>
          </cell>
          <cell r="AV3545">
            <v>0</v>
          </cell>
        </row>
        <row r="3546">
          <cell r="E3546" t="str">
            <v>D26001512</v>
          </cell>
          <cell r="AP3546">
            <v>0</v>
          </cell>
          <cell r="AQ3546">
            <v>0</v>
          </cell>
          <cell r="AV3546">
            <v>0</v>
          </cell>
        </row>
        <row r="3547">
          <cell r="E3547" t="str">
            <v>B26001493</v>
          </cell>
          <cell r="AP3547">
            <v>0</v>
          </cell>
          <cell r="AQ3547">
            <v>0</v>
          </cell>
          <cell r="AV3547">
            <v>0</v>
          </cell>
        </row>
        <row r="3548">
          <cell r="E3548" t="str">
            <v>D26001600</v>
          </cell>
          <cell r="AP3548">
            <v>0</v>
          </cell>
          <cell r="AQ3548">
            <v>0</v>
          </cell>
          <cell r="AV3548">
            <v>0</v>
          </cell>
        </row>
        <row r="3549">
          <cell r="E3549" t="str">
            <v>D26001604</v>
          </cell>
          <cell r="AP3549">
            <v>0</v>
          </cell>
          <cell r="AQ3549">
            <v>0</v>
          </cell>
          <cell r="AV3549">
            <v>0</v>
          </cell>
        </row>
        <row r="3550">
          <cell r="E3550" t="str">
            <v>D26001623</v>
          </cell>
          <cell r="AP3550">
            <v>0</v>
          </cell>
          <cell r="AQ3550">
            <v>0</v>
          </cell>
          <cell r="AV3550">
            <v>0</v>
          </cell>
        </row>
        <row r="3551">
          <cell r="E3551" t="str">
            <v>D26001635</v>
          </cell>
          <cell r="AP3551">
            <v>0</v>
          </cell>
          <cell r="AQ3551">
            <v>0</v>
          </cell>
          <cell r="AV3551">
            <v>0</v>
          </cell>
        </row>
        <row r="3552">
          <cell r="E3552" t="str">
            <v>B26001573</v>
          </cell>
          <cell r="AP3552">
            <v>0</v>
          </cell>
          <cell r="AQ3552">
            <v>0</v>
          </cell>
          <cell r="AV3552">
            <v>0</v>
          </cell>
        </row>
        <row r="3553">
          <cell r="E3553" t="str">
            <v>D26001672</v>
          </cell>
          <cell r="AP3553">
            <v>0</v>
          </cell>
          <cell r="AQ3553">
            <v>0</v>
          </cell>
          <cell r="AV3553">
            <v>0</v>
          </cell>
        </row>
        <row r="3554">
          <cell r="E3554" t="str">
            <v>B26001616</v>
          </cell>
          <cell r="AP3554">
            <v>0</v>
          </cell>
          <cell r="AQ3554">
            <v>0</v>
          </cell>
          <cell r="AV3554">
            <v>0</v>
          </cell>
        </row>
        <row r="3555">
          <cell r="E3555" t="str">
            <v>B25016062</v>
          </cell>
          <cell r="AP3555">
            <v>0</v>
          </cell>
          <cell r="AQ3555">
            <v>0</v>
          </cell>
          <cell r="AV3555">
            <v>0</v>
          </cell>
        </row>
        <row r="3556">
          <cell r="E3556" t="str">
            <v>D26000533</v>
          </cell>
          <cell r="AP3556">
            <v>0</v>
          </cell>
          <cell r="AQ3556">
            <v>0</v>
          </cell>
          <cell r="AV3556">
            <v>0</v>
          </cell>
        </row>
        <row r="3557">
          <cell r="E3557" t="str">
            <v>B26000504</v>
          </cell>
          <cell r="AP3557">
            <v>0</v>
          </cell>
          <cell r="AQ3557">
            <v>0</v>
          </cell>
          <cell r="AV3557">
            <v>0</v>
          </cell>
        </row>
        <row r="3558">
          <cell r="E3558" t="str">
            <v>D26000915</v>
          </cell>
          <cell r="AP3558">
            <v>0</v>
          </cell>
          <cell r="AQ3558">
            <v>0</v>
          </cell>
          <cell r="AV3558">
            <v>0</v>
          </cell>
        </row>
        <row r="3559">
          <cell r="E3559" t="str">
            <v>D26001269</v>
          </cell>
          <cell r="AP3559">
            <v>0</v>
          </cell>
          <cell r="AQ3559">
            <v>0</v>
          </cell>
          <cell r="AV3559">
            <v>0</v>
          </cell>
        </row>
        <row r="3560">
          <cell r="E3560" t="str">
            <v>B25016000</v>
          </cell>
          <cell r="AP3560">
            <v>0</v>
          </cell>
          <cell r="AQ3560">
            <v>0</v>
          </cell>
          <cell r="AV3560">
            <v>0</v>
          </cell>
        </row>
        <row r="3561">
          <cell r="E3561" t="str">
            <v>D25019017</v>
          </cell>
          <cell r="AP3561">
            <v>0</v>
          </cell>
          <cell r="AQ3561">
            <v>0</v>
          </cell>
          <cell r="AV3561">
            <v>0</v>
          </cell>
        </row>
        <row r="3562">
          <cell r="E3562" t="str">
            <v>B26001286</v>
          </cell>
          <cell r="AP3562">
            <v>0</v>
          </cell>
          <cell r="AQ3562">
            <v>0</v>
          </cell>
          <cell r="AV3562">
            <v>0</v>
          </cell>
        </row>
        <row r="3563">
          <cell r="E3563" t="str">
            <v>T25001791</v>
          </cell>
          <cell r="AP3563">
            <v>0</v>
          </cell>
          <cell r="AQ3563">
            <v>0</v>
          </cell>
          <cell r="AV3563">
            <v>0</v>
          </cell>
        </row>
        <row r="3564">
          <cell r="E3564" t="str">
            <v>T25001792</v>
          </cell>
          <cell r="AP3564">
            <v>0</v>
          </cell>
          <cell r="AQ3564">
            <v>0</v>
          </cell>
          <cell r="AV3564">
            <v>0</v>
          </cell>
        </row>
        <row r="3565">
          <cell r="E3565" t="str">
            <v>D25019371</v>
          </cell>
          <cell r="AP3565">
            <v>0</v>
          </cell>
          <cell r="AQ3565">
            <v>0</v>
          </cell>
          <cell r="AV3565">
            <v>0</v>
          </cell>
        </row>
        <row r="3566">
          <cell r="E3566" t="str">
            <v>B26000361</v>
          </cell>
          <cell r="AP3566">
            <v>0</v>
          </cell>
          <cell r="AQ3566">
            <v>0</v>
          </cell>
          <cell r="AV3566">
            <v>0</v>
          </cell>
        </row>
        <row r="3567">
          <cell r="E3567" t="str">
            <v>B26000362</v>
          </cell>
          <cell r="AP3567">
            <v>0</v>
          </cell>
          <cell r="AQ3567">
            <v>0</v>
          </cell>
          <cell r="AV3567">
            <v>0</v>
          </cell>
        </row>
        <row r="3568">
          <cell r="E3568" t="str">
            <v>B26000836</v>
          </cell>
          <cell r="AP3568">
            <v>0</v>
          </cell>
          <cell r="AQ3568">
            <v>0</v>
          </cell>
          <cell r="AV3568">
            <v>0</v>
          </cell>
        </row>
        <row r="3569">
          <cell r="E3569" t="str">
            <v>B26000839</v>
          </cell>
          <cell r="AP3569">
            <v>0</v>
          </cell>
          <cell r="AQ3569">
            <v>0</v>
          </cell>
          <cell r="AV3569">
            <v>0</v>
          </cell>
        </row>
        <row r="3570">
          <cell r="E3570" t="str">
            <v>B26000854</v>
          </cell>
          <cell r="AP3570">
            <v>0</v>
          </cell>
          <cell r="AQ3570">
            <v>0</v>
          </cell>
          <cell r="AV3570">
            <v>0</v>
          </cell>
        </row>
        <row r="3571">
          <cell r="E3571" t="str">
            <v>B26000877</v>
          </cell>
          <cell r="AP3571">
            <v>0</v>
          </cell>
          <cell r="AQ3571">
            <v>0</v>
          </cell>
          <cell r="AV3571">
            <v>0</v>
          </cell>
        </row>
        <row r="3572">
          <cell r="E3572" t="str">
            <v>B26001354</v>
          </cell>
          <cell r="AP3572">
            <v>0</v>
          </cell>
          <cell r="AQ3572">
            <v>0</v>
          </cell>
          <cell r="AV3572">
            <v>0</v>
          </cell>
        </row>
        <row r="3573">
          <cell r="E3573" t="str">
            <v>D25018432</v>
          </cell>
          <cell r="AP3573">
            <v>0</v>
          </cell>
          <cell r="AQ3573">
            <v>0</v>
          </cell>
          <cell r="AV3573">
            <v>0</v>
          </cell>
        </row>
        <row r="3574">
          <cell r="E3574" t="str">
            <v>D25018496</v>
          </cell>
          <cell r="AP3574">
            <v>0</v>
          </cell>
          <cell r="AQ3574">
            <v>0</v>
          </cell>
          <cell r="AV3574">
            <v>0</v>
          </cell>
        </row>
        <row r="3575">
          <cell r="E3575" t="str">
            <v>B25016226</v>
          </cell>
          <cell r="AP3575">
            <v>0</v>
          </cell>
          <cell r="AQ3575">
            <v>0</v>
          </cell>
          <cell r="AV3575">
            <v>0</v>
          </cell>
        </row>
        <row r="3576">
          <cell r="E3576" t="str">
            <v>D25019206</v>
          </cell>
          <cell r="AP3576">
            <v>0</v>
          </cell>
          <cell r="AQ3576">
            <v>0</v>
          </cell>
          <cell r="AV3576">
            <v>0</v>
          </cell>
        </row>
        <row r="3577">
          <cell r="E3577" t="str">
            <v>D26000264</v>
          </cell>
          <cell r="AP3577">
            <v>0</v>
          </cell>
          <cell r="AQ3577">
            <v>0</v>
          </cell>
          <cell r="AV3577">
            <v>0</v>
          </cell>
        </row>
        <row r="3578">
          <cell r="E3578" t="str">
            <v>T26000018</v>
          </cell>
          <cell r="AP3578">
            <v>0</v>
          </cell>
          <cell r="AQ3578">
            <v>0</v>
          </cell>
          <cell r="AV3578">
            <v>0</v>
          </cell>
        </row>
        <row r="3579">
          <cell r="E3579" t="str">
            <v>D26000694</v>
          </cell>
          <cell r="AP3579">
            <v>0</v>
          </cell>
          <cell r="AQ3579">
            <v>0</v>
          </cell>
          <cell r="AV3579">
            <v>0</v>
          </cell>
        </row>
        <row r="3580">
          <cell r="E3580" t="str">
            <v>D26000809</v>
          </cell>
          <cell r="AP3580">
            <v>0</v>
          </cell>
          <cell r="AQ3580">
            <v>0</v>
          </cell>
          <cell r="AV3580">
            <v>0</v>
          </cell>
        </row>
        <row r="3581">
          <cell r="E3581" t="str">
            <v>D26001112</v>
          </cell>
          <cell r="AP3581">
            <v>0</v>
          </cell>
          <cell r="AQ3581">
            <v>0</v>
          </cell>
          <cell r="AV3581">
            <v>0</v>
          </cell>
        </row>
        <row r="3582">
          <cell r="E3582" t="str">
            <v>D26001375</v>
          </cell>
          <cell r="AP3582">
            <v>0</v>
          </cell>
          <cell r="AQ3582">
            <v>0</v>
          </cell>
          <cell r="AV3582">
            <v>0</v>
          </cell>
        </row>
        <row r="3583">
          <cell r="E3583" t="str">
            <v>D26001541</v>
          </cell>
          <cell r="AP3583">
            <v>0</v>
          </cell>
          <cell r="AQ3583">
            <v>0</v>
          </cell>
          <cell r="AV3583">
            <v>0</v>
          </cell>
        </row>
        <row r="3584">
          <cell r="E3584" t="str">
            <v>B26001476</v>
          </cell>
          <cell r="AP3584">
            <v>0</v>
          </cell>
          <cell r="AQ3584">
            <v>0</v>
          </cell>
          <cell r="AV3584">
            <v>0</v>
          </cell>
        </row>
        <row r="3585">
          <cell r="E3585" t="str">
            <v>D26001642</v>
          </cell>
          <cell r="AP3585">
            <v>0</v>
          </cell>
          <cell r="AQ3585">
            <v>0</v>
          </cell>
          <cell r="AV3585">
            <v>0</v>
          </cell>
        </row>
        <row r="3586">
          <cell r="E3586" t="str">
            <v>D26001720</v>
          </cell>
          <cell r="AP3586">
            <v>0</v>
          </cell>
          <cell r="AQ3586">
            <v>0</v>
          </cell>
          <cell r="AV3586">
            <v>0</v>
          </cell>
        </row>
        <row r="3587">
          <cell r="E3587" t="str">
            <v>D26001760</v>
          </cell>
          <cell r="AP3587">
            <v>0</v>
          </cell>
          <cell r="AQ3587">
            <v>0</v>
          </cell>
          <cell r="AV3587">
            <v>0</v>
          </cell>
        </row>
        <row r="3588">
          <cell r="E3588" t="str">
            <v>B25016849</v>
          </cell>
          <cell r="AP3588">
            <v>0</v>
          </cell>
          <cell r="AQ3588">
            <v>0</v>
          </cell>
          <cell r="AV3588">
            <v>0</v>
          </cell>
        </row>
        <row r="3589">
          <cell r="E3589" t="str">
            <v>B25016967</v>
          </cell>
          <cell r="AP3589">
            <v>0</v>
          </cell>
          <cell r="AQ3589">
            <v>0</v>
          </cell>
          <cell r="AV3589">
            <v>0</v>
          </cell>
        </row>
        <row r="3590">
          <cell r="E3590" t="str">
            <v>B25016969</v>
          </cell>
          <cell r="AP3590">
            <v>0</v>
          </cell>
          <cell r="AQ3590">
            <v>0</v>
          </cell>
          <cell r="AV3590">
            <v>0</v>
          </cell>
        </row>
        <row r="3591">
          <cell r="E3591" t="str">
            <v>B26000544</v>
          </cell>
          <cell r="AP3591">
            <v>0</v>
          </cell>
          <cell r="AQ3591">
            <v>0</v>
          </cell>
          <cell r="AV3591">
            <v>0</v>
          </cell>
        </row>
        <row r="3592">
          <cell r="E3592" t="str">
            <v>D26000948</v>
          </cell>
          <cell r="AP3592">
            <v>0</v>
          </cell>
          <cell r="AQ3592">
            <v>0</v>
          </cell>
          <cell r="AV3592">
            <v>0</v>
          </cell>
        </row>
        <row r="3593">
          <cell r="E3593" t="str">
            <v>D26001106</v>
          </cell>
          <cell r="AP3593">
            <v>0</v>
          </cell>
          <cell r="AQ3593">
            <v>0</v>
          </cell>
          <cell r="AV3593">
            <v>0</v>
          </cell>
        </row>
        <row r="3594">
          <cell r="E3594" t="str">
            <v>D25019098</v>
          </cell>
          <cell r="AP3594">
            <v>0</v>
          </cell>
          <cell r="AQ3594">
            <v>0</v>
          </cell>
          <cell r="AV3594">
            <v>0</v>
          </cell>
        </row>
        <row r="3595">
          <cell r="E3595" t="str">
            <v>B26000599</v>
          </cell>
          <cell r="AP3595">
            <v>0</v>
          </cell>
          <cell r="AQ3595">
            <v>0</v>
          </cell>
          <cell r="AV3595">
            <v>0</v>
          </cell>
        </row>
        <row r="3596">
          <cell r="E3596" t="str">
            <v>D26000627</v>
          </cell>
          <cell r="AP3596">
            <v>0</v>
          </cell>
          <cell r="AQ3596">
            <v>0</v>
          </cell>
          <cell r="AV3596">
            <v>0</v>
          </cell>
        </row>
        <row r="3597">
          <cell r="E3597" t="str">
            <v>D25018704</v>
          </cell>
          <cell r="AP3597">
            <v>0</v>
          </cell>
          <cell r="AQ3597">
            <v>0</v>
          </cell>
          <cell r="AV3597">
            <v>0</v>
          </cell>
        </row>
        <row r="3598">
          <cell r="E3598" t="str">
            <v>D25018755</v>
          </cell>
          <cell r="AP3598">
            <v>0</v>
          </cell>
          <cell r="AQ3598">
            <v>0</v>
          </cell>
          <cell r="AV3598">
            <v>0</v>
          </cell>
        </row>
        <row r="3599">
          <cell r="E3599" t="str">
            <v>D25018858</v>
          </cell>
          <cell r="AP3599">
            <v>0</v>
          </cell>
          <cell r="AQ3599">
            <v>0</v>
          </cell>
          <cell r="AV3599">
            <v>0</v>
          </cell>
        </row>
        <row r="3600">
          <cell r="E3600" t="str">
            <v>D25019061</v>
          </cell>
          <cell r="AP3600">
            <v>0</v>
          </cell>
          <cell r="AQ3600">
            <v>0</v>
          </cell>
          <cell r="AV3600">
            <v>0</v>
          </cell>
        </row>
        <row r="3601">
          <cell r="E3601" t="str">
            <v>D25019278</v>
          </cell>
          <cell r="AP3601">
            <v>0</v>
          </cell>
          <cell r="AQ3601">
            <v>0</v>
          </cell>
          <cell r="AV3601">
            <v>0</v>
          </cell>
        </row>
        <row r="3602">
          <cell r="E3602" t="str">
            <v>D25019454</v>
          </cell>
          <cell r="AP3602">
            <v>0</v>
          </cell>
          <cell r="AQ3602">
            <v>0</v>
          </cell>
          <cell r="AV3602">
            <v>0</v>
          </cell>
        </row>
        <row r="3603">
          <cell r="E3603" t="str">
            <v>D25019594</v>
          </cell>
          <cell r="AP3603">
            <v>0</v>
          </cell>
          <cell r="AQ3603">
            <v>0</v>
          </cell>
          <cell r="AV3603">
            <v>0</v>
          </cell>
        </row>
        <row r="3604">
          <cell r="E3604" t="str">
            <v>D25019702</v>
          </cell>
          <cell r="AP3604">
            <v>0</v>
          </cell>
          <cell r="AQ3604">
            <v>0</v>
          </cell>
          <cell r="AV3604">
            <v>0</v>
          </cell>
        </row>
        <row r="3605">
          <cell r="E3605" t="str">
            <v>D26000214</v>
          </cell>
          <cell r="AP3605">
            <v>0</v>
          </cell>
          <cell r="AQ3605">
            <v>0</v>
          </cell>
          <cell r="AV3605">
            <v>0</v>
          </cell>
        </row>
        <row r="3606">
          <cell r="E3606" t="str">
            <v>D26000467</v>
          </cell>
          <cell r="AP3606">
            <v>0</v>
          </cell>
          <cell r="AQ3606">
            <v>0</v>
          </cell>
          <cell r="AV3606">
            <v>0</v>
          </cell>
        </row>
        <row r="3607">
          <cell r="E3607" t="str">
            <v>D26000635</v>
          </cell>
          <cell r="AP3607">
            <v>0</v>
          </cell>
          <cell r="AQ3607">
            <v>0</v>
          </cell>
          <cell r="AV3607">
            <v>0</v>
          </cell>
        </row>
        <row r="3608">
          <cell r="E3608" t="str">
            <v>D26000799</v>
          </cell>
          <cell r="AP3608">
            <v>0</v>
          </cell>
          <cell r="AQ3608">
            <v>0</v>
          </cell>
          <cell r="AV3608">
            <v>0</v>
          </cell>
        </row>
        <row r="3609">
          <cell r="E3609" t="str">
            <v>D26000943</v>
          </cell>
          <cell r="AP3609">
            <v>0</v>
          </cell>
          <cell r="AQ3609">
            <v>0</v>
          </cell>
          <cell r="AV3609">
            <v>0</v>
          </cell>
        </row>
        <row r="3610">
          <cell r="E3610" t="str">
            <v>D26000944</v>
          </cell>
          <cell r="AP3610">
            <v>0</v>
          </cell>
          <cell r="AQ3610">
            <v>0</v>
          </cell>
          <cell r="AV3610">
            <v>0</v>
          </cell>
        </row>
        <row r="3611">
          <cell r="E3611" t="str">
            <v>D26000964</v>
          </cell>
          <cell r="AP3611">
            <v>0</v>
          </cell>
          <cell r="AQ3611">
            <v>0</v>
          </cell>
          <cell r="AV3611">
            <v>0</v>
          </cell>
        </row>
        <row r="3612">
          <cell r="E3612" t="str">
            <v>D26001117</v>
          </cell>
          <cell r="AP3612">
            <v>0</v>
          </cell>
          <cell r="AQ3612">
            <v>0</v>
          </cell>
          <cell r="AV3612">
            <v>0</v>
          </cell>
        </row>
        <row r="3613">
          <cell r="E3613" t="str">
            <v>B26001287</v>
          </cell>
          <cell r="AP3613">
            <v>0</v>
          </cell>
          <cell r="AQ3613">
            <v>0</v>
          </cell>
          <cell r="AV3613">
            <v>0</v>
          </cell>
        </row>
        <row r="3614">
          <cell r="E3614" t="str">
            <v>B26001508</v>
          </cell>
          <cell r="AP3614">
            <v>0</v>
          </cell>
          <cell r="AQ3614">
            <v>0</v>
          </cell>
          <cell r="AV3614">
            <v>0</v>
          </cell>
        </row>
        <row r="3615">
          <cell r="E3615" t="str">
            <v>B25015633</v>
          </cell>
          <cell r="AP3615">
            <v>0</v>
          </cell>
          <cell r="AQ3615">
            <v>0</v>
          </cell>
          <cell r="AV3615">
            <v>0</v>
          </cell>
        </row>
        <row r="3616">
          <cell r="E3616" t="str">
            <v>T25001860</v>
          </cell>
          <cell r="AP3616">
            <v>0</v>
          </cell>
          <cell r="AQ3616">
            <v>0</v>
          </cell>
          <cell r="AV3616">
            <v>0</v>
          </cell>
        </row>
        <row r="3617">
          <cell r="E3617" t="str">
            <v>D25019154</v>
          </cell>
          <cell r="AP3617">
            <v>0</v>
          </cell>
          <cell r="AQ3617">
            <v>0</v>
          </cell>
          <cell r="AV3617">
            <v>0</v>
          </cell>
        </row>
        <row r="3618">
          <cell r="E3618" t="str">
            <v>D25016913</v>
          </cell>
          <cell r="AP3618">
            <v>0</v>
          </cell>
          <cell r="AQ3618">
            <v>0</v>
          </cell>
          <cell r="AV3618">
            <v>0</v>
          </cell>
        </row>
        <row r="3619">
          <cell r="E3619" t="str">
            <v>D25019342</v>
          </cell>
          <cell r="AP3619">
            <v>0</v>
          </cell>
          <cell r="AQ3619">
            <v>0</v>
          </cell>
          <cell r="AV3619">
            <v>0</v>
          </cell>
        </row>
        <row r="3620">
          <cell r="E3620" t="str">
            <v>B25016964</v>
          </cell>
          <cell r="AP3620">
            <v>0</v>
          </cell>
          <cell r="AQ3620">
            <v>0</v>
          </cell>
          <cell r="AV3620">
            <v>0</v>
          </cell>
        </row>
        <row r="3621">
          <cell r="E3621" t="str">
            <v>D26000178</v>
          </cell>
          <cell r="AP3621">
            <v>0</v>
          </cell>
          <cell r="AQ3621">
            <v>0</v>
          </cell>
          <cell r="AV3621">
            <v>0</v>
          </cell>
        </row>
        <row r="3622">
          <cell r="E3622" t="str">
            <v>D26000333</v>
          </cell>
          <cell r="AP3622">
            <v>0</v>
          </cell>
          <cell r="AQ3622">
            <v>0</v>
          </cell>
          <cell r="AV3622">
            <v>0</v>
          </cell>
        </row>
        <row r="3623">
          <cell r="E3623" t="str">
            <v>D26000883</v>
          </cell>
          <cell r="AP3623">
            <v>0</v>
          </cell>
          <cell r="AQ3623">
            <v>0</v>
          </cell>
          <cell r="AV3623">
            <v>0</v>
          </cell>
        </row>
        <row r="3624">
          <cell r="E3624" t="str">
            <v>B26001109</v>
          </cell>
          <cell r="AP3624">
            <v>0</v>
          </cell>
          <cell r="AQ3624">
            <v>0</v>
          </cell>
          <cell r="AV3624">
            <v>0</v>
          </cell>
        </row>
        <row r="3625">
          <cell r="E3625" t="str">
            <v>B26001281</v>
          </cell>
          <cell r="AP3625">
            <v>0</v>
          </cell>
          <cell r="AQ3625">
            <v>0</v>
          </cell>
          <cell r="AV3625">
            <v>0</v>
          </cell>
        </row>
        <row r="3626">
          <cell r="E3626" t="str">
            <v>B26001456</v>
          </cell>
          <cell r="AP3626">
            <v>0</v>
          </cell>
          <cell r="AQ3626">
            <v>0</v>
          </cell>
          <cell r="AV3626">
            <v>0</v>
          </cell>
        </row>
        <row r="3627">
          <cell r="E3627" t="str">
            <v>B25016656</v>
          </cell>
          <cell r="AP3627">
            <v>0</v>
          </cell>
          <cell r="AQ3627">
            <v>0</v>
          </cell>
          <cell r="AV3627">
            <v>0</v>
          </cell>
        </row>
        <row r="3628">
          <cell r="E3628" t="str">
            <v>D26000164</v>
          </cell>
          <cell r="AP3628">
            <v>0</v>
          </cell>
          <cell r="AQ3628">
            <v>0</v>
          </cell>
          <cell r="AV3628">
            <v>0</v>
          </cell>
        </row>
        <row r="3629">
          <cell r="E3629" t="str">
            <v>B26000788</v>
          </cell>
          <cell r="AP3629">
            <v>0</v>
          </cell>
          <cell r="AQ3629">
            <v>0</v>
          </cell>
          <cell r="AV3629">
            <v>0</v>
          </cell>
        </row>
        <row r="3630">
          <cell r="E3630" t="str">
            <v>D26001696</v>
          </cell>
          <cell r="AP3630">
            <v>0</v>
          </cell>
          <cell r="AQ3630">
            <v>0</v>
          </cell>
          <cell r="AV3630">
            <v>0</v>
          </cell>
        </row>
        <row r="3631">
          <cell r="E3631" t="str">
            <v>B25016398</v>
          </cell>
          <cell r="AP3631">
            <v>0</v>
          </cell>
          <cell r="AQ3631">
            <v>0</v>
          </cell>
          <cell r="AV3631">
            <v>0</v>
          </cell>
        </row>
        <row r="3632">
          <cell r="E3632" t="str">
            <v>D26000838</v>
          </cell>
          <cell r="AP3632">
            <v>0</v>
          </cell>
          <cell r="AQ3632">
            <v>0</v>
          </cell>
          <cell r="AV3632">
            <v>0</v>
          </cell>
        </row>
        <row r="3633">
          <cell r="E3633" t="str">
            <v>D26000845</v>
          </cell>
          <cell r="AP3633">
            <v>0</v>
          </cell>
          <cell r="AQ3633">
            <v>0</v>
          </cell>
          <cell r="AV3633">
            <v>0</v>
          </cell>
        </row>
        <row r="3634">
          <cell r="E3634" t="str">
            <v>D26001389</v>
          </cell>
          <cell r="AP3634">
            <v>0</v>
          </cell>
          <cell r="AQ3634">
            <v>0</v>
          </cell>
          <cell r="AV3634">
            <v>0</v>
          </cell>
        </row>
        <row r="3635">
          <cell r="E3635" t="str">
            <v>B26001366</v>
          </cell>
          <cell r="AP3635">
            <v>0</v>
          </cell>
          <cell r="AQ3635">
            <v>0</v>
          </cell>
          <cell r="AV3635">
            <v>0</v>
          </cell>
        </row>
        <row r="3636">
          <cell r="E3636" t="str">
            <v>B26001400</v>
          </cell>
          <cell r="AP3636">
            <v>0</v>
          </cell>
          <cell r="AQ3636">
            <v>0</v>
          </cell>
          <cell r="AV3636">
            <v>0</v>
          </cell>
        </row>
        <row r="3637">
          <cell r="E3637" t="str">
            <v>D25019562</v>
          </cell>
          <cell r="AP3637">
            <v>0</v>
          </cell>
          <cell r="AQ3637">
            <v>0</v>
          </cell>
          <cell r="AV3637">
            <v>0</v>
          </cell>
        </row>
        <row r="3638">
          <cell r="E3638" t="str">
            <v>D25016614</v>
          </cell>
          <cell r="AP3638">
            <v>0</v>
          </cell>
          <cell r="AQ3638">
            <v>0</v>
          </cell>
          <cell r="AV3638">
            <v>0</v>
          </cell>
        </row>
        <row r="3639">
          <cell r="E3639" t="str">
            <v>B25016902</v>
          </cell>
          <cell r="AP3639">
            <v>0</v>
          </cell>
          <cell r="AQ3639">
            <v>0</v>
          </cell>
          <cell r="AV3639">
            <v>0</v>
          </cell>
        </row>
        <row r="3640">
          <cell r="E3640" t="str">
            <v>B26000061</v>
          </cell>
          <cell r="AP3640">
            <v>0</v>
          </cell>
          <cell r="AQ3640">
            <v>0</v>
          </cell>
          <cell r="AV3640">
            <v>0</v>
          </cell>
        </row>
        <row r="3641">
          <cell r="E3641" t="str">
            <v>B26001376</v>
          </cell>
          <cell r="AP3641">
            <v>0</v>
          </cell>
          <cell r="AQ3641">
            <v>0</v>
          </cell>
          <cell r="AV3641">
            <v>0</v>
          </cell>
        </row>
        <row r="3642">
          <cell r="E3642" t="str">
            <v>T25001374</v>
          </cell>
          <cell r="AP3642">
            <v>0</v>
          </cell>
          <cell r="AQ3642">
            <v>0</v>
          </cell>
          <cell r="AV3642">
            <v>0</v>
          </cell>
        </row>
        <row r="3643">
          <cell r="E3643" t="str">
            <v>B26001362</v>
          </cell>
          <cell r="AP3643">
            <v>0</v>
          </cell>
          <cell r="AQ3643">
            <v>0</v>
          </cell>
          <cell r="AV3643">
            <v>0</v>
          </cell>
        </row>
        <row r="3644">
          <cell r="E3644" t="str">
            <v>D25017742</v>
          </cell>
          <cell r="AP3644">
            <v>0</v>
          </cell>
          <cell r="AQ3644">
            <v>0</v>
          </cell>
          <cell r="AV3644">
            <v>0</v>
          </cell>
        </row>
        <row r="3645">
          <cell r="E3645" t="str">
            <v>B26001076</v>
          </cell>
          <cell r="AP3645">
            <v>0</v>
          </cell>
          <cell r="AQ3645">
            <v>0</v>
          </cell>
          <cell r="AV3645">
            <v>0</v>
          </cell>
        </row>
        <row r="3646">
          <cell r="E3646" t="str">
            <v>D26001567</v>
          </cell>
          <cell r="AP3646">
            <v>0</v>
          </cell>
          <cell r="AQ3646">
            <v>0</v>
          </cell>
          <cell r="AV3646">
            <v>0</v>
          </cell>
        </row>
        <row r="3647">
          <cell r="E3647" t="str">
            <v>B26001592</v>
          </cell>
          <cell r="AP3647">
            <v>0</v>
          </cell>
          <cell r="AQ3647">
            <v>0</v>
          </cell>
          <cell r="AV3647">
            <v>0</v>
          </cell>
        </row>
        <row r="3648">
          <cell r="E3648" t="str">
            <v>B26001593</v>
          </cell>
          <cell r="AP3648">
            <v>0</v>
          </cell>
          <cell r="AQ3648">
            <v>0</v>
          </cell>
          <cell r="AV3648">
            <v>0</v>
          </cell>
        </row>
        <row r="3649">
          <cell r="E3649" t="str">
            <v>B26000310</v>
          </cell>
          <cell r="AP3649">
            <v>0</v>
          </cell>
          <cell r="AQ3649">
            <v>0</v>
          </cell>
          <cell r="AV3649">
            <v>0</v>
          </cell>
        </row>
        <row r="3650">
          <cell r="E3650" t="str">
            <v>D26001175</v>
          </cell>
          <cell r="AP3650">
            <v>0</v>
          </cell>
          <cell r="AQ3650">
            <v>0</v>
          </cell>
          <cell r="AV3650">
            <v>0</v>
          </cell>
        </row>
        <row r="3651">
          <cell r="E3651" t="str">
            <v>D26001615</v>
          </cell>
          <cell r="AP3651">
            <v>0</v>
          </cell>
          <cell r="AQ3651">
            <v>0</v>
          </cell>
          <cell r="AV3651">
            <v>0</v>
          </cell>
        </row>
        <row r="3652">
          <cell r="E3652" t="str">
            <v>B25017060</v>
          </cell>
          <cell r="AP3652">
            <v>0</v>
          </cell>
          <cell r="AQ3652">
            <v>0</v>
          </cell>
          <cell r="AV3652">
            <v>0</v>
          </cell>
        </row>
        <row r="3653">
          <cell r="E3653" t="str">
            <v>D26001639</v>
          </cell>
          <cell r="AP3653">
            <v>0</v>
          </cell>
          <cell r="AQ3653">
            <v>0</v>
          </cell>
          <cell r="AV3653">
            <v>0</v>
          </cell>
        </row>
        <row r="3654">
          <cell r="E3654" t="str">
            <v>D26001476</v>
          </cell>
          <cell r="AP3654">
            <v>0</v>
          </cell>
          <cell r="AQ3654">
            <v>0</v>
          </cell>
          <cell r="AV3654">
            <v>0</v>
          </cell>
        </row>
        <row r="3655">
          <cell r="E3655" t="str">
            <v>D26001558</v>
          </cell>
          <cell r="AP3655">
            <v>0</v>
          </cell>
          <cell r="AQ3655">
            <v>0</v>
          </cell>
          <cell r="AV3655">
            <v>0</v>
          </cell>
        </row>
        <row r="3656">
          <cell r="E3656" t="str">
            <v>Z25003229</v>
          </cell>
          <cell r="AP3656">
            <v>0</v>
          </cell>
          <cell r="AQ3656">
            <v>0</v>
          </cell>
          <cell r="AV3656">
            <v>0</v>
          </cell>
        </row>
        <row r="3657">
          <cell r="E3657" t="str">
            <v>Z25003285</v>
          </cell>
          <cell r="AP3657">
            <v>0</v>
          </cell>
          <cell r="AQ3657">
            <v>0</v>
          </cell>
          <cell r="AV3657">
            <v>0</v>
          </cell>
        </row>
        <row r="3658">
          <cell r="E3658" t="str">
            <v>Z25003370</v>
          </cell>
          <cell r="AP3658">
            <v>0</v>
          </cell>
          <cell r="AQ3658">
            <v>0</v>
          </cell>
          <cell r="AV3658">
            <v>0</v>
          </cell>
        </row>
        <row r="3659">
          <cell r="E3659" t="str">
            <v>Z26000191</v>
          </cell>
          <cell r="AP3659">
            <v>0</v>
          </cell>
          <cell r="AQ3659">
            <v>0</v>
          </cell>
          <cell r="AV3659">
            <v>0</v>
          </cell>
        </row>
        <row r="3660">
          <cell r="E3660" t="str">
            <v>Z26000193</v>
          </cell>
          <cell r="AP3660">
            <v>0</v>
          </cell>
          <cell r="AQ3660">
            <v>0</v>
          </cell>
          <cell r="AV3660">
            <v>0</v>
          </cell>
        </row>
        <row r="3661">
          <cell r="E3661" t="str">
            <v>Z26000275</v>
          </cell>
          <cell r="AP3661">
            <v>0</v>
          </cell>
          <cell r="AQ3661">
            <v>0</v>
          </cell>
          <cell r="AV3661">
            <v>0</v>
          </cell>
        </row>
        <row r="3662">
          <cell r="E3662" t="str">
            <v>Z26000300</v>
          </cell>
          <cell r="AP3662">
            <v>0</v>
          </cell>
          <cell r="AQ3662">
            <v>0</v>
          </cell>
          <cell r="AV3662">
            <v>0</v>
          </cell>
        </row>
        <row r="3663">
          <cell r="E3663" t="str">
            <v>Z26000303</v>
          </cell>
          <cell r="AP3663">
            <v>0</v>
          </cell>
          <cell r="AQ3663">
            <v>0</v>
          </cell>
          <cell r="AV3663">
            <v>0</v>
          </cell>
        </row>
        <row r="3664">
          <cell r="E3664" t="str">
            <v>D25016711</v>
          </cell>
          <cell r="AP3664">
            <v>0</v>
          </cell>
          <cell r="AQ3664">
            <v>0</v>
          </cell>
          <cell r="AV3664">
            <v>0</v>
          </cell>
        </row>
        <row r="3665">
          <cell r="E3665" t="str">
            <v>T25001656</v>
          </cell>
          <cell r="AP3665">
            <v>0</v>
          </cell>
          <cell r="AQ3665">
            <v>0</v>
          </cell>
          <cell r="AV3665">
            <v>0</v>
          </cell>
        </row>
        <row r="3666">
          <cell r="E3666" t="str">
            <v>D26000260</v>
          </cell>
          <cell r="AP3666">
            <v>0</v>
          </cell>
          <cell r="AQ3666">
            <v>0</v>
          </cell>
          <cell r="AV3666">
            <v>0</v>
          </cell>
        </row>
        <row r="3667">
          <cell r="E3667" t="str">
            <v>B25016661</v>
          </cell>
          <cell r="AP3667">
            <v>0</v>
          </cell>
          <cell r="AQ3667">
            <v>0</v>
          </cell>
          <cell r="AV3667">
            <v>0</v>
          </cell>
        </row>
        <row r="3668">
          <cell r="E3668" t="str">
            <v>B25016985</v>
          </cell>
          <cell r="AP3668">
            <v>0</v>
          </cell>
          <cell r="AQ3668">
            <v>0</v>
          </cell>
          <cell r="AV3668">
            <v>0</v>
          </cell>
        </row>
        <row r="3669">
          <cell r="E3669" t="str">
            <v>B25016543</v>
          </cell>
          <cell r="AP3669">
            <v>0</v>
          </cell>
          <cell r="AQ3669">
            <v>0</v>
          </cell>
          <cell r="AV3669">
            <v>0</v>
          </cell>
        </row>
        <row r="3670">
          <cell r="E3670" t="str">
            <v>D25019191</v>
          </cell>
          <cell r="AP3670">
            <v>0</v>
          </cell>
          <cell r="AQ3670">
            <v>0</v>
          </cell>
          <cell r="AV3670">
            <v>0</v>
          </cell>
        </row>
        <row r="3671">
          <cell r="E3671" t="str">
            <v>B25016735</v>
          </cell>
          <cell r="AP3671">
            <v>0</v>
          </cell>
          <cell r="AQ3671">
            <v>0</v>
          </cell>
          <cell r="AV3671">
            <v>0</v>
          </cell>
        </row>
        <row r="3672">
          <cell r="E3672" t="str">
            <v>D26000512</v>
          </cell>
          <cell r="AP3672">
            <v>0</v>
          </cell>
          <cell r="AQ3672">
            <v>0</v>
          </cell>
          <cell r="AV3672">
            <v>0</v>
          </cell>
        </row>
        <row r="3673">
          <cell r="E3673" t="str">
            <v>D26000141</v>
          </cell>
          <cell r="AP3673">
            <v>0</v>
          </cell>
          <cell r="AQ3673">
            <v>0</v>
          </cell>
          <cell r="AV3673">
            <v>0</v>
          </cell>
        </row>
        <row r="3674">
          <cell r="E3674" t="str">
            <v>D26000195</v>
          </cell>
          <cell r="AP3674">
            <v>0</v>
          </cell>
          <cell r="AQ3674">
            <v>0</v>
          </cell>
          <cell r="AV3674">
            <v>0</v>
          </cell>
        </row>
        <row r="3675">
          <cell r="E3675">
            <v>250199</v>
          </cell>
          <cell r="AP3675">
            <v>0</v>
          </cell>
          <cell r="AQ3675">
            <v>0</v>
          </cell>
          <cell r="AV3675">
            <v>0</v>
          </cell>
        </row>
        <row r="3676">
          <cell r="E3676" t="str">
            <v>B25016627</v>
          </cell>
          <cell r="AP3676">
            <v>0</v>
          </cell>
          <cell r="AQ3676">
            <v>0</v>
          </cell>
          <cell r="AV3676">
            <v>0</v>
          </cell>
        </row>
        <row r="3677">
          <cell r="E3677" t="str">
            <v>B25016628</v>
          </cell>
          <cell r="AP3677">
            <v>0</v>
          </cell>
          <cell r="AQ3677">
            <v>0</v>
          </cell>
          <cell r="AV3677">
            <v>0</v>
          </cell>
        </row>
        <row r="3678">
          <cell r="E3678" t="str">
            <v>D26000424</v>
          </cell>
          <cell r="AP3678">
            <v>0</v>
          </cell>
          <cell r="AQ3678">
            <v>0</v>
          </cell>
          <cell r="AV3678">
            <v>0</v>
          </cell>
        </row>
        <row r="3679">
          <cell r="E3679" t="str">
            <v>D26000425</v>
          </cell>
          <cell r="AP3679">
            <v>0</v>
          </cell>
          <cell r="AQ3679">
            <v>0</v>
          </cell>
          <cell r="AV3679">
            <v>0</v>
          </cell>
        </row>
        <row r="3680">
          <cell r="E3680" t="str">
            <v>D26000426</v>
          </cell>
          <cell r="AP3680">
            <v>0</v>
          </cell>
          <cell r="AQ3680">
            <v>0</v>
          </cell>
          <cell r="AV3680">
            <v>0</v>
          </cell>
        </row>
        <row r="3681">
          <cell r="E3681" t="str">
            <v>B26000562</v>
          </cell>
          <cell r="AP3681">
            <v>0</v>
          </cell>
          <cell r="AQ3681">
            <v>0</v>
          </cell>
          <cell r="AV3681">
            <v>0</v>
          </cell>
        </row>
        <row r="3682">
          <cell r="E3682" t="str">
            <v>D26000644</v>
          </cell>
          <cell r="AP3682">
            <v>0</v>
          </cell>
          <cell r="AQ3682">
            <v>0</v>
          </cell>
          <cell r="AV3682">
            <v>0</v>
          </cell>
        </row>
        <row r="3683">
          <cell r="E3683" t="str">
            <v>D26000658</v>
          </cell>
          <cell r="AP3683">
            <v>0</v>
          </cell>
          <cell r="AQ3683">
            <v>0</v>
          </cell>
          <cell r="AV3683">
            <v>0</v>
          </cell>
        </row>
        <row r="3684">
          <cell r="E3684" t="str">
            <v>D26000659</v>
          </cell>
          <cell r="AP3684">
            <v>0</v>
          </cell>
          <cell r="AQ3684">
            <v>0</v>
          </cell>
          <cell r="AV3684">
            <v>0</v>
          </cell>
        </row>
        <row r="3685">
          <cell r="E3685" t="str">
            <v>D26000668</v>
          </cell>
          <cell r="AP3685">
            <v>0</v>
          </cell>
          <cell r="AQ3685">
            <v>0</v>
          </cell>
          <cell r="AV3685">
            <v>0</v>
          </cell>
        </row>
        <row r="3686">
          <cell r="E3686" t="str">
            <v>D26000829</v>
          </cell>
          <cell r="AP3686">
            <v>0</v>
          </cell>
          <cell r="AQ3686">
            <v>0</v>
          </cell>
          <cell r="AV3686">
            <v>0</v>
          </cell>
        </row>
        <row r="3687">
          <cell r="E3687" t="str">
            <v>D26001193</v>
          </cell>
          <cell r="AP3687">
            <v>0</v>
          </cell>
          <cell r="AQ3687">
            <v>0</v>
          </cell>
          <cell r="AV3687">
            <v>0</v>
          </cell>
        </row>
        <row r="3688">
          <cell r="E3688" t="str">
            <v>D26001204</v>
          </cell>
          <cell r="AP3688">
            <v>0</v>
          </cell>
          <cell r="AQ3688">
            <v>0</v>
          </cell>
          <cell r="AV3688">
            <v>0</v>
          </cell>
        </row>
        <row r="3689">
          <cell r="E3689" t="str">
            <v>D26001295</v>
          </cell>
          <cell r="AP3689">
            <v>0</v>
          </cell>
          <cell r="AQ3689">
            <v>0</v>
          </cell>
          <cell r="AV3689">
            <v>0</v>
          </cell>
        </row>
        <row r="3690">
          <cell r="E3690" t="str">
            <v>D26001479</v>
          </cell>
          <cell r="AP3690">
            <v>0</v>
          </cell>
          <cell r="AQ3690">
            <v>0</v>
          </cell>
          <cell r="AV3690">
            <v>0</v>
          </cell>
        </row>
        <row r="3691">
          <cell r="E3691" t="str">
            <v>T25001836</v>
          </cell>
          <cell r="AP3691">
            <v>0</v>
          </cell>
          <cell r="AQ3691">
            <v>0</v>
          </cell>
          <cell r="AV3691">
            <v>0</v>
          </cell>
        </row>
        <row r="3692">
          <cell r="E3692" t="str">
            <v>T25001236</v>
          </cell>
          <cell r="AP3692">
            <v>0</v>
          </cell>
          <cell r="AQ3692">
            <v>0</v>
          </cell>
          <cell r="AV3692">
            <v>0</v>
          </cell>
        </row>
        <row r="3693">
          <cell r="E3693" t="str">
            <v>T25000648</v>
          </cell>
          <cell r="AP3693">
            <v>0</v>
          </cell>
          <cell r="AQ3693">
            <v>0</v>
          </cell>
          <cell r="AV3693">
            <v>0</v>
          </cell>
        </row>
        <row r="3694">
          <cell r="E3694" t="str">
            <v>R25000130</v>
          </cell>
          <cell r="AP3694">
            <v>0</v>
          </cell>
          <cell r="AQ3694">
            <v>0</v>
          </cell>
          <cell r="AV3694">
            <v>0</v>
          </cell>
        </row>
        <row r="3695">
          <cell r="E3695" t="str">
            <v>B25016710</v>
          </cell>
          <cell r="AP3695">
            <v>0</v>
          </cell>
          <cell r="AQ3695">
            <v>0</v>
          </cell>
          <cell r="AV3695">
            <v>0</v>
          </cell>
        </row>
        <row r="3696">
          <cell r="E3696" t="str">
            <v>B25016919</v>
          </cell>
          <cell r="AP3696">
            <v>0</v>
          </cell>
          <cell r="AQ3696">
            <v>0</v>
          </cell>
          <cell r="AV3696">
            <v>0</v>
          </cell>
        </row>
        <row r="3697">
          <cell r="E3697">
            <v>260002</v>
          </cell>
          <cell r="AP3697">
            <v>0</v>
          </cell>
          <cell r="AQ3697">
            <v>0</v>
          </cell>
          <cell r="AV3697">
            <v>0</v>
          </cell>
        </row>
        <row r="3698">
          <cell r="E3698" t="str">
            <v>D26000076</v>
          </cell>
          <cell r="AP3698">
            <v>0</v>
          </cell>
          <cell r="AQ3698">
            <v>0</v>
          </cell>
          <cell r="AV3698">
            <v>0</v>
          </cell>
        </row>
        <row r="3699">
          <cell r="E3699" t="str">
            <v>D26000108</v>
          </cell>
          <cell r="AP3699">
            <v>0</v>
          </cell>
          <cell r="AQ3699">
            <v>0</v>
          </cell>
          <cell r="AV3699">
            <v>0</v>
          </cell>
        </row>
        <row r="3700">
          <cell r="E3700" t="str">
            <v>B26000201</v>
          </cell>
          <cell r="AP3700">
            <v>0</v>
          </cell>
          <cell r="AQ3700">
            <v>0</v>
          </cell>
          <cell r="AV3700">
            <v>0</v>
          </cell>
        </row>
        <row r="3701">
          <cell r="E3701" t="str">
            <v>D26000836</v>
          </cell>
          <cell r="AP3701">
            <v>0</v>
          </cell>
          <cell r="AQ3701">
            <v>0</v>
          </cell>
          <cell r="AV3701">
            <v>0</v>
          </cell>
        </row>
        <row r="3702">
          <cell r="E3702" t="str">
            <v>B26000929</v>
          </cell>
          <cell r="AP3702">
            <v>0</v>
          </cell>
          <cell r="AQ3702">
            <v>0</v>
          </cell>
          <cell r="AV3702">
            <v>0</v>
          </cell>
        </row>
        <row r="3703">
          <cell r="E3703" t="str">
            <v>D26001388</v>
          </cell>
          <cell r="AP3703">
            <v>0</v>
          </cell>
          <cell r="AQ3703">
            <v>0</v>
          </cell>
          <cell r="AV3703">
            <v>0</v>
          </cell>
        </row>
        <row r="3704">
          <cell r="E3704" t="str">
            <v>B25017113</v>
          </cell>
          <cell r="AP3704">
            <v>0</v>
          </cell>
          <cell r="AQ3704">
            <v>0</v>
          </cell>
          <cell r="AV3704">
            <v>0</v>
          </cell>
        </row>
        <row r="3705">
          <cell r="E3705" t="str">
            <v>D26000059</v>
          </cell>
          <cell r="AP3705">
            <v>0</v>
          </cell>
          <cell r="AQ3705">
            <v>0</v>
          </cell>
          <cell r="AV3705">
            <v>0</v>
          </cell>
        </row>
        <row r="3706">
          <cell r="E3706" t="str">
            <v>D26001185</v>
          </cell>
          <cell r="AP3706">
            <v>0</v>
          </cell>
          <cell r="AQ3706">
            <v>0</v>
          </cell>
          <cell r="AV3706">
            <v>0</v>
          </cell>
        </row>
        <row r="3707">
          <cell r="E3707" t="str">
            <v>D26001186</v>
          </cell>
          <cell r="AP3707">
            <v>0</v>
          </cell>
          <cell r="AQ3707">
            <v>0</v>
          </cell>
          <cell r="AV3707">
            <v>0</v>
          </cell>
        </row>
        <row r="3708">
          <cell r="E3708" t="str">
            <v>D26001693</v>
          </cell>
          <cell r="AP3708">
            <v>0</v>
          </cell>
          <cell r="AQ3708">
            <v>0</v>
          </cell>
          <cell r="AV3708">
            <v>0</v>
          </cell>
        </row>
        <row r="3709">
          <cell r="E3709" t="str">
            <v>T25001640</v>
          </cell>
          <cell r="AP3709">
            <v>0</v>
          </cell>
          <cell r="AQ3709">
            <v>0</v>
          </cell>
          <cell r="AV3709">
            <v>0</v>
          </cell>
        </row>
        <row r="3710">
          <cell r="E3710" t="str">
            <v>D25019122</v>
          </cell>
          <cell r="AP3710">
            <v>0</v>
          </cell>
          <cell r="AQ3710">
            <v>0</v>
          </cell>
          <cell r="AV3710">
            <v>0</v>
          </cell>
        </row>
        <row r="3711">
          <cell r="E3711" t="str">
            <v>D26000103</v>
          </cell>
          <cell r="AP3711">
            <v>0</v>
          </cell>
          <cell r="AQ3711">
            <v>0</v>
          </cell>
          <cell r="AV3711">
            <v>0</v>
          </cell>
        </row>
        <row r="3712">
          <cell r="E3712" t="str">
            <v>B26000774</v>
          </cell>
          <cell r="AP3712">
            <v>0</v>
          </cell>
          <cell r="AQ3712">
            <v>0</v>
          </cell>
          <cell r="AV3712">
            <v>0</v>
          </cell>
        </row>
        <row r="3713">
          <cell r="E3713" t="str">
            <v>T26000047</v>
          </cell>
          <cell r="AP3713">
            <v>0</v>
          </cell>
          <cell r="AQ3713">
            <v>0</v>
          </cell>
          <cell r="AV3713">
            <v>0</v>
          </cell>
        </row>
        <row r="3714">
          <cell r="E3714" t="str">
            <v>T26000109</v>
          </cell>
          <cell r="AP3714">
            <v>0</v>
          </cell>
          <cell r="AQ3714">
            <v>0</v>
          </cell>
          <cell r="AV3714">
            <v>0</v>
          </cell>
        </row>
        <row r="3715">
          <cell r="E3715" t="str">
            <v>D26000714</v>
          </cell>
          <cell r="AP3715">
            <v>0</v>
          </cell>
          <cell r="AQ3715">
            <v>0</v>
          </cell>
          <cell r="AV3715">
            <v>0</v>
          </cell>
        </row>
        <row r="3716">
          <cell r="E3716" t="str">
            <v>D26000715</v>
          </cell>
          <cell r="AP3716">
            <v>0</v>
          </cell>
          <cell r="AQ3716">
            <v>0</v>
          </cell>
          <cell r="AV3716">
            <v>0</v>
          </cell>
        </row>
        <row r="3717">
          <cell r="E3717" t="str">
            <v>T26000036</v>
          </cell>
          <cell r="AP3717">
            <v>0</v>
          </cell>
          <cell r="AQ3717">
            <v>0</v>
          </cell>
          <cell r="AV3717">
            <v>0</v>
          </cell>
        </row>
        <row r="3718">
          <cell r="E3718" t="str">
            <v>B26000960</v>
          </cell>
          <cell r="AP3718">
            <v>0</v>
          </cell>
          <cell r="AQ3718">
            <v>0</v>
          </cell>
          <cell r="AV3718">
            <v>0</v>
          </cell>
        </row>
        <row r="3719">
          <cell r="E3719" t="str">
            <v>B26001297</v>
          </cell>
          <cell r="AP3719">
            <v>0</v>
          </cell>
          <cell r="AQ3719">
            <v>0</v>
          </cell>
          <cell r="AV3719">
            <v>0</v>
          </cell>
        </row>
        <row r="3720">
          <cell r="E3720" t="str">
            <v>T25001726</v>
          </cell>
          <cell r="AP3720">
            <v>0</v>
          </cell>
          <cell r="AQ3720">
            <v>0</v>
          </cell>
          <cell r="AV3720">
            <v>0</v>
          </cell>
        </row>
        <row r="3721">
          <cell r="E3721" t="str">
            <v>T25001727</v>
          </cell>
          <cell r="AP3721">
            <v>0</v>
          </cell>
          <cell r="AQ3721">
            <v>0</v>
          </cell>
          <cell r="AV3721">
            <v>0</v>
          </cell>
        </row>
        <row r="3722">
          <cell r="E3722" t="str">
            <v>T25001891</v>
          </cell>
          <cell r="AP3722">
            <v>0</v>
          </cell>
          <cell r="AQ3722">
            <v>0</v>
          </cell>
          <cell r="AV3722">
            <v>0</v>
          </cell>
        </row>
        <row r="3723">
          <cell r="E3723" t="str">
            <v>T25001499k</v>
          </cell>
          <cell r="AP3723">
            <v>0</v>
          </cell>
          <cell r="AQ3723">
            <v>0</v>
          </cell>
          <cell r="AV3723">
            <v>0</v>
          </cell>
        </row>
        <row r="3724">
          <cell r="E3724" t="str">
            <v>D25016324</v>
          </cell>
          <cell r="AP3724">
            <v>0</v>
          </cell>
          <cell r="AQ3724">
            <v>0</v>
          </cell>
          <cell r="AV3724">
            <v>0</v>
          </cell>
        </row>
        <row r="3725">
          <cell r="E3725" t="str">
            <v>B25014290</v>
          </cell>
          <cell r="AP3725">
            <v>0</v>
          </cell>
          <cell r="AQ3725">
            <v>0</v>
          </cell>
          <cell r="AV3725">
            <v>0</v>
          </cell>
        </row>
        <row r="3726">
          <cell r="E3726" t="str">
            <v>T25001642</v>
          </cell>
          <cell r="AP3726">
            <v>0</v>
          </cell>
          <cell r="AQ3726">
            <v>0</v>
          </cell>
          <cell r="AV3726">
            <v>0</v>
          </cell>
        </row>
        <row r="3727">
          <cell r="E3727" t="str">
            <v>B25014665</v>
          </cell>
          <cell r="AP3727">
            <v>0</v>
          </cell>
          <cell r="AQ3727">
            <v>0</v>
          </cell>
          <cell r="AV3727">
            <v>0</v>
          </cell>
        </row>
        <row r="3728">
          <cell r="E3728" t="str">
            <v>D25017559</v>
          </cell>
          <cell r="AP3728">
            <v>0</v>
          </cell>
          <cell r="AQ3728">
            <v>0</v>
          </cell>
          <cell r="AV3728">
            <v>0</v>
          </cell>
        </row>
        <row r="3729">
          <cell r="E3729" t="str">
            <v>D25017560</v>
          </cell>
          <cell r="AP3729">
            <v>0</v>
          </cell>
          <cell r="AQ3729">
            <v>0</v>
          </cell>
          <cell r="AV3729">
            <v>0</v>
          </cell>
        </row>
        <row r="3730">
          <cell r="E3730" t="str">
            <v>T25001743</v>
          </cell>
          <cell r="AP3730">
            <v>0</v>
          </cell>
          <cell r="AQ3730">
            <v>0</v>
          </cell>
          <cell r="AV3730">
            <v>0</v>
          </cell>
        </row>
        <row r="3731">
          <cell r="E3731" t="str">
            <v>B25015759</v>
          </cell>
          <cell r="AP3731">
            <v>0</v>
          </cell>
          <cell r="AQ3731">
            <v>0</v>
          </cell>
          <cell r="AV3731">
            <v>0</v>
          </cell>
        </row>
        <row r="3732">
          <cell r="E3732" t="str">
            <v>B25015760</v>
          </cell>
          <cell r="AP3732">
            <v>0</v>
          </cell>
          <cell r="AQ3732">
            <v>0</v>
          </cell>
          <cell r="AV3732">
            <v>0</v>
          </cell>
        </row>
        <row r="3733">
          <cell r="E3733" t="str">
            <v>B25016494</v>
          </cell>
          <cell r="AP3733">
            <v>0</v>
          </cell>
          <cell r="AQ3733">
            <v>0</v>
          </cell>
          <cell r="AV3733">
            <v>0</v>
          </cell>
        </row>
        <row r="3734">
          <cell r="E3734" t="str">
            <v>B25016495</v>
          </cell>
          <cell r="AP3734">
            <v>0</v>
          </cell>
          <cell r="AQ3734">
            <v>0</v>
          </cell>
          <cell r="AV3734">
            <v>0</v>
          </cell>
        </row>
        <row r="3735">
          <cell r="E3735" t="str">
            <v>B26000065</v>
          </cell>
          <cell r="AP3735">
            <v>0</v>
          </cell>
          <cell r="AQ3735">
            <v>0</v>
          </cell>
          <cell r="AV3735">
            <v>0</v>
          </cell>
        </row>
        <row r="3736">
          <cell r="E3736" t="str">
            <v>B26000407</v>
          </cell>
          <cell r="AP3736">
            <v>0</v>
          </cell>
          <cell r="AQ3736">
            <v>0</v>
          </cell>
          <cell r="AV3736">
            <v>0</v>
          </cell>
        </row>
        <row r="3737">
          <cell r="E3737" t="str">
            <v>B26000801</v>
          </cell>
          <cell r="AP3737">
            <v>0</v>
          </cell>
          <cell r="AQ3737">
            <v>0</v>
          </cell>
          <cell r="AV3737">
            <v>0</v>
          </cell>
        </row>
        <row r="3738">
          <cell r="E3738" t="str">
            <v>B26000802</v>
          </cell>
          <cell r="AP3738">
            <v>0</v>
          </cell>
          <cell r="AQ3738">
            <v>0</v>
          </cell>
          <cell r="AV3738">
            <v>0</v>
          </cell>
        </row>
        <row r="3739">
          <cell r="E3739" t="str">
            <v>T26000052k</v>
          </cell>
          <cell r="AP3739">
            <v>0</v>
          </cell>
          <cell r="AQ3739">
            <v>0</v>
          </cell>
          <cell r="AV3739">
            <v>0</v>
          </cell>
        </row>
        <row r="3740">
          <cell r="E3740" t="str">
            <v>T26000053</v>
          </cell>
          <cell r="AP3740">
            <v>0</v>
          </cell>
          <cell r="AQ3740">
            <v>0</v>
          </cell>
          <cell r="AV3740">
            <v>0</v>
          </cell>
        </row>
        <row r="3741">
          <cell r="E3741" t="str">
            <v>B26000919</v>
          </cell>
          <cell r="AP3741">
            <v>0</v>
          </cell>
          <cell r="AQ3741">
            <v>0</v>
          </cell>
          <cell r="AV3741">
            <v>0</v>
          </cell>
        </row>
        <row r="3742">
          <cell r="E3742" t="str">
            <v>B26001531</v>
          </cell>
          <cell r="AP3742">
            <v>0</v>
          </cell>
          <cell r="AQ3742">
            <v>0</v>
          </cell>
          <cell r="AV3742">
            <v>0</v>
          </cell>
        </row>
        <row r="3743">
          <cell r="E3743" t="str">
            <v>B26001532</v>
          </cell>
          <cell r="AP3743">
            <v>0</v>
          </cell>
          <cell r="AQ3743">
            <v>0</v>
          </cell>
          <cell r="AV3743">
            <v>0</v>
          </cell>
        </row>
        <row r="3744">
          <cell r="E3744" t="str">
            <v>B26001539</v>
          </cell>
          <cell r="AP3744">
            <v>0</v>
          </cell>
          <cell r="AQ3744">
            <v>0</v>
          </cell>
          <cell r="AV3744">
            <v>0</v>
          </cell>
        </row>
        <row r="3745">
          <cell r="E3745" t="str">
            <v>B26001543</v>
          </cell>
          <cell r="AP3745">
            <v>0</v>
          </cell>
          <cell r="AQ3745">
            <v>0</v>
          </cell>
          <cell r="AV3745">
            <v>0</v>
          </cell>
        </row>
        <row r="3746">
          <cell r="E3746" t="str">
            <v>B25016130</v>
          </cell>
          <cell r="AP3746">
            <v>0</v>
          </cell>
          <cell r="AQ3746">
            <v>0</v>
          </cell>
          <cell r="AV3746">
            <v>0</v>
          </cell>
        </row>
        <row r="3747">
          <cell r="E3747" t="str">
            <v>D25019283</v>
          </cell>
          <cell r="AP3747">
            <v>0</v>
          </cell>
          <cell r="AQ3747">
            <v>0</v>
          </cell>
          <cell r="AV3747">
            <v>0</v>
          </cell>
        </row>
        <row r="3748">
          <cell r="E3748" t="str">
            <v>D26001180</v>
          </cell>
          <cell r="AP3748">
            <v>0</v>
          </cell>
          <cell r="AQ3748">
            <v>0</v>
          </cell>
          <cell r="AV3748">
            <v>0</v>
          </cell>
        </row>
        <row r="3749">
          <cell r="E3749" t="str">
            <v>D25015072</v>
          </cell>
          <cell r="AP3749">
            <v>0</v>
          </cell>
          <cell r="AQ3749">
            <v>0</v>
          </cell>
          <cell r="AV3749">
            <v>0</v>
          </cell>
        </row>
        <row r="3750">
          <cell r="E3750" t="str">
            <v>T25001501</v>
          </cell>
          <cell r="AP3750">
            <v>0</v>
          </cell>
          <cell r="AQ3750">
            <v>0</v>
          </cell>
          <cell r="AV3750">
            <v>0</v>
          </cell>
        </row>
        <row r="3751">
          <cell r="E3751" t="str">
            <v>B25015134</v>
          </cell>
          <cell r="AP3751">
            <v>0</v>
          </cell>
          <cell r="AQ3751">
            <v>0</v>
          </cell>
          <cell r="AV3751">
            <v>0</v>
          </cell>
        </row>
        <row r="3752">
          <cell r="E3752" t="str">
            <v>D25017600</v>
          </cell>
          <cell r="AP3752">
            <v>0</v>
          </cell>
          <cell r="AQ3752">
            <v>0</v>
          </cell>
          <cell r="AV3752">
            <v>0</v>
          </cell>
        </row>
        <row r="3753">
          <cell r="E3753" t="str">
            <v>B25015240</v>
          </cell>
          <cell r="AP3753">
            <v>0</v>
          </cell>
          <cell r="AQ3753">
            <v>0</v>
          </cell>
          <cell r="AV3753">
            <v>0</v>
          </cell>
        </row>
        <row r="3754">
          <cell r="E3754" t="str">
            <v>D25018399</v>
          </cell>
          <cell r="AP3754">
            <v>0</v>
          </cell>
          <cell r="AQ3754">
            <v>0</v>
          </cell>
          <cell r="AV3754">
            <v>0</v>
          </cell>
        </row>
        <row r="3755">
          <cell r="E3755" t="str">
            <v>B25016041</v>
          </cell>
          <cell r="AP3755">
            <v>0</v>
          </cell>
          <cell r="AQ3755">
            <v>0</v>
          </cell>
          <cell r="AV3755">
            <v>0</v>
          </cell>
        </row>
        <row r="3756">
          <cell r="E3756" t="str">
            <v>D25018626</v>
          </cell>
          <cell r="AP3756">
            <v>0</v>
          </cell>
          <cell r="AQ3756">
            <v>0</v>
          </cell>
          <cell r="AV3756">
            <v>0</v>
          </cell>
        </row>
        <row r="3757">
          <cell r="E3757" t="str">
            <v>D25018819</v>
          </cell>
          <cell r="AP3757">
            <v>0</v>
          </cell>
          <cell r="AQ3757">
            <v>0</v>
          </cell>
          <cell r="AV3757">
            <v>0</v>
          </cell>
        </row>
        <row r="3758">
          <cell r="E3758" t="str">
            <v>D25018822</v>
          </cell>
          <cell r="AP3758">
            <v>0</v>
          </cell>
          <cell r="AQ3758">
            <v>0</v>
          </cell>
          <cell r="AV3758">
            <v>0</v>
          </cell>
        </row>
        <row r="3759">
          <cell r="E3759" t="str">
            <v>B25016573</v>
          </cell>
          <cell r="AP3759">
            <v>0</v>
          </cell>
          <cell r="AQ3759">
            <v>0</v>
          </cell>
          <cell r="AV3759">
            <v>0</v>
          </cell>
        </row>
        <row r="3760">
          <cell r="E3760" t="str">
            <v>D25019089</v>
          </cell>
          <cell r="AP3760">
            <v>0</v>
          </cell>
          <cell r="AQ3760">
            <v>0</v>
          </cell>
          <cell r="AV3760">
            <v>0</v>
          </cell>
        </row>
        <row r="3761">
          <cell r="E3761" t="str">
            <v>D25019270</v>
          </cell>
          <cell r="AP3761">
            <v>0</v>
          </cell>
          <cell r="AQ3761">
            <v>0</v>
          </cell>
          <cell r="AV3761">
            <v>0</v>
          </cell>
        </row>
        <row r="3762">
          <cell r="E3762" t="str">
            <v>D25019287</v>
          </cell>
          <cell r="AP3762">
            <v>0</v>
          </cell>
          <cell r="AQ3762">
            <v>0</v>
          </cell>
          <cell r="AV3762">
            <v>0</v>
          </cell>
        </row>
        <row r="3763">
          <cell r="E3763" t="str">
            <v>D25019324</v>
          </cell>
          <cell r="AP3763">
            <v>0</v>
          </cell>
          <cell r="AQ3763">
            <v>0</v>
          </cell>
          <cell r="AV3763">
            <v>0</v>
          </cell>
        </row>
        <row r="3764">
          <cell r="E3764" t="str">
            <v>B25017028</v>
          </cell>
          <cell r="AP3764">
            <v>0</v>
          </cell>
          <cell r="AQ3764">
            <v>0</v>
          </cell>
          <cell r="AV3764">
            <v>0</v>
          </cell>
        </row>
        <row r="3765">
          <cell r="E3765" t="str">
            <v>B25017059</v>
          </cell>
          <cell r="AP3765">
            <v>0</v>
          </cell>
          <cell r="AQ3765">
            <v>0</v>
          </cell>
          <cell r="AV3765">
            <v>0</v>
          </cell>
        </row>
        <row r="3766">
          <cell r="E3766" t="str">
            <v>D25019673</v>
          </cell>
          <cell r="AP3766">
            <v>0</v>
          </cell>
          <cell r="AQ3766">
            <v>0</v>
          </cell>
          <cell r="AV3766">
            <v>0</v>
          </cell>
        </row>
        <row r="3767">
          <cell r="E3767" t="str">
            <v>D25019680</v>
          </cell>
          <cell r="AP3767">
            <v>0</v>
          </cell>
          <cell r="AQ3767">
            <v>0</v>
          </cell>
          <cell r="AV3767">
            <v>0</v>
          </cell>
        </row>
        <row r="3768">
          <cell r="E3768" t="str">
            <v>D26000202</v>
          </cell>
          <cell r="AP3768">
            <v>0</v>
          </cell>
          <cell r="AQ3768">
            <v>0</v>
          </cell>
          <cell r="AV3768">
            <v>0</v>
          </cell>
        </row>
        <row r="3769">
          <cell r="E3769" t="str">
            <v>D26000682</v>
          </cell>
          <cell r="AP3769">
            <v>0</v>
          </cell>
          <cell r="AQ3769">
            <v>0</v>
          </cell>
          <cell r="AV3769">
            <v>0</v>
          </cell>
        </row>
        <row r="3770">
          <cell r="E3770" t="str">
            <v>B26000700</v>
          </cell>
          <cell r="AP3770">
            <v>0</v>
          </cell>
          <cell r="AQ3770">
            <v>0</v>
          </cell>
          <cell r="AV3770">
            <v>0</v>
          </cell>
        </row>
        <row r="3771">
          <cell r="E3771" t="str">
            <v>D26000778</v>
          </cell>
          <cell r="AP3771">
            <v>0</v>
          </cell>
          <cell r="AQ3771">
            <v>0</v>
          </cell>
          <cell r="AV3771">
            <v>0</v>
          </cell>
        </row>
        <row r="3772">
          <cell r="E3772" t="str">
            <v>B26000791</v>
          </cell>
          <cell r="AP3772">
            <v>0</v>
          </cell>
          <cell r="AQ3772">
            <v>0</v>
          </cell>
          <cell r="AV3772">
            <v>0</v>
          </cell>
        </row>
        <row r="3773">
          <cell r="E3773" t="str">
            <v>B26001170</v>
          </cell>
          <cell r="AP3773">
            <v>0</v>
          </cell>
          <cell r="AQ3773">
            <v>0</v>
          </cell>
          <cell r="AV3773">
            <v>0</v>
          </cell>
        </row>
        <row r="3774">
          <cell r="E3774" t="str">
            <v>B26001181</v>
          </cell>
          <cell r="AP3774">
            <v>0</v>
          </cell>
          <cell r="AQ3774">
            <v>0</v>
          </cell>
          <cell r="AV3774">
            <v>0</v>
          </cell>
        </row>
        <row r="3775">
          <cell r="E3775" t="str">
            <v>B26001220</v>
          </cell>
          <cell r="AP3775">
            <v>0</v>
          </cell>
          <cell r="AQ3775">
            <v>0</v>
          </cell>
          <cell r="AV3775">
            <v>0</v>
          </cell>
        </row>
        <row r="3776">
          <cell r="E3776" t="str">
            <v>B26000546</v>
          </cell>
          <cell r="AP3776">
            <v>0</v>
          </cell>
          <cell r="AQ3776">
            <v>0</v>
          </cell>
          <cell r="AV3776">
            <v>0</v>
          </cell>
        </row>
        <row r="3777">
          <cell r="E3777" t="str">
            <v>D26000254</v>
          </cell>
          <cell r="AP3777">
            <v>0</v>
          </cell>
          <cell r="AQ3777">
            <v>0</v>
          </cell>
          <cell r="AV3777">
            <v>0</v>
          </cell>
        </row>
        <row r="3778">
          <cell r="E3778" t="str">
            <v>D26000255</v>
          </cell>
          <cell r="AP3778">
            <v>0</v>
          </cell>
          <cell r="AQ3778">
            <v>0</v>
          </cell>
          <cell r="AV3778">
            <v>0</v>
          </cell>
        </row>
        <row r="3779">
          <cell r="E3779" t="str">
            <v>D26000398</v>
          </cell>
          <cell r="AP3779">
            <v>0</v>
          </cell>
          <cell r="AQ3779">
            <v>0</v>
          </cell>
          <cell r="AV3779">
            <v>0</v>
          </cell>
        </row>
        <row r="3780">
          <cell r="E3780" t="str">
            <v>D26000983</v>
          </cell>
          <cell r="AP3780">
            <v>0</v>
          </cell>
          <cell r="AQ3780">
            <v>0</v>
          </cell>
          <cell r="AV3780">
            <v>0</v>
          </cell>
        </row>
        <row r="3781">
          <cell r="E3781" t="str">
            <v>B26001256</v>
          </cell>
          <cell r="AP3781">
            <v>0</v>
          </cell>
          <cell r="AQ3781">
            <v>0</v>
          </cell>
          <cell r="AV3781">
            <v>0</v>
          </cell>
        </row>
        <row r="3782">
          <cell r="E3782" t="str">
            <v>D26000511</v>
          </cell>
          <cell r="AP3782">
            <v>0</v>
          </cell>
          <cell r="AQ3782">
            <v>0</v>
          </cell>
          <cell r="AV3782">
            <v>0</v>
          </cell>
        </row>
        <row r="3783">
          <cell r="E3783" t="str">
            <v>D26000510</v>
          </cell>
          <cell r="AP3783">
            <v>0</v>
          </cell>
          <cell r="AQ3783">
            <v>0</v>
          </cell>
          <cell r="AV3783">
            <v>0</v>
          </cell>
        </row>
        <row r="3784">
          <cell r="E3784" t="str">
            <v>B26000601</v>
          </cell>
          <cell r="AP3784">
            <v>0</v>
          </cell>
          <cell r="AQ3784">
            <v>0</v>
          </cell>
          <cell r="AV3784">
            <v>0</v>
          </cell>
        </row>
        <row r="3785">
          <cell r="E3785" t="str">
            <v>D26000753</v>
          </cell>
          <cell r="AP3785">
            <v>0</v>
          </cell>
          <cell r="AQ3785">
            <v>0</v>
          </cell>
          <cell r="AV3785">
            <v>0</v>
          </cell>
        </row>
        <row r="3786">
          <cell r="E3786" t="str">
            <v>B26001215</v>
          </cell>
          <cell r="AP3786">
            <v>0</v>
          </cell>
          <cell r="AQ3786">
            <v>0</v>
          </cell>
          <cell r="AV3786">
            <v>0</v>
          </cell>
        </row>
        <row r="3787">
          <cell r="E3787" t="str">
            <v>B26001432</v>
          </cell>
          <cell r="AP3787">
            <v>0</v>
          </cell>
          <cell r="AQ3787">
            <v>0</v>
          </cell>
          <cell r="AV3787">
            <v>0</v>
          </cell>
        </row>
        <row r="3788">
          <cell r="E3788" t="str">
            <v>B26001602</v>
          </cell>
          <cell r="AP3788">
            <v>0</v>
          </cell>
          <cell r="AQ3788">
            <v>0</v>
          </cell>
          <cell r="AV3788">
            <v>0</v>
          </cell>
        </row>
        <row r="3789">
          <cell r="E3789" t="str">
            <v>T25001747</v>
          </cell>
          <cell r="AP3789">
            <v>0</v>
          </cell>
          <cell r="AQ3789">
            <v>0</v>
          </cell>
          <cell r="AV3789">
            <v>0</v>
          </cell>
        </row>
        <row r="3790">
          <cell r="E3790" t="str">
            <v>T25001819</v>
          </cell>
          <cell r="AP3790">
            <v>0</v>
          </cell>
          <cell r="AQ3790">
            <v>0</v>
          </cell>
          <cell r="AV3790">
            <v>0</v>
          </cell>
        </row>
        <row r="3791">
          <cell r="E3791" t="str">
            <v>D25019551</v>
          </cell>
          <cell r="AP3791">
            <v>0</v>
          </cell>
          <cell r="AQ3791">
            <v>0</v>
          </cell>
          <cell r="AV3791">
            <v>0</v>
          </cell>
        </row>
        <row r="3792">
          <cell r="E3792" t="str">
            <v>D25016451</v>
          </cell>
          <cell r="AP3792">
            <v>0</v>
          </cell>
          <cell r="AQ3792">
            <v>0</v>
          </cell>
          <cell r="AV3792">
            <v>0</v>
          </cell>
        </row>
        <row r="3793">
          <cell r="E3793" t="str">
            <v>D25016452</v>
          </cell>
          <cell r="AP3793">
            <v>0</v>
          </cell>
          <cell r="AQ3793">
            <v>0</v>
          </cell>
          <cell r="AV3793">
            <v>0</v>
          </cell>
        </row>
        <row r="3794">
          <cell r="E3794" t="str">
            <v>B25014976</v>
          </cell>
          <cell r="AP3794">
            <v>0</v>
          </cell>
          <cell r="AQ3794">
            <v>0</v>
          </cell>
          <cell r="AV3794">
            <v>0</v>
          </cell>
        </row>
        <row r="3795">
          <cell r="E3795" t="str">
            <v>B25015475</v>
          </cell>
          <cell r="AP3795">
            <v>0</v>
          </cell>
          <cell r="AQ3795">
            <v>0</v>
          </cell>
          <cell r="AV3795">
            <v>0</v>
          </cell>
        </row>
        <row r="3796">
          <cell r="E3796" t="str">
            <v>B25015792</v>
          </cell>
          <cell r="AP3796">
            <v>0</v>
          </cell>
          <cell r="AQ3796">
            <v>0</v>
          </cell>
          <cell r="AV3796">
            <v>0</v>
          </cell>
        </row>
        <row r="3797">
          <cell r="E3797" t="str">
            <v>B25015921</v>
          </cell>
          <cell r="AP3797">
            <v>0</v>
          </cell>
          <cell r="AQ3797">
            <v>0</v>
          </cell>
          <cell r="AV3797">
            <v>0</v>
          </cell>
        </row>
        <row r="3798">
          <cell r="E3798" t="str">
            <v>D25018359</v>
          </cell>
          <cell r="AP3798">
            <v>0</v>
          </cell>
          <cell r="AQ3798">
            <v>0</v>
          </cell>
          <cell r="AV3798">
            <v>0</v>
          </cell>
        </row>
        <row r="3799">
          <cell r="E3799" t="str">
            <v>D25018773</v>
          </cell>
          <cell r="AP3799">
            <v>0</v>
          </cell>
          <cell r="AQ3799">
            <v>0</v>
          </cell>
          <cell r="AV3799">
            <v>0</v>
          </cell>
        </row>
        <row r="3800">
          <cell r="E3800" t="str">
            <v>D25018786</v>
          </cell>
          <cell r="AP3800">
            <v>0</v>
          </cell>
          <cell r="AQ3800">
            <v>0</v>
          </cell>
          <cell r="AV3800">
            <v>0</v>
          </cell>
        </row>
        <row r="3801">
          <cell r="E3801" t="str">
            <v>D25018825</v>
          </cell>
          <cell r="AP3801">
            <v>0</v>
          </cell>
          <cell r="AQ3801">
            <v>0</v>
          </cell>
          <cell r="AV3801">
            <v>0</v>
          </cell>
        </row>
        <row r="3802">
          <cell r="E3802" t="str">
            <v>B25016551</v>
          </cell>
          <cell r="AP3802">
            <v>0</v>
          </cell>
          <cell r="AQ3802">
            <v>0</v>
          </cell>
          <cell r="AV3802">
            <v>0</v>
          </cell>
        </row>
        <row r="3803">
          <cell r="E3803" t="str">
            <v>B25016634</v>
          </cell>
          <cell r="AP3803">
            <v>0</v>
          </cell>
          <cell r="AQ3803">
            <v>0</v>
          </cell>
          <cell r="AV3803">
            <v>0</v>
          </cell>
        </row>
        <row r="3804">
          <cell r="E3804" t="str">
            <v>D25019495</v>
          </cell>
          <cell r="AP3804">
            <v>0</v>
          </cell>
          <cell r="AQ3804">
            <v>0</v>
          </cell>
          <cell r="AV3804">
            <v>0</v>
          </cell>
        </row>
        <row r="3805">
          <cell r="E3805" t="str">
            <v>D25019498</v>
          </cell>
          <cell r="AP3805">
            <v>0</v>
          </cell>
          <cell r="AQ3805">
            <v>0</v>
          </cell>
          <cell r="AV3805">
            <v>0</v>
          </cell>
        </row>
        <row r="3806">
          <cell r="E3806" t="str">
            <v>D25019501</v>
          </cell>
          <cell r="AP3806">
            <v>0</v>
          </cell>
          <cell r="AQ3806">
            <v>0</v>
          </cell>
          <cell r="AV3806">
            <v>0</v>
          </cell>
        </row>
        <row r="3807">
          <cell r="E3807" t="str">
            <v>B26000318</v>
          </cell>
          <cell r="AP3807">
            <v>0</v>
          </cell>
          <cell r="AQ3807">
            <v>0</v>
          </cell>
          <cell r="AV3807">
            <v>0</v>
          </cell>
        </row>
        <row r="3808">
          <cell r="E3808" t="str">
            <v>B26000392</v>
          </cell>
          <cell r="AP3808">
            <v>0</v>
          </cell>
          <cell r="AQ3808">
            <v>0</v>
          </cell>
          <cell r="AV3808">
            <v>0</v>
          </cell>
        </row>
        <row r="3809">
          <cell r="E3809" t="str">
            <v>B26000453</v>
          </cell>
          <cell r="AP3809">
            <v>0</v>
          </cell>
          <cell r="AQ3809">
            <v>0</v>
          </cell>
          <cell r="AV3809">
            <v>0</v>
          </cell>
        </row>
        <row r="3810">
          <cell r="E3810" t="str">
            <v>D26000518</v>
          </cell>
          <cell r="AP3810">
            <v>0</v>
          </cell>
          <cell r="AQ3810">
            <v>0</v>
          </cell>
          <cell r="AV3810">
            <v>0</v>
          </cell>
        </row>
        <row r="3811">
          <cell r="E3811" t="str">
            <v>D26000923</v>
          </cell>
          <cell r="AP3811">
            <v>0</v>
          </cell>
          <cell r="AQ3811">
            <v>0</v>
          </cell>
          <cell r="AV3811">
            <v>0</v>
          </cell>
        </row>
        <row r="3812">
          <cell r="E3812" t="str">
            <v>B26001212</v>
          </cell>
          <cell r="AP3812">
            <v>0</v>
          </cell>
          <cell r="AQ3812">
            <v>0</v>
          </cell>
          <cell r="AV3812">
            <v>0</v>
          </cell>
        </row>
        <row r="3813">
          <cell r="E3813" t="str">
            <v>B26001213</v>
          </cell>
          <cell r="AP3813">
            <v>0</v>
          </cell>
          <cell r="AQ3813">
            <v>0</v>
          </cell>
          <cell r="AV3813">
            <v>0</v>
          </cell>
        </row>
        <row r="3814">
          <cell r="E3814" t="str">
            <v>D26001294</v>
          </cell>
          <cell r="AP3814">
            <v>0</v>
          </cell>
          <cell r="AQ3814">
            <v>0</v>
          </cell>
          <cell r="AV3814">
            <v>0</v>
          </cell>
        </row>
        <row r="3815">
          <cell r="E3815" t="str">
            <v>D26001396</v>
          </cell>
          <cell r="AP3815">
            <v>0</v>
          </cell>
          <cell r="AQ3815">
            <v>0</v>
          </cell>
          <cell r="AV3815">
            <v>0</v>
          </cell>
        </row>
        <row r="3816">
          <cell r="E3816" t="str">
            <v>B26001431</v>
          </cell>
          <cell r="AP3816">
            <v>0</v>
          </cell>
          <cell r="AQ3816">
            <v>0</v>
          </cell>
          <cell r="AV3816">
            <v>0</v>
          </cell>
        </row>
        <row r="3817">
          <cell r="E3817" t="str">
            <v>B26001451</v>
          </cell>
          <cell r="AP3817">
            <v>0</v>
          </cell>
          <cell r="AQ3817">
            <v>0</v>
          </cell>
          <cell r="AV3817">
            <v>0</v>
          </cell>
        </row>
        <row r="3818">
          <cell r="E3818" t="str">
            <v>D26001721</v>
          </cell>
          <cell r="AP3818">
            <v>0</v>
          </cell>
          <cell r="AQ3818">
            <v>0</v>
          </cell>
          <cell r="AV3818">
            <v>0</v>
          </cell>
        </row>
        <row r="3819">
          <cell r="E3819" t="str">
            <v>D25015935</v>
          </cell>
          <cell r="AP3819">
            <v>0</v>
          </cell>
          <cell r="AQ3819">
            <v>0</v>
          </cell>
          <cell r="AV3819">
            <v>0</v>
          </cell>
        </row>
        <row r="3820">
          <cell r="E3820" t="str">
            <v>D25015936</v>
          </cell>
          <cell r="AP3820">
            <v>0</v>
          </cell>
          <cell r="AQ3820">
            <v>0</v>
          </cell>
          <cell r="AV3820">
            <v>0</v>
          </cell>
        </row>
        <row r="3821">
          <cell r="E3821" t="str">
            <v>D25016102</v>
          </cell>
          <cell r="AP3821">
            <v>0</v>
          </cell>
          <cell r="AQ3821">
            <v>0</v>
          </cell>
          <cell r="AV3821">
            <v>0</v>
          </cell>
        </row>
        <row r="3822">
          <cell r="E3822" t="str">
            <v>D25016279</v>
          </cell>
          <cell r="AP3822">
            <v>0</v>
          </cell>
          <cell r="AQ3822">
            <v>0</v>
          </cell>
          <cell r="AV3822">
            <v>0</v>
          </cell>
        </row>
        <row r="3823">
          <cell r="E3823" t="str">
            <v>D25016279</v>
          </cell>
          <cell r="AP3823">
            <v>0</v>
          </cell>
          <cell r="AQ3823">
            <v>0</v>
          </cell>
          <cell r="AV3823">
            <v>0</v>
          </cell>
        </row>
        <row r="3824">
          <cell r="E3824" t="str">
            <v>D25016337</v>
          </cell>
          <cell r="AP3824">
            <v>0</v>
          </cell>
          <cell r="AQ3824">
            <v>0</v>
          </cell>
          <cell r="AV3824">
            <v>0</v>
          </cell>
        </row>
        <row r="3825">
          <cell r="E3825" t="str">
            <v>D25016338</v>
          </cell>
          <cell r="AP3825">
            <v>0</v>
          </cell>
          <cell r="AQ3825">
            <v>0</v>
          </cell>
          <cell r="AV3825">
            <v>0</v>
          </cell>
        </row>
        <row r="3826">
          <cell r="E3826" t="str">
            <v>D25016835</v>
          </cell>
          <cell r="AP3826">
            <v>0</v>
          </cell>
          <cell r="AQ3826">
            <v>0</v>
          </cell>
          <cell r="AV3826">
            <v>0</v>
          </cell>
        </row>
        <row r="3827">
          <cell r="E3827" t="str">
            <v>D25016835</v>
          </cell>
          <cell r="AP3827">
            <v>0</v>
          </cell>
          <cell r="AQ3827">
            <v>0</v>
          </cell>
          <cell r="AV3827">
            <v>0</v>
          </cell>
        </row>
        <row r="3828">
          <cell r="E3828" t="str">
            <v>D25016876</v>
          </cell>
          <cell r="AP3828">
            <v>0</v>
          </cell>
          <cell r="AQ3828">
            <v>0</v>
          </cell>
          <cell r="AV3828">
            <v>0</v>
          </cell>
        </row>
        <row r="3829">
          <cell r="E3829" t="str">
            <v>D25016876</v>
          </cell>
          <cell r="AP3829">
            <v>0</v>
          </cell>
          <cell r="AQ3829">
            <v>0</v>
          </cell>
          <cell r="AV3829">
            <v>0</v>
          </cell>
        </row>
        <row r="3830">
          <cell r="E3830" t="str">
            <v>D25016896</v>
          </cell>
          <cell r="AP3830">
            <v>0</v>
          </cell>
          <cell r="AQ3830">
            <v>0</v>
          </cell>
          <cell r="AV3830">
            <v>0</v>
          </cell>
        </row>
        <row r="3831">
          <cell r="E3831" t="str">
            <v>D25016896</v>
          </cell>
          <cell r="AP3831">
            <v>0</v>
          </cell>
          <cell r="AQ3831">
            <v>0</v>
          </cell>
          <cell r="AV3831">
            <v>0</v>
          </cell>
        </row>
        <row r="3832">
          <cell r="E3832" t="str">
            <v>D25016967</v>
          </cell>
          <cell r="AP3832">
            <v>0</v>
          </cell>
          <cell r="AQ3832">
            <v>0</v>
          </cell>
          <cell r="AV3832">
            <v>0</v>
          </cell>
        </row>
        <row r="3833">
          <cell r="E3833" t="str">
            <v>D25016967</v>
          </cell>
          <cell r="AP3833">
            <v>0</v>
          </cell>
          <cell r="AQ3833">
            <v>0</v>
          </cell>
          <cell r="AV3833">
            <v>0</v>
          </cell>
        </row>
        <row r="3834">
          <cell r="E3834" t="str">
            <v>D25016970</v>
          </cell>
          <cell r="AP3834">
            <v>0</v>
          </cell>
          <cell r="AQ3834">
            <v>0</v>
          </cell>
          <cell r="AV3834">
            <v>0</v>
          </cell>
        </row>
        <row r="3835">
          <cell r="E3835" t="str">
            <v>D25017010</v>
          </cell>
          <cell r="AP3835">
            <v>0</v>
          </cell>
          <cell r="AQ3835">
            <v>0</v>
          </cell>
          <cell r="AV3835">
            <v>0</v>
          </cell>
        </row>
        <row r="3836">
          <cell r="E3836" t="str">
            <v>D25017050</v>
          </cell>
          <cell r="AP3836">
            <v>0</v>
          </cell>
          <cell r="AQ3836">
            <v>0</v>
          </cell>
          <cell r="AV3836">
            <v>0</v>
          </cell>
        </row>
        <row r="3837">
          <cell r="E3837" t="str">
            <v>D25017050</v>
          </cell>
          <cell r="AP3837">
            <v>0</v>
          </cell>
          <cell r="AQ3837">
            <v>0</v>
          </cell>
          <cell r="AV3837">
            <v>0</v>
          </cell>
        </row>
        <row r="3838">
          <cell r="E3838" t="str">
            <v>D25017174</v>
          </cell>
          <cell r="AP3838">
            <v>0</v>
          </cell>
          <cell r="AQ3838">
            <v>0</v>
          </cell>
          <cell r="AV3838">
            <v>0</v>
          </cell>
        </row>
        <row r="3839">
          <cell r="E3839" t="str">
            <v>D25017174</v>
          </cell>
          <cell r="AP3839">
            <v>0</v>
          </cell>
          <cell r="AQ3839">
            <v>0</v>
          </cell>
          <cell r="AV3839">
            <v>0</v>
          </cell>
        </row>
        <row r="3840">
          <cell r="E3840" t="str">
            <v>D25017175</v>
          </cell>
          <cell r="AP3840">
            <v>0</v>
          </cell>
          <cell r="AQ3840">
            <v>0</v>
          </cell>
          <cell r="AV3840">
            <v>0</v>
          </cell>
        </row>
        <row r="3841">
          <cell r="E3841" t="str">
            <v>D25017175</v>
          </cell>
          <cell r="AP3841">
            <v>0</v>
          </cell>
          <cell r="AQ3841">
            <v>0</v>
          </cell>
          <cell r="AV3841">
            <v>0</v>
          </cell>
        </row>
        <row r="3842">
          <cell r="E3842" t="str">
            <v>D25017274</v>
          </cell>
          <cell r="AP3842">
            <v>0</v>
          </cell>
          <cell r="AQ3842">
            <v>0</v>
          </cell>
          <cell r="AV3842">
            <v>0</v>
          </cell>
        </row>
        <row r="3843">
          <cell r="E3843" t="str">
            <v>D25017274</v>
          </cell>
          <cell r="AP3843">
            <v>0</v>
          </cell>
          <cell r="AQ3843">
            <v>0</v>
          </cell>
          <cell r="AV3843">
            <v>0</v>
          </cell>
        </row>
        <row r="3844">
          <cell r="E3844" t="str">
            <v>D25017375</v>
          </cell>
          <cell r="AP3844">
            <v>0</v>
          </cell>
          <cell r="AQ3844">
            <v>0</v>
          </cell>
          <cell r="AV3844">
            <v>0</v>
          </cell>
        </row>
        <row r="3845">
          <cell r="E3845" t="str">
            <v>D25017375</v>
          </cell>
          <cell r="AP3845">
            <v>0</v>
          </cell>
          <cell r="AQ3845">
            <v>0</v>
          </cell>
          <cell r="AV3845">
            <v>0</v>
          </cell>
        </row>
        <row r="3846">
          <cell r="E3846" t="str">
            <v>D25017431</v>
          </cell>
          <cell r="AP3846">
            <v>0</v>
          </cell>
          <cell r="AQ3846">
            <v>0</v>
          </cell>
          <cell r="AV3846">
            <v>0</v>
          </cell>
        </row>
        <row r="3847">
          <cell r="E3847" t="str">
            <v>D25017432</v>
          </cell>
          <cell r="AP3847">
            <v>0</v>
          </cell>
          <cell r="AQ3847">
            <v>0</v>
          </cell>
          <cell r="AV3847">
            <v>0</v>
          </cell>
        </row>
        <row r="3848">
          <cell r="E3848" t="str">
            <v>D25017461</v>
          </cell>
          <cell r="AP3848">
            <v>0</v>
          </cell>
          <cell r="AQ3848">
            <v>0</v>
          </cell>
          <cell r="AV3848">
            <v>0</v>
          </cell>
        </row>
        <row r="3849">
          <cell r="E3849" t="str">
            <v>D25017566</v>
          </cell>
          <cell r="AP3849">
            <v>0</v>
          </cell>
          <cell r="AQ3849">
            <v>0</v>
          </cell>
          <cell r="AV3849">
            <v>0</v>
          </cell>
        </row>
        <row r="3850">
          <cell r="E3850" t="str">
            <v>D25017566</v>
          </cell>
          <cell r="AP3850">
            <v>0</v>
          </cell>
          <cell r="AQ3850">
            <v>0</v>
          </cell>
          <cell r="AV3850">
            <v>0</v>
          </cell>
        </row>
        <row r="3851">
          <cell r="E3851" t="str">
            <v>D25017567</v>
          </cell>
          <cell r="AP3851">
            <v>0</v>
          </cell>
          <cell r="AQ3851">
            <v>0</v>
          </cell>
          <cell r="AV3851">
            <v>0</v>
          </cell>
        </row>
        <row r="3852">
          <cell r="E3852" t="str">
            <v>D25017567</v>
          </cell>
          <cell r="AP3852">
            <v>0</v>
          </cell>
          <cell r="AQ3852">
            <v>0</v>
          </cell>
          <cell r="AV3852">
            <v>0</v>
          </cell>
        </row>
        <row r="3853">
          <cell r="E3853" t="str">
            <v>D25017731</v>
          </cell>
          <cell r="AP3853">
            <v>0</v>
          </cell>
          <cell r="AQ3853">
            <v>0</v>
          </cell>
          <cell r="AV3853">
            <v>0</v>
          </cell>
        </row>
        <row r="3854">
          <cell r="E3854" t="str">
            <v>D25017731</v>
          </cell>
          <cell r="AP3854">
            <v>0</v>
          </cell>
          <cell r="AQ3854">
            <v>0</v>
          </cell>
          <cell r="AV3854">
            <v>0</v>
          </cell>
        </row>
        <row r="3855">
          <cell r="E3855" t="str">
            <v>B25015348</v>
          </cell>
          <cell r="AP3855">
            <v>0</v>
          </cell>
          <cell r="AQ3855">
            <v>0</v>
          </cell>
          <cell r="AV3855">
            <v>0</v>
          </cell>
        </row>
        <row r="3856">
          <cell r="E3856" t="str">
            <v>B25015349</v>
          </cell>
          <cell r="AP3856">
            <v>0</v>
          </cell>
          <cell r="AQ3856">
            <v>0</v>
          </cell>
          <cell r="AV3856">
            <v>0</v>
          </cell>
        </row>
        <row r="3857">
          <cell r="E3857" t="str">
            <v>B25015350</v>
          </cell>
          <cell r="AP3857">
            <v>0</v>
          </cell>
          <cell r="AQ3857">
            <v>0</v>
          </cell>
          <cell r="AV3857">
            <v>0</v>
          </cell>
        </row>
        <row r="3858">
          <cell r="E3858" t="str">
            <v>D25018068</v>
          </cell>
          <cell r="AP3858">
            <v>0</v>
          </cell>
          <cell r="AQ3858">
            <v>0</v>
          </cell>
          <cell r="AV3858">
            <v>0</v>
          </cell>
        </row>
        <row r="3859">
          <cell r="E3859" t="str">
            <v>D25018081</v>
          </cell>
          <cell r="AP3859">
            <v>0</v>
          </cell>
          <cell r="AQ3859">
            <v>0</v>
          </cell>
          <cell r="AV3859">
            <v>0</v>
          </cell>
        </row>
        <row r="3860">
          <cell r="E3860" t="str">
            <v>D25018081</v>
          </cell>
          <cell r="AP3860">
            <v>0</v>
          </cell>
          <cell r="AQ3860">
            <v>0</v>
          </cell>
          <cell r="AV3860">
            <v>0</v>
          </cell>
        </row>
        <row r="3861">
          <cell r="E3861" t="str">
            <v>D25018082</v>
          </cell>
          <cell r="AP3861">
            <v>0</v>
          </cell>
          <cell r="AQ3861">
            <v>0</v>
          </cell>
          <cell r="AV3861">
            <v>0</v>
          </cell>
        </row>
        <row r="3862">
          <cell r="E3862" t="str">
            <v>D25018082</v>
          </cell>
          <cell r="AP3862">
            <v>0</v>
          </cell>
          <cell r="AQ3862">
            <v>0</v>
          </cell>
          <cell r="AV3862">
            <v>0</v>
          </cell>
        </row>
        <row r="3863">
          <cell r="E3863" t="str">
            <v>D25018134</v>
          </cell>
          <cell r="AP3863">
            <v>0</v>
          </cell>
          <cell r="AQ3863">
            <v>0</v>
          </cell>
          <cell r="AV3863">
            <v>0</v>
          </cell>
        </row>
        <row r="3864">
          <cell r="E3864" t="str">
            <v>D25018134</v>
          </cell>
          <cell r="AP3864">
            <v>0</v>
          </cell>
          <cell r="AQ3864">
            <v>0</v>
          </cell>
          <cell r="AV3864">
            <v>0</v>
          </cell>
        </row>
        <row r="3865">
          <cell r="E3865" t="str">
            <v>D25018377</v>
          </cell>
          <cell r="AP3865">
            <v>0</v>
          </cell>
          <cell r="AQ3865">
            <v>0</v>
          </cell>
          <cell r="AV3865">
            <v>0</v>
          </cell>
        </row>
        <row r="3866">
          <cell r="E3866" t="str">
            <v>D25018377</v>
          </cell>
          <cell r="AP3866">
            <v>0</v>
          </cell>
          <cell r="AQ3866">
            <v>0</v>
          </cell>
          <cell r="AV3866">
            <v>0</v>
          </cell>
        </row>
        <row r="3867">
          <cell r="E3867" t="str">
            <v>D25018418</v>
          </cell>
          <cell r="AP3867">
            <v>0</v>
          </cell>
          <cell r="AQ3867">
            <v>0</v>
          </cell>
          <cell r="AV3867">
            <v>0</v>
          </cell>
        </row>
        <row r="3868">
          <cell r="E3868" t="str">
            <v>D25018428</v>
          </cell>
          <cell r="AP3868">
            <v>0</v>
          </cell>
          <cell r="AQ3868">
            <v>0</v>
          </cell>
          <cell r="AV3868">
            <v>0</v>
          </cell>
        </row>
        <row r="3869">
          <cell r="E3869" t="str">
            <v>B25016088</v>
          </cell>
          <cell r="AP3869">
            <v>0</v>
          </cell>
          <cell r="AQ3869">
            <v>0</v>
          </cell>
          <cell r="AV3869">
            <v>0</v>
          </cell>
        </row>
        <row r="3870">
          <cell r="E3870" t="str">
            <v>B25016088</v>
          </cell>
          <cell r="AP3870">
            <v>0</v>
          </cell>
          <cell r="AQ3870">
            <v>0</v>
          </cell>
          <cell r="AV3870">
            <v>0</v>
          </cell>
        </row>
        <row r="3871">
          <cell r="E3871" t="str">
            <v>B25016088</v>
          </cell>
          <cell r="AP3871">
            <v>0</v>
          </cell>
          <cell r="AQ3871">
            <v>0</v>
          </cell>
          <cell r="AV3871">
            <v>0</v>
          </cell>
        </row>
        <row r="3872">
          <cell r="E3872" t="str">
            <v>D25018512</v>
          </cell>
          <cell r="AP3872">
            <v>0</v>
          </cell>
          <cell r="AQ3872">
            <v>0</v>
          </cell>
          <cell r="AV3872">
            <v>0</v>
          </cell>
        </row>
        <row r="3873">
          <cell r="E3873" t="str">
            <v>D25018512</v>
          </cell>
          <cell r="AP3873">
            <v>0</v>
          </cell>
          <cell r="AQ3873">
            <v>0</v>
          </cell>
          <cell r="AV3873">
            <v>0</v>
          </cell>
        </row>
        <row r="3874">
          <cell r="E3874" t="str">
            <v>D25018512</v>
          </cell>
          <cell r="AP3874">
            <v>0</v>
          </cell>
          <cell r="AQ3874">
            <v>0</v>
          </cell>
          <cell r="AV3874">
            <v>0</v>
          </cell>
        </row>
        <row r="3875">
          <cell r="E3875" t="str">
            <v>D25018513</v>
          </cell>
          <cell r="AP3875">
            <v>0</v>
          </cell>
          <cell r="AQ3875">
            <v>0</v>
          </cell>
          <cell r="AV3875">
            <v>0</v>
          </cell>
        </row>
        <row r="3876">
          <cell r="E3876" t="str">
            <v>D25018574</v>
          </cell>
          <cell r="AP3876">
            <v>0</v>
          </cell>
          <cell r="AQ3876">
            <v>0</v>
          </cell>
          <cell r="AV3876">
            <v>0</v>
          </cell>
        </row>
        <row r="3877">
          <cell r="E3877" t="str">
            <v>B25016181</v>
          </cell>
          <cell r="AP3877">
            <v>0</v>
          </cell>
          <cell r="AQ3877">
            <v>0</v>
          </cell>
          <cell r="AV3877">
            <v>0</v>
          </cell>
        </row>
        <row r="3878">
          <cell r="E3878" t="str">
            <v>B25016181</v>
          </cell>
          <cell r="AP3878">
            <v>0</v>
          </cell>
          <cell r="AQ3878">
            <v>0</v>
          </cell>
          <cell r="AV3878">
            <v>0</v>
          </cell>
        </row>
        <row r="3879">
          <cell r="E3879" t="str">
            <v>B25016194</v>
          </cell>
          <cell r="AP3879">
            <v>0</v>
          </cell>
          <cell r="AQ3879">
            <v>0</v>
          </cell>
          <cell r="AV3879">
            <v>0</v>
          </cell>
        </row>
        <row r="3880">
          <cell r="E3880" t="str">
            <v>B25016194</v>
          </cell>
          <cell r="AP3880">
            <v>0</v>
          </cell>
          <cell r="AQ3880">
            <v>0</v>
          </cell>
          <cell r="AV3880">
            <v>0</v>
          </cell>
        </row>
        <row r="3881">
          <cell r="E3881" t="str">
            <v>D25018679</v>
          </cell>
          <cell r="AP3881">
            <v>0</v>
          </cell>
          <cell r="AQ3881">
            <v>0</v>
          </cell>
          <cell r="AV3881">
            <v>0</v>
          </cell>
        </row>
        <row r="3882">
          <cell r="E3882" t="str">
            <v>D25018679</v>
          </cell>
          <cell r="AP3882">
            <v>0</v>
          </cell>
          <cell r="AQ3882">
            <v>0</v>
          </cell>
          <cell r="AV3882">
            <v>0</v>
          </cell>
        </row>
        <row r="3883">
          <cell r="E3883" t="str">
            <v>D25018679</v>
          </cell>
          <cell r="AP3883">
            <v>0</v>
          </cell>
          <cell r="AQ3883">
            <v>0</v>
          </cell>
          <cell r="AV3883">
            <v>0</v>
          </cell>
        </row>
        <row r="3884">
          <cell r="E3884" t="str">
            <v>D25018700</v>
          </cell>
          <cell r="AP3884">
            <v>0</v>
          </cell>
          <cell r="AQ3884">
            <v>0</v>
          </cell>
          <cell r="AV3884">
            <v>0</v>
          </cell>
        </row>
        <row r="3885">
          <cell r="E3885" t="str">
            <v>D25018700</v>
          </cell>
          <cell r="AP3885">
            <v>0</v>
          </cell>
          <cell r="AQ3885">
            <v>0</v>
          </cell>
          <cell r="AV3885">
            <v>0</v>
          </cell>
        </row>
        <row r="3886">
          <cell r="E3886" t="str">
            <v>B25016422</v>
          </cell>
          <cell r="AP3886">
            <v>0</v>
          </cell>
          <cell r="AQ3886">
            <v>0</v>
          </cell>
          <cell r="AV3886">
            <v>0</v>
          </cell>
        </row>
        <row r="3887">
          <cell r="E3887" t="str">
            <v>B25016422</v>
          </cell>
          <cell r="AP3887">
            <v>0</v>
          </cell>
          <cell r="AQ3887">
            <v>0</v>
          </cell>
          <cell r="AV3887">
            <v>0</v>
          </cell>
        </row>
        <row r="3888">
          <cell r="E3888" t="str">
            <v>B25016422</v>
          </cell>
          <cell r="AP3888">
            <v>0</v>
          </cell>
          <cell r="AQ3888">
            <v>0</v>
          </cell>
          <cell r="AV3888">
            <v>0</v>
          </cell>
        </row>
        <row r="3889">
          <cell r="E3889" t="str">
            <v>T25001856</v>
          </cell>
          <cell r="AP3889">
            <v>0</v>
          </cell>
          <cell r="AQ3889">
            <v>0</v>
          </cell>
          <cell r="AV3889">
            <v>0</v>
          </cell>
        </row>
        <row r="3890">
          <cell r="E3890" t="str">
            <v>B25016444</v>
          </cell>
          <cell r="AP3890">
            <v>0</v>
          </cell>
          <cell r="AQ3890">
            <v>0</v>
          </cell>
          <cell r="AV3890">
            <v>0</v>
          </cell>
        </row>
        <row r="3891">
          <cell r="E3891" t="str">
            <v>D25019031</v>
          </cell>
          <cell r="AP3891">
            <v>0</v>
          </cell>
          <cell r="AQ3891">
            <v>0</v>
          </cell>
          <cell r="AV3891">
            <v>0</v>
          </cell>
        </row>
        <row r="3892">
          <cell r="E3892" t="str">
            <v>D25019031</v>
          </cell>
          <cell r="AP3892">
            <v>0</v>
          </cell>
          <cell r="AQ3892">
            <v>0</v>
          </cell>
          <cell r="AV3892">
            <v>0</v>
          </cell>
        </row>
        <row r="3893">
          <cell r="E3893" t="str">
            <v>D25019031</v>
          </cell>
          <cell r="AP3893">
            <v>0</v>
          </cell>
          <cell r="AQ3893">
            <v>0</v>
          </cell>
          <cell r="AV3893">
            <v>0</v>
          </cell>
        </row>
        <row r="3894">
          <cell r="E3894" t="str">
            <v>D25019031</v>
          </cell>
          <cell r="AP3894">
            <v>0</v>
          </cell>
          <cell r="AQ3894">
            <v>0</v>
          </cell>
          <cell r="AV3894">
            <v>0</v>
          </cell>
        </row>
        <row r="3895">
          <cell r="E3895" t="str">
            <v>D25019032</v>
          </cell>
          <cell r="AP3895">
            <v>0</v>
          </cell>
          <cell r="AQ3895">
            <v>0</v>
          </cell>
          <cell r="AV3895">
            <v>0</v>
          </cell>
        </row>
        <row r="3896">
          <cell r="E3896" t="str">
            <v>D25019113</v>
          </cell>
          <cell r="AP3896">
            <v>0</v>
          </cell>
          <cell r="AQ3896">
            <v>0</v>
          </cell>
          <cell r="AV3896">
            <v>0</v>
          </cell>
        </row>
        <row r="3897">
          <cell r="E3897" t="str">
            <v>D25019125</v>
          </cell>
          <cell r="AP3897">
            <v>0</v>
          </cell>
          <cell r="AQ3897">
            <v>0</v>
          </cell>
          <cell r="AV3897">
            <v>0</v>
          </cell>
        </row>
        <row r="3898">
          <cell r="E3898" t="str">
            <v>D25019125</v>
          </cell>
          <cell r="AP3898">
            <v>0</v>
          </cell>
          <cell r="AQ3898">
            <v>0</v>
          </cell>
          <cell r="AV3898">
            <v>0</v>
          </cell>
        </row>
        <row r="3899">
          <cell r="E3899" t="str">
            <v>D25019125</v>
          </cell>
          <cell r="AP3899">
            <v>0</v>
          </cell>
          <cell r="AQ3899">
            <v>0</v>
          </cell>
          <cell r="AV3899">
            <v>0</v>
          </cell>
        </row>
        <row r="3900">
          <cell r="E3900" t="str">
            <v>D25019136</v>
          </cell>
          <cell r="AP3900">
            <v>0</v>
          </cell>
          <cell r="AQ3900">
            <v>0</v>
          </cell>
          <cell r="AV3900">
            <v>0</v>
          </cell>
        </row>
        <row r="3901">
          <cell r="E3901" t="str">
            <v>D25019232</v>
          </cell>
          <cell r="AP3901">
            <v>0</v>
          </cell>
          <cell r="AQ3901">
            <v>0</v>
          </cell>
          <cell r="AV3901">
            <v>0</v>
          </cell>
        </row>
        <row r="3902">
          <cell r="E3902" t="str">
            <v>D25019232</v>
          </cell>
          <cell r="AP3902">
            <v>0</v>
          </cell>
          <cell r="AQ3902">
            <v>0</v>
          </cell>
          <cell r="AV3902">
            <v>0</v>
          </cell>
        </row>
        <row r="3903">
          <cell r="E3903" t="str">
            <v>D25019232</v>
          </cell>
          <cell r="AP3903">
            <v>0</v>
          </cell>
          <cell r="AQ3903">
            <v>0</v>
          </cell>
          <cell r="AV3903">
            <v>0</v>
          </cell>
        </row>
        <row r="3904">
          <cell r="E3904" t="str">
            <v>D25019232</v>
          </cell>
          <cell r="AP3904">
            <v>0</v>
          </cell>
          <cell r="AQ3904">
            <v>0</v>
          </cell>
          <cell r="AV3904">
            <v>0</v>
          </cell>
        </row>
        <row r="3905">
          <cell r="E3905" t="str">
            <v>D25019232</v>
          </cell>
          <cell r="AP3905">
            <v>0</v>
          </cell>
          <cell r="AQ3905">
            <v>0</v>
          </cell>
          <cell r="AV3905">
            <v>0</v>
          </cell>
        </row>
        <row r="3906">
          <cell r="E3906" t="str">
            <v>D25019464</v>
          </cell>
          <cell r="AP3906">
            <v>0</v>
          </cell>
          <cell r="AQ3906">
            <v>0</v>
          </cell>
          <cell r="AV3906">
            <v>0</v>
          </cell>
        </row>
        <row r="3907">
          <cell r="E3907" t="str">
            <v>D25019542</v>
          </cell>
          <cell r="AP3907">
            <v>0</v>
          </cell>
          <cell r="AQ3907">
            <v>0</v>
          </cell>
          <cell r="AV3907">
            <v>0</v>
          </cell>
        </row>
        <row r="3908">
          <cell r="E3908" t="str">
            <v>D25019542</v>
          </cell>
          <cell r="AP3908">
            <v>0</v>
          </cell>
          <cell r="AQ3908">
            <v>0</v>
          </cell>
          <cell r="AV3908">
            <v>0</v>
          </cell>
        </row>
        <row r="3909">
          <cell r="E3909" t="str">
            <v>D25019542</v>
          </cell>
          <cell r="AP3909">
            <v>0</v>
          </cell>
          <cell r="AQ3909">
            <v>0</v>
          </cell>
          <cell r="AV3909">
            <v>0</v>
          </cell>
        </row>
        <row r="3910">
          <cell r="E3910" t="str">
            <v>D25019543</v>
          </cell>
          <cell r="AP3910">
            <v>0</v>
          </cell>
          <cell r="AQ3910">
            <v>0</v>
          </cell>
          <cell r="AV3910">
            <v>0</v>
          </cell>
        </row>
        <row r="3911">
          <cell r="E3911" t="str">
            <v>D25019589</v>
          </cell>
          <cell r="AP3911">
            <v>0</v>
          </cell>
          <cell r="AQ3911">
            <v>0</v>
          </cell>
          <cell r="AV3911">
            <v>0</v>
          </cell>
        </row>
        <row r="3912">
          <cell r="E3912" t="str">
            <v>D25019589</v>
          </cell>
          <cell r="AP3912">
            <v>0</v>
          </cell>
          <cell r="AQ3912">
            <v>0</v>
          </cell>
          <cell r="AV3912">
            <v>0</v>
          </cell>
        </row>
        <row r="3913">
          <cell r="E3913" t="str">
            <v>D25019590</v>
          </cell>
          <cell r="AP3913">
            <v>0</v>
          </cell>
          <cell r="AQ3913">
            <v>0</v>
          </cell>
          <cell r="AV3913">
            <v>0</v>
          </cell>
        </row>
        <row r="3914">
          <cell r="E3914" t="str">
            <v>D25019590</v>
          </cell>
          <cell r="AP3914">
            <v>0</v>
          </cell>
          <cell r="AQ3914">
            <v>0</v>
          </cell>
          <cell r="AV3914">
            <v>0</v>
          </cell>
        </row>
        <row r="3915">
          <cell r="E3915" t="str">
            <v>D25019591</v>
          </cell>
          <cell r="AP3915">
            <v>0</v>
          </cell>
          <cell r="AQ3915">
            <v>0</v>
          </cell>
          <cell r="AV3915">
            <v>0</v>
          </cell>
        </row>
        <row r="3916">
          <cell r="E3916" t="str">
            <v>D25019591</v>
          </cell>
          <cell r="AP3916">
            <v>0</v>
          </cell>
          <cell r="AQ3916">
            <v>0</v>
          </cell>
          <cell r="AV3916">
            <v>0</v>
          </cell>
        </row>
        <row r="3917">
          <cell r="E3917" t="str">
            <v>D25019591</v>
          </cell>
          <cell r="AP3917">
            <v>0</v>
          </cell>
          <cell r="AQ3917">
            <v>0</v>
          </cell>
          <cell r="AV3917">
            <v>0</v>
          </cell>
        </row>
        <row r="3918">
          <cell r="E3918" t="str">
            <v>D25019600</v>
          </cell>
          <cell r="AP3918">
            <v>0</v>
          </cell>
          <cell r="AQ3918">
            <v>0</v>
          </cell>
          <cell r="AV3918">
            <v>0</v>
          </cell>
        </row>
        <row r="3919">
          <cell r="E3919" t="str">
            <v>D25019608</v>
          </cell>
          <cell r="AP3919">
            <v>0</v>
          </cell>
          <cell r="AQ3919">
            <v>0</v>
          </cell>
          <cell r="AV3919">
            <v>0</v>
          </cell>
        </row>
        <row r="3920">
          <cell r="E3920" t="str">
            <v>D25019608</v>
          </cell>
          <cell r="AP3920">
            <v>0</v>
          </cell>
          <cell r="AQ3920">
            <v>0</v>
          </cell>
          <cell r="AV3920">
            <v>0</v>
          </cell>
        </row>
        <row r="3921">
          <cell r="E3921" t="str">
            <v>D26000006</v>
          </cell>
          <cell r="AP3921">
            <v>0</v>
          </cell>
          <cell r="AQ3921">
            <v>0</v>
          </cell>
          <cell r="AV3921">
            <v>0</v>
          </cell>
        </row>
        <row r="3922">
          <cell r="E3922" t="str">
            <v>D26000068</v>
          </cell>
          <cell r="AP3922">
            <v>0</v>
          </cell>
          <cell r="AQ3922">
            <v>0</v>
          </cell>
          <cell r="AV3922">
            <v>0</v>
          </cell>
        </row>
        <row r="3923">
          <cell r="E3923" t="str">
            <v>T26000024</v>
          </cell>
          <cell r="AP3923">
            <v>0</v>
          </cell>
          <cell r="AQ3923">
            <v>0</v>
          </cell>
          <cell r="AV3923">
            <v>0</v>
          </cell>
        </row>
        <row r="3924">
          <cell r="E3924" t="str">
            <v>D26000463</v>
          </cell>
          <cell r="AP3924">
            <v>0</v>
          </cell>
          <cell r="AQ3924">
            <v>0</v>
          </cell>
          <cell r="AV3924">
            <v>0</v>
          </cell>
        </row>
        <row r="3925">
          <cell r="E3925" t="str">
            <v>D26000494</v>
          </cell>
          <cell r="AP3925">
            <v>0</v>
          </cell>
          <cell r="AQ3925">
            <v>0</v>
          </cell>
          <cell r="AV3925">
            <v>0</v>
          </cell>
        </row>
        <row r="3926">
          <cell r="E3926" t="str">
            <v>D26000523</v>
          </cell>
          <cell r="AP3926">
            <v>0</v>
          </cell>
          <cell r="AQ3926">
            <v>0</v>
          </cell>
          <cell r="AV3926">
            <v>0</v>
          </cell>
        </row>
        <row r="3927">
          <cell r="E3927" t="str">
            <v>D26000523</v>
          </cell>
          <cell r="AP3927">
            <v>0</v>
          </cell>
          <cell r="AQ3927">
            <v>0</v>
          </cell>
          <cell r="AV3927">
            <v>0</v>
          </cell>
        </row>
        <row r="3928">
          <cell r="E3928" t="str">
            <v>D26000523</v>
          </cell>
          <cell r="AP3928">
            <v>0</v>
          </cell>
          <cell r="AQ3928">
            <v>0</v>
          </cell>
          <cell r="AV3928">
            <v>0</v>
          </cell>
        </row>
        <row r="3929">
          <cell r="E3929" t="str">
            <v>D26000523</v>
          </cell>
          <cell r="AP3929">
            <v>0</v>
          </cell>
          <cell r="AQ3929">
            <v>0</v>
          </cell>
          <cell r="AV3929">
            <v>0</v>
          </cell>
        </row>
        <row r="3930">
          <cell r="E3930" t="str">
            <v>D26000616</v>
          </cell>
          <cell r="AP3930">
            <v>0</v>
          </cell>
          <cell r="AQ3930">
            <v>0</v>
          </cell>
          <cell r="AV3930">
            <v>0</v>
          </cell>
        </row>
        <row r="3931">
          <cell r="E3931" t="str">
            <v>D26000617</v>
          </cell>
          <cell r="AP3931">
            <v>0</v>
          </cell>
          <cell r="AQ3931">
            <v>0</v>
          </cell>
          <cell r="AV3931">
            <v>0</v>
          </cell>
        </row>
        <row r="3932">
          <cell r="E3932" t="str">
            <v>D26000618</v>
          </cell>
          <cell r="AP3932">
            <v>0</v>
          </cell>
          <cell r="AQ3932">
            <v>0</v>
          </cell>
          <cell r="AV3932">
            <v>0</v>
          </cell>
        </row>
        <row r="3933">
          <cell r="E3933" t="str">
            <v>D26000746</v>
          </cell>
          <cell r="AP3933">
            <v>0</v>
          </cell>
          <cell r="AQ3933">
            <v>0</v>
          </cell>
          <cell r="AV3933">
            <v>0</v>
          </cell>
        </row>
        <row r="3934">
          <cell r="E3934" t="str">
            <v>B26000786</v>
          </cell>
          <cell r="AP3934">
            <v>0</v>
          </cell>
          <cell r="AQ3934">
            <v>0</v>
          </cell>
          <cell r="AV3934">
            <v>0</v>
          </cell>
        </row>
        <row r="3935">
          <cell r="E3935" t="str">
            <v>B26000787</v>
          </cell>
          <cell r="AP3935">
            <v>0</v>
          </cell>
          <cell r="AQ3935">
            <v>0</v>
          </cell>
          <cell r="AV3935">
            <v>0</v>
          </cell>
        </row>
        <row r="3936">
          <cell r="E3936" t="str">
            <v>D26000842</v>
          </cell>
          <cell r="AP3936">
            <v>0</v>
          </cell>
          <cell r="AQ3936">
            <v>0</v>
          </cell>
          <cell r="AV3936">
            <v>0</v>
          </cell>
        </row>
        <row r="3937">
          <cell r="E3937" t="str">
            <v>D26000995</v>
          </cell>
          <cell r="AP3937">
            <v>0</v>
          </cell>
          <cell r="AQ3937">
            <v>0</v>
          </cell>
          <cell r="AV3937">
            <v>0</v>
          </cell>
        </row>
        <row r="3938">
          <cell r="E3938" t="str">
            <v>D26000996</v>
          </cell>
          <cell r="AP3938">
            <v>0</v>
          </cell>
          <cell r="AQ3938">
            <v>0</v>
          </cell>
          <cell r="AV3938">
            <v>0</v>
          </cell>
        </row>
        <row r="3939">
          <cell r="E3939" t="str">
            <v>D26001094</v>
          </cell>
          <cell r="AP3939">
            <v>0</v>
          </cell>
          <cell r="AQ3939">
            <v>0</v>
          </cell>
          <cell r="AV3939">
            <v>0</v>
          </cell>
        </row>
        <row r="3940">
          <cell r="E3940" t="str">
            <v>D26001095</v>
          </cell>
          <cell r="AP3940">
            <v>0</v>
          </cell>
          <cell r="AQ3940">
            <v>0</v>
          </cell>
          <cell r="AV3940">
            <v>0</v>
          </cell>
        </row>
        <row r="3941">
          <cell r="E3941" t="str">
            <v>D26001096</v>
          </cell>
          <cell r="AP3941">
            <v>0</v>
          </cell>
          <cell r="AQ3941">
            <v>0</v>
          </cell>
          <cell r="AV3941">
            <v>0</v>
          </cell>
        </row>
        <row r="3942">
          <cell r="E3942" t="str">
            <v>B26001106</v>
          </cell>
          <cell r="AP3942">
            <v>0</v>
          </cell>
          <cell r="AQ3942">
            <v>0</v>
          </cell>
          <cell r="AV3942">
            <v>0</v>
          </cell>
        </row>
        <row r="3943">
          <cell r="E3943" t="str">
            <v>B26001107</v>
          </cell>
          <cell r="AP3943">
            <v>0</v>
          </cell>
          <cell r="AQ3943">
            <v>0</v>
          </cell>
          <cell r="AV3943">
            <v>0</v>
          </cell>
        </row>
        <row r="3944">
          <cell r="E3944" t="str">
            <v>D26001336</v>
          </cell>
          <cell r="AP3944">
            <v>0</v>
          </cell>
          <cell r="AQ3944">
            <v>0</v>
          </cell>
          <cell r="AV3944">
            <v>0</v>
          </cell>
        </row>
        <row r="3945">
          <cell r="E3945" t="str">
            <v>D26001372</v>
          </cell>
          <cell r="AP3945">
            <v>0</v>
          </cell>
          <cell r="AQ3945">
            <v>0</v>
          </cell>
          <cell r="AV3945">
            <v>0</v>
          </cell>
        </row>
        <row r="3946">
          <cell r="E3946" t="str">
            <v>D26001495</v>
          </cell>
          <cell r="AP3946">
            <v>0</v>
          </cell>
          <cell r="AQ3946">
            <v>0</v>
          </cell>
          <cell r="AV3946">
            <v>0</v>
          </cell>
        </row>
        <row r="3947">
          <cell r="E3947" t="str">
            <v>D26001496</v>
          </cell>
          <cell r="AP3947">
            <v>0</v>
          </cell>
          <cell r="AQ3947">
            <v>0</v>
          </cell>
          <cell r="AV3947">
            <v>0</v>
          </cell>
        </row>
        <row r="3948">
          <cell r="E3948" t="str">
            <v>D26001517</v>
          </cell>
          <cell r="AP3948">
            <v>0</v>
          </cell>
          <cell r="AQ3948">
            <v>0</v>
          </cell>
          <cell r="AV3948">
            <v>0</v>
          </cell>
        </row>
        <row r="3949">
          <cell r="E3949" t="str">
            <v>D26001542</v>
          </cell>
          <cell r="AP3949">
            <v>0</v>
          </cell>
          <cell r="AQ3949">
            <v>0</v>
          </cell>
          <cell r="AV3949">
            <v>0</v>
          </cell>
        </row>
        <row r="3950">
          <cell r="E3950" t="str">
            <v>D26001618</v>
          </cell>
          <cell r="AP3950">
            <v>0</v>
          </cell>
          <cell r="AQ3950">
            <v>0</v>
          </cell>
          <cell r="AV3950">
            <v>0</v>
          </cell>
        </row>
        <row r="3951">
          <cell r="E3951" t="str">
            <v>D26001619</v>
          </cell>
          <cell r="AP3951">
            <v>0</v>
          </cell>
          <cell r="AQ3951">
            <v>0</v>
          </cell>
          <cell r="AV3951">
            <v>0</v>
          </cell>
        </row>
        <row r="3952">
          <cell r="E3952" t="str">
            <v>D26001688</v>
          </cell>
          <cell r="AP3952">
            <v>0</v>
          </cell>
          <cell r="AQ3952">
            <v>0</v>
          </cell>
          <cell r="AV3952">
            <v>0</v>
          </cell>
        </row>
        <row r="3953">
          <cell r="E3953" t="str">
            <v>D26001689</v>
          </cell>
          <cell r="AP3953">
            <v>0</v>
          </cell>
          <cell r="AQ3953">
            <v>0</v>
          </cell>
          <cell r="AV3953">
            <v>0</v>
          </cell>
        </row>
        <row r="3954">
          <cell r="E3954" t="str">
            <v>D26001718</v>
          </cell>
          <cell r="AP3954">
            <v>0</v>
          </cell>
          <cell r="AQ3954">
            <v>0</v>
          </cell>
          <cell r="AV3954">
            <v>0</v>
          </cell>
        </row>
        <row r="3955">
          <cell r="E3955" t="str">
            <v>D26001743</v>
          </cell>
          <cell r="AP3955">
            <v>0</v>
          </cell>
          <cell r="AQ3955">
            <v>0</v>
          </cell>
          <cell r="AV3955">
            <v>0</v>
          </cell>
        </row>
        <row r="3956">
          <cell r="E3956" t="str">
            <v>D26001744</v>
          </cell>
          <cell r="AP3956">
            <v>0</v>
          </cell>
          <cell r="AQ3956">
            <v>0</v>
          </cell>
          <cell r="AV3956">
            <v>0</v>
          </cell>
        </row>
        <row r="3957">
          <cell r="E3957" t="str">
            <v>B25016794</v>
          </cell>
          <cell r="AP3957">
            <v>0</v>
          </cell>
          <cell r="AQ3957">
            <v>0</v>
          </cell>
          <cell r="AV3957">
            <v>0</v>
          </cell>
        </row>
        <row r="3958">
          <cell r="E3958" t="str">
            <v>D26000007</v>
          </cell>
          <cell r="AP3958">
            <v>0</v>
          </cell>
          <cell r="AQ3958">
            <v>0</v>
          </cell>
          <cell r="AV3958">
            <v>0</v>
          </cell>
        </row>
        <row r="3959">
          <cell r="E3959" t="str">
            <v>D26001145</v>
          </cell>
          <cell r="AP3959">
            <v>0</v>
          </cell>
          <cell r="AQ3959">
            <v>0</v>
          </cell>
          <cell r="AV3959">
            <v>0</v>
          </cell>
        </row>
        <row r="3960">
          <cell r="E3960" t="str">
            <v>T26000071</v>
          </cell>
          <cell r="AP3960">
            <v>0</v>
          </cell>
          <cell r="AQ3960">
            <v>0</v>
          </cell>
          <cell r="AV3960">
            <v>0</v>
          </cell>
        </row>
        <row r="3961">
          <cell r="E3961" t="str">
            <v>B26001314</v>
          </cell>
          <cell r="AP3961">
            <v>0</v>
          </cell>
          <cell r="AQ3961">
            <v>0</v>
          </cell>
          <cell r="AV3961">
            <v>0</v>
          </cell>
        </row>
        <row r="3962">
          <cell r="E3962" t="str">
            <v>B26001315</v>
          </cell>
          <cell r="AP3962">
            <v>0</v>
          </cell>
          <cell r="AQ3962">
            <v>0</v>
          </cell>
          <cell r="AV3962">
            <v>0</v>
          </cell>
        </row>
        <row r="3963">
          <cell r="E3963" t="str">
            <v>T26000096</v>
          </cell>
          <cell r="AP3963">
            <v>0</v>
          </cell>
          <cell r="AQ3963">
            <v>0</v>
          </cell>
          <cell r="AV3963">
            <v>0</v>
          </cell>
        </row>
        <row r="3964">
          <cell r="E3964" t="str">
            <v>T25001879</v>
          </cell>
          <cell r="AP3964">
            <v>0</v>
          </cell>
          <cell r="AQ3964">
            <v>0</v>
          </cell>
          <cell r="AV3964">
            <v>0</v>
          </cell>
        </row>
        <row r="3965">
          <cell r="E3965" t="str">
            <v>D26000261</v>
          </cell>
          <cell r="AP3965">
            <v>0</v>
          </cell>
          <cell r="AQ3965">
            <v>0</v>
          </cell>
          <cell r="AV3965">
            <v>0</v>
          </cell>
        </row>
        <row r="3966">
          <cell r="E3966" t="str">
            <v>B26001237</v>
          </cell>
          <cell r="AP3966">
            <v>0</v>
          </cell>
          <cell r="AQ3966">
            <v>0</v>
          </cell>
          <cell r="AV3966">
            <v>0</v>
          </cell>
        </row>
        <row r="3967">
          <cell r="E3967" t="str">
            <v>T26000042</v>
          </cell>
          <cell r="AP3967">
            <v>0</v>
          </cell>
          <cell r="AQ3967">
            <v>0</v>
          </cell>
          <cell r="AV3967">
            <v>0</v>
          </cell>
        </row>
        <row r="3968">
          <cell r="E3968" t="str">
            <v>D26001211</v>
          </cell>
          <cell r="AP3968">
            <v>0</v>
          </cell>
          <cell r="AQ3968">
            <v>0</v>
          </cell>
          <cell r="AV3968">
            <v>0</v>
          </cell>
        </row>
        <row r="3969">
          <cell r="E3969" t="str">
            <v>D26001553</v>
          </cell>
          <cell r="AP3969">
            <v>0</v>
          </cell>
          <cell r="AQ3969">
            <v>0</v>
          </cell>
          <cell r="AV3969">
            <v>0</v>
          </cell>
        </row>
        <row r="3970">
          <cell r="E3970" t="str">
            <v>B26000286</v>
          </cell>
          <cell r="AP3970">
            <v>0</v>
          </cell>
          <cell r="AQ3970">
            <v>0</v>
          </cell>
          <cell r="AV3970">
            <v>0</v>
          </cell>
        </row>
        <row r="3971">
          <cell r="E3971" t="str">
            <v>B26000287</v>
          </cell>
          <cell r="AP3971">
            <v>0</v>
          </cell>
          <cell r="AQ3971">
            <v>0</v>
          </cell>
          <cell r="AV3971">
            <v>0</v>
          </cell>
        </row>
        <row r="3972">
          <cell r="E3972" t="str">
            <v>D26001189</v>
          </cell>
          <cell r="AP3972">
            <v>0</v>
          </cell>
          <cell r="AQ3972">
            <v>0</v>
          </cell>
          <cell r="AV3972">
            <v>0</v>
          </cell>
        </row>
        <row r="3973">
          <cell r="E3973" t="str">
            <v>B26001457</v>
          </cell>
          <cell r="AP3973">
            <v>0</v>
          </cell>
          <cell r="AQ3973">
            <v>0</v>
          </cell>
          <cell r="AV3973">
            <v>0</v>
          </cell>
        </row>
        <row r="3974">
          <cell r="E3974" t="str">
            <v>B26000473</v>
          </cell>
          <cell r="AP3974">
            <v>0</v>
          </cell>
          <cell r="AQ3974">
            <v>0</v>
          </cell>
          <cell r="AV3974">
            <v>0</v>
          </cell>
        </row>
        <row r="3975">
          <cell r="E3975" t="str">
            <v>D26001005</v>
          </cell>
          <cell r="AP3975">
            <v>0</v>
          </cell>
          <cell r="AQ3975">
            <v>0</v>
          </cell>
          <cell r="AV3975">
            <v>0</v>
          </cell>
        </row>
        <row r="3976">
          <cell r="E3976" t="str">
            <v>B26001395</v>
          </cell>
          <cell r="AP3976">
            <v>0</v>
          </cell>
          <cell r="AQ3976">
            <v>0</v>
          </cell>
          <cell r="AV3976">
            <v>0</v>
          </cell>
        </row>
        <row r="3977">
          <cell r="E3977" t="str">
            <v>B26001556</v>
          </cell>
          <cell r="AP3977">
            <v>0</v>
          </cell>
          <cell r="AQ3977">
            <v>0</v>
          </cell>
          <cell r="AV3977">
            <v>0</v>
          </cell>
        </row>
        <row r="3978">
          <cell r="E3978" t="str">
            <v>D26000582</v>
          </cell>
          <cell r="AP3978">
            <v>0</v>
          </cell>
          <cell r="AQ3978">
            <v>0</v>
          </cell>
          <cell r="AV3978">
            <v>0</v>
          </cell>
        </row>
        <row r="3979">
          <cell r="E3979" t="str">
            <v>B26000779</v>
          </cell>
          <cell r="AP3979">
            <v>0</v>
          </cell>
          <cell r="AQ3979">
            <v>0</v>
          </cell>
          <cell r="AV3979">
            <v>0</v>
          </cell>
        </row>
        <row r="3980">
          <cell r="E3980" t="str">
            <v>D23006230</v>
          </cell>
          <cell r="AP3980">
            <v>0</v>
          </cell>
          <cell r="AQ3980">
            <v>0</v>
          </cell>
          <cell r="AV3980">
            <v>0</v>
          </cell>
        </row>
        <row r="3981">
          <cell r="E3981" t="str">
            <v>N25000011</v>
          </cell>
          <cell r="AP3981">
            <v>0</v>
          </cell>
          <cell r="AQ3981">
            <v>0</v>
          </cell>
          <cell r="AV3981">
            <v>0</v>
          </cell>
        </row>
        <row r="3982">
          <cell r="E3982" t="str">
            <v>B26001332</v>
          </cell>
          <cell r="AP3982">
            <v>0</v>
          </cell>
          <cell r="AQ3982">
            <v>0</v>
          </cell>
          <cell r="AV3982">
            <v>0</v>
          </cell>
        </row>
        <row r="3983">
          <cell r="E3983" t="str">
            <v>D26001425</v>
          </cell>
          <cell r="AP3983">
            <v>0</v>
          </cell>
          <cell r="AQ3983">
            <v>0</v>
          </cell>
          <cell r="AV3983">
            <v>0</v>
          </cell>
        </row>
        <row r="3984">
          <cell r="E3984" t="str">
            <v>D25016305</v>
          </cell>
          <cell r="AP3984">
            <v>0</v>
          </cell>
          <cell r="AQ3984">
            <v>0</v>
          </cell>
          <cell r="AV3984">
            <v>0</v>
          </cell>
        </row>
        <row r="3985">
          <cell r="E3985" t="str">
            <v>D25016859</v>
          </cell>
          <cell r="AP3985">
            <v>0</v>
          </cell>
          <cell r="AQ3985">
            <v>0</v>
          </cell>
          <cell r="AV3985">
            <v>0</v>
          </cell>
        </row>
        <row r="3986">
          <cell r="E3986" t="str">
            <v>D25016929</v>
          </cell>
          <cell r="AP3986">
            <v>0</v>
          </cell>
          <cell r="AQ3986">
            <v>0</v>
          </cell>
          <cell r="AV3986">
            <v>0</v>
          </cell>
        </row>
        <row r="3987">
          <cell r="E3987" t="str">
            <v>D25017131</v>
          </cell>
          <cell r="AP3987">
            <v>0</v>
          </cell>
          <cell r="AQ3987">
            <v>0</v>
          </cell>
          <cell r="AV3987">
            <v>0</v>
          </cell>
        </row>
        <row r="3988">
          <cell r="E3988" t="str">
            <v>D25017131</v>
          </cell>
          <cell r="AP3988">
            <v>0</v>
          </cell>
          <cell r="AQ3988">
            <v>0</v>
          </cell>
          <cell r="AV3988">
            <v>0</v>
          </cell>
        </row>
        <row r="3989">
          <cell r="E3989" t="str">
            <v>D25017316</v>
          </cell>
          <cell r="AP3989">
            <v>0</v>
          </cell>
          <cell r="AQ3989">
            <v>0</v>
          </cell>
          <cell r="AV3989">
            <v>0</v>
          </cell>
        </row>
        <row r="3990">
          <cell r="E3990" t="str">
            <v>D25017317</v>
          </cell>
          <cell r="AP3990">
            <v>0</v>
          </cell>
          <cell r="AQ3990">
            <v>0</v>
          </cell>
          <cell r="AV3990">
            <v>0</v>
          </cell>
        </row>
        <row r="3991">
          <cell r="E3991" t="str">
            <v>B25015252</v>
          </cell>
          <cell r="AP3991">
            <v>0</v>
          </cell>
          <cell r="AQ3991">
            <v>0</v>
          </cell>
          <cell r="AV3991">
            <v>0</v>
          </cell>
        </row>
        <row r="3992">
          <cell r="E3992" t="str">
            <v>D25017823</v>
          </cell>
          <cell r="AP3992">
            <v>0</v>
          </cell>
          <cell r="AQ3992">
            <v>0</v>
          </cell>
          <cell r="AV3992">
            <v>0</v>
          </cell>
        </row>
        <row r="3993">
          <cell r="E3993" t="str">
            <v>D25018074</v>
          </cell>
          <cell r="AP3993">
            <v>0</v>
          </cell>
          <cell r="AQ3993">
            <v>0</v>
          </cell>
          <cell r="AV3993">
            <v>0</v>
          </cell>
        </row>
        <row r="3994">
          <cell r="E3994" t="str">
            <v>D25018188</v>
          </cell>
          <cell r="AP3994">
            <v>0</v>
          </cell>
          <cell r="AQ3994">
            <v>0</v>
          </cell>
          <cell r="AV3994">
            <v>0</v>
          </cell>
        </row>
        <row r="3995">
          <cell r="E3995" t="str">
            <v>D25018562</v>
          </cell>
          <cell r="AP3995">
            <v>0</v>
          </cell>
          <cell r="AQ3995">
            <v>0</v>
          </cell>
          <cell r="AV3995">
            <v>0</v>
          </cell>
        </row>
        <row r="3996">
          <cell r="E3996" t="str">
            <v>D25018905</v>
          </cell>
          <cell r="AP3996">
            <v>0</v>
          </cell>
          <cell r="AQ3996">
            <v>0</v>
          </cell>
          <cell r="AV3996">
            <v>0</v>
          </cell>
        </row>
        <row r="3997">
          <cell r="E3997" t="str">
            <v>D25019034</v>
          </cell>
          <cell r="AP3997">
            <v>0</v>
          </cell>
          <cell r="AQ3997">
            <v>0</v>
          </cell>
          <cell r="AV3997">
            <v>0</v>
          </cell>
        </row>
        <row r="3998">
          <cell r="E3998" t="str">
            <v>D25019035</v>
          </cell>
          <cell r="AP3998">
            <v>0</v>
          </cell>
          <cell r="AQ3998">
            <v>0</v>
          </cell>
          <cell r="AV3998">
            <v>0</v>
          </cell>
        </row>
        <row r="3999">
          <cell r="E3999" t="str">
            <v>D25019085</v>
          </cell>
          <cell r="AP3999">
            <v>0</v>
          </cell>
          <cell r="AQ3999">
            <v>0</v>
          </cell>
          <cell r="AV3999">
            <v>0</v>
          </cell>
        </row>
        <row r="4000">
          <cell r="E4000" t="str">
            <v>B25016745</v>
          </cell>
          <cell r="AP4000">
            <v>0</v>
          </cell>
          <cell r="AQ4000">
            <v>0</v>
          </cell>
          <cell r="AV4000">
            <v>0</v>
          </cell>
        </row>
        <row r="4001">
          <cell r="E4001" t="str">
            <v>D25019216</v>
          </cell>
          <cell r="AP4001">
            <v>0</v>
          </cell>
          <cell r="AQ4001">
            <v>0</v>
          </cell>
          <cell r="AV4001">
            <v>0</v>
          </cell>
        </row>
        <row r="4002">
          <cell r="E4002" t="str">
            <v>D25019236</v>
          </cell>
          <cell r="AP4002">
            <v>0</v>
          </cell>
          <cell r="AQ4002">
            <v>0</v>
          </cell>
          <cell r="AV4002">
            <v>0</v>
          </cell>
        </row>
        <row r="4003">
          <cell r="E4003" t="str">
            <v>D25019237</v>
          </cell>
          <cell r="AP4003">
            <v>0</v>
          </cell>
          <cell r="AQ4003">
            <v>0</v>
          </cell>
          <cell r="AV4003">
            <v>0</v>
          </cell>
        </row>
        <row r="4004">
          <cell r="E4004" t="str">
            <v>D25019267</v>
          </cell>
          <cell r="AP4004">
            <v>0</v>
          </cell>
          <cell r="AQ4004">
            <v>0</v>
          </cell>
          <cell r="AV4004">
            <v>0</v>
          </cell>
        </row>
        <row r="4005">
          <cell r="E4005" t="str">
            <v>D25019347</v>
          </cell>
          <cell r="AP4005">
            <v>0</v>
          </cell>
          <cell r="AQ4005">
            <v>0</v>
          </cell>
          <cell r="AV4005">
            <v>0</v>
          </cell>
        </row>
        <row r="4006">
          <cell r="E4006" t="str">
            <v>D25019451</v>
          </cell>
          <cell r="AP4006">
            <v>0</v>
          </cell>
          <cell r="AQ4006">
            <v>0</v>
          </cell>
          <cell r="AV4006">
            <v>0</v>
          </cell>
        </row>
        <row r="4007">
          <cell r="E4007" t="str">
            <v>D25019451</v>
          </cell>
          <cell r="AP4007">
            <v>0</v>
          </cell>
          <cell r="AQ4007">
            <v>0</v>
          </cell>
          <cell r="AV4007">
            <v>0</v>
          </cell>
        </row>
        <row r="4008">
          <cell r="E4008" t="str">
            <v>D25019452</v>
          </cell>
          <cell r="AP4008">
            <v>0</v>
          </cell>
          <cell r="AQ4008">
            <v>0</v>
          </cell>
          <cell r="AV4008">
            <v>0</v>
          </cell>
        </row>
        <row r="4009">
          <cell r="E4009" t="str">
            <v>D25019483</v>
          </cell>
          <cell r="AP4009">
            <v>0</v>
          </cell>
          <cell r="AQ4009">
            <v>0</v>
          </cell>
          <cell r="AV4009">
            <v>0</v>
          </cell>
        </row>
        <row r="4010">
          <cell r="E4010" t="str">
            <v>D25019486</v>
          </cell>
          <cell r="AP4010">
            <v>0</v>
          </cell>
          <cell r="AQ4010">
            <v>0</v>
          </cell>
          <cell r="AV4010">
            <v>0</v>
          </cell>
        </row>
        <row r="4011">
          <cell r="E4011" t="str">
            <v>D25019487</v>
          </cell>
          <cell r="AP4011">
            <v>0</v>
          </cell>
          <cell r="AQ4011">
            <v>0</v>
          </cell>
          <cell r="AV4011">
            <v>0</v>
          </cell>
        </row>
        <row r="4012">
          <cell r="E4012" t="str">
            <v>B26000130</v>
          </cell>
          <cell r="AP4012">
            <v>0</v>
          </cell>
          <cell r="AQ4012">
            <v>0</v>
          </cell>
          <cell r="AV4012">
            <v>0</v>
          </cell>
        </row>
        <row r="4013">
          <cell r="E4013" t="str">
            <v>D26000445</v>
          </cell>
          <cell r="AP4013">
            <v>0</v>
          </cell>
          <cell r="AQ4013">
            <v>0</v>
          </cell>
          <cell r="AV4013">
            <v>0</v>
          </cell>
        </row>
        <row r="4014">
          <cell r="E4014" t="str">
            <v>D26000474</v>
          </cell>
          <cell r="AP4014">
            <v>0</v>
          </cell>
          <cell r="AQ4014">
            <v>0</v>
          </cell>
          <cell r="AV4014">
            <v>0</v>
          </cell>
        </row>
        <row r="4015">
          <cell r="E4015" t="str">
            <v>D26000498</v>
          </cell>
          <cell r="AP4015">
            <v>0</v>
          </cell>
          <cell r="AQ4015">
            <v>0</v>
          </cell>
          <cell r="AV4015">
            <v>0</v>
          </cell>
        </row>
        <row r="4016">
          <cell r="E4016" t="str">
            <v>D26000499</v>
          </cell>
          <cell r="AP4016">
            <v>0</v>
          </cell>
          <cell r="AQ4016">
            <v>0</v>
          </cell>
          <cell r="AV4016">
            <v>0</v>
          </cell>
        </row>
        <row r="4017">
          <cell r="E4017" t="str">
            <v>D26000519</v>
          </cell>
          <cell r="AP4017">
            <v>0</v>
          </cell>
          <cell r="AQ4017">
            <v>0</v>
          </cell>
          <cell r="AV4017">
            <v>0</v>
          </cell>
        </row>
        <row r="4018">
          <cell r="E4018" t="str">
            <v>B26000598</v>
          </cell>
          <cell r="AP4018">
            <v>0</v>
          </cell>
          <cell r="AQ4018">
            <v>0</v>
          </cell>
          <cell r="AV4018">
            <v>0</v>
          </cell>
        </row>
        <row r="4019">
          <cell r="E4019" t="str">
            <v>D26000741</v>
          </cell>
          <cell r="AP4019">
            <v>0</v>
          </cell>
          <cell r="AQ4019">
            <v>0</v>
          </cell>
          <cell r="AV4019">
            <v>0</v>
          </cell>
        </row>
        <row r="4020">
          <cell r="E4020" t="str">
            <v>D26001098</v>
          </cell>
          <cell r="AP4020">
            <v>0</v>
          </cell>
          <cell r="AQ4020">
            <v>0</v>
          </cell>
          <cell r="AV4020">
            <v>0</v>
          </cell>
        </row>
        <row r="4021">
          <cell r="E4021" t="str">
            <v>D26001099</v>
          </cell>
          <cell r="AP4021">
            <v>0</v>
          </cell>
          <cell r="AQ4021">
            <v>0</v>
          </cell>
          <cell r="AV4021">
            <v>0</v>
          </cell>
        </row>
        <row r="4022">
          <cell r="E4022" t="str">
            <v>D26001116</v>
          </cell>
          <cell r="AP4022">
            <v>0</v>
          </cell>
          <cell r="AQ4022">
            <v>0</v>
          </cell>
          <cell r="AV4022">
            <v>0</v>
          </cell>
        </row>
        <row r="4023">
          <cell r="E4023" t="str">
            <v>B26001236</v>
          </cell>
          <cell r="AP4023">
            <v>0</v>
          </cell>
          <cell r="AQ4023">
            <v>0</v>
          </cell>
          <cell r="AV4023">
            <v>0</v>
          </cell>
        </row>
        <row r="4024">
          <cell r="E4024" t="str">
            <v>D26001366</v>
          </cell>
          <cell r="AP4024">
            <v>0</v>
          </cell>
          <cell r="AQ4024">
            <v>0</v>
          </cell>
          <cell r="AV4024">
            <v>0</v>
          </cell>
        </row>
        <row r="4025">
          <cell r="E4025" t="str">
            <v>T26000097</v>
          </cell>
          <cell r="AP4025">
            <v>0</v>
          </cell>
          <cell r="AQ4025">
            <v>0</v>
          </cell>
          <cell r="AV4025">
            <v>0</v>
          </cell>
        </row>
        <row r="4026">
          <cell r="E4026" t="str">
            <v>D26001501</v>
          </cell>
          <cell r="AP4026">
            <v>0</v>
          </cell>
          <cell r="AQ4026">
            <v>0</v>
          </cell>
          <cell r="AV4026">
            <v>0</v>
          </cell>
        </row>
        <row r="4027">
          <cell r="E4027" t="str">
            <v>B26001449</v>
          </cell>
          <cell r="AP4027">
            <v>0</v>
          </cell>
          <cell r="AQ4027">
            <v>0</v>
          </cell>
          <cell r="AV4027">
            <v>0</v>
          </cell>
        </row>
        <row r="4028">
          <cell r="E4028" t="str">
            <v>D26001526</v>
          </cell>
          <cell r="AP4028">
            <v>0</v>
          </cell>
          <cell r="AQ4028">
            <v>0</v>
          </cell>
          <cell r="AV4028">
            <v>0</v>
          </cell>
        </row>
        <row r="4029">
          <cell r="E4029" t="str">
            <v>D26001591</v>
          </cell>
          <cell r="AP4029">
            <v>0</v>
          </cell>
          <cell r="AQ4029">
            <v>0</v>
          </cell>
          <cell r="AV4029">
            <v>0</v>
          </cell>
        </row>
        <row r="4030">
          <cell r="E4030" t="str">
            <v>D25017323</v>
          </cell>
          <cell r="AP4030">
            <v>0</v>
          </cell>
          <cell r="AQ4030">
            <v>0</v>
          </cell>
          <cell r="AV4030">
            <v>0</v>
          </cell>
        </row>
        <row r="4031">
          <cell r="E4031" t="str">
            <v>D25017324</v>
          </cell>
          <cell r="AP4031">
            <v>0</v>
          </cell>
          <cell r="AQ4031">
            <v>0</v>
          </cell>
          <cell r="AV4031">
            <v>0</v>
          </cell>
        </row>
        <row r="4032">
          <cell r="E4032" t="str">
            <v>B25015963</v>
          </cell>
          <cell r="AP4032">
            <v>0</v>
          </cell>
          <cell r="AQ4032">
            <v>0</v>
          </cell>
          <cell r="AV4032">
            <v>0</v>
          </cell>
        </row>
        <row r="4033">
          <cell r="E4033" t="str">
            <v>D25018569</v>
          </cell>
          <cell r="AP4033">
            <v>0</v>
          </cell>
          <cell r="AQ4033">
            <v>0</v>
          </cell>
          <cell r="AV4033">
            <v>0</v>
          </cell>
        </row>
        <row r="4034">
          <cell r="E4034" t="str">
            <v>B25017002</v>
          </cell>
          <cell r="AP4034">
            <v>0</v>
          </cell>
          <cell r="AQ4034">
            <v>0</v>
          </cell>
          <cell r="AV4034">
            <v>0</v>
          </cell>
        </row>
        <row r="4035">
          <cell r="E4035" t="str">
            <v>B25017003</v>
          </cell>
          <cell r="AP4035">
            <v>0</v>
          </cell>
          <cell r="AQ4035">
            <v>0</v>
          </cell>
          <cell r="AV4035">
            <v>0</v>
          </cell>
        </row>
        <row r="4036">
          <cell r="E4036" t="str">
            <v>B25017004</v>
          </cell>
          <cell r="AP4036">
            <v>0</v>
          </cell>
          <cell r="AQ4036">
            <v>0</v>
          </cell>
          <cell r="AV4036">
            <v>0</v>
          </cell>
        </row>
        <row r="4037">
          <cell r="E4037" t="str">
            <v>B25017041</v>
          </cell>
          <cell r="AP4037">
            <v>0</v>
          </cell>
          <cell r="AQ4037">
            <v>0</v>
          </cell>
          <cell r="AV4037">
            <v>0</v>
          </cell>
        </row>
        <row r="4038">
          <cell r="E4038" t="str">
            <v>B25017046</v>
          </cell>
          <cell r="AP4038">
            <v>0</v>
          </cell>
          <cell r="AQ4038">
            <v>0</v>
          </cell>
          <cell r="AV4038">
            <v>0</v>
          </cell>
        </row>
        <row r="4039">
          <cell r="E4039" t="str">
            <v>D26001049</v>
          </cell>
          <cell r="AP4039">
            <v>0</v>
          </cell>
          <cell r="AQ4039">
            <v>0</v>
          </cell>
          <cell r="AV4039">
            <v>0</v>
          </cell>
        </row>
        <row r="4040">
          <cell r="E4040" t="str">
            <v>D26001050</v>
          </cell>
          <cell r="AP4040">
            <v>0</v>
          </cell>
          <cell r="AQ4040">
            <v>0</v>
          </cell>
          <cell r="AV4040">
            <v>0</v>
          </cell>
        </row>
        <row r="4041">
          <cell r="E4041" t="str">
            <v>B26001138</v>
          </cell>
          <cell r="AP4041">
            <v>0</v>
          </cell>
          <cell r="AQ4041">
            <v>0</v>
          </cell>
          <cell r="AV4041">
            <v>0</v>
          </cell>
        </row>
        <row r="4042">
          <cell r="E4042" t="str">
            <v>Z25002988</v>
          </cell>
          <cell r="AP4042">
            <v>0</v>
          </cell>
          <cell r="AQ4042">
            <v>0</v>
          </cell>
          <cell r="AV4042">
            <v>0</v>
          </cell>
        </row>
        <row r="4043">
          <cell r="E4043" t="str">
            <v>Z25002989</v>
          </cell>
          <cell r="AP4043">
            <v>0</v>
          </cell>
          <cell r="AQ4043">
            <v>0</v>
          </cell>
          <cell r="AV4043">
            <v>0</v>
          </cell>
        </row>
        <row r="4044">
          <cell r="E4044" t="str">
            <v>T25001736</v>
          </cell>
          <cell r="AP4044">
            <v>0</v>
          </cell>
          <cell r="AQ4044">
            <v>0</v>
          </cell>
          <cell r="AV4044">
            <v>0</v>
          </cell>
        </row>
        <row r="4045">
          <cell r="E4045" t="str">
            <v>Z25003036</v>
          </cell>
          <cell r="AP4045">
            <v>0</v>
          </cell>
          <cell r="AQ4045">
            <v>0</v>
          </cell>
          <cell r="AV4045">
            <v>0</v>
          </cell>
        </row>
        <row r="4046">
          <cell r="E4046" t="str">
            <v>T25001770</v>
          </cell>
          <cell r="AP4046">
            <v>0</v>
          </cell>
          <cell r="AQ4046">
            <v>0</v>
          </cell>
          <cell r="AV4046">
            <v>0</v>
          </cell>
        </row>
        <row r="4047">
          <cell r="E4047" t="str">
            <v>Z25003067</v>
          </cell>
          <cell r="AP4047">
            <v>0</v>
          </cell>
          <cell r="AQ4047">
            <v>0</v>
          </cell>
          <cell r="AV4047">
            <v>0</v>
          </cell>
        </row>
        <row r="4048">
          <cell r="E4048" t="str">
            <v>Z25003068</v>
          </cell>
          <cell r="AP4048">
            <v>0</v>
          </cell>
          <cell r="AQ4048">
            <v>0</v>
          </cell>
          <cell r="AV4048">
            <v>0</v>
          </cell>
        </row>
        <row r="4049">
          <cell r="E4049" t="str">
            <v>Z25003076</v>
          </cell>
          <cell r="AP4049">
            <v>0</v>
          </cell>
          <cell r="AQ4049">
            <v>0</v>
          </cell>
          <cell r="AV4049">
            <v>0</v>
          </cell>
        </row>
        <row r="4050">
          <cell r="E4050" t="str">
            <v>Z25003078</v>
          </cell>
          <cell r="AP4050">
            <v>0</v>
          </cell>
          <cell r="AQ4050">
            <v>0</v>
          </cell>
          <cell r="AV4050">
            <v>0</v>
          </cell>
        </row>
        <row r="4051">
          <cell r="E4051" t="str">
            <v>Z25003080</v>
          </cell>
          <cell r="AP4051">
            <v>0</v>
          </cell>
          <cell r="AQ4051">
            <v>0</v>
          </cell>
          <cell r="AV4051">
            <v>0</v>
          </cell>
        </row>
        <row r="4052">
          <cell r="E4052" t="str">
            <v>Z25003085</v>
          </cell>
          <cell r="AP4052">
            <v>0</v>
          </cell>
          <cell r="AQ4052">
            <v>0</v>
          </cell>
          <cell r="AV4052">
            <v>0</v>
          </cell>
        </row>
        <row r="4053">
          <cell r="E4053" t="str">
            <v>Z25003119</v>
          </cell>
          <cell r="AP4053">
            <v>0</v>
          </cell>
          <cell r="AQ4053">
            <v>0</v>
          </cell>
          <cell r="AV4053">
            <v>0</v>
          </cell>
        </row>
        <row r="4054">
          <cell r="E4054" t="str">
            <v>Z25003173</v>
          </cell>
          <cell r="AP4054">
            <v>0</v>
          </cell>
          <cell r="AQ4054">
            <v>0</v>
          </cell>
          <cell r="AV4054">
            <v>0</v>
          </cell>
        </row>
        <row r="4055">
          <cell r="E4055" t="str">
            <v>Z25003188</v>
          </cell>
          <cell r="AP4055">
            <v>0</v>
          </cell>
          <cell r="AQ4055">
            <v>0</v>
          </cell>
          <cell r="AV4055">
            <v>0</v>
          </cell>
        </row>
        <row r="4056">
          <cell r="E4056" t="str">
            <v>Z25003189</v>
          </cell>
          <cell r="AP4056">
            <v>0</v>
          </cell>
          <cell r="AQ4056">
            <v>0</v>
          </cell>
          <cell r="AV4056">
            <v>0</v>
          </cell>
        </row>
        <row r="4057">
          <cell r="E4057" t="str">
            <v>Z25003270</v>
          </cell>
          <cell r="AP4057">
            <v>0</v>
          </cell>
          <cell r="AQ4057">
            <v>0</v>
          </cell>
          <cell r="AV4057">
            <v>0</v>
          </cell>
        </row>
        <row r="4058">
          <cell r="E4058" t="str">
            <v>Z25003281</v>
          </cell>
          <cell r="AP4058">
            <v>0</v>
          </cell>
          <cell r="AQ4058">
            <v>0</v>
          </cell>
          <cell r="AV4058">
            <v>0</v>
          </cell>
        </row>
        <row r="4059">
          <cell r="E4059" t="str">
            <v>Z25003330</v>
          </cell>
          <cell r="AP4059">
            <v>0</v>
          </cell>
          <cell r="AQ4059">
            <v>0</v>
          </cell>
          <cell r="AV4059">
            <v>0</v>
          </cell>
        </row>
        <row r="4060">
          <cell r="E4060" t="str">
            <v>Z25003350</v>
          </cell>
          <cell r="AP4060">
            <v>0</v>
          </cell>
          <cell r="AQ4060">
            <v>0</v>
          </cell>
          <cell r="AV4060">
            <v>0</v>
          </cell>
        </row>
        <row r="4061">
          <cell r="E4061" t="str">
            <v>Z25003351</v>
          </cell>
          <cell r="AP4061">
            <v>0</v>
          </cell>
          <cell r="AQ4061">
            <v>0</v>
          </cell>
          <cell r="AV4061">
            <v>0</v>
          </cell>
        </row>
        <row r="4062">
          <cell r="E4062" t="str">
            <v>Z26000022</v>
          </cell>
          <cell r="AP4062">
            <v>0</v>
          </cell>
          <cell r="AQ4062">
            <v>0</v>
          </cell>
          <cell r="AV4062">
            <v>0</v>
          </cell>
        </row>
        <row r="4063">
          <cell r="E4063" t="str">
            <v>Z26000166</v>
          </cell>
          <cell r="AP4063">
            <v>0</v>
          </cell>
          <cell r="AQ4063">
            <v>0</v>
          </cell>
          <cell r="AV4063">
            <v>0</v>
          </cell>
        </row>
        <row r="4064">
          <cell r="E4064" t="str">
            <v>Z26000168</v>
          </cell>
          <cell r="AP4064">
            <v>0</v>
          </cell>
          <cell r="AQ4064">
            <v>0</v>
          </cell>
          <cell r="AV4064">
            <v>0</v>
          </cell>
        </row>
        <row r="4065">
          <cell r="E4065" t="str">
            <v>Z26000195</v>
          </cell>
          <cell r="AP4065">
            <v>0</v>
          </cell>
          <cell r="AQ4065">
            <v>0</v>
          </cell>
          <cell r="AV4065">
            <v>0</v>
          </cell>
        </row>
        <row r="4066">
          <cell r="E4066" t="str">
            <v>Z26000212</v>
          </cell>
          <cell r="AP4066">
            <v>0</v>
          </cell>
          <cell r="AQ4066">
            <v>0</v>
          </cell>
          <cell r="AV4066">
            <v>0</v>
          </cell>
        </row>
        <row r="4067">
          <cell r="E4067" t="str">
            <v>Z26000213</v>
          </cell>
          <cell r="AP4067">
            <v>0</v>
          </cell>
          <cell r="AQ4067">
            <v>0</v>
          </cell>
          <cell r="AV4067">
            <v>0</v>
          </cell>
        </row>
        <row r="4068">
          <cell r="E4068" t="str">
            <v>Z26000221</v>
          </cell>
          <cell r="AP4068">
            <v>0</v>
          </cell>
          <cell r="AQ4068">
            <v>0</v>
          </cell>
          <cell r="AV4068">
            <v>0</v>
          </cell>
        </row>
        <row r="4069">
          <cell r="E4069" t="str">
            <v>Z26000222</v>
          </cell>
          <cell r="AP4069">
            <v>0</v>
          </cell>
          <cell r="AQ4069">
            <v>0</v>
          </cell>
          <cell r="AV4069">
            <v>0</v>
          </cell>
        </row>
        <row r="4070">
          <cell r="E4070" t="str">
            <v>Z26000242</v>
          </cell>
          <cell r="AP4070">
            <v>0</v>
          </cell>
          <cell r="AQ4070">
            <v>0</v>
          </cell>
          <cell r="AV4070">
            <v>0</v>
          </cell>
        </row>
        <row r="4071">
          <cell r="E4071" t="str">
            <v>Z26000245</v>
          </cell>
          <cell r="AP4071">
            <v>0</v>
          </cell>
          <cell r="AQ4071">
            <v>0</v>
          </cell>
          <cell r="AV4071">
            <v>0</v>
          </cell>
        </row>
        <row r="4072">
          <cell r="E4072" t="str">
            <v>Z26000273</v>
          </cell>
          <cell r="AP4072">
            <v>0</v>
          </cell>
          <cell r="AQ4072">
            <v>0</v>
          </cell>
          <cell r="AV4072">
            <v>0</v>
          </cell>
        </row>
        <row r="4073">
          <cell r="E4073" t="str">
            <v>Z26000306</v>
          </cell>
          <cell r="AP4073">
            <v>0</v>
          </cell>
          <cell r="AQ4073">
            <v>0</v>
          </cell>
          <cell r="AV4073">
            <v>0</v>
          </cell>
        </row>
        <row r="4074">
          <cell r="E4074" t="str">
            <v>B26000712</v>
          </cell>
          <cell r="AP4074">
            <v>0</v>
          </cell>
          <cell r="AQ4074">
            <v>0</v>
          </cell>
          <cell r="AV4074">
            <v>0</v>
          </cell>
        </row>
        <row r="4075">
          <cell r="E4075" t="str">
            <v>B26000742</v>
          </cell>
          <cell r="AP4075">
            <v>0</v>
          </cell>
          <cell r="AQ4075">
            <v>0</v>
          </cell>
          <cell r="AV4075">
            <v>0</v>
          </cell>
        </row>
        <row r="4076">
          <cell r="E4076" t="str">
            <v>D26001315</v>
          </cell>
          <cell r="AP4076">
            <v>0</v>
          </cell>
          <cell r="AQ4076">
            <v>0</v>
          </cell>
          <cell r="AV4076">
            <v>0</v>
          </cell>
        </row>
        <row r="4077">
          <cell r="E4077" t="str">
            <v>D26001316</v>
          </cell>
          <cell r="AP4077">
            <v>0</v>
          </cell>
          <cell r="AQ4077">
            <v>0</v>
          </cell>
          <cell r="AV4077">
            <v>0</v>
          </cell>
        </row>
        <row r="4078">
          <cell r="E4078" t="str">
            <v>T25001740</v>
          </cell>
          <cell r="AP4078">
            <v>0</v>
          </cell>
          <cell r="AQ4078">
            <v>0</v>
          </cell>
          <cell r="AV4078">
            <v>0</v>
          </cell>
        </row>
        <row r="4079">
          <cell r="E4079" t="str">
            <v>D25019087</v>
          </cell>
          <cell r="AP4079">
            <v>0</v>
          </cell>
          <cell r="AQ4079">
            <v>0</v>
          </cell>
          <cell r="AV4079">
            <v>0</v>
          </cell>
        </row>
        <row r="4080">
          <cell r="E4080" t="str">
            <v>T25001790</v>
          </cell>
          <cell r="AP4080">
            <v>0</v>
          </cell>
          <cell r="AQ4080">
            <v>0</v>
          </cell>
          <cell r="AV4080">
            <v>0</v>
          </cell>
        </row>
        <row r="4081">
          <cell r="E4081" t="str">
            <v>T25001884</v>
          </cell>
          <cell r="AP4081">
            <v>0</v>
          </cell>
          <cell r="AQ4081">
            <v>0</v>
          </cell>
          <cell r="AV4081">
            <v>0</v>
          </cell>
        </row>
        <row r="4082">
          <cell r="E4082" t="str">
            <v>B25017000</v>
          </cell>
          <cell r="AP4082">
            <v>0</v>
          </cell>
          <cell r="AQ4082">
            <v>0</v>
          </cell>
          <cell r="AV4082">
            <v>0</v>
          </cell>
        </row>
        <row r="4083">
          <cell r="E4083" t="str">
            <v>D26000418</v>
          </cell>
          <cell r="AP4083">
            <v>0</v>
          </cell>
          <cell r="AQ4083">
            <v>0</v>
          </cell>
          <cell r="AV4083">
            <v>0</v>
          </cell>
        </row>
        <row r="4084">
          <cell r="E4084" t="str">
            <v>D26000444</v>
          </cell>
          <cell r="AP4084">
            <v>0</v>
          </cell>
          <cell r="AQ4084">
            <v>0</v>
          </cell>
          <cell r="AV4084">
            <v>0</v>
          </cell>
        </row>
        <row r="4085">
          <cell r="E4085" t="str">
            <v>D26000446</v>
          </cell>
          <cell r="AP4085">
            <v>0</v>
          </cell>
          <cell r="AQ4085">
            <v>0</v>
          </cell>
          <cell r="AV4085">
            <v>0</v>
          </cell>
        </row>
        <row r="4086">
          <cell r="E4086" t="str">
            <v>B26001185</v>
          </cell>
          <cell r="AP4086">
            <v>0</v>
          </cell>
          <cell r="AQ4086">
            <v>0</v>
          </cell>
          <cell r="AV4086">
            <v>0</v>
          </cell>
        </row>
        <row r="4087">
          <cell r="E4087" t="str">
            <v>D26001515</v>
          </cell>
          <cell r="AP4087">
            <v>0</v>
          </cell>
          <cell r="AQ4087">
            <v>0</v>
          </cell>
          <cell r="AV4087">
            <v>0</v>
          </cell>
        </row>
        <row r="4088">
          <cell r="E4088" t="str">
            <v>B25016264</v>
          </cell>
          <cell r="AP4088">
            <v>0</v>
          </cell>
          <cell r="AQ4088">
            <v>0</v>
          </cell>
          <cell r="AV4088">
            <v>0</v>
          </cell>
        </row>
        <row r="4089">
          <cell r="E4089" t="str">
            <v>D25019138</v>
          </cell>
          <cell r="AP4089">
            <v>0</v>
          </cell>
          <cell r="AQ4089">
            <v>0</v>
          </cell>
          <cell r="AV4089">
            <v>0</v>
          </cell>
        </row>
        <row r="4090">
          <cell r="E4090" t="str">
            <v>B25016971</v>
          </cell>
          <cell r="AP4090">
            <v>0</v>
          </cell>
          <cell r="AQ4090">
            <v>0</v>
          </cell>
          <cell r="AV4090">
            <v>0</v>
          </cell>
        </row>
        <row r="4091">
          <cell r="E4091" t="str">
            <v>B26000358</v>
          </cell>
          <cell r="AP4091">
            <v>0</v>
          </cell>
          <cell r="AQ4091">
            <v>0</v>
          </cell>
          <cell r="AV4091">
            <v>0</v>
          </cell>
        </row>
        <row r="4092">
          <cell r="E4092" t="str">
            <v>D26000464</v>
          </cell>
          <cell r="AP4092">
            <v>0</v>
          </cell>
          <cell r="AQ4092">
            <v>0</v>
          </cell>
          <cell r="AV4092">
            <v>0</v>
          </cell>
        </row>
        <row r="4093">
          <cell r="E4093" t="str">
            <v>B26001357</v>
          </cell>
          <cell r="AP4093">
            <v>0</v>
          </cell>
          <cell r="AQ4093">
            <v>0</v>
          </cell>
          <cell r="AV4093">
            <v>0</v>
          </cell>
        </row>
        <row r="4094">
          <cell r="E4094" t="str">
            <v>B26001358</v>
          </cell>
          <cell r="AP4094">
            <v>0</v>
          </cell>
          <cell r="AQ4094">
            <v>0</v>
          </cell>
          <cell r="AV4094">
            <v>0</v>
          </cell>
        </row>
        <row r="4095">
          <cell r="E4095" t="str">
            <v>B26001360</v>
          </cell>
          <cell r="AP4095">
            <v>0</v>
          </cell>
          <cell r="AQ4095">
            <v>0</v>
          </cell>
          <cell r="AV4095">
            <v>0</v>
          </cell>
        </row>
        <row r="4096">
          <cell r="E4096" t="str">
            <v>B26001403</v>
          </cell>
          <cell r="AP4096">
            <v>0</v>
          </cell>
          <cell r="AQ4096">
            <v>0</v>
          </cell>
          <cell r="AV4096">
            <v>0</v>
          </cell>
        </row>
        <row r="4097">
          <cell r="E4097" t="str">
            <v>D26000348</v>
          </cell>
          <cell r="AP4097">
            <v>0</v>
          </cell>
          <cell r="AQ4097">
            <v>0</v>
          </cell>
          <cell r="AV4097">
            <v>0</v>
          </cell>
        </row>
        <row r="4098">
          <cell r="E4098" t="str">
            <v>B26001074</v>
          </cell>
          <cell r="AP4098">
            <v>0</v>
          </cell>
          <cell r="AQ4098">
            <v>0</v>
          </cell>
          <cell r="AV4098">
            <v>0</v>
          </cell>
        </row>
        <row r="4099">
          <cell r="E4099" t="str">
            <v>B25015653</v>
          </cell>
          <cell r="AP4099">
            <v>0</v>
          </cell>
          <cell r="AQ4099">
            <v>0</v>
          </cell>
          <cell r="AV4099">
            <v>0</v>
          </cell>
        </row>
        <row r="4100">
          <cell r="E4100" t="str">
            <v>D26001506</v>
          </cell>
          <cell r="AP4100">
            <v>0</v>
          </cell>
          <cell r="AQ4100">
            <v>0</v>
          </cell>
          <cell r="AV4100">
            <v>0</v>
          </cell>
        </row>
        <row r="4101">
          <cell r="E4101" t="str">
            <v>D25019337</v>
          </cell>
          <cell r="AP4101">
            <v>0</v>
          </cell>
          <cell r="AQ4101">
            <v>0</v>
          </cell>
          <cell r="AV4101">
            <v>0</v>
          </cell>
        </row>
        <row r="4102">
          <cell r="E4102" t="str">
            <v>D25019338</v>
          </cell>
          <cell r="AP4102">
            <v>0</v>
          </cell>
          <cell r="AQ4102">
            <v>0</v>
          </cell>
          <cell r="AV4102">
            <v>0</v>
          </cell>
        </row>
        <row r="4103">
          <cell r="E4103" t="str">
            <v>B25016943</v>
          </cell>
          <cell r="AP4103">
            <v>0</v>
          </cell>
          <cell r="AQ4103">
            <v>0</v>
          </cell>
          <cell r="AV4103">
            <v>0</v>
          </cell>
        </row>
        <row r="4104">
          <cell r="E4104" t="str">
            <v>B25017062</v>
          </cell>
          <cell r="AP4104">
            <v>0</v>
          </cell>
          <cell r="AQ4104">
            <v>0</v>
          </cell>
          <cell r="AV4104">
            <v>0</v>
          </cell>
        </row>
        <row r="4105">
          <cell r="E4105" t="str">
            <v>B25017083</v>
          </cell>
          <cell r="AP4105">
            <v>0</v>
          </cell>
          <cell r="AQ4105">
            <v>0</v>
          </cell>
          <cell r="AV4105">
            <v>0</v>
          </cell>
        </row>
        <row r="4106">
          <cell r="E4106" t="str">
            <v>D26001261</v>
          </cell>
          <cell r="AP4106">
            <v>0</v>
          </cell>
          <cell r="AQ4106">
            <v>0</v>
          </cell>
          <cell r="AV4106">
            <v>0</v>
          </cell>
        </row>
        <row r="4107">
          <cell r="E4107" t="str">
            <v>D26001329</v>
          </cell>
          <cell r="AP4107">
            <v>0</v>
          </cell>
          <cell r="AQ4107">
            <v>0</v>
          </cell>
          <cell r="AV4107">
            <v>0</v>
          </cell>
        </row>
        <row r="4108">
          <cell r="E4108" t="str">
            <v>B26001269</v>
          </cell>
          <cell r="AP4108">
            <v>0</v>
          </cell>
          <cell r="AQ4108">
            <v>0</v>
          </cell>
          <cell r="AV4108">
            <v>0</v>
          </cell>
        </row>
        <row r="4109">
          <cell r="E4109" t="str">
            <v>D26001637</v>
          </cell>
          <cell r="AP4109">
            <v>0</v>
          </cell>
          <cell r="AQ4109">
            <v>0</v>
          </cell>
          <cell r="AV4109">
            <v>0</v>
          </cell>
        </row>
        <row r="4110">
          <cell r="E4110" t="str">
            <v>D26001638</v>
          </cell>
          <cell r="AP4110">
            <v>0</v>
          </cell>
          <cell r="AQ4110">
            <v>0</v>
          </cell>
          <cell r="AV4110">
            <v>0</v>
          </cell>
        </row>
        <row r="4111">
          <cell r="E4111" t="str">
            <v>D26001661</v>
          </cell>
          <cell r="AP4111">
            <v>0</v>
          </cell>
          <cell r="AQ4111">
            <v>0</v>
          </cell>
          <cell r="AV4111">
            <v>0</v>
          </cell>
        </row>
        <row r="4112">
          <cell r="E4112" t="str">
            <v>D26001662</v>
          </cell>
          <cell r="AP4112">
            <v>0</v>
          </cell>
          <cell r="AQ4112">
            <v>0</v>
          </cell>
          <cell r="AV4112">
            <v>0</v>
          </cell>
        </row>
        <row r="4113">
          <cell r="E4113" t="str">
            <v>D26000097</v>
          </cell>
          <cell r="AP4113">
            <v>0</v>
          </cell>
          <cell r="AQ4113">
            <v>0</v>
          </cell>
          <cell r="AV4113">
            <v>0</v>
          </cell>
        </row>
        <row r="4114">
          <cell r="E4114" t="str">
            <v>B26000169</v>
          </cell>
          <cell r="AP4114">
            <v>0</v>
          </cell>
          <cell r="AQ4114">
            <v>0</v>
          </cell>
          <cell r="AV4114">
            <v>0</v>
          </cell>
        </row>
        <row r="4115">
          <cell r="E4115" t="str">
            <v>B26000708</v>
          </cell>
          <cell r="AP4115">
            <v>0</v>
          </cell>
          <cell r="AQ4115">
            <v>0</v>
          </cell>
          <cell r="AV4115">
            <v>0</v>
          </cell>
        </row>
        <row r="4116">
          <cell r="E4116" t="str">
            <v>B26000709</v>
          </cell>
          <cell r="AP4116">
            <v>0</v>
          </cell>
          <cell r="AQ4116">
            <v>0</v>
          </cell>
          <cell r="AV4116">
            <v>0</v>
          </cell>
        </row>
        <row r="4117">
          <cell r="E4117" t="str">
            <v>B26000710</v>
          </cell>
          <cell r="AP4117">
            <v>0</v>
          </cell>
          <cell r="AQ4117">
            <v>0</v>
          </cell>
          <cell r="AV4117">
            <v>0</v>
          </cell>
        </row>
        <row r="4118">
          <cell r="E4118" t="str">
            <v>B26000711</v>
          </cell>
          <cell r="AP4118">
            <v>0</v>
          </cell>
          <cell r="AQ4118">
            <v>0</v>
          </cell>
          <cell r="AV4118">
            <v>0</v>
          </cell>
        </row>
        <row r="4119">
          <cell r="E4119" t="str">
            <v>D26000965</v>
          </cell>
          <cell r="AP4119">
            <v>0</v>
          </cell>
          <cell r="AQ4119">
            <v>0</v>
          </cell>
          <cell r="AV4119">
            <v>0</v>
          </cell>
        </row>
        <row r="4120">
          <cell r="E4120" t="str">
            <v>B26001160</v>
          </cell>
          <cell r="AP4120">
            <v>0</v>
          </cell>
          <cell r="AQ4120">
            <v>0</v>
          </cell>
          <cell r="AV4120">
            <v>0</v>
          </cell>
        </row>
        <row r="4121">
          <cell r="E4121" t="str">
            <v>D26001236</v>
          </cell>
          <cell r="AP4121">
            <v>0</v>
          </cell>
          <cell r="AQ4121">
            <v>0</v>
          </cell>
          <cell r="AV4121">
            <v>0</v>
          </cell>
        </row>
        <row r="4122">
          <cell r="E4122" t="str">
            <v>D26001569</v>
          </cell>
          <cell r="AP4122">
            <v>0</v>
          </cell>
          <cell r="AQ4122">
            <v>0</v>
          </cell>
          <cell r="AV4122">
            <v>0</v>
          </cell>
        </row>
        <row r="4123">
          <cell r="E4123" t="str">
            <v>B26001606</v>
          </cell>
          <cell r="AP4123">
            <v>0</v>
          </cell>
          <cell r="AQ4123">
            <v>0</v>
          </cell>
          <cell r="AV4123">
            <v>0</v>
          </cell>
        </row>
        <row r="4124">
          <cell r="E4124" t="str">
            <v>D26001724</v>
          </cell>
          <cell r="AP4124">
            <v>0</v>
          </cell>
          <cell r="AQ4124">
            <v>0</v>
          </cell>
          <cell r="AV4124">
            <v>0</v>
          </cell>
        </row>
        <row r="4125">
          <cell r="E4125">
            <v>250204</v>
          </cell>
          <cell r="AP4125">
            <v>0</v>
          </cell>
          <cell r="AQ4125">
            <v>0</v>
          </cell>
          <cell r="AV4125">
            <v>0</v>
          </cell>
        </row>
        <row r="4126">
          <cell r="E4126" t="str">
            <v>D26000039</v>
          </cell>
          <cell r="AP4126">
            <v>0</v>
          </cell>
          <cell r="AQ4126">
            <v>0</v>
          </cell>
          <cell r="AV4126">
            <v>0</v>
          </cell>
        </row>
        <row r="4127">
          <cell r="E4127" t="str">
            <v>D26000561</v>
          </cell>
          <cell r="AP4127">
            <v>0</v>
          </cell>
          <cell r="AQ4127">
            <v>0</v>
          </cell>
          <cell r="AV4127">
            <v>0</v>
          </cell>
        </row>
        <row r="4128">
          <cell r="E4128" t="str">
            <v>B26001618</v>
          </cell>
          <cell r="AP4128">
            <v>0</v>
          </cell>
          <cell r="AQ4128">
            <v>0</v>
          </cell>
          <cell r="AV4128">
            <v>0</v>
          </cell>
        </row>
        <row r="4129">
          <cell r="E4129" t="str">
            <v>D26000280</v>
          </cell>
          <cell r="AP4129">
            <v>0</v>
          </cell>
          <cell r="AQ4129">
            <v>0</v>
          </cell>
          <cell r="AV4129">
            <v>0</v>
          </cell>
        </row>
        <row r="4130">
          <cell r="E4130" t="str">
            <v>D25016938</v>
          </cell>
          <cell r="AP4130">
            <v>0</v>
          </cell>
          <cell r="AQ4130">
            <v>0</v>
          </cell>
          <cell r="AV4130">
            <v>0</v>
          </cell>
        </row>
        <row r="4131">
          <cell r="E4131" t="str">
            <v>D25017234</v>
          </cell>
          <cell r="AP4131">
            <v>0</v>
          </cell>
          <cell r="AQ4131">
            <v>0</v>
          </cell>
          <cell r="AV4131">
            <v>0</v>
          </cell>
        </row>
        <row r="4132">
          <cell r="E4132" t="str">
            <v>D25019460</v>
          </cell>
          <cell r="AP4132">
            <v>0</v>
          </cell>
          <cell r="AQ4132">
            <v>0</v>
          </cell>
          <cell r="AV4132">
            <v>0</v>
          </cell>
        </row>
        <row r="4133">
          <cell r="E4133" t="str">
            <v>D26000110</v>
          </cell>
          <cell r="AP4133">
            <v>0</v>
          </cell>
          <cell r="AQ4133">
            <v>0</v>
          </cell>
          <cell r="AV4133">
            <v>0</v>
          </cell>
        </row>
        <row r="4134">
          <cell r="E4134" t="str">
            <v>D26000405</v>
          </cell>
          <cell r="AP4134">
            <v>0</v>
          </cell>
          <cell r="AQ4134">
            <v>0</v>
          </cell>
          <cell r="AV4134">
            <v>0</v>
          </cell>
        </row>
        <row r="4135">
          <cell r="E4135" t="str">
            <v>D25018958</v>
          </cell>
          <cell r="AP4135">
            <v>0</v>
          </cell>
          <cell r="AQ4135">
            <v>0</v>
          </cell>
          <cell r="AV4135">
            <v>0</v>
          </cell>
        </row>
        <row r="4136">
          <cell r="E4136" t="str">
            <v>B26000514</v>
          </cell>
          <cell r="AP4136">
            <v>0</v>
          </cell>
          <cell r="AQ4136">
            <v>0</v>
          </cell>
          <cell r="AV4136">
            <v>0</v>
          </cell>
        </row>
        <row r="4137">
          <cell r="E4137" t="str">
            <v>B26000981</v>
          </cell>
          <cell r="AP4137">
            <v>0</v>
          </cell>
          <cell r="AQ4137">
            <v>0</v>
          </cell>
          <cell r="AV4137">
            <v>0</v>
          </cell>
        </row>
        <row r="4138">
          <cell r="E4138" t="str">
            <v>B26001490</v>
          </cell>
          <cell r="AP4138">
            <v>0</v>
          </cell>
          <cell r="AQ4138">
            <v>0</v>
          </cell>
          <cell r="AV4138">
            <v>0</v>
          </cell>
        </row>
        <row r="4139">
          <cell r="E4139" t="str">
            <v>D26001622</v>
          </cell>
          <cell r="AP4139">
            <v>0</v>
          </cell>
          <cell r="AQ4139">
            <v>0</v>
          </cell>
          <cell r="AV4139">
            <v>0</v>
          </cell>
        </row>
        <row r="4140">
          <cell r="E4140" t="str">
            <v>D26001651</v>
          </cell>
          <cell r="AP4140">
            <v>0</v>
          </cell>
          <cell r="AQ4140">
            <v>0</v>
          </cell>
          <cell r="AV4140">
            <v>0</v>
          </cell>
        </row>
        <row r="4141">
          <cell r="E4141" t="str">
            <v>Z25003238</v>
          </cell>
          <cell r="AP4141">
            <v>0</v>
          </cell>
          <cell r="AQ4141">
            <v>0</v>
          </cell>
          <cell r="AV4141">
            <v>0</v>
          </cell>
        </row>
        <row r="4142">
          <cell r="E4142" t="str">
            <v>Z25003293</v>
          </cell>
          <cell r="AP4142">
            <v>0</v>
          </cell>
          <cell r="AQ4142">
            <v>0</v>
          </cell>
          <cell r="AV4142">
            <v>0</v>
          </cell>
        </row>
        <row r="4143">
          <cell r="E4143" t="str">
            <v>Z25003299</v>
          </cell>
          <cell r="AP4143">
            <v>0</v>
          </cell>
          <cell r="AQ4143">
            <v>0</v>
          </cell>
          <cell r="AV4143">
            <v>0</v>
          </cell>
        </row>
        <row r="4144">
          <cell r="E4144" t="str">
            <v>Z25003361</v>
          </cell>
          <cell r="AP4144">
            <v>0</v>
          </cell>
          <cell r="AQ4144">
            <v>0</v>
          </cell>
          <cell r="AV4144">
            <v>0</v>
          </cell>
        </row>
        <row r="4145">
          <cell r="E4145" t="str">
            <v>Z25003362</v>
          </cell>
          <cell r="AP4145">
            <v>0</v>
          </cell>
          <cell r="AQ4145">
            <v>0</v>
          </cell>
          <cell r="AV4145">
            <v>0</v>
          </cell>
        </row>
        <row r="4146">
          <cell r="E4146" t="str">
            <v>Z25003367</v>
          </cell>
          <cell r="AP4146">
            <v>0</v>
          </cell>
          <cell r="AQ4146">
            <v>0</v>
          </cell>
          <cell r="AV4146">
            <v>0</v>
          </cell>
        </row>
        <row r="4147">
          <cell r="E4147" t="str">
            <v>Z26000048</v>
          </cell>
          <cell r="AP4147">
            <v>0</v>
          </cell>
          <cell r="AQ4147">
            <v>0</v>
          </cell>
          <cell r="AV4147">
            <v>0</v>
          </cell>
        </row>
        <row r="4148">
          <cell r="E4148" t="str">
            <v>B26000300</v>
          </cell>
          <cell r="AP4148">
            <v>0</v>
          </cell>
          <cell r="AQ4148">
            <v>0</v>
          </cell>
          <cell r="AV4148">
            <v>0</v>
          </cell>
        </row>
        <row r="4149">
          <cell r="E4149" t="str">
            <v>D26000454</v>
          </cell>
          <cell r="AP4149">
            <v>0</v>
          </cell>
          <cell r="AQ4149">
            <v>0</v>
          </cell>
          <cell r="AV4149">
            <v>0</v>
          </cell>
        </row>
        <row r="4150">
          <cell r="E4150" t="str">
            <v>D26000686</v>
          </cell>
          <cell r="AP4150">
            <v>0</v>
          </cell>
          <cell r="AQ4150">
            <v>0</v>
          </cell>
          <cell r="AV4150">
            <v>0</v>
          </cell>
        </row>
        <row r="4151">
          <cell r="E4151" t="str">
            <v>D26000688</v>
          </cell>
          <cell r="AP4151">
            <v>0</v>
          </cell>
          <cell r="AQ4151">
            <v>0</v>
          </cell>
          <cell r="AV4151">
            <v>0</v>
          </cell>
        </row>
        <row r="4152">
          <cell r="E4152" t="str">
            <v>B25017125</v>
          </cell>
          <cell r="AP4152">
            <v>0</v>
          </cell>
          <cell r="AQ4152">
            <v>0</v>
          </cell>
          <cell r="AV4152">
            <v>0</v>
          </cell>
        </row>
        <row r="4153">
          <cell r="E4153" t="str">
            <v>B26000086</v>
          </cell>
          <cell r="AP4153">
            <v>0</v>
          </cell>
          <cell r="AQ4153">
            <v>0</v>
          </cell>
          <cell r="AV4153">
            <v>0</v>
          </cell>
        </row>
        <row r="4154">
          <cell r="E4154" t="str">
            <v>D26000063</v>
          </cell>
          <cell r="AP4154">
            <v>0</v>
          </cell>
          <cell r="AQ4154">
            <v>0</v>
          </cell>
          <cell r="AV4154">
            <v>0</v>
          </cell>
        </row>
        <row r="4155">
          <cell r="E4155" t="str">
            <v>D26000077</v>
          </cell>
          <cell r="AP4155">
            <v>0</v>
          </cell>
          <cell r="AQ4155">
            <v>0</v>
          </cell>
          <cell r="AV4155">
            <v>0</v>
          </cell>
        </row>
        <row r="4156">
          <cell r="E4156" t="str">
            <v>D26000274</v>
          </cell>
          <cell r="AP4156">
            <v>0</v>
          </cell>
          <cell r="AQ4156">
            <v>0</v>
          </cell>
          <cell r="AV4156">
            <v>0</v>
          </cell>
        </row>
        <row r="4157">
          <cell r="E4157" t="str">
            <v>B26000399</v>
          </cell>
          <cell r="AP4157">
            <v>0</v>
          </cell>
          <cell r="AQ4157">
            <v>0</v>
          </cell>
          <cell r="AV4157">
            <v>0</v>
          </cell>
        </row>
        <row r="4158">
          <cell r="E4158" t="str">
            <v>D26000415</v>
          </cell>
          <cell r="AP4158">
            <v>0</v>
          </cell>
          <cell r="AQ4158">
            <v>0</v>
          </cell>
          <cell r="AV4158">
            <v>0</v>
          </cell>
        </row>
        <row r="4159">
          <cell r="E4159" t="str">
            <v>B26000470</v>
          </cell>
          <cell r="AP4159">
            <v>0</v>
          </cell>
          <cell r="AQ4159">
            <v>0</v>
          </cell>
          <cell r="AV4159">
            <v>0</v>
          </cell>
        </row>
        <row r="4160">
          <cell r="E4160" t="str">
            <v>D26000645</v>
          </cell>
          <cell r="AP4160">
            <v>0</v>
          </cell>
          <cell r="AQ4160">
            <v>0</v>
          </cell>
          <cell r="AV4160">
            <v>0</v>
          </cell>
        </row>
        <row r="4161">
          <cell r="E4161" t="str">
            <v>D26000927</v>
          </cell>
          <cell r="AP4161">
            <v>0</v>
          </cell>
          <cell r="AQ4161">
            <v>0</v>
          </cell>
          <cell r="AV4161">
            <v>0</v>
          </cell>
        </row>
        <row r="4162">
          <cell r="E4162" t="str">
            <v>D26000940</v>
          </cell>
          <cell r="AP4162">
            <v>0</v>
          </cell>
          <cell r="AQ4162">
            <v>0</v>
          </cell>
          <cell r="AV4162">
            <v>0</v>
          </cell>
        </row>
        <row r="4163">
          <cell r="E4163" t="str">
            <v>D26000976</v>
          </cell>
          <cell r="AP4163">
            <v>0</v>
          </cell>
          <cell r="AQ4163">
            <v>0</v>
          </cell>
          <cell r="AV4163">
            <v>0</v>
          </cell>
        </row>
        <row r="4164">
          <cell r="E4164" t="str">
            <v>B26000992</v>
          </cell>
          <cell r="AP4164">
            <v>0</v>
          </cell>
          <cell r="AQ4164">
            <v>0</v>
          </cell>
          <cell r="AV4164">
            <v>0</v>
          </cell>
        </row>
        <row r="4165">
          <cell r="E4165" t="str">
            <v>D26001052</v>
          </cell>
          <cell r="AP4165">
            <v>0</v>
          </cell>
          <cell r="AQ4165">
            <v>0</v>
          </cell>
          <cell r="AV4165">
            <v>0</v>
          </cell>
        </row>
        <row r="4166">
          <cell r="E4166" t="str">
            <v>B26001050</v>
          </cell>
          <cell r="AP4166">
            <v>0</v>
          </cell>
          <cell r="AQ4166">
            <v>0</v>
          </cell>
          <cell r="AV4166">
            <v>0</v>
          </cell>
        </row>
        <row r="4167">
          <cell r="E4167" t="str">
            <v>N26000011</v>
          </cell>
          <cell r="AP4167">
            <v>0</v>
          </cell>
          <cell r="AQ4167">
            <v>0</v>
          </cell>
          <cell r="AV4167">
            <v>0</v>
          </cell>
        </row>
        <row r="4168">
          <cell r="E4168" t="str">
            <v>D26001235</v>
          </cell>
          <cell r="AP4168">
            <v>0</v>
          </cell>
          <cell r="AQ4168">
            <v>0</v>
          </cell>
          <cell r="AV4168">
            <v>0</v>
          </cell>
        </row>
        <row r="4169">
          <cell r="E4169" t="str">
            <v>D26001612</v>
          </cell>
          <cell r="AP4169">
            <v>0</v>
          </cell>
          <cell r="AQ4169">
            <v>0</v>
          </cell>
          <cell r="AV4169">
            <v>0</v>
          </cell>
        </row>
        <row r="4170">
          <cell r="E4170" t="str">
            <v>D26001663</v>
          </cell>
          <cell r="AP4170">
            <v>0</v>
          </cell>
          <cell r="AQ4170">
            <v>0</v>
          </cell>
          <cell r="AV4170">
            <v>0</v>
          </cell>
        </row>
        <row r="4171">
          <cell r="E4171" t="str">
            <v>D26001664</v>
          </cell>
          <cell r="AP4171">
            <v>0</v>
          </cell>
          <cell r="AQ4171">
            <v>0</v>
          </cell>
          <cell r="AV4171">
            <v>0</v>
          </cell>
        </row>
        <row r="4172">
          <cell r="E4172" t="str">
            <v>D26000021</v>
          </cell>
          <cell r="AP4172">
            <v>0</v>
          </cell>
          <cell r="AQ4172">
            <v>0</v>
          </cell>
          <cell r="AV4172">
            <v>0</v>
          </cell>
        </row>
        <row r="4173">
          <cell r="E4173" t="str">
            <v>D26000378</v>
          </cell>
          <cell r="AP4173">
            <v>0</v>
          </cell>
          <cell r="AQ4173">
            <v>0</v>
          </cell>
          <cell r="AV4173">
            <v>0</v>
          </cell>
        </row>
        <row r="4174">
          <cell r="E4174" t="str">
            <v>D26000397</v>
          </cell>
          <cell r="AP4174">
            <v>0</v>
          </cell>
          <cell r="AQ4174">
            <v>0</v>
          </cell>
          <cell r="AV4174">
            <v>0</v>
          </cell>
        </row>
        <row r="4175">
          <cell r="E4175" t="str">
            <v>D26000406</v>
          </cell>
          <cell r="AP4175">
            <v>0</v>
          </cell>
          <cell r="AQ4175">
            <v>0</v>
          </cell>
          <cell r="AV4175">
            <v>0</v>
          </cell>
        </row>
        <row r="4176">
          <cell r="E4176" t="str">
            <v>B26000416</v>
          </cell>
          <cell r="AP4176">
            <v>0</v>
          </cell>
          <cell r="AQ4176">
            <v>0</v>
          </cell>
          <cell r="AV4176">
            <v>0</v>
          </cell>
        </row>
        <row r="4177">
          <cell r="E4177" t="str">
            <v>D26000599</v>
          </cell>
          <cell r="AP4177">
            <v>0</v>
          </cell>
          <cell r="AQ4177">
            <v>0</v>
          </cell>
          <cell r="AV4177">
            <v>0</v>
          </cell>
        </row>
        <row r="4178">
          <cell r="E4178" t="str">
            <v>D26000600</v>
          </cell>
          <cell r="AP4178">
            <v>0</v>
          </cell>
          <cell r="AQ4178">
            <v>0</v>
          </cell>
          <cell r="AV4178">
            <v>0</v>
          </cell>
        </row>
        <row r="4179">
          <cell r="E4179" t="str">
            <v>D26000656</v>
          </cell>
          <cell r="AP4179">
            <v>0</v>
          </cell>
          <cell r="AQ4179">
            <v>0</v>
          </cell>
          <cell r="AV4179">
            <v>0</v>
          </cell>
        </row>
        <row r="4180">
          <cell r="E4180" t="str">
            <v>D26000731</v>
          </cell>
          <cell r="AP4180">
            <v>0</v>
          </cell>
          <cell r="AQ4180">
            <v>0</v>
          </cell>
          <cell r="AV4180">
            <v>0</v>
          </cell>
        </row>
        <row r="4181">
          <cell r="E4181" t="str">
            <v>D26000781</v>
          </cell>
          <cell r="AP4181">
            <v>0</v>
          </cell>
          <cell r="AQ4181">
            <v>0</v>
          </cell>
          <cell r="AV4181">
            <v>0</v>
          </cell>
        </row>
        <row r="4182">
          <cell r="E4182" t="str">
            <v>D26000782</v>
          </cell>
          <cell r="AP4182">
            <v>0</v>
          </cell>
          <cell r="AQ4182">
            <v>0</v>
          </cell>
          <cell r="AV4182">
            <v>0</v>
          </cell>
        </row>
        <row r="4183">
          <cell r="E4183" t="str">
            <v>D26000817</v>
          </cell>
          <cell r="AP4183">
            <v>0</v>
          </cell>
          <cell r="AQ4183">
            <v>0</v>
          </cell>
          <cell r="AV4183">
            <v>0</v>
          </cell>
        </row>
        <row r="4184">
          <cell r="E4184" t="str">
            <v>B26000975</v>
          </cell>
          <cell r="AP4184">
            <v>0</v>
          </cell>
          <cell r="AQ4184">
            <v>0</v>
          </cell>
          <cell r="AV4184">
            <v>0</v>
          </cell>
        </row>
        <row r="4185">
          <cell r="E4185" t="str">
            <v>D26001060</v>
          </cell>
          <cell r="AP4185">
            <v>0</v>
          </cell>
          <cell r="AQ4185">
            <v>0</v>
          </cell>
          <cell r="AV4185">
            <v>0</v>
          </cell>
        </row>
        <row r="4186">
          <cell r="E4186" t="str">
            <v>B26001069</v>
          </cell>
          <cell r="AP4186">
            <v>0</v>
          </cell>
          <cell r="AQ4186">
            <v>0</v>
          </cell>
          <cell r="AV4186">
            <v>0</v>
          </cell>
        </row>
        <row r="4187">
          <cell r="E4187" t="str">
            <v>D26001263</v>
          </cell>
          <cell r="AP4187">
            <v>0</v>
          </cell>
          <cell r="AQ4187">
            <v>0</v>
          </cell>
          <cell r="AV4187">
            <v>0</v>
          </cell>
        </row>
        <row r="4188">
          <cell r="E4188" t="str">
            <v>D26001654</v>
          </cell>
          <cell r="AP4188">
            <v>0</v>
          </cell>
          <cell r="AQ4188">
            <v>0</v>
          </cell>
          <cell r="AV4188">
            <v>0</v>
          </cell>
        </row>
        <row r="4189">
          <cell r="E4189" t="str">
            <v>Z26000053</v>
          </cell>
          <cell r="AP4189">
            <v>0</v>
          </cell>
          <cell r="AQ4189">
            <v>0</v>
          </cell>
          <cell r="AV4189">
            <v>0</v>
          </cell>
        </row>
        <row r="4190">
          <cell r="E4190" t="str">
            <v>Z26000056</v>
          </cell>
          <cell r="AP4190">
            <v>0</v>
          </cell>
          <cell r="AQ4190">
            <v>0</v>
          </cell>
          <cell r="AV4190">
            <v>0</v>
          </cell>
        </row>
        <row r="4191">
          <cell r="E4191" t="str">
            <v>Z26000124</v>
          </cell>
          <cell r="AP4191">
            <v>0</v>
          </cell>
          <cell r="AQ4191">
            <v>0</v>
          </cell>
          <cell r="AV4191">
            <v>0</v>
          </cell>
        </row>
        <row r="4192">
          <cell r="E4192" t="str">
            <v>T26000043</v>
          </cell>
          <cell r="AP4192">
            <v>0</v>
          </cell>
          <cell r="AQ4192">
            <v>0</v>
          </cell>
          <cell r="AV4192">
            <v>0</v>
          </cell>
        </row>
        <row r="4193">
          <cell r="E4193" t="str">
            <v>Z26000135</v>
          </cell>
          <cell r="AP4193">
            <v>0</v>
          </cell>
          <cell r="AQ4193">
            <v>0</v>
          </cell>
          <cell r="AV4193">
            <v>0</v>
          </cell>
        </row>
        <row r="4194">
          <cell r="E4194" t="str">
            <v>Z26000161</v>
          </cell>
          <cell r="AP4194">
            <v>0</v>
          </cell>
          <cell r="AQ4194">
            <v>0</v>
          </cell>
          <cell r="AV4194">
            <v>0</v>
          </cell>
        </row>
        <row r="4195">
          <cell r="E4195" t="str">
            <v>Z26000200</v>
          </cell>
          <cell r="AP4195">
            <v>0</v>
          </cell>
          <cell r="AQ4195">
            <v>0</v>
          </cell>
          <cell r="AV4195">
            <v>0</v>
          </cell>
        </row>
        <row r="4196">
          <cell r="E4196" t="str">
            <v>Z26000205</v>
          </cell>
          <cell r="AP4196">
            <v>0</v>
          </cell>
          <cell r="AQ4196">
            <v>0</v>
          </cell>
          <cell r="AV4196">
            <v>0</v>
          </cell>
        </row>
        <row r="4197">
          <cell r="E4197" t="str">
            <v>Z26000282</v>
          </cell>
          <cell r="AP4197">
            <v>0</v>
          </cell>
          <cell r="AQ4197">
            <v>0</v>
          </cell>
          <cell r="AV4197">
            <v>0</v>
          </cell>
        </row>
        <row r="4198">
          <cell r="E4198" t="str">
            <v>T25001673</v>
          </cell>
          <cell r="AP4198">
            <v>0</v>
          </cell>
          <cell r="AQ4198">
            <v>0</v>
          </cell>
          <cell r="AV4198">
            <v>0</v>
          </cell>
        </row>
        <row r="4199">
          <cell r="E4199" t="str">
            <v>T26000103</v>
          </cell>
          <cell r="AP4199">
            <v>0</v>
          </cell>
          <cell r="AQ4199">
            <v>0</v>
          </cell>
          <cell r="AV4199">
            <v>0</v>
          </cell>
        </row>
        <row r="4200">
          <cell r="E4200" t="str">
            <v>B26001499</v>
          </cell>
          <cell r="AP4200">
            <v>0</v>
          </cell>
          <cell r="AQ4200">
            <v>0</v>
          </cell>
          <cell r="AV4200">
            <v>0</v>
          </cell>
        </row>
        <row r="4201">
          <cell r="E4201" t="str">
            <v>B25016958</v>
          </cell>
          <cell r="AP4201">
            <v>0</v>
          </cell>
          <cell r="AQ4201">
            <v>0</v>
          </cell>
          <cell r="AV4201">
            <v>0</v>
          </cell>
        </row>
        <row r="4202">
          <cell r="E4202" t="str">
            <v>D25019518</v>
          </cell>
          <cell r="AP4202">
            <v>0</v>
          </cell>
          <cell r="AQ4202">
            <v>0</v>
          </cell>
          <cell r="AV4202">
            <v>0</v>
          </cell>
        </row>
        <row r="4203">
          <cell r="E4203" t="str">
            <v>D25013643</v>
          </cell>
          <cell r="AP4203">
            <v>0</v>
          </cell>
          <cell r="AQ4203">
            <v>0</v>
          </cell>
          <cell r="AV4203">
            <v>0</v>
          </cell>
        </row>
        <row r="4204">
          <cell r="E4204" t="str">
            <v>T26000057K</v>
          </cell>
          <cell r="AP4204">
            <v>0</v>
          </cell>
          <cell r="AQ4204">
            <v>0</v>
          </cell>
          <cell r="AV4204">
            <v>0</v>
          </cell>
        </row>
        <row r="4205">
          <cell r="E4205" t="str">
            <v>D25018530</v>
          </cell>
          <cell r="AP4205">
            <v>0</v>
          </cell>
          <cell r="AQ4205">
            <v>0</v>
          </cell>
          <cell r="AV4205">
            <v>0</v>
          </cell>
        </row>
        <row r="4206">
          <cell r="E4206" t="str">
            <v>B25016279</v>
          </cell>
          <cell r="AP4206">
            <v>0</v>
          </cell>
          <cell r="AQ4206">
            <v>0</v>
          </cell>
          <cell r="AV4206">
            <v>0</v>
          </cell>
        </row>
        <row r="4207">
          <cell r="E4207" t="str">
            <v>B25016808</v>
          </cell>
          <cell r="AP4207">
            <v>0</v>
          </cell>
          <cell r="AQ4207">
            <v>0</v>
          </cell>
          <cell r="AV4207">
            <v>0</v>
          </cell>
        </row>
        <row r="4208">
          <cell r="E4208" t="str">
            <v>B25016809</v>
          </cell>
          <cell r="AP4208">
            <v>0</v>
          </cell>
          <cell r="AQ4208">
            <v>0</v>
          </cell>
          <cell r="AV4208">
            <v>0</v>
          </cell>
        </row>
        <row r="4209">
          <cell r="E4209" t="str">
            <v>B25016868</v>
          </cell>
          <cell r="AP4209">
            <v>0</v>
          </cell>
          <cell r="AQ4209">
            <v>0</v>
          </cell>
          <cell r="AV4209">
            <v>0</v>
          </cell>
        </row>
        <row r="4210">
          <cell r="E4210" t="str">
            <v>B25016886</v>
          </cell>
          <cell r="AP4210">
            <v>0</v>
          </cell>
          <cell r="AQ4210">
            <v>0</v>
          </cell>
          <cell r="AV4210">
            <v>0</v>
          </cell>
        </row>
        <row r="4211">
          <cell r="E4211" t="str">
            <v>D26000185</v>
          </cell>
          <cell r="AP4211">
            <v>0</v>
          </cell>
          <cell r="AQ4211">
            <v>0</v>
          </cell>
          <cell r="AV4211">
            <v>0</v>
          </cell>
        </row>
        <row r="4212">
          <cell r="E4212" t="str">
            <v>D26000550</v>
          </cell>
          <cell r="AP4212">
            <v>0</v>
          </cell>
          <cell r="AQ4212">
            <v>0</v>
          </cell>
          <cell r="AV4212">
            <v>0</v>
          </cell>
        </row>
        <row r="4213">
          <cell r="E4213" t="str">
            <v>D26001076</v>
          </cell>
          <cell r="AP4213">
            <v>0</v>
          </cell>
          <cell r="AQ4213">
            <v>0</v>
          </cell>
          <cell r="AV4213">
            <v>0</v>
          </cell>
        </row>
        <row r="4214">
          <cell r="E4214" t="str">
            <v>D26001626</v>
          </cell>
          <cell r="AP4214">
            <v>0</v>
          </cell>
          <cell r="AQ4214">
            <v>0</v>
          </cell>
          <cell r="AV4214">
            <v>0</v>
          </cell>
        </row>
        <row r="4215">
          <cell r="E4215" t="str">
            <v>D26001627</v>
          </cell>
          <cell r="AP4215">
            <v>0</v>
          </cell>
          <cell r="AQ4215">
            <v>0</v>
          </cell>
          <cell r="AV4215">
            <v>0</v>
          </cell>
        </row>
        <row r="4216">
          <cell r="E4216" t="str">
            <v>B25017103</v>
          </cell>
          <cell r="AP4216">
            <v>0</v>
          </cell>
          <cell r="AQ4216">
            <v>0</v>
          </cell>
          <cell r="AV4216">
            <v>0</v>
          </cell>
        </row>
        <row r="4217">
          <cell r="E4217" t="str">
            <v>B26000302</v>
          </cell>
          <cell r="AP4217">
            <v>0</v>
          </cell>
          <cell r="AQ4217">
            <v>0</v>
          </cell>
          <cell r="AV4217">
            <v>0</v>
          </cell>
        </row>
        <row r="4218">
          <cell r="E4218">
            <v>260004</v>
          </cell>
          <cell r="AP4218">
            <v>0</v>
          </cell>
          <cell r="AQ4218">
            <v>0</v>
          </cell>
          <cell r="AV4218">
            <v>0</v>
          </cell>
        </row>
        <row r="4219">
          <cell r="E4219" t="str">
            <v>B26000343</v>
          </cell>
          <cell r="AP4219">
            <v>0</v>
          </cell>
          <cell r="AQ4219">
            <v>0</v>
          </cell>
          <cell r="AV4219">
            <v>0</v>
          </cell>
        </row>
        <row r="4220">
          <cell r="E4220" t="str">
            <v>B26000349</v>
          </cell>
          <cell r="AP4220">
            <v>0</v>
          </cell>
          <cell r="AQ4220">
            <v>0</v>
          </cell>
          <cell r="AV4220">
            <v>0</v>
          </cell>
        </row>
        <row r="4221">
          <cell r="E4221" t="str">
            <v>B26000609</v>
          </cell>
          <cell r="AP4221">
            <v>0</v>
          </cell>
          <cell r="AQ4221">
            <v>0</v>
          </cell>
          <cell r="AV4221">
            <v>0</v>
          </cell>
        </row>
        <row r="4222">
          <cell r="E4222" t="str">
            <v>D26000820</v>
          </cell>
          <cell r="AP4222">
            <v>0</v>
          </cell>
          <cell r="AQ4222">
            <v>0</v>
          </cell>
          <cell r="AV4222">
            <v>0</v>
          </cell>
        </row>
        <row r="4223">
          <cell r="E4223" t="str">
            <v>B26000770</v>
          </cell>
          <cell r="AP4223">
            <v>0</v>
          </cell>
          <cell r="AQ4223">
            <v>0</v>
          </cell>
          <cell r="AV4223">
            <v>0</v>
          </cell>
        </row>
        <row r="4224">
          <cell r="E4224" t="str">
            <v>B26000771</v>
          </cell>
          <cell r="AP4224">
            <v>0</v>
          </cell>
          <cell r="AQ4224">
            <v>0</v>
          </cell>
          <cell r="AV4224">
            <v>0</v>
          </cell>
        </row>
        <row r="4225">
          <cell r="E4225" t="str">
            <v>B26000939</v>
          </cell>
          <cell r="AP4225">
            <v>0</v>
          </cell>
          <cell r="AQ4225">
            <v>0</v>
          </cell>
          <cell r="AV4225">
            <v>0</v>
          </cell>
        </row>
        <row r="4226">
          <cell r="E4226" t="str">
            <v>B26000942</v>
          </cell>
          <cell r="AP4226">
            <v>0</v>
          </cell>
          <cell r="AQ4226">
            <v>0</v>
          </cell>
          <cell r="AV4226">
            <v>0</v>
          </cell>
        </row>
        <row r="4227">
          <cell r="E4227" t="str">
            <v>B26001166</v>
          </cell>
          <cell r="AP4227">
            <v>0</v>
          </cell>
          <cell r="AQ4227">
            <v>0</v>
          </cell>
          <cell r="AV4227">
            <v>0</v>
          </cell>
        </row>
        <row r="4228">
          <cell r="E4228" t="str">
            <v>D26001234</v>
          </cell>
          <cell r="AP4228">
            <v>0</v>
          </cell>
          <cell r="AQ4228">
            <v>0</v>
          </cell>
          <cell r="AV4228">
            <v>0</v>
          </cell>
        </row>
        <row r="4229">
          <cell r="E4229" t="str">
            <v>D26001345</v>
          </cell>
          <cell r="AP4229">
            <v>0</v>
          </cell>
          <cell r="AQ4229">
            <v>0</v>
          </cell>
          <cell r="AV4229">
            <v>0</v>
          </cell>
        </row>
        <row r="4230">
          <cell r="E4230" t="str">
            <v>B26001512</v>
          </cell>
          <cell r="AP4230">
            <v>0</v>
          </cell>
          <cell r="AQ4230">
            <v>0</v>
          </cell>
          <cell r="AV4230">
            <v>0</v>
          </cell>
        </row>
        <row r="4231">
          <cell r="E4231" t="str">
            <v>B26001558</v>
          </cell>
          <cell r="AP4231">
            <v>0</v>
          </cell>
          <cell r="AQ4231">
            <v>0</v>
          </cell>
          <cell r="AV4231">
            <v>0</v>
          </cell>
        </row>
        <row r="4232">
          <cell r="E4232" t="str">
            <v>D26001701</v>
          </cell>
          <cell r="AP4232">
            <v>0</v>
          </cell>
          <cell r="AQ4232">
            <v>0</v>
          </cell>
          <cell r="AV4232">
            <v>0</v>
          </cell>
        </row>
        <row r="4233">
          <cell r="E4233" t="str">
            <v>D26000581</v>
          </cell>
          <cell r="AP4233">
            <v>0</v>
          </cell>
          <cell r="AQ4233">
            <v>0</v>
          </cell>
          <cell r="AV4233">
            <v>0</v>
          </cell>
        </row>
        <row r="4234">
          <cell r="E4234" t="str">
            <v>D26001070</v>
          </cell>
          <cell r="AP4234">
            <v>0</v>
          </cell>
          <cell r="AQ4234">
            <v>0</v>
          </cell>
          <cell r="AV4234">
            <v>0</v>
          </cell>
        </row>
        <row r="4235">
          <cell r="E4235" t="str">
            <v>D26001700</v>
          </cell>
          <cell r="AP4235">
            <v>0</v>
          </cell>
          <cell r="AQ4235">
            <v>0</v>
          </cell>
          <cell r="AV4235">
            <v>0</v>
          </cell>
        </row>
        <row r="4236">
          <cell r="E4236" t="str">
            <v>D26000482</v>
          </cell>
          <cell r="AP4236">
            <v>0</v>
          </cell>
          <cell r="AQ4236">
            <v>0</v>
          </cell>
          <cell r="AV4236">
            <v>0</v>
          </cell>
        </row>
        <row r="4237">
          <cell r="E4237" t="str">
            <v>D26000495</v>
          </cell>
          <cell r="AP4237">
            <v>0</v>
          </cell>
          <cell r="AQ4237">
            <v>0</v>
          </cell>
          <cell r="AV4237">
            <v>0</v>
          </cell>
        </row>
        <row r="4238">
          <cell r="E4238" t="str">
            <v>B26000552</v>
          </cell>
          <cell r="AP4238">
            <v>0</v>
          </cell>
          <cell r="AQ4238">
            <v>0</v>
          </cell>
          <cell r="AV4238">
            <v>0</v>
          </cell>
        </row>
        <row r="4239">
          <cell r="E4239" t="str">
            <v>B26000592</v>
          </cell>
          <cell r="AP4239">
            <v>0</v>
          </cell>
          <cell r="AQ4239">
            <v>0</v>
          </cell>
          <cell r="AV4239">
            <v>0</v>
          </cell>
        </row>
        <row r="4240">
          <cell r="E4240" t="str">
            <v>B26000672</v>
          </cell>
          <cell r="AP4240">
            <v>0</v>
          </cell>
          <cell r="AQ4240">
            <v>0</v>
          </cell>
          <cell r="AV4240">
            <v>0</v>
          </cell>
        </row>
        <row r="4241">
          <cell r="E4241" t="str">
            <v>D26000703</v>
          </cell>
          <cell r="AP4241">
            <v>0</v>
          </cell>
          <cell r="AQ4241">
            <v>0</v>
          </cell>
          <cell r="AV4241">
            <v>0</v>
          </cell>
        </row>
        <row r="4242">
          <cell r="E4242" t="str">
            <v>B26000873</v>
          </cell>
          <cell r="AP4242">
            <v>0</v>
          </cell>
          <cell r="AQ4242">
            <v>0</v>
          </cell>
          <cell r="AV4242">
            <v>0</v>
          </cell>
        </row>
        <row r="4243">
          <cell r="E4243" t="str">
            <v>D26001176</v>
          </cell>
          <cell r="AP4243">
            <v>0</v>
          </cell>
          <cell r="AQ4243">
            <v>0</v>
          </cell>
          <cell r="AV4243">
            <v>0</v>
          </cell>
        </row>
        <row r="4244">
          <cell r="E4244" t="str">
            <v>B26001293</v>
          </cell>
          <cell r="AP4244">
            <v>0</v>
          </cell>
          <cell r="AQ4244">
            <v>0</v>
          </cell>
          <cell r="AV4244">
            <v>0</v>
          </cell>
        </row>
        <row r="4245">
          <cell r="E4245" t="str">
            <v>B26001321</v>
          </cell>
          <cell r="AP4245">
            <v>0</v>
          </cell>
          <cell r="AQ4245">
            <v>0</v>
          </cell>
          <cell r="AV4245">
            <v>0</v>
          </cell>
        </row>
        <row r="4246">
          <cell r="E4246" t="str">
            <v>D26001398</v>
          </cell>
          <cell r="AP4246">
            <v>0</v>
          </cell>
          <cell r="AQ4246">
            <v>0</v>
          </cell>
          <cell r="AV4246">
            <v>0</v>
          </cell>
        </row>
        <row r="4247">
          <cell r="E4247" t="str">
            <v>D25015100</v>
          </cell>
          <cell r="AP4247">
            <v>0</v>
          </cell>
          <cell r="AQ4247">
            <v>0</v>
          </cell>
          <cell r="AV4247">
            <v>0</v>
          </cell>
        </row>
        <row r="4248">
          <cell r="E4248" t="str">
            <v>D25016428</v>
          </cell>
          <cell r="AP4248">
            <v>0</v>
          </cell>
          <cell r="AQ4248">
            <v>0</v>
          </cell>
          <cell r="AV4248">
            <v>0</v>
          </cell>
        </row>
        <row r="4249">
          <cell r="E4249" t="str">
            <v>D25016444</v>
          </cell>
          <cell r="AP4249">
            <v>0</v>
          </cell>
          <cell r="AQ4249">
            <v>0</v>
          </cell>
          <cell r="AV4249">
            <v>0</v>
          </cell>
        </row>
        <row r="4250">
          <cell r="E4250" t="str">
            <v>B25014380</v>
          </cell>
          <cell r="AP4250">
            <v>0</v>
          </cell>
          <cell r="AQ4250">
            <v>0</v>
          </cell>
          <cell r="AV4250">
            <v>0</v>
          </cell>
        </row>
        <row r="4251">
          <cell r="E4251" t="str">
            <v>B25014914</v>
          </cell>
          <cell r="AP4251">
            <v>0</v>
          </cell>
          <cell r="AQ4251">
            <v>0</v>
          </cell>
          <cell r="AV4251">
            <v>0</v>
          </cell>
        </row>
        <row r="4252">
          <cell r="E4252" t="str">
            <v>B25014915</v>
          </cell>
          <cell r="AP4252">
            <v>0</v>
          </cell>
          <cell r="AQ4252">
            <v>0</v>
          </cell>
          <cell r="AV4252">
            <v>0</v>
          </cell>
        </row>
        <row r="4253">
          <cell r="E4253" t="str">
            <v>B25014916</v>
          </cell>
          <cell r="AP4253">
            <v>0</v>
          </cell>
          <cell r="AQ4253">
            <v>0</v>
          </cell>
          <cell r="AV4253">
            <v>0</v>
          </cell>
        </row>
        <row r="4254">
          <cell r="E4254" t="str">
            <v>B25014917</v>
          </cell>
          <cell r="AP4254">
            <v>0</v>
          </cell>
          <cell r="AQ4254">
            <v>0</v>
          </cell>
          <cell r="AV4254">
            <v>0</v>
          </cell>
        </row>
        <row r="4255">
          <cell r="E4255" t="str">
            <v>B25014921</v>
          </cell>
          <cell r="AP4255">
            <v>0</v>
          </cell>
          <cell r="AQ4255">
            <v>0</v>
          </cell>
          <cell r="AV4255">
            <v>0</v>
          </cell>
        </row>
        <row r="4256">
          <cell r="E4256" t="str">
            <v>D25017196</v>
          </cell>
          <cell r="AP4256">
            <v>0</v>
          </cell>
          <cell r="AQ4256">
            <v>0</v>
          </cell>
          <cell r="AV4256">
            <v>0</v>
          </cell>
        </row>
        <row r="4257">
          <cell r="E4257" t="str">
            <v>B25016405</v>
          </cell>
          <cell r="AP4257">
            <v>0</v>
          </cell>
          <cell r="AQ4257">
            <v>0</v>
          </cell>
          <cell r="AV4257">
            <v>0</v>
          </cell>
        </row>
        <row r="4258">
          <cell r="E4258" t="str">
            <v>B25016539</v>
          </cell>
          <cell r="AP4258">
            <v>0</v>
          </cell>
          <cell r="AQ4258">
            <v>0</v>
          </cell>
          <cell r="AV4258">
            <v>0</v>
          </cell>
        </row>
        <row r="4259">
          <cell r="E4259" t="str">
            <v>B25016540</v>
          </cell>
          <cell r="AP4259">
            <v>0</v>
          </cell>
          <cell r="AQ4259">
            <v>0</v>
          </cell>
          <cell r="AV4259">
            <v>0</v>
          </cell>
        </row>
        <row r="4260">
          <cell r="E4260" t="str">
            <v>D25019392</v>
          </cell>
          <cell r="AP4260">
            <v>0</v>
          </cell>
          <cell r="AQ4260">
            <v>0</v>
          </cell>
          <cell r="AV4260">
            <v>0</v>
          </cell>
        </row>
        <row r="4261">
          <cell r="E4261" t="str">
            <v>D25019402</v>
          </cell>
          <cell r="AP4261">
            <v>0</v>
          </cell>
          <cell r="AQ4261">
            <v>0</v>
          </cell>
          <cell r="AV4261">
            <v>0</v>
          </cell>
        </row>
        <row r="4262">
          <cell r="E4262" t="str">
            <v>B26000529</v>
          </cell>
          <cell r="AP4262">
            <v>0</v>
          </cell>
          <cell r="AQ4262">
            <v>0</v>
          </cell>
          <cell r="AV4262">
            <v>0</v>
          </cell>
        </row>
        <row r="4263">
          <cell r="E4263" t="str">
            <v>B26000530</v>
          </cell>
          <cell r="AP4263">
            <v>0</v>
          </cell>
          <cell r="AQ4263">
            <v>0</v>
          </cell>
          <cell r="AV4263">
            <v>0</v>
          </cell>
        </row>
        <row r="4264">
          <cell r="E4264" t="str">
            <v>B26000643</v>
          </cell>
          <cell r="AP4264">
            <v>0</v>
          </cell>
          <cell r="AQ4264">
            <v>0</v>
          </cell>
          <cell r="AV4264">
            <v>0</v>
          </cell>
        </row>
        <row r="4265">
          <cell r="E4265" t="str">
            <v>D26000729</v>
          </cell>
          <cell r="AP4265">
            <v>0</v>
          </cell>
          <cell r="AQ4265">
            <v>0</v>
          </cell>
          <cell r="AV4265">
            <v>0</v>
          </cell>
        </row>
        <row r="4266">
          <cell r="E4266" t="str">
            <v>D26001356</v>
          </cell>
          <cell r="AP4266">
            <v>0</v>
          </cell>
          <cell r="AQ4266">
            <v>0</v>
          </cell>
          <cell r="AV4266">
            <v>0</v>
          </cell>
        </row>
        <row r="4267">
          <cell r="E4267" t="str">
            <v>D25017901</v>
          </cell>
          <cell r="AP4267">
            <v>0</v>
          </cell>
          <cell r="AQ4267">
            <v>0</v>
          </cell>
          <cell r="AV4267">
            <v>0</v>
          </cell>
        </row>
        <row r="4268">
          <cell r="E4268" t="str">
            <v>D25017901</v>
          </cell>
          <cell r="AP4268">
            <v>0</v>
          </cell>
          <cell r="AQ4268">
            <v>0</v>
          </cell>
          <cell r="AV4268">
            <v>0</v>
          </cell>
        </row>
        <row r="4269">
          <cell r="E4269" t="str">
            <v>D25017902</v>
          </cell>
          <cell r="AP4269">
            <v>0</v>
          </cell>
          <cell r="AQ4269">
            <v>0</v>
          </cell>
          <cell r="AV4269">
            <v>0</v>
          </cell>
        </row>
        <row r="4270">
          <cell r="E4270" t="str">
            <v>B25015794</v>
          </cell>
          <cell r="AP4270">
            <v>0</v>
          </cell>
          <cell r="AQ4270">
            <v>0</v>
          </cell>
          <cell r="AV4270">
            <v>0</v>
          </cell>
        </row>
        <row r="4271">
          <cell r="E4271" t="str">
            <v>B25015795</v>
          </cell>
          <cell r="AP4271">
            <v>0</v>
          </cell>
          <cell r="AQ4271">
            <v>0</v>
          </cell>
          <cell r="AV4271">
            <v>0</v>
          </cell>
        </row>
        <row r="4272">
          <cell r="E4272" t="str">
            <v>D25018558</v>
          </cell>
          <cell r="AP4272">
            <v>0</v>
          </cell>
          <cell r="AQ4272">
            <v>0</v>
          </cell>
          <cell r="AV4272">
            <v>0</v>
          </cell>
        </row>
        <row r="4273">
          <cell r="E4273" t="str">
            <v>D25018559</v>
          </cell>
          <cell r="AP4273">
            <v>0</v>
          </cell>
          <cell r="AQ4273">
            <v>0</v>
          </cell>
          <cell r="AV4273">
            <v>0</v>
          </cell>
        </row>
        <row r="4274">
          <cell r="E4274" t="str">
            <v>D25018559</v>
          </cell>
          <cell r="AP4274">
            <v>0</v>
          </cell>
          <cell r="AQ4274">
            <v>0</v>
          </cell>
          <cell r="AV4274">
            <v>0</v>
          </cell>
        </row>
        <row r="4275">
          <cell r="E4275" t="str">
            <v>D25018583</v>
          </cell>
          <cell r="AP4275">
            <v>0</v>
          </cell>
          <cell r="AQ4275">
            <v>0</v>
          </cell>
          <cell r="AV4275">
            <v>0</v>
          </cell>
        </row>
        <row r="4276">
          <cell r="E4276" t="str">
            <v>D25019033</v>
          </cell>
          <cell r="AP4276">
            <v>0</v>
          </cell>
          <cell r="AQ4276">
            <v>0</v>
          </cell>
          <cell r="AV4276">
            <v>0</v>
          </cell>
        </row>
        <row r="4277">
          <cell r="E4277" t="str">
            <v>D25019033</v>
          </cell>
          <cell r="AP4277">
            <v>0</v>
          </cell>
          <cell r="AQ4277">
            <v>0</v>
          </cell>
          <cell r="AV4277">
            <v>0</v>
          </cell>
        </row>
        <row r="4278">
          <cell r="E4278" t="str">
            <v>D25019048</v>
          </cell>
          <cell r="AP4278">
            <v>0</v>
          </cell>
          <cell r="AQ4278">
            <v>0</v>
          </cell>
          <cell r="AV4278">
            <v>0</v>
          </cell>
        </row>
        <row r="4279">
          <cell r="E4279" t="str">
            <v>D25019050</v>
          </cell>
          <cell r="AP4279">
            <v>0</v>
          </cell>
          <cell r="AQ4279">
            <v>0</v>
          </cell>
          <cell r="AV4279">
            <v>0</v>
          </cell>
        </row>
        <row r="4280">
          <cell r="E4280" t="str">
            <v>D25019084</v>
          </cell>
          <cell r="AP4280">
            <v>0</v>
          </cell>
          <cell r="AQ4280">
            <v>0</v>
          </cell>
          <cell r="AV4280">
            <v>0</v>
          </cell>
        </row>
        <row r="4281">
          <cell r="E4281" t="str">
            <v>D25019084</v>
          </cell>
          <cell r="AP4281">
            <v>0</v>
          </cell>
          <cell r="AQ4281">
            <v>0</v>
          </cell>
          <cell r="AV4281">
            <v>0</v>
          </cell>
        </row>
        <row r="4282">
          <cell r="E4282" t="str">
            <v>B25016734</v>
          </cell>
          <cell r="AP4282">
            <v>0</v>
          </cell>
          <cell r="AQ4282">
            <v>0</v>
          </cell>
          <cell r="AV4282">
            <v>0</v>
          </cell>
        </row>
        <row r="4283">
          <cell r="E4283" t="str">
            <v>D25019255</v>
          </cell>
          <cell r="AP4283">
            <v>0</v>
          </cell>
          <cell r="AQ4283">
            <v>0</v>
          </cell>
          <cell r="AV4283">
            <v>0</v>
          </cell>
        </row>
        <row r="4284">
          <cell r="E4284" t="str">
            <v>B25016980</v>
          </cell>
          <cell r="AP4284">
            <v>0</v>
          </cell>
          <cell r="AQ4284">
            <v>0</v>
          </cell>
          <cell r="AV4284">
            <v>0</v>
          </cell>
        </row>
        <row r="4285">
          <cell r="E4285" t="str">
            <v>B25016990</v>
          </cell>
          <cell r="AP4285">
            <v>0</v>
          </cell>
          <cell r="AQ4285">
            <v>0</v>
          </cell>
          <cell r="AV4285">
            <v>0</v>
          </cell>
        </row>
        <row r="4286">
          <cell r="E4286" t="str">
            <v>B25016991</v>
          </cell>
          <cell r="AP4286">
            <v>0</v>
          </cell>
          <cell r="AQ4286">
            <v>0</v>
          </cell>
          <cell r="AV4286">
            <v>0</v>
          </cell>
        </row>
        <row r="4287">
          <cell r="E4287" t="str">
            <v>B25016991</v>
          </cell>
          <cell r="AP4287">
            <v>0</v>
          </cell>
          <cell r="AQ4287">
            <v>0</v>
          </cell>
          <cell r="AV4287">
            <v>0</v>
          </cell>
        </row>
        <row r="4288">
          <cell r="E4288" t="str">
            <v>B25017032</v>
          </cell>
          <cell r="AP4288">
            <v>0</v>
          </cell>
          <cell r="AQ4288">
            <v>0</v>
          </cell>
          <cell r="AV4288">
            <v>0</v>
          </cell>
        </row>
        <row r="4289">
          <cell r="E4289" t="str">
            <v>D25019592</v>
          </cell>
          <cell r="AP4289">
            <v>0</v>
          </cell>
          <cell r="AQ4289">
            <v>0</v>
          </cell>
          <cell r="AV4289">
            <v>0</v>
          </cell>
        </row>
        <row r="4290">
          <cell r="E4290" t="str">
            <v>D25019597</v>
          </cell>
          <cell r="AP4290">
            <v>0</v>
          </cell>
          <cell r="AQ4290">
            <v>0</v>
          </cell>
          <cell r="AV4290">
            <v>0</v>
          </cell>
        </row>
        <row r="4291">
          <cell r="E4291" t="str">
            <v>B26000133</v>
          </cell>
          <cell r="AP4291">
            <v>0</v>
          </cell>
          <cell r="AQ4291">
            <v>0</v>
          </cell>
          <cell r="AV4291">
            <v>0</v>
          </cell>
        </row>
        <row r="4292">
          <cell r="E4292" t="str">
            <v>B26000462</v>
          </cell>
          <cell r="AP4292">
            <v>0</v>
          </cell>
          <cell r="AQ4292">
            <v>0</v>
          </cell>
          <cell r="AV4292">
            <v>0</v>
          </cell>
        </row>
        <row r="4293">
          <cell r="E4293" t="str">
            <v>D26000538</v>
          </cell>
          <cell r="AP4293">
            <v>0</v>
          </cell>
          <cell r="AQ4293">
            <v>0</v>
          </cell>
          <cell r="AV4293">
            <v>0</v>
          </cell>
        </row>
        <row r="4294">
          <cell r="E4294" t="str">
            <v>D26000723</v>
          </cell>
          <cell r="AP4294">
            <v>0</v>
          </cell>
          <cell r="AQ4294">
            <v>0</v>
          </cell>
          <cell r="AV4294">
            <v>0</v>
          </cell>
        </row>
        <row r="4295">
          <cell r="E4295" t="str">
            <v>D26000739</v>
          </cell>
          <cell r="AP4295">
            <v>0</v>
          </cell>
          <cell r="AQ4295">
            <v>0</v>
          </cell>
          <cell r="AV4295">
            <v>0</v>
          </cell>
        </row>
        <row r="4296">
          <cell r="E4296" t="str">
            <v>B26000959</v>
          </cell>
          <cell r="AP4296">
            <v>0</v>
          </cell>
          <cell r="AQ4296">
            <v>0</v>
          </cell>
          <cell r="AV4296">
            <v>0</v>
          </cell>
        </row>
        <row r="4297">
          <cell r="E4297" t="str">
            <v>B26001021</v>
          </cell>
          <cell r="AP4297">
            <v>0</v>
          </cell>
          <cell r="AQ4297">
            <v>0</v>
          </cell>
          <cell r="AV4297">
            <v>0</v>
          </cell>
        </row>
        <row r="4298">
          <cell r="E4298" t="str">
            <v>D26001118</v>
          </cell>
          <cell r="AP4298">
            <v>0</v>
          </cell>
          <cell r="AQ4298">
            <v>0</v>
          </cell>
          <cell r="AV4298">
            <v>0</v>
          </cell>
        </row>
        <row r="4299">
          <cell r="E4299" t="str">
            <v>D26001135</v>
          </cell>
          <cell r="AP4299">
            <v>0</v>
          </cell>
          <cell r="AQ4299">
            <v>0</v>
          </cell>
          <cell r="AV4299">
            <v>0</v>
          </cell>
        </row>
        <row r="4300">
          <cell r="E4300" t="str">
            <v>D26001136</v>
          </cell>
          <cell r="AP4300">
            <v>0</v>
          </cell>
          <cell r="AQ4300">
            <v>0</v>
          </cell>
          <cell r="AV4300">
            <v>0</v>
          </cell>
        </row>
        <row r="4301">
          <cell r="E4301" t="str">
            <v>D26001241</v>
          </cell>
          <cell r="AP4301">
            <v>0</v>
          </cell>
          <cell r="AQ4301">
            <v>0</v>
          </cell>
          <cell r="AV4301">
            <v>0</v>
          </cell>
        </row>
        <row r="4302">
          <cell r="E4302" t="str">
            <v>B26001419</v>
          </cell>
          <cell r="AP4302">
            <v>0</v>
          </cell>
          <cell r="AQ4302">
            <v>0</v>
          </cell>
          <cell r="AV4302">
            <v>0</v>
          </cell>
        </row>
        <row r="4303">
          <cell r="E4303" t="str">
            <v>D26001572</v>
          </cell>
          <cell r="AP4303">
            <v>0</v>
          </cell>
          <cell r="AQ4303">
            <v>0</v>
          </cell>
          <cell r="AV4303">
            <v>0</v>
          </cell>
        </row>
        <row r="4304">
          <cell r="E4304" t="str">
            <v>B25016162</v>
          </cell>
          <cell r="AP4304">
            <v>0</v>
          </cell>
          <cell r="AQ4304">
            <v>0</v>
          </cell>
          <cell r="AV4304">
            <v>0</v>
          </cell>
        </row>
        <row r="4305">
          <cell r="E4305" t="str">
            <v>D25019352</v>
          </cell>
          <cell r="AP4305">
            <v>0</v>
          </cell>
          <cell r="AQ4305">
            <v>0</v>
          </cell>
          <cell r="AV4305">
            <v>0</v>
          </cell>
        </row>
        <row r="4306">
          <cell r="E4306" t="str">
            <v>B26000741</v>
          </cell>
          <cell r="AP4306">
            <v>0</v>
          </cell>
          <cell r="AQ4306">
            <v>0</v>
          </cell>
          <cell r="AV4306">
            <v>0</v>
          </cell>
        </row>
        <row r="4307">
          <cell r="E4307" t="str">
            <v>D26000835</v>
          </cell>
          <cell r="AP4307">
            <v>0</v>
          </cell>
          <cell r="AQ4307">
            <v>0</v>
          </cell>
          <cell r="AV4307">
            <v>0</v>
          </cell>
        </row>
        <row r="4308">
          <cell r="E4308" t="str">
            <v>D26001063</v>
          </cell>
          <cell r="AP4308">
            <v>0</v>
          </cell>
          <cell r="AQ4308">
            <v>0</v>
          </cell>
          <cell r="AV4308">
            <v>0</v>
          </cell>
        </row>
        <row r="4309">
          <cell r="E4309" t="str">
            <v>D26001561</v>
          </cell>
          <cell r="AP4309">
            <v>0</v>
          </cell>
          <cell r="AQ4309">
            <v>0</v>
          </cell>
          <cell r="AV4309">
            <v>0</v>
          </cell>
        </row>
        <row r="4310">
          <cell r="E4310" t="str">
            <v>B26001477</v>
          </cell>
          <cell r="AP4310">
            <v>0</v>
          </cell>
          <cell r="AQ4310">
            <v>0</v>
          </cell>
          <cell r="AV4310">
            <v>0</v>
          </cell>
        </row>
        <row r="4311">
          <cell r="E4311" t="str">
            <v>Z26000034</v>
          </cell>
          <cell r="AP4311">
            <v>0</v>
          </cell>
          <cell r="AQ4311">
            <v>0</v>
          </cell>
          <cell r="AV4311">
            <v>0</v>
          </cell>
        </row>
        <row r="4312">
          <cell r="E4312" t="str">
            <v>Z26000035</v>
          </cell>
          <cell r="AP4312">
            <v>0</v>
          </cell>
          <cell r="AQ4312">
            <v>0</v>
          </cell>
          <cell r="AV4312">
            <v>0</v>
          </cell>
        </row>
        <row r="4313">
          <cell r="E4313" t="str">
            <v>Z26000233</v>
          </cell>
          <cell r="AP4313">
            <v>0</v>
          </cell>
          <cell r="AQ4313">
            <v>0</v>
          </cell>
          <cell r="AV4313">
            <v>0</v>
          </cell>
        </row>
        <row r="4314">
          <cell r="E4314" t="str">
            <v>T25001440</v>
          </cell>
          <cell r="AP4314">
            <v>0</v>
          </cell>
          <cell r="AQ4314">
            <v>0</v>
          </cell>
          <cell r="AV4314">
            <v>0</v>
          </cell>
        </row>
        <row r="4315">
          <cell r="E4315" t="str">
            <v>D25015258</v>
          </cell>
          <cell r="AP4315">
            <v>0</v>
          </cell>
          <cell r="AQ4315">
            <v>0</v>
          </cell>
          <cell r="AV4315">
            <v>0</v>
          </cell>
        </row>
        <row r="4316">
          <cell r="E4316" t="str">
            <v>D26001097</v>
          </cell>
          <cell r="AP4316">
            <v>0</v>
          </cell>
          <cell r="AQ4316">
            <v>0</v>
          </cell>
          <cell r="AV4316">
            <v>0</v>
          </cell>
        </row>
        <row r="4317">
          <cell r="E4317" t="str">
            <v>D25018019</v>
          </cell>
          <cell r="AP4317">
            <v>0</v>
          </cell>
          <cell r="AQ4317">
            <v>0</v>
          </cell>
          <cell r="AV4317">
            <v>0</v>
          </cell>
        </row>
        <row r="4318">
          <cell r="E4318" t="str">
            <v>D26000073</v>
          </cell>
          <cell r="AP4318">
            <v>0</v>
          </cell>
          <cell r="AQ4318">
            <v>0</v>
          </cell>
          <cell r="AV4318">
            <v>0</v>
          </cell>
        </row>
        <row r="4319">
          <cell r="E4319" t="str">
            <v>T26000014</v>
          </cell>
          <cell r="AP4319">
            <v>0</v>
          </cell>
          <cell r="AQ4319">
            <v>0</v>
          </cell>
          <cell r="AV4319">
            <v>0</v>
          </cell>
        </row>
        <row r="4320">
          <cell r="E4320" t="str">
            <v>D26000577</v>
          </cell>
          <cell r="AP4320">
            <v>0</v>
          </cell>
          <cell r="AQ4320">
            <v>0</v>
          </cell>
          <cell r="AV4320">
            <v>0</v>
          </cell>
        </row>
        <row r="4321">
          <cell r="E4321" t="str">
            <v>D26000578</v>
          </cell>
          <cell r="AP4321">
            <v>0</v>
          </cell>
          <cell r="AQ4321">
            <v>0</v>
          </cell>
          <cell r="AV4321">
            <v>0</v>
          </cell>
        </row>
        <row r="4322">
          <cell r="E4322" t="str">
            <v>D25016645</v>
          </cell>
          <cell r="AP4322">
            <v>0</v>
          </cell>
          <cell r="AQ4322">
            <v>0</v>
          </cell>
          <cell r="AV4322">
            <v>0</v>
          </cell>
        </row>
        <row r="4323">
          <cell r="E4323" t="str">
            <v>B26000353</v>
          </cell>
          <cell r="AP4323">
            <v>0</v>
          </cell>
          <cell r="AQ4323">
            <v>0</v>
          </cell>
          <cell r="AV4323">
            <v>0</v>
          </cell>
        </row>
        <row r="4324">
          <cell r="E4324" t="str">
            <v>D26000430</v>
          </cell>
          <cell r="AP4324">
            <v>0</v>
          </cell>
          <cell r="AQ4324">
            <v>0</v>
          </cell>
          <cell r="AV4324">
            <v>0</v>
          </cell>
        </row>
        <row r="4325">
          <cell r="E4325" t="str">
            <v>T25001626K</v>
          </cell>
          <cell r="AP4325">
            <v>0</v>
          </cell>
          <cell r="AQ4325">
            <v>0</v>
          </cell>
          <cell r="AV4325">
            <v>0</v>
          </cell>
        </row>
        <row r="4326">
          <cell r="E4326" t="str">
            <v>T25001835k</v>
          </cell>
          <cell r="AP4326">
            <v>0</v>
          </cell>
          <cell r="AQ4326">
            <v>0</v>
          </cell>
          <cell r="AV4326">
            <v>0</v>
          </cell>
        </row>
        <row r="4327">
          <cell r="E4327" t="str">
            <v>T25001866</v>
          </cell>
          <cell r="AP4327">
            <v>0</v>
          </cell>
          <cell r="AQ4327">
            <v>0</v>
          </cell>
          <cell r="AV4327">
            <v>0</v>
          </cell>
        </row>
        <row r="4328">
          <cell r="E4328" t="str">
            <v>D26000548</v>
          </cell>
          <cell r="AP4328">
            <v>0</v>
          </cell>
          <cell r="AQ4328">
            <v>0</v>
          </cell>
          <cell r="AV4328">
            <v>0</v>
          </cell>
        </row>
        <row r="4329">
          <cell r="E4329" t="str">
            <v>D26001402</v>
          </cell>
          <cell r="AP4329">
            <v>0</v>
          </cell>
          <cell r="AQ4329">
            <v>0</v>
          </cell>
          <cell r="AV4329">
            <v>0</v>
          </cell>
        </row>
        <row r="4330">
          <cell r="E4330" t="str">
            <v>D26000176</v>
          </cell>
          <cell r="AP4330">
            <v>0</v>
          </cell>
          <cell r="AQ4330">
            <v>0</v>
          </cell>
          <cell r="AV4330">
            <v>0</v>
          </cell>
        </row>
        <row r="4331">
          <cell r="E4331" t="str">
            <v>T25001548</v>
          </cell>
          <cell r="AP4331">
            <v>0</v>
          </cell>
          <cell r="AQ4331">
            <v>0</v>
          </cell>
          <cell r="AV4331">
            <v>0</v>
          </cell>
        </row>
        <row r="4332">
          <cell r="E4332" t="str">
            <v>D26001668</v>
          </cell>
          <cell r="AP4332">
            <v>0</v>
          </cell>
          <cell r="AQ4332">
            <v>0</v>
          </cell>
          <cell r="AV4332">
            <v>0</v>
          </cell>
        </row>
        <row r="4333">
          <cell r="E4333" t="str">
            <v>B26001416</v>
          </cell>
          <cell r="AP4333">
            <v>0</v>
          </cell>
          <cell r="AQ4333">
            <v>0</v>
          </cell>
          <cell r="AV4333">
            <v>0</v>
          </cell>
        </row>
        <row r="4334">
          <cell r="E4334" t="str">
            <v>B26001417</v>
          </cell>
          <cell r="AP4334">
            <v>0</v>
          </cell>
          <cell r="AQ4334">
            <v>0</v>
          </cell>
          <cell r="AV4334">
            <v>0</v>
          </cell>
        </row>
        <row r="4335">
          <cell r="E4335" t="str">
            <v>B25016307</v>
          </cell>
          <cell r="AP4335">
            <v>0</v>
          </cell>
          <cell r="AQ4335">
            <v>0</v>
          </cell>
          <cell r="AV4335">
            <v>0</v>
          </cell>
        </row>
        <row r="4336">
          <cell r="E4336" t="str">
            <v>B26001192</v>
          </cell>
          <cell r="AP4336">
            <v>0</v>
          </cell>
          <cell r="AQ4336">
            <v>0</v>
          </cell>
          <cell r="AV4336">
            <v>0</v>
          </cell>
        </row>
        <row r="4337">
          <cell r="E4337" t="str">
            <v>D26000909</v>
          </cell>
          <cell r="AP4337">
            <v>0</v>
          </cell>
          <cell r="AQ4337">
            <v>0</v>
          </cell>
          <cell r="AV4337">
            <v>0</v>
          </cell>
        </row>
        <row r="4338">
          <cell r="E4338" t="str">
            <v>D26001243</v>
          </cell>
          <cell r="AP4338">
            <v>0</v>
          </cell>
          <cell r="AQ4338">
            <v>0</v>
          </cell>
          <cell r="AV4338">
            <v>0</v>
          </cell>
        </row>
        <row r="4339">
          <cell r="E4339" t="str">
            <v>D26001714</v>
          </cell>
          <cell r="AP4339">
            <v>0</v>
          </cell>
          <cell r="AQ4339">
            <v>0</v>
          </cell>
          <cell r="AV4339">
            <v>0</v>
          </cell>
        </row>
        <row r="4340">
          <cell r="E4340" t="str">
            <v>D25016353</v>
          </cell>
          <cell r="AP4340">
            <v>0</v>
          </cell>
          <cell r="AQ4340">
            <v>0</v>
          </cell>
          <cell r="AV4340">
            <v>0</v>
          </cell>
        </row>
        <row r="4341">
          <cell r="E4341" t="str">
            <v>B26000376</v>
          </cell>
          <cell r="AP4341">
            <v>0</v>
          </cell>
          <cell r="AQ4341">
            <v>0</v>
          </cell>
          <cell r="AV4341">
            <v>0</v>
          </cell>
        </row>
        <row r="4342">
          <cell r="E4342" t="str">
            <v>B26000378</v>
          </cell>
          <cell r="AP4342">
            <v>0</v>
          </cell>
          <cell r="AQ4342">
            <v>0</v>
          </cell>
          <cell r="AV4342">
            <v>0</v>
          </cell>
        </row>
        <row r="4343">
          <cell r="E4343" t="str">
            <v>B26001626</v>
          </cell>
          <cell r="AP4343">
            <v>0</v>
          </cell>
          <cell r="AQ4343">
            <v>0</v>
          </cell>
          <cell r="AV4343">
            <v>0</v>
          </cell>
        </row>
        <row r="4344">
          <cell r="E4344" t="str">
            <v>B25017061</v>
          </cell>
          <cell r="AP4344">
            <v>0</v>
          </cell>
          <cell r="AQ4344">
            <v>0</v>
          </cell>
          <cell r="AV4344">
            <v>0</v>
          </cell>
        </row>
        <row r="4345">
          <cell r="E4345" t="str">
            <v>D25019695</v>
          </cell>
          <cell r="AP4345">
            <v>0</v>
          </cell>
          <cell r="AQ4345">
            <v>0</v>
          </cell>
          <cell r="AV4345">
            <v>0</v>
          </cell>
        </row>
        <row r="4346">
          <cell r="E4346" t="str">
            <v>B26000088</v>
          </cell>
          <cell r="AP4346">
            <v>0</v>
          </cell>
          <cell r="AQ4346">
            <v>0</v>
          </cell>
          <cell r="AV4346">
            <v>0</v>
          </cell>
        </row>
        <row r="4347">
          <cell r="E4347" t="str">
            <v>B26000142</v>
          </cell>
          <cell r="AP4347">
            <v>0</v>
          </cell>
          <cell r="AQ4347">
            <v>0</v>
          </cell>
          <cell r="AV4347">
            <v>0</v>
          </cell>
        </row>
        <row r="4348">
          <cell r="E4348" t="str">
            <v>B26000148</v>
          </cell>
          <cell r="AP4348">
            <v>0</v>
          </cell>
          <cell r="AQ4348">
            <v>0</v>
          </cell>
          <cell r="AV4348">
            <v>0</v>
          </cell>
        </row>
        <row r="4349">
          <cell r="E4349" t="str">
            <v>D26000796</v>
          </cell>
          <cell r="AP4349">
            <v>0</v>
          </cell>
          <cell r="AQ4349">
            <v>0</v>
          </cell>
          <cell r="AV4349">
            <v>0</v>
          </cell>
        </row>
        <row r="4350">
          <cell r="E4350" t="str">
            <v>B26001064</v>
          </cell>
          <cell r="AP4350">
            <v>0</v>
          </cell>
          <cell r="AQ4350">
            <v>0</v>
          </cell>
          <cell r="AV4350">
            <v>0</v>
          </cell>
        </row>
        <row r="4351">
          <cell r="E4351" t="str">
            <v>N26000014</v>
          </cell>
          <cell r="AP4351">
            <v>0</v>
          </cell>
          <cell r="AQ4351">
            <v>0</v>
          </cell>
          <cell r="AV4351">
            <v>0</v>
          </cell>
        </row>
        <row r="4352">
          <cell r="E4352" t="str">
            <v>B26001528</v>
          </cell>
          <cell r="AP4352">
            <v>0</v>
          </cell>
          <cell r="AQ4352">
            <v>0</v>
          </cell>
          <cell r="AV4352">
            <v>0</v>
          </cell>
        </row>
        <row r="4353">
          <cell r="E4353" t="str">
            <v>B26001529</v>
          </cell>
          <cell r="AP4353">
            <v>0</v>
          </cell>
          <cell r="AQ4353">
            <v>0</v>
          </cell>
          <cell r="AV4353">
            <v>0</v>
          </cell>
        </row>
        <row r="4354">
          <cell r="E4354" t="str">
            <v>D26001681</v>
          </cell>
          <cell r="AP4354">
            <v>0</v>
          </cell>
          <cell r="AQ4354">
            <v>0</v>
          </cell>
          <cell r="AV4354">
            <v>0</v>
          </cell>
        </row>
        <row r="4355">
          <cell r="E4355" t="str">
            <v>B25014251</v>
          </cell>
          <cell r="AP4355">
            <v>0</v>
          </cell>
          <cell r="AQ4355">
            <v>0</v>
          </cell>
          <cell r="AV4355">
            <v>0</v>
          </cell>
        </row>
        <row r="4356">
          <cell r="E4356" t="str">
            <v>D25018333</v>
          </cell>
          <cell r="AP4356">
            <v>0</v>
          </cell>
          <cell r="AQ4356">
            <v>0</v>
          </cell>
          <cell r="AV4356">
            <v>0</v>
          </cell>
        </row>
        <row r="4357">
          <cell r="E4357" t="str">
            <v>D25018347</v>
          </cell>
          <cell r="AP4357">
            <v>0</v>
          </cell>
          <cell r="AQ4357">
            <v>0</v>
          </cell>
          <cell r="AV4357">
            <v>0</v>
          </cell>
        </row>
        <row r="4358">
          <cell r="E4358" t="str">
            <v>B25016257</v>
          </cell>
          <cell r="AP4358">
            <v>0</v>
          </cell>
          <cell r="AQ4358">
            <v>0</v>
          </cell>
          <cell r="AV4358">
            <v>0</v>
          </cell>
        </row>
        <row r="4359">
          <cell r="E4359" t="str">
            <v>D25018742</v>
          </cell>
          <cell r="AP4359">
            <v>0</v>
          </cell>
          <cell r="AQ4359">
            <v>0</v>
          </cell>
          <cell r="AV4359">
            <v>0</v>
          </cell>
        </row>
        <row r="4360">
          <cell r="E4360" t="str">
            <v>D25018743</v>
          </cell>
          <cell r="AP4360">
            <v>0</v>
          </cell>
          <cell r="AQ4360">
            <v>0</v>
          </cell>
          <cell r="AV4360">
            <v>0</v>
          </cell>
        </row>
        <row r="4361">
          <cell r="E4361" t="str">
            <v>D26000026</v>
          </cell>
          <cell r="AP4361">
            <v>0</v>
          </cell>
          <cell r="AQ4361">
            <v>0</v>
          </cell>
          <cell r="AV4361">
            <v>0</v>
          </cell>
        </row>
        <row r="4362">
          <cell r="E4362" t="str">
            <v>D26000027</v>
          </cell>
          <cell r="AP4362">
            <v>0</v>
          </cell>
          <cell r="AQ4362">
            <v>0</v>
          </cell>
          <cell r="AV4362">
            <v>0</v>
          </cell>
        </row>
        <row r="4363">
          <cell r="E4363" t="str">
            <v>D26000216</v>
          </cell>
          <cell r="AP4363">
            <v>0</v>
          </cell>
          <cell r="AQ4363">
            <v>0</v>
          </cell>
          <cell r="AV4363">
            <v>0</v>
          </cell>
        </row>
        <row r="4364">
          <cell r="E4364" t="str">
            <v>D26000217</v>
          </cell>
          <cell r="AP4364">
            <v>0</v>
          </cell>
          <cell r="AQ4364">
            <v>0</v>
          </cell>
          <cell r="AV4364">
            <v>0</v>
          </cell>
        </row>
        <row r="4365">
          <cell r="E4365" t="str">
            <v>D26000218</v>
          </cell>
          <cell r="AP4365">
            <v>0</v>
          </cell>
          <cell r="AQ4365">
            <v>0</v>
          </cell>
          <cell r="AV4365">
            <v>0</v>
          </cell>
        </row>
        <row r="4366">
          <cell r="E4366" t="str">
            <v>B26000559</v>
          </cell>
          <cell r="AP4366">
            <v>0</v>
          </cell>
          <cell r="AQ4366">
            <v>0</v>
          </cell>
          <cell r="AV4366">
            <v>0</v>
          </cell>
        </row>
        <row r="4367">
          <cell r="E4367" t="str">
            <v>B26000560</v>
          </cell>
          <cell r="AP4367">
            <v>0</v>
          </cell>
          <cell r="AQ4367">
            <v>0</v>
          </cell>
          <cell r="AV4367">
            <v>0</v>
          </cell>
        </row>
        <row r="4368">
          <cell r="E4368" t="str">
            <v>B26000569</v>
          </cell>
          <cell r="AP4368">
            <v>0</v>
          </cell>
          <cell r="AQ4368">
            <v>0</v>
          </cell>
          <cell r="AV4368">
            <v>0</v>
          </cell>
        </row>
        <row r="4369">
          <cell r="E4369" t="str">
            <v>B26000570</v>
          </cell>
          <cell r="AP4369">
            <v>0</v>
          </cell>
          <cell r="AQ4369">
            <v>0</v>
          </cell>
          <cell r="AV4369">
            <v>0</v>
          </cell>
        </row>
        <row r="4370">
          <cell r="E4370" t="str">
            <v>D26001528</v>
          </cell>
          <cell r="AP4370">
            <v>0</v>
          </cell>
          <cell r="AQ4370">
            <v>0</v>
          </cell>
          <cell r="AV4370">
            <v>0</v>
          </cell>
        </row>
        <row r="4371">
          <cell r="E4371" t="str">
            <v>D26001240</v>
          </cell>
          <cell r="AP4371">
            <v>0</v>
          </cell>
          <cell r="AQ4371">
            <v>0</v>
          </cell>
          <cell r="AV4371">
            <v>0</v>
          </cell>
        </row>
        <row r="4372">
          <cell r="E4372" t="str">
            <v>D26001246</v>
          </cell>
          <cell r="AP4372">
            <v>0</v>
          </cell>
          <cell r="AQ4372">
            <v>0</v>
          </cell>
          <cell r="AV4372">
            <v>0</v>
          </cell>
        </row>
        <row r="4373">
          <cell r="E4373" t="str">
            <v>D25016746</v>
          </cell>
          <cell r="AP4373">
            <v>0</v>
          </cell>
          <cell r="AQ4373">
            <v>0</v>
          </cell>
          <cell r="AV4373">
            <v>0</v>
          </cell>
        </row>
        <row r="4374">
          <cell r="E4374" t="str">
            <v>B25015472</v>
          </cell>
          <cell r="AP4374">
            <v>0</v>
          </cell>
          <cell r="AQ4374">
            <v>0</v>
          </cell>
          <cell r="AV4374">
            <v>0</v>
          </cell>
        </row>
        <row r="4375">
          <cell r="E4375" t="str">
            <v>D25018132</v>
          </cell>
          <cell r="AP4375">
            <v>0</v>
          </cell>
          <cell r="AQ4375">
            <v>0</v>
          </cell>
          <cell r="AV4375">
            <v>0</v>
          </cell>
        </row>
        <row r="4376">
          <cell r="E4376" t="str">
            <v>D25018308</v>
          </cell>
          <cell r="AP4376">
            <v>0</v>
          </cell>
          <cell r="AQ4376">
            <v>0</v>
          </cell>
          <cell r="AV4376">
            <v>0</v>
          </cell>
        </row>
        <row r="4377">
          <cell r="E4377" t="str">
            <v>B25016700</v>
          </cell>
          <cell r="AP4377">
            <v>0</v>
          </cell>
          <cell r="AQ4377">
            <v>0</v>
          </cell>
          <cell r="AV4377">
            <v>0</v>
          </cell>
        </row>
        <row r="4378">
          <cell r="E4378" t="str">
            <v>B26000038</v>
          </cell>
          <cell r="AP4378">
            <v>0</v>
          </cell>
          <cell r="AQ4378">
            <v>0</v>
          </cell>
          <cell r="AV4378">
            <v>0</v>
          </cell>
        </row>
        <row r="4379">
          <cell r="E4379" t="str">
            <v>B26000298</v>
          </cell>
          <cell r="AP4379">
            <v>0</v>
          </cell>
          <cell r="AQ4379">
            <v>0</v>
          </cell>
          <cell r="AV4379">
            <v>0</v>
          </cell>
        </row>
        <row r="4380">
          <cell r="E4380" t="str">
            <v>B26000593</v>
          </cell>
          <cell r="AP4380">
            <v>0</v>
          </cell>
          <cell r="AQ4380">
            <v>0</v>
          </cell>
          <cell r="AV4380">
            <v>0</v>
          </cell>
        </row>
        <row r="4381">
          <cell r="E4381" t="str">
            <v>D26000625</v>
          </cell>
          <cell r="AP4381">
            <v>0</v>
          </cell>
          <cell r="AQ4381">
            <v>0</v>
          </cell>
          <cell r="AV4381">
            <v>0</v>
          </cell>
        </row>
        <row r="4382">
          <cell r="E4382" t="str">
            <v>B26001110</v>
          </cell>
          <cell r="AP4382">
            <v>0</v>
          </cell>
          <cell r="AQ4382">
            <v>0</v>
          </cell>
          <cell r="AV4382">
            <v>0</v>
          </cell>
        </row>
        <row r="4383">
          <cell r="E4383" t="str">
            <v>B26001139</v>
          </cell>
          <cell r="AP4383">
            <v>0</v>
          </cell>
          <cell r="AQ4383">
            <v>0</v>
          </cell>
          <cell r="AV4383">
            <v>0</v>
          </cell>
        </row>
        <row r="4384">
          <cell r="E4384" t="str">
            <v>D26001616</v>
          </cell>
          <cell r="AP4384">
            <v>0</v>
          </cell>
          <cell r="AQ4384">
            <v>0</v>
          </cell>
          <cell r="AV4384">
            <v>0</v>
          </cell>
        </row>
        <row r="4385">
          <cell r="E4385" t="str">
            <v>B25013470</v>
          </cell>
          <cell r="AP4385">
            <v>0</v>
          </cell>
          <cell r="AQ4385">
            <v>0</v>
          </cell>
          <cell r="AV4385">
            <v>0</v>
          </cell>
        </row>
        <row r="4386">
          <cell r="E4386" t="str">
            <v>B25013470</v>
          </cell>
          <cell r="AP4386">
            <v>0</v>
          </cell>
          <cell r="AQ4386">
            <v>0</v>
          </cell>
          <cell r="AV4386">
            <v>0</v>
          </cell>
        </row>
        <row r="4387">
          <cell r="E4387" t="str">
            <v>B25013470</v>
          </cell>
          <cell r="AP4387">
            <v>0</v>
          </cell>
          <cell r="AQ4387">
            <v>0</v>
          </cell>
          <cell r="AV4387">
            <v>0</v>
          </cell>
        </row>
        <row r="4388">
          <cell r="E4388" t="str">
            <v>B25013565</v>
          </cell>
          <cell r="AP4388">
            <v>0</v>
          </cell>
          <cell r="AQ4388">
            <v>0</v>
          </cell>
          <cell r="AV4388">
            <v>0</v>
          </cell>
        </row>
        <row r="4389">
          <cell r="E4389" t="str">
            <v>D25016726</v>
          </cell>
          <cell r="AP4389">
            <v>0</v>
          </cell>
          <cell r="AQ4389">
            <v>0</v>
          </cell>
          <cell r="AV4389">
            <v>0</v>
          </cell>
        </row>
        <row r="4390">
          <cell r="E4390" t="str">
            <v>B26001338</v>
          </cell>
          <cell r="AP4390">
            <v>0</v>
          </cell>
          <cell r="AQ4390">
            <v>0</v>
          </cell>
          <cell r="AV4390">
            <v>0</v>
          </cell>
        </row>
        <row r="4391">
          <cell r="E4391" t="str">
            <v>D26001400</v>
          </cell>
          <cell r="AP4391">
            <v>0</v>
          </cell>
          <cell r="AQ4391">
            <v>0</v>
          </cell>
          <cell r="AV4391">
            <v>0</v>
          </cell>
        </row>
        <row r="4392">
          <cell r="E4392" t="str">
            <v>D26001407</v>
          </cell>
          <cell r="AP4392">
            <v>0</v>
          </cell>
          <cell r="AQ4392">
            <v>0</v>
          </cell>
          <cell r="AV4392">
            <v>0</v>
          </cell>
        </row>
        <row r="4393">
          <cell r="E4393" t="str">
            <v>B26000014</v>
          </cell>
          <cell r="AP4393">
            <v>0</v>
          </cell>
          <cell r="AQ4393">
            <v>0</v>
          </cell>
          <cell r="AV4393">
            <v>0</v>
          </cell>
        </row>
        <row r="4394">
          <cell r="E4394" t="str">
            <v>D26000120</v>
          </cell>
          <cell r="AP4394">
            <v>0</v>
          </cell>
          <cell r="AQ4394">
            <v>0</v>
          </cell>
          <cell r="AV4394">
            <v>0</v>
          </cell>
        </row>
        <row r="4395">
          <cell r="E4395" t="str">
            <v>B26000227</v>
          </cell>
          <cell r="AP4395">
            <v>0</v>
          </cell>
          <cell r="AQ4395">
            <v>0</v>
          </cell>
          <cell r="AV4395">
            <v>0</v>
          </cell>
        </row>
        <row r="4396">
          <cell r="E4396" t="str">
            <v>D26000343</v>
          </cell>
          <cell r="AP4396">
            <v>0</v>
          </cell>
          <cell r="AQ4396">
            <v>0</v>
          </cell>
          <cell r="AV4396">
            <v>0</v>
          </cell>
        </row>
        <row r="4397">
          <cell r="E4397" t="str">
            <v>D26000597</v>
          </cell>
          <cell r="AP4397">
            <v>0</v>
          </cell>
          <cell r="AQ4397">
            <v>0</v>
          </cell>
          <cell r="AV4397">
            <v>0</v>
          </cell>
        </row>
        <row r="4398">
          <cell r="E4398" t="str">
            <v>D26000646</v>
          </cell>
          <cell r="AP4398">
            <v>0</v>
          </cell>
          <cell r="AQ4398">
            <v>0</v>
          </cell>
          <cell r="AV4398">
            <v>0</v>
          </cell>
        </row>
        <row r="4399">
          <cell r="E4399" t="str">
            <v>D26000663</v>
          </cell>
          <cell r="AP4399">
            <v>0</v>
          </cell>
          <cell r="AQ4399">
            <v>0</v>
          </cell>
          <cell r="AV4399">
            <v>0</v>
          </cell>
        </row>
        <row r="4400">
          <cell r="E4400" t="str">
            <v>B26000631</v>
          </cell>
          <cell r="AP4400">
            <v>0</v>
          </cell>
          <cell r="AQ4400">
            <v>0</v>
          </cell>
          <cell r="AV4400">
            <v>0</v>
          </cell>
        </row>
        <row r="4401">
          <cell r="E4401" t="str">
            <v>D26000774</v>
          </cell>
          <cell r="AP4401">
            <v>0</v>
          </cell>
          <cell r="AQ4401">
            <v>0</v>
          </cell>
          <cell r="AV4401">
            <v>0</v>
          </cell>
        </row>
        <row r="4402">
          <cell r="E4402" t="str">
            <v>B26000805</v>
          </cell>
          <cell r="AP4402">
            <v>0</v>
          </cell>
          <cell r="AQ4402">
            <v>0</v>
          </cell>
          <cell r="AV4402">
            <v>0</v>
          </cell>
        </row>
        <row r="4403">
          <cell r="E4403" t="str">
            <v>B26000817</v>
          </cell>
          <cell r="AP4403">
            <v>0</v>
          </cell>
          <cell r="AQ4403">
            <v>0</v>
          </cell>
          <cell r="AV4403">
            <v>0</v>
          </cell>
        </row>
        <row r="4404">
          <cell r="E4404" t="str">
            <v>B26000921</v>
          </cell>
          <cell r="AP4404">
            <v>0</v>
          </cell>
          <cell r="AQ4404">
            <v>0</v>
          </cell>
          <cell r="AV4404">
            <v>0</v>
          </cell>
        </row>
        <row r="4405">
          <cell r="E4405" t="str">
            <v>D26001125</v>
          </cell>
          <cell r="AP4405">
            <v>0</v>
          </cell>
          <cell r="AQ4405">
            <v>0</v>
          </cell>
          <cell r="AV4405">
            <v>0</v>
          </cell>
        </row>
        <row r="4406">
          <cell r="E4406" t="str">
            <v>B26001300</v>
          </cell>
          <cell r="AP4406">
            <v>0</v>
          </cell>
          <cell r="AQ4406">
            <v>0</v>
          </cell>
          <cell r="AV4406">
            <v>0</v>
          </cell>
        </row>
        <row r="4407">
          <cell r="E4407" t="str">
            <v>B26001312</v>
          </cell>
          <cell r="AP4407">
            <v>0</v>
          </cell>
          <cell r="AQ4407">
            <v>0</v>
          </cell>
          <cell r="AV4407">
            <v>0</v>
          </cell>
        </row>
        <row r="4408">
          <cell r="E4408" t="str">
            <v>D26001536</v>
          </cell>
          <cell r="AP4408">
            <v>0</v>
          </cell>
          <cell r="AQ4408">
            <v>0</v>
          </cell>
          <cell r="AV4408">
            <v>0</v>
          </cell>
        </row>
        <row r="4409">
          <cell r="E4409" t="str">
            <v>D26001656</v>
          </cell>
          <cell r="AP4409">
            <v>0</v>
          </cell>
          <cell r="AQ4409">
            <v>0</v>
          </cell>
          <cell r="AV4409">
            <v>0</v>
          </cell>
        </row>
        <row r="4410">
          <cell r="E4410" t="str">
            <v>D26001657</v>
          </cell>
          <cell r="AP4410">
            <v>0</v>
          </cell>
          <cell r="AQ4410">
            <v>0</v>
          </cell>
          <cell r="AV4410">
            <v>0</v>
          </cell>
        </row>
        <row r="4411">
          <cell r="E4411" t="str">
            <v>D26001659</v>
          </cell>
          <cell r="AP4411">
            <v>0</v>
          </cell>
          <cell r="AQ4411">
            <v>0</v>
          </cell>
          <cell r="AV4411">
            <v>0</v>
          </cell>
        </row>
        <row r="4412">
          <cell r="E4412">
            <v>260010</v>
          </cell>
          <cell r="AP4412">
            <v>0</v>
          </cell>
          <cell r="AQ4412">
            <v>0</v>
          </cell>
          <cell r="AV4412">
            <v>0</v>
          </cell>
        </row>
        <row r="4413">
          <cell r="E4413" t="str">
            <v>B25015944</v>
          </cell>
          <cell r="AP4413">
            <v>0</v>
          </cell>
          <cell r="AQ4413">
            <v>0</v>
          </cell>
          <cell r="AV4413">
            <v>0</v>
          </cell>
        </row>
        <row r="4414">
          <cell r="E4414" t="str">
            <v>D25018649</v>
          </cell>
          <cell r="AP4414">
            <v>0</v>
          </cell>
          <cell r="AQ4414">
            <v>0</v>
          </cell>
          <cell r="AV4414">
            <v>0</v>
          </cell>
        </row>
        <row r="4415">
          <cell r="E4415" t="str">
            <v>D25018860</v>
          </cell>
          <cell r="AP4415">
            <v>0</v>
          </cell>
          <cell r="AQ4415">
            <v>0</v>
          </cell>
          <cell r="AV4415">
            <v>0</v>
          </cell>
        </row>
        <row r="4416">
          <cell r="E4416" t="str">
            <v>D25018944</v>
          </cell>
          <cell r="AP4416">
            <v>0</v>
          </cell>
          <cell r="AQ4416">
            <v>0</v>
          </cell>
          <cell r="AV4416">
            <v>0</v>
          </cell>
        </row>
        <row r="4417">
          <cell r="E4417" t="str">
            <v>B26000235</v>
          </cell>
          <cell r="AP4417">
            <v>0</v>
          </cell>
          <cell r="AQ4417">
            <v>0</v>
          </cell>
          <cell r="AV4417">
            <v>0</v>
          </cell>
        </row>
        <row r="4418">
          <cell r="E4418" t="str">
            <v>D26000347</v>
          </cell>
          <cell r="AP4418">
            <v>0</v>
          </cell>
          <cell r="AQ4418">
            <v>0</v>
          </cell>
          <cell r="AV4418">
            <v>0</v>
          </cell>
        </row>
        <row r="4419">
          <cell r="E4419" t="str">
            <v>B26000494</v>
          </cell>
          <cell r="AP4419">
            <v>0</v>
          </cell>
          <cell r="AQ4419">
            <v>0</v>
          </cell>
          <cell r="AV4419">
            <v>0</v>
          </cell>
        </row>
        <row r="4420">
          <cell r="E4420" t="str">
            <v>Z26000004</v>
          </cell>
          <cell r="AP4420">
            <v>0</v>
          </cell>
          <cell r="AQ4420">
            <v>0</v>
          </cell>
          <cell r="AV4420">
            <v>0</v>
          </cell>
        </row>
        <row r="4421">
          <cell r="E4421" t="str">
            <v>Z26000047</v>
          </cell>
          <cell r="AP4421">
            <v>0</v>
          </cell>
          <cell r="AQ4421">
            <v>0</v>
          </cell>
          <cell r="AV4421">
            <v>0</v>
          </cell>
        </row>
        <row r="4422">
          <cell r="E4422" t="str">
            <v>Z26000216</v>
          </cell>
          <cell r="AP4422">
            <v>0</v>
          </cell>
          <cell r="AQ4422">
            <v>0</v>
          </cell>
          <cell r="AV4422">
            <v>0</v>
          </cell>
        </row>
        <row r="4423">
          <cell r="E4423" t="str">
            <v>Z26000304</v>
          </cell>
          <cell r="AP4423">
            <v>0</v>
          </cell>
          <cell r="AQ4423">
            <v>0</v>
          </cell>
          <cell r="AV4423">
            <v>0</v>
          </cell>
        </row>
        <row r="4424">
          <cell r="E4424" t="str">
            <v>Z26000305</v>
          </cell>
          <cell r="AP4424">
            <v>0</v>
          </cell>
          <cell r="AQ4424">
            <v>0</v>
          </cell>
          <cell r="AV4424">
            <v>0</v>
          </cell>
        </row>
        <row r="4425">
          <cell r="E4425" t="str">
            <v>B25015036</v>
          </cell>
          <cell r="AP4425">
            <v>0</v>
          </cell>
          <cell r="AQ4425">
            <v>0</v>
          </cell>
          <cell r="AV4425">
            <v>0</v>
          </cell>
        </row>
        <row r="4426">
          <cell r="E4426" t="str">
            <v>B25016263</v>
          </cell>
          <cell r="AP4426">
            <v>0</v>
          </cell>
          <cell r="AQ4426">
            <v>0</v>
          </cell>
          <cell r="AV4426">
            <v>0</v>
          </cell>
        </row>
        <row r="4427">
          <cell r="E4427" t="str">
            <v>D25018727</v>
          </cell>
          <cell r="AP4427">
            <v>0</v>
          </cell>
          <cell r="AQ4427">
            <v>0</v>
          </cell>
          <cell r="AV4427">
            <v>0</v>
          </cell>
        </row>
        <row r="4428">
          <cell r="E4428" t="str">
            <v>D25019314</v>
          </cell>
          <cell r="AP4428">
            <v>0</v>
          </cell>
          <cell r="AQ4428">
            <v>0</v>
          </cell>
          <cell r="AV4428">
            <v>0</v>
          </cell>
        </row>
        <row r="4429">
          <cell r="E4429" t="str">
            <v>B26000352</v>
          </cell>
          <cell r="AP4429">
            <v>0</v>
          </cell>
          <cell r="AQ4429">
            <v>0</v>
          </cell>
          <cell r="AV4429">
            <v>0</v>
          </cell>
        </row>
        <row r="4430">
          <cell r="E4430" t="str">
            <v>D26000420</v>
          </cell>
          <cell r="AP4430">
            <v>0</v>
          </cell>
          <cell r="AQ4430">
            <v>0</v>
          </cell>
          <cell r="AV4430">
            <v>0</v>
          </cell>
        </row>
        <row r="4431">
          <cell r="E4431" t="str">
            <v>D26000897</v>
          </cell>
          <cell r="AP4431">
            <v>0</v>
          </cell>
          <cell r="AQ4431">
            <v>0</v>
          </cell>
          <cell r="AV4431">
            <v>0</v>
          </cell>
        </row>
        <row r="4432">
          <cell r="E4432" t="str">
            <v>D26000972</v>
          </cell>
          <cell r="AP4432">
            <v>0</v>
          </cell>
          <cell r="AQ4432">
            <v>0</v>
          </cell>
          <cell r="AV4432">
            <v>0</v>
          </cell>
        </row>
        <row r="4433">
          <cell r="E4433" t="str">
            <v>D26000997</v>
          </cell>
          <cell r="AP4433">
            <v>0</v>
          </cell>
          <cell r="AQ4433">
            <v>0</v>
          </cell>
          <cell r="AV4433">
            <v>0</v>
          </cell>
        </row>
        <row r="4434">
          <cell r="E4434" t="str">
            <v>N26000008</v>
          </cell>
          <cell r="AP4434">
            <v>0</v>
          </cell>
          <cell r="AQ4434">
            <v>0</v>
          </cell>
          <cell r="AV4434">
            <v>0</v>
          </cell>
        </row>
        <row r="4435">
          <cell r="E4435" t="str">
            <v>B26001351</v>
          </cell>
          <cell r="AP4435">
            <v>0</v>
          </cell>
          <cell r="AQ4435">
            <v>0</v>
          </cell>
          <cell r="AV4435">
            <v>0</v>
          </cell>
        </row>
        <row r="4436">
          <cell r="E4436" t="str">
            <v>B26001352</v>
          </cell>
          <cell r="AP4436">
            <v>0</v>
          </cell>
          <cell r="AQ4436">
            <v>0</v>
          </cell>
          <cell r="AV4436">
            <v>0</v>
          </cell>
        </row>
        <row r="4437">
          <cell r="E4437" t="str">
            <v>B26001387</v>
          </cell>
          <cell r="AP4437">
            <v>0</v>
          </cell>
          <cell r="AQ4437">
            <v>0</v>
          </cell>
          <cell r="AV4437">
            <v>0</v>
          </cell>
        </row>
        <row r="4438">
          <cell r="E4438" t="str">
            <v>D26001456</v>
          </cell>
          <cell r="AP4438">
            <v>0</v>
          </cell>
          <cell r="AQ4438">
            <v>0</v>
          </cell>
          <cell r="AV4438">
            <v>0</v>
          </cell>
        </row>
        <row r="4439">
          <cell r="E4439" t="str">
            <v>D26001008</v>
          </cell>
          <cell r="AP4439">
            <v>0</v>
          </cell>
          <cell r="AQ4439">
            <v>0</v>
          </cell>
          <cell r="AV4439">
            <v>0</v>
          </cell>
        </row>
        <row r="4440">
          <cell r="E4440" t="str">
            <v>D26001441</v>
          </cell>
          <cell r="AP4440">
            <v>0</v>
          </cell>
          <cell r="AQ4440">
            <v>0</v>
          </cell>
          <cell r="AV4440">
            <v>0</v>
          </cell>
        </row>
        <row r="4441">
          <cell r="E4441" t="str">
            <v>D26001442</v>
          </cell>
          <cell r="AP4441">
            <v>0</v>
          </cell>
          <cell r="AQ4441">
            <v>0</v>
          </cell>
          <cell r="AV4441">
            <v>0</v>
          </cell>
        </row>
        <row r="4442">
          <cell r="E4442" t="str">
            <v>B25015874</v>
          </cell>
          <cell r="AP4442">
            <v>0</v>
          </cell>
          <cell r="AQ4442">
            <v>0</v>
          </cell>
          <cell r="AV4442">
            <v>0</v>
          </cell>
        </row>
        <row r="4443">
          <cell r="E4443" t="str">
            <v>D25018812</v>
          </cell>
          <cell r="AP4443">
            <v>0</v>
          </cell>
          <cell r="AQ4443">
            <v>0</v>
          </cell>
          <cell r="AV4443">
            <v>0</v>
          </cell>
        </row>
        <row r="4444">
          <cell r="E4444" t="str">
            <v>D25018857</v>
          </cell>
          <cell r="AP4444">
            <v>0</v>
          </cell>
          <cell r="AQ4444">
            <v>0</v>
          </cell>
          <cell r="AV4444">
            <v>0</v>
          </cell>
        </row>
        <row r="4445">
          <cell r="E4445" t="str">
            <v>B25016481</v>
          </cell>
          <cell r="AP4445">
            <v>0</v>
          </cell>
          <cell r="AQ4445">
            <v>0</v>
          </cell>
          <cell r="AV4445">
            <v>0</v>
          </cell>
        </row>
        <row r="4446">
          <cell r="E4446" t="str">
            <v>D25018898</v>
          </cell>
          <cell r="AP4446">
            <v>0</v>
          </cell>
          <cell r="AQ4446">
            <v>0</v>
          </cell>
          <cell r="AV4446">
            <v>0</v>
          </cell>
        </row>
        <row r="4447">
          <cell r="E4447" t="str">
            <v>D25018899</v>
          </cell>
          <cell r="AP4447">
            <v>0</v>
          </cell>
          <cell r="AQ4447">
            <v>0</v>
          </cell>
          <cell r="AV4447">
            <v>0</v>
          </cell>
        </row>
        <row r="4448">
          <cell r="E4448" t="str">
            <v>D25019102</v>
          </cell>
          <cell r="AP4448">
            <v>0</v>
          </cell>
          <cell r="AQ4448">
            <v>0</v>
          </cell>
          <cell r="AV4448">
            <v>0</v>
          </cell>
        </row>
        <row r="4449">
          <cell r="E4449" t="str">
            <v>B25016867</v>
          </cell>
          <cell r="AP4449">
            <v>0</v>
          </cell>
          <cell r="AQ4449">
            <v>0</v>
          </cell>
          <cell r="AV4449">
            <v>0</v>
          </cell>
        </row>
        <row r="4450">
          <cell r="E4450" t="str">
            <v>B25016939</v>
          </cell>
          <cell r="AP4450">
            <v>0</v>
          </cell>
          <cell r="AQ4450">
            <v>0</v>
          </cell>
          <cell r="AV4450">
            <v>0</v>
          </cell>
        </row>
        <row r="4451">
          <cell r="E4451" t="str">
            <v>B25017058</v>
          </cell>
          <cell r="AP4451">
            <v>0</v>
          </cell>
          <cell r="AQ4451">
            <v>0</v>
          </cell>
          <cell r="AV4451">
            <v>0</v>
          </cell>
        </row>
        <row r="4452">
          <cell r="E4452" t="str">
            <v>D25019659</v>
          </cell>
          <cell r="AP4452">
            <v>0</v>
          </cell>
          <cell r="AQ4452">
            <v>0</v>
          </cell>
          <cell r="AV4452">
            <v>0</v>
          </cell>
        </row>
        <row r="4453">
          <cell r="E4453" t="str">
            <v>D26000131</v>
          </cell>
          <cell r="AP4453">
            <v>0</v>
          </cell>
          <cell r="AQ4453">
            <v>0</v>
          </cell>
          <cell r="AV4453">
            <v>0</v>
          </cell>
        </row>
        <row r="4454">
          <cell r="E4454" t="str">
            <v>D26000206</v>
          </cell>
          <cell r="AP4454">
            <v>0</v>
          </cell>
          <cell r="AQ4454">
            <v>0</v>
          </cell>
          <cell r="AV4454">
            <v>0</v>
          </cell>
        </row>
        <row r="4455">
          <cell r="E4455" t="str">
            <v>D26000263</v>
          </cell>
          <cell r="AP4455">
            <v>0</v>
          </cell>
          <cell r="AQ4455">
            <v>0</v>
          </cell>
          <cell r="AV4455">
            <v>0</v>
          </cell>
        </row>
        <row r="4456">
          <cell r="E4456" t="str">
            <v>D26000283</v>
          </cell>
          <cell r="AP4456">
            <v>0</v>
          </cell>
          <cell r="AQ4456">
            <v>0</v>
          </cell>
          <cell r="AV4456">
            <v>0</v>
          </cell>
        </row>
        <row r="4457">
          <cell r="E4457" t="str">
            <v>D26000297</v>
          </cell>
          <cell r="AP4457">
            <v>0</v>
          </cell>
          <cell r="AQ4457">
            <v>0</v>
          </cell>
          <cell r="AV4457">
            <v>0</v>
          </cell>
        </row>
        <row r="4458">
          <cell r="E4458" t="str">
            <v>D26000394</v>
          </cell>
          <cell r="AP4458">
            <v>0</v>
          </cell>
          <cell r="AQ4458">
            <v>0</v>
          </cell>
          <cell r="AV4458">
            <v>0</v>
          </cell>
        </row>
        <row r="4459">
          <cell r="E4459" t="str">
            <v>D26000407</v>
          </cell>
          <cell r="AP4459">
            <v>0</v>
          </cell>
          <cell r="AQ4459">
            <v>0</v>
          </cell>
          <cell r="AV4459">
            <v>0</v>
          </cell>
        </row>
        <row r="4460">
          <cell r="E4460" t="str">
            <v>D26000450</v>
          </cell>
          <cell r="AP4460">
            <v>0</v>
          </cell>
          <cell r="AQ4460">
            <v>0</v>
          </cell>
          <cell r="AV4460">
            <v>0</v>
          </cell>
        </row>
        <row r="4461">
          <cell r="E4461" t="str">
            <v>B26000616</v>
          </cell>
          <cell r="AP4461">
            <v>0</v>
          </cell>
          <cell r="AQ4461">
            <v>0</v>
          </cell>
          <cell r="AV4461">
            <v>0</v>
          </cell>
        </row>
        <row r="4462">
          <cell r="E4462" t="str">
            <v>D26000636</v>
          </cell>
          <cell r="AP4462">
            <v>0</v>
          </cell>
          <cell r="AQ4462">
            <v>0</v>
          </cell>
          <cell r="AV4462">
            <v>0</v>
          </cell>
        </row>
        <row r="4463">
          <cell r="E4463" t="str">
            <v>D26000821</v>
          </cell>
          <cell r="AP4463">
            <v>0</v>
          </cell>
          <cell r="AQ4463">
            <v>0</v>
          </cell>
          <cell r="AV4463">
            <v>0</v>
          </cell>
        </row>
        <row r="4464">
          <cell r="E4464" t="str">
            <v>T26000041</v>
          </cell>
          <cell r="AP4464">
            <v>0</v>
          </cell>
          <cell r="AQ4464">
            <v>0</v>
          </cell>
          <cell r="AV4464">
            <v>0</v>
          </cell>
        </row>
        <row r="4465">
          <cell r="E4465" t="str">
            <v>B26000970</v>
          </cell>
          <cell r="AP4465">
            <v>0</v>
          </cell>
          <cell r="AQ4465">
            <v>0</v>
          </cell>
          <cell r="AV4465">
            <v>0</v>
          </cell>
        </row>
        <row r="4466">
          <cell r="E4466" t="str">
            <v>B26000998</v>
          </cell>
          <cell r="AP4466">
            <v>0</v>
          </cell>
          <cell r="AQ4466">
            <v>0</v>
          </cell>
          <cell r="AV4466">
            <v>0</v>
          </cell>
        </row>
        <row r="4467">
          <cell r="E4467" t="str">
            <v>B26001226</v>
          </cell>
          <cell r="AP4467">
            <v>0</v>
          </cell>
          <cell r="AQ4467">
            <v>0</v>
          </cell>
          <cell r="AV4467">
            <v>0</v>
          </cell>
        </row>
        <row r="4468">
          <cell r="E4468" t="str">
            <v>D26001330</v>
          </cell>
          <cell r="AP4468">
            <v>0</v>
          </cell>
          <cell r="AQ4468">
            <v>0</v>
          </cell>
          <cell r="AV4468">
            <v>0</v>
          </cell>
        </row>
        <row r="4469">
          <cell r="E4469" t="str">
            <v>B26001270</v>
          </cell>
          <cell r="AP4469">
            <v>0</v>
          </cell>
          <cell r="AQ4469">
            <v>0</v>
          </cell>
          <cell r="AV4469">
            <v>0</v>
          </cell>
        </row>
        <row r="4470">
          <cell r="E4470" t="str">
            <v>B26001405</v>
          </cell>
          <cell r="AP4470">
            <v>0</v>
          </cell>
          <cell r="AQ4470">
            <v>0</v>
          </cell>
          <cell r="AV4470">
            <v>0</v>
          </cell>
        </row>
        <row r="4471">
          <cell r="E4471" t="str">
            <v>D26001530</v>
          </cell>
          <cell r="AP4471">
            <v>0</v>
          </cell>
          <cell r="AQ4471">
            <v>0</v>
          </cell>
          <cell r="AV4471">
            <v>0</v>
          </cell>
        </row>
        <row r="4472">
          <cell r="E4472" t="str">
            <v>D25017964</v>
          </cell>
          <cell r="AP4472">
            <v>0</v>
          </cell>
          <cell r="AQ4472">
            <v>0</v>
          </cell>
          <cell r="AV4472">
            <v>0</v>
          </cell>
        </row>
        <row r="4473">
          <cell r="E4473" t="str">
            <v>B25015793</v>
          </cell>
          <cell r="AP4473">
            <v>0</v>
          </cell>
          <cell r="AQ4473">
            <v>0</v>
          </cell>
          <cell r="AV4473">
            <v>0</v>
          </cell>
        </row>
        <row r="4474">
          <cell r="E4474" t="str">
            <v>D25018854</v>
          </cell>
          <cell r="AP4474">
            <v>0</v>
          </cell>
          <cell r="AQ4474">
            <v>0</v>
          </cell>
          <cell r="AV4474">
            <v>0</v>
          </cell>
        </row>
        <row r="4475">
          <cell r="E4475" t="str">
            <v>D25019145</v>
          </cell>
          <cell r="AP4475">
            <v>0</v>
          </cell>
          <cell r="AQ4475">
            <v>0</v>
          </cell>
          <cell r="AV4475">
            <v>0</v>
          </cell>
        </row>
        <row r="4476">
          <cell r="E4476" t="str">
            <v>D25019146</v>
          </cell>
          <cell r="AP4476">
            <v>0</v>
          </cell>
          <cell r="AQ4476">
            <v>0</v>
          </cell>
          <cell r="AV4476">
            <v>0</v>
          </cell>
        </row>
        <row r="4477">
          <cell r="E4477" t="str">
            <v>D25019147</v>
          </cell>
          <cell r="AP4477">
            <v>0</v>
          </cell>
          <cell r="AQ4477">
            <v>0</v>
          </cell>
          <cell r="AV4477">
            <v>0</v>
          </cell>
        </row>
        <row r="4478">
          <cell r="E4478" t="str">
            <v>B26000081</v>
          </cell>
          <cell r="AP4478">
            <v>0</v>
          </cell>
          <cell r="AQ4478">
            <v>0</v>
          </cell>
          <cell r="AV4478">
            <v>0</v>
          </cell>
        </row>
        <row r="4479">
          <cell r="E4479" t="str">
            <v>B26000082</v>
          </cell>
          <cell r="AP4479">
            <v>0</v>
          </cell>
          <cell r="AQ4479">
            <v>0</v>
          </cell>
          <cell r="AV4479">
            <v>0</v>
          </cell>
        </row>
        <row r="4480">
          <cell r="E4480" t="str">
            <v>B26000083</v>
          </cell>
          <cell r="AP4480">
            <v>0</v>
          </cell>
          <cell r="AQ4480">
            <v>0</v>
          </cell>
          <cell r="AV4480">
            <v>0</v>
          </cell>
        </row>
        <row r="4481">
          <cell r="E4481" t="str">
            <v>D26000675</v>
          </cell>
          <cell r="AP4481">
            <v>0</v>
          </cell>
          <cell r="AQ4481">
            <v>0</v>
          </cell>
          <cell r="AV4481">
            <v>0</v>
          </cell>
        </row>
        <row r="4482">
          <cell r="E4482" t="str">
            <v>D26001080</v>
          </cell>
          <cell r="AP4482">
            <v>0</v>
          </cell>
          <cell r="AQ4482">
            <v>0</v>
          </cell>
          <cell r="AV4482">
            <v>0</v>
          </cell>
        </row>
        <row r="4483">
          <cell r="E4483" t="str">
            <v>D26001081</v>
          </cell>
          <cell r="AP4483">
            <v>0</v>
          </cell>
          <cell r="AQ4483">
            <v>0</v>
          </cell>
          <cell r="AV4483">
            <v>0</v>
          </cell>
        </row>
        <row r="4484">
          <cell r="E4484" t="str">
            <v>D26001123</v>
          </cell>
          <cell r="AP4484">
            <v>0</v>
          </cell>
          <cell r="AQ4484">
            <v>0</v>
          </cell>
          <cell r="AV4484">
            <v>0</v>
          </cell>
        </row>
        <row r="4485">
          <cell r="E4485" t="str">
            <v>D25019432</v>
          </cell>
          <cell r="AP4485">
            <v>0</v>
          </cell>
          <cell r="AQ4485">
            <v>0</v>
          </cell>
          <cell r="AV4485">
            <v>0</v>
          </cell>
        </row>
        <row r="4486">
          <cell r="E4486" t="str">
            <v>D25019433</v>
          </cell>
          <cell r="AP4486">
            <v>0</v>
          </cell>
          <cell r="AQ4486">
            <v>0</v>
          </cell>
          <cell r="AV4486">
            <v>0</v>
          </cell>
        </row>
        <row r="4487">
          <cell r="E4487" t="str">
            <v>D25019434</v>
          </cell>
          <cell r="AP4487">
            <v>0</v>
          </cell>
          <cell r="AQ4487">
            <v>0</v>
          </cell>
          <cell r="AV4487">
            <v>0</v>
          </cell>
        </row>
        <row r="4488">
          <cell r="E4488" t="str">
            <v>D25019435</v>
          </cell>
          <cell r="AP4488">
            <v>0</v>
          </cell>
          <cell r="AQ4488">
            <v>0</v>
          </cell>
          <cell r="AV4488">
            <v>0</v>
          </cell>
        </row>
        <row r="4489">
          <cell r="E4489" t="str">
            <v>D25019436</v>
          </cell>
          <cell r="AP4489">
            <v>0</v>
          </cell>
          <cell r="AQ4489">
            <v>0</v>
          </cell>
          <cell r="AV4489">
            <v>0</v>
          </cell>
        </row>
        <row r="4490">
          <cell r="E4490" t="str">
            <v>D25019437</v>
          </cell>
          <cell r="AP4490">
            <v>0</v>
          </cell>
          <cell r="AQ4490">
            <v>0</v>
          </cell>
          <cell r="AV4490">
            <v>0</v>
          </cell>
        </row>
        <row r="4491">
          <cell r="E4491" t="str">
            <v>N25000086</v>
          </cell>
          <cell r="AP4491">
            <v>0</v>
          </cell>
          <cell r="AQ4491">
            <v>0</v>
          </cell>
          <cell r="AV4491">
            <v>0</v>
          </cell>
        </row>
        <row r="4492">
          <cell r="E4492" t="str">
            <v>D26001162</v>
          </cell>
          <cell r="AP4492">
            <v>0</v>
          </cell>
          <cell r="AQ4492">
            <v>0</v>
          </cell>
          <cell r="AV4492">
            <v>0</v>
          </cell>
        </row>
        <row r="4493">
          <cell r="E4493" t="str">
            <v>D25019441</v>
          </cell>
          <cell r="AP4493">
            <v>0</v>
          </cell>
          <cell r="AQ4493">
            <v>0</v>
          </cell>
          <cell r="AV4493">
            <v>0</v>
          </cell>
        </row>
        <row r="4494">
          <cell r="E4494" t="str">
            <v>D26001723</v>
          </cell>
          <cell r="AP4494">
            <v>0</v>
          </cell>
          <cell r="AQ4494">
            <v>0</v>
          </cell>
          <cell r="AV4494">
            <v>0</v>
          </cell>
        </row>
        <row r="4495">
          <cell r="E4495" t="str">
            <v>B26001157</v>
          </cell>
          <cell r="AP4495">
            <v>0</v>
          </cell>
          <cell r="AQ4495">
            <v>0</v>
          </cell>
          <cell r="AV4495">
            <v>0</v>
          </cell>
        </row>
        <row r="4496">
          <cell r="E4496" t="str">
            <v>T25001816</v>
          </cell>
          <cell r="AP4496">
            <v>0</v>
          </cell>
          <cell r="AQ4496">
            <v>0</v>
          </cell>
          <cell r="AV4496">
            <v>0</v>
          </cell>
        </row>
        <row r="4497">
          <cell r="E4497" t="str">
            <v>T25001874</v>
          </cell>
          <cell r="AP4497">
            <v>0</v>
          </cell>
          <cell r="AQ4497">
            <v>0</v>
          </cell>
          <cell r="AV4497">
            <v>0</v>
          </cell>
        </row>
        <row r="4498">
          <cell r="E4498" t="str">
            <v>D25019329</v>
          </cell>
          <cell r="AP4498">
            <v>0</v>
          </cell>
          <cell r="AQ4498">
            <v>0</v>
          </cell>
          <cell r="AV4498">
            <v>0</v>
          </cell>
        </row>
        <row r="4499">
          <cell r="E4499" t="str">
            <v>B25016559</v>
          </cell>
          <cell r="AP4499">
            <v>0</v>
          </cell>
          <cell r="AQ4499">
            <v>0</v>
          </cell>
          <cell r="AV4499">
            <v>0</v>
          </cell>
        </row>
        <row r="4500">
          <cell r="E4500" t="str">
            <v>B25016560</v>
          </cell>
          <cell r="AP4500">
            <v>0</v>
          </cell>
          <cell r="AQ4500">
            <v>0</v>
          </cell>
          <cell r="AV4500">
            <v>0</v>
          </cell>
        </row>
        <row r="4501">
          <cell r="E4501" t="str">
            <v>D25019022</v>
          </cell>
          <cell r="AP4501">
            <v>0</v>
          </cell>
          <cell r="AQ4501">
            <v>0</v>
          </cell>
          <cell r="AV4501">
            <v>0</v>
          </cell>
        </row>
        <row r="4502">
          <cell r="E4502" t="str">
            <v>D25019023</v>
          </cell>
          <cell r="AP4502">
            <v>0</v>
          </cell>
          <cell r="AQ4502">
            <v>0</v>
          </cell>
          <cell r="AV4502">
            <v>0</v>
          </cell>
        </row>
        <row r="4503">
          <cell r="E4503" t="str">
            <v>B25017023</v>
          </cell>
          <cell r="AP4503">
            <v>0</v>
          </cell>
          <cell r="AQ4503">
            <v>0</v>
          </cell>
          <cell r="AV4503">
            <v>0</v>
          </cell>
        </row>
        <row r="4504">
          <cell r="E4504" t="str">
            <v>B25017024</v>
          </cell>
          <cell r="AP4504">
            <v>0</v>
          </cell>
          <cell r="AQ4504">
            <v>0</v>
          </cell>
          <cell r="AV4504">
            <v>0</v>
          </cell>
        </row>
        <row r="4505">
          <cell r="E4505" t="str">
            <v>B25017025</v>
          </cell>
          <cell r="AP4505">
            <v>0</v>
          </cell>
          <cell r="AQ4505">
            <v>0</v>
          </cell>
          <cell r="AV4505">
            <v>0</v>
          </cell>
        </row>
        <row r="4506">
          <cell r="E4506" t="str">
            <v>B25017030</v>
          </cell>
          <cell r="AP4506">
            <v>0</v>
          </cell>
          <cell r="AQ4506">
            <v>0</v>
          </cell>
          <cell r="AV4506">
            <v>0</v>
          </cell>
        </row>
        <row r="4507">
          <cell r="E4507" t="str">
            <v>B26000120</v>
          </cell>
          <cell r="AP4507">
            <v>0</v>
          </cell>
          <cell r="AQ4507">
            <v>0</v>
          </cell>
          <cell r="AV4507">
            <v>0</v>
          </cell>
        </row>
        <row r="4508">
          <cell r="E4508" t="str">
            <v>D26000204</v>
          </cell>
          <cell r="AP4508">
            <v>0</v>
          </cell>
          <cell r="AQ4508">
            <v>0</v>
          </cell>
          <cell r="AV4508">
            <v>0</v>
          </cell>
        </row>
        <row r="4509">
          <cell r="E4509" t="str">
            <v>D26000205</v>
          </cell>
          <cell r="AP4509">
            <v>0</v>
          </cell>
          <cell r="AQ4509">
            <v>0</v>
          </cell>
          <cell r="AV4509">
            <v>0</v>
          </cell>
        </row>
        <row r="4510">
          <cell r="E4510" t="str">
            <v>D26000213</v>
          </cell>
          <cell r="AP4510">
            <v>0</v>
          </cell>
          <cell r="AQ4510">
            <v>0</v>
          </cell>
          <cell r="AV4510">
            <v>0</v>
          </cell>
        </row>
        <row r="4511">
          <cell r="E4511" t="str">
            <v>D26000598</v>
          </cell>
          <cell r="AP4511">
            <v>0</v>
          </cell>
          <cell r="AQ4511">
            <v>0</v>
          </cell>
          <cell r="AV4511">
            <v>0</v>
          </cell>
        </row>
        <row r="4512">
          <cell r="E4512" t="str">
            <v>D26000610</v>
          </cell>
          <cell r="AP4512">
            <v>0</v>
          </cell>
          <cell r="AQ4512">
            <v>0</v>
          </cell>
          <cell r="AV4512">
            <v>0</v>
          </cell>
        </row>
        <row r="4513">
          <cell r="E4513" t="str">
            <v>B26000874</v>
          </cell>
          <cell r="AP4513">
            <v>0</v>
          </cell>
          <cell r="AQ4513">
            <v>0</v>
          </cell>
          <cell r="AV4513">
            <v>0</v>
          </cell>
        </row>
        <row r="4514">
          <cell r="E4514" t="str">
            <v>D26000932</v>
          </cell>
          <cell r="AP4514">
            <v>0</v>
          </cell>
          <cell r="AQ4514">
            <v>0</v>
          </cell>
          <cell r="AV4514">
            <v>0</v>
          </cell>
        </row>
        <row r="4515">
          <cell r="E4515" t="str">
            <v>B26000954</v>
          </cell>
          <cell r="AP4515">
            <v>0</v>
          </cell>
          <cell r="AQ4515">
            <v>0</v>
          </cell>
          <cell r="AV4515">
            <v>0</v>
          </cell>
        </row>
        <row r="4516">
          <cell r="E4516" t="str">
            <v>B26000991</v>
          </cell>
          <cell r="AP4516">
            <v>0</v>
          </cell>
          <cell r="AQ4516">
            <v>0</v>
          </cell>
          <cell r="AV4516">
            <v>0</v>
          </cell>
        </row>
        <row r="4517">
          <cell r="E4517" t="str">
            <v>B26001002</v>
          </cell>
          <cell r="AP4517">
            <v>0</v>
          </cell>
          <cell r="AQ4517">
            <v>0</v>
          </cell>
          <cell r="AV4517">
            <v>0</v>
          </cell>
        </row>
        <row r="4518">
          <cell r="E4518" t="str">
            <v>D26001576</v>
          </cell>
          <cell r="AP4518">
            <v>0</v>
          </cell>
          <cell r="AQ4518">
            <v>0</v>
          </cell>
          <cell r="AV4518">
            <v>0</v>
          </cell>
        </row>
        <row r="4519">
          <cell r="E4519" t="str">
            <v>D26001577</v>
          </cell>
          <cell r="AP4519">
            <v>0</v>
          </cell>
          <cell r="AQ4519">
            <v>0</v>
          </cell>
          <cell r="AV4519">
            <v>0</v>
          </cell>
        </row>
        <row r="4520">
          <cell r="E4520" t="str">
            <v>D26001578</v>
          </cell>
          <cell r="AP4520">
            <v>0</v>
          </cell>
          <cell r="AQ4520">
            <v>0</v>
          </cell>
          <cell r="AV4520">
            <v>0</v>
          </cell>
        </row>
        <row r="4521">
          <cell r="E4521" t="str">
            <v>D25018241</v>
          </cell>
          <cell r="AP4521">
            <v>0</v>
          </cell>
          <cell r="AQ4521">
            <v>0</v>
          </cell>
          <cell r="AV4521">
            <v>0</v>
          </cell>
        </row>
        <row r="4522">
          <cell r="E4522" t="str">
            <v>T25001801</v>
          </cell>
          <cell r="AP4522">
            <v>0</v>
          </cell>
          <cell r="AQ4522">
            <v>0</v>
          </cell>
          <cell r="AV4522">
            <v>0</v>
          </cell>
        </row>
        <row r="4523">
          <cell r="E4523" t="str">
            <v>D25018357</v>
          </cell>
          <cell r="AP4523">
            <v>0</v>
          </cell>
          <cell r="AQ4523">
            <v>0</v>
          </cell>
          <cell r="AV4523">
            <v>0</v>
          </cell>
        </row>
        <row r="4524">
          <cell r="E4524" t="str">
            <v>D25018506</v>
          </cell>
          <cell r="AP4524">
            <v>0</v>
          </cell>
          <cell r="AQ4524">
            <v>0</v>
          </cell>
          <cell r="AV4524">
            <v>0</v>
          </cell>
        </row>
        <row r="4525">
          <cell r="E4525" t="str">
            <v>D25018510</v>
          </cell>
          <cell r="AP4525">
            <v>0</v>
          </cell>
          <cell r="AQ4525">
            <v>0</v>
          </cell>
          <cell r="AV4525">
            <v>0</v>
          </cell>
        </row>
        <row r="4526">
          <cell r="E4526" t="str">
            <v>D25018591</v>
          </cell>
          <cell r="AP4526">
            <v>0</v>
          </cell>
          <cell r="AQ4526">
            <v>0</v>
          </cell>
          <cell r="AV4526">
            <v>0</v>
          </cell>
        </row>
        <row r="4527">
          <cell r="E4527" t="str">
            <v>D25018731</v>
          </cell>
          <cell r="AP4527">
            <v>0</v>
          </cell>
          <cell r="AQ4527">
            <v>0</v>
          </cell>
          <cell r="AV4527">
            <v>0</v>
          </cell>
        </row>
        <row r="4528">
          <cell r="E4528" t="str">
            <v>D25018924</v>
          </cell>
          <cell r="AP4528">
            <v>0</v>
          </cell>
          <cell r="AQ4528">
            <v>0</v>
          </cell>
          <cell r="AV4528">
            <v>0</v>
          </cell>
        </row>
        <row r="4529">
          <cell r="E4529" t="str">
            <v>B25016525</v>
          </cell>
          <cell r="AP4529">
            <v>0</v>
          </cell>
          <cell r="AQ4529">
            <v>0</v>
          </cell>
          <cell r="AV4529">
            <v>0</v>
          </cell>
        </row>
        <row r="4530">
          <cell r="E4530" t="str">
            <v>B25016620</v>
          </cell>
          <cell r="AP4530">
            <v>0</v>
          </cell>
          <cell r="AQ4530">
            <v>0</v>
          </cell>
          <cell r="AV4530">
            <v>0</v>
          </cell>
        </row>
        <row r="4531">
          <cell r="E4531" t="str">
            <v>B25016759</v>
          </cell>
          <cell r="AP4531">
            <v>0</v>
          </cell>
          <cell r="AQ4531">
            <v>0</v>
          </cell>
          <cell r="AV4531">
            <v>0</v>
          </cell>
        </row>
        <row r="4532">
          <cell r="E4532" t="str">
            <v>D25019439</v>
          </cell>
          <cell r="AP4532">
            <v>0</v>
          </cell>
          <cell r="AQ4532">
            <v>0</v>
          </cell>
          <cell r="AV4532">
            <v>0</v>
          </cell>
        </row>
        <row r="4533">
          <cell r="E4533" t="str">
            <v>B25016915</v>
          </cell>
          <cell r="AP4533">
            <v>0</v>
          </cell>
          <cell r="AQ4533">
            <v>0</v>
          </cell>
          <cell r="AV4533">
            <v>0</v>
          </cell>
        </row>
        <row r="4534">
          <cell r="E4534" t="str">
            <v>B25016952</v>
          </cell>
          <cell r="AP4534">
            <v>0</v>
          </cell>
          <cell r="AQ4534">
            <v>0</v>
          </cell>
          <cell r="AV4534">
            <v>0</v>
          </cell>
        </row>
        <row r="4535">
          <cell r="E4535" t="str">
            <v>D25019470</v>
          </cell>
          <cell r="AP4535">
            <v>0</v>
          </cell>
          <cell r="AQ4535">
            <v>0</v>
          </cell>
          <cell r="AV4535">
            <v>0</v>
          </cell>
        </row>
        <row r="4536">
          <cell r="E4536" t="str">
            <v>D25019473</v>
          </cell>
          <cell r="AP4536">
            <v>0</v>
          </cell>
          <cell r="AQ4536">
            <v>0</v>
          </cell>
          <cell r="AV4536">
            <v>0</v>
          </cell>
        </row>
        <row r="4537">
          <cell r="E4537" t="str">
            <v>D25019553</v>
          </cell>
          <cell r="AP4537">
            <v>0</v>
          </cell>
          <cell r="AQ4537">
            <v>0</v>
          </cell>
          <cell r="AV4537">
            <v>0</v>
          </cell>
        </row>
        <row r="4538">
          <cell r="E4538" t="str">
            <v>D25019584</v>
          </cell>
          <cell r="AP4538">
            <v>0</v>
          </cell>
          <cell r="AQ4538">
            <v>0</v>
          </cell>
          <cell r="AV4538">
            <v>0</v>
          </cell>
        </row>
        <row r="4539">
          <cell r="E4539" t="str">
            <v>D25019681</v>
          </cell>
          <cell r="AP4539">
            <v>0</v>
          </cell>
          <cell r="AQ4539">
            <v>0</v>
          </cell>
          <cell r="AV4539">
            <v>0</v>
          </cell>
        </row>
        <row r="4540">
          <cell r="E4540" t="str">
            <v>B26000160</v>
          </cell>
          <cell r="AP4540">
            <v>0</v>
          </cell>
          <cell r="AQ4540">
            <v>0</v>
          </cell>
          <cell r="AV4540">
            <v>0</v>
          </cell>
        </row>
        <row r="4541">
          <cell r="E4541" t="str">
            <v>D26000049</v>
          </cell>
          <cell r="AP4541">
            <v>0</v>
          </cell>
          <cell r="AQ4541">
            <v>0</v>
          </cell>
          <cell r="AV4541">
            <v>0</v>
          </cell>
        </row>
        <row r="4542">
          <cell r="E4542" t="str">
            <v>D26000128</v>
          </cell>
          <cell r="AP4542">
            <v>0</v>
          </cell>
          <cell r="AQ4542">
            <v>0</v>
          </cell>
          <cell r="AV4542">
            <v>0</v>
          </cell>
        </row>
        <row r="4543">
          <cell r="E4543" t="str">
            <v>D26000313</v>
          </cell>
          <cell r="AP4543">
            <v>0</v>
          </cell>
          <cell r="AQ4543">
            <v>0</v>
          </cell>
          <cell r="AV4543">
            <v>0</v>
          </cell>
        </row>
        <row r="4544">
          <cell r="E4544" t="str">
            <v>D26000329</v>
          </cell>
          <cell r="AP4544">
            <v>0</v>
          </cell>
          <cell r="AQ4544">
            <v>0</v>
          </cell>
          <cell r="AV4544">
            <v>0</v>
          </cell>
        </row>
        <row r="4545">
          <cell r="E4545" t="str">
            <v>D26000360</v>
          </cell>
          <cell r="AP4545">
            <v>0</v>
          </cell>
          <cell r="AQ4545">
            <v>0</v>
          </cell>
          <cell r="AV4545">
            <v>0</v>
          </cell>
        </row>
        <row r="4546">
          <cell r="E4546" t="str">
            <v>D26000409</v>
          </cell>
          <cell r="AP4546">
            <v>0</v>
          </cell>
          <cell r="AQ4546">
            <v>0</v>
          </cell>
          <cell r="AV4546">
            <v>0</v>
          </cell>
        </row>
        <row r="4547">
          <cell r="E4547" t="str">
            <v>D26000453</v>
          </cell>
          <cell r="AP4547">
            <v>0</v>
          </cell>
          <cell r="AQ4547">
            <v>0</v>
          </cell>
          <cell r="AV4547">
            <v>0</v>
          </cell>
        </row>
        <row r="4548">
          <cell r="E4548" t="str">
            <v>B26000420</v>
          </cell>
          <cell r="AP4548">
            <v>0</v>
          </cell>
          <cell r="AQ4548">
            <v>0</v>
          </cell>
          <cell r="AV4548">
            <v>0</v>
          </cell>
        </row>
        <row r="4549">
          <cell r="E4549" t="str">
            <v>B26000458</v>
          </cell>
          <cell r="AP4549">
            <v>0</v>
          </cell>
          <cell r="AQ4549">
            <v>0</v>
          </cell>
          <cell r="AV4549">
            <v>0</v>
          </cell>
        </row>
        <row r="4550">
          <cell r="E4550" t="str">
            <v>B26000480</v>
          </cell>
          <cell r="AP4550">
            <v>0</v>
          </cell>
          <cell r="AQ4550">
            <v>0</v>
          </cell>
          <cell r="AV4550">
            <v>0</v>
          </cell>
        </row>
        <row r="4551">
          <cell r="E4551" t="str">
            <v>B26000481</v>
          </cell>
          <cell r="AP4551">
            <v>0</v>
          </cell>
          <cell r="AQ4551">
            <v>0</v>
          </cell>
          <cell r="AV4551">
            <v>0</v>
          </cell>
        </row>
        <row r="4552">
          <cell r="E4552" t="str">
            <v>B26000493</v>
          </cell>
          <cell r="AP4552">
            <v>0</v>
          </cell>
          <cell r="AQ4552">
            <v>0</v>
          </cell>
          <cell r="AV4552">
            <v>0</v>
          </cell>
        </row>
        <row r="4553">
          <cell r="E4553" t="str">
            <v>D26000483</v>
          </cell>
          <cell r="AP4553">
            <v>0</v>
          </cell>
          <cell r="AQ4553">
            <v>0</v>
          </cell>
          <cell r="AV4553">
            <v>0</v>
          </cell>
        </row>
        <row r="4554">
          <cell r="E4554" t="str">
            <v>D26000487</v>
          </cell>
          <cell r="AP4554">
            <v>0</v>
          </cell>
          <cell r="AQ4554">
            <v>0</v>
          </cell>
          <cell r="AV4554">
            <v>0</v>
          </cell>
        </row>
        <row r="4555">
          <cell r="E4555" t="str">
            <v>B26000629</v>
          </cell>
          <cell r="AP4555">
            <v>0</v>
          </cell>
          <cell r="AQ4555">
            <v>0</v>
          </cell>
          <cell r="AV4555">
            <v>0</v>
          </cell>
        </row>
        <row r="4556">
          <cell r="E4556" t="str">
            <v>B26000834</v>
          </cell>
          <cell r="AP4556">
            <v>0</v>
          </cell>
          <cell r="AQ4556">
            <v>0</v>
          </cell>
          <cell r="AV4556">
            <v>0</v>
          </cell>
        </row>
        <row r="4557">
          <cell r="E4557" t="str">
            <v>B26000898</v>
          </cell>
          <cell r="AP4557">
            <v>0</v>
          </cell>
          <cell r="AQ4557">
            <v>0</v>
          </cell>
          <cell r="AV4557">
            <v>0</v>
          </cell>
        </row>
        <row r="4558">
          <cell r="E4558" t="str">
            <v>D26001267</v>
          </cell>
          <cell r="AP4558">
            <v>0</v>
          </cell>
          <cell r="AQ4558">
            <v>0</v>
          </cell>
          <cell r="AV4558">
            <v>0</v>
          </cell>
        </row>
        <row r="4559">
          <cell r="E4559" t="str">
            <v>B26001257</v>
          </cell>
          <cell r="AP4559">
            <v>0</v>
          </cell>
          <cell r="AQ4559">
            <v>0</v>
          </cell>
          <cell r="AV4559">
            <v>0</v>
          </cell>
        </row>
        <row r="4560">
          <cell r="E4560" t="str">
            <v>D26001332</v>
          </cell>
          <cell r="AP4560">
            <v>0</v>
          </cell>
          <cell r="AQ4560">
            <v>0</v>
          </cell>
          <cell r="AV4560">
            <v>0</v>
          </cell>
        </row>
        <row r="4561">
          <cell r="E4561" t="str">
            <v>D26001391</v>
          </cell>
          <cell r="AP4561">
            <v>0</v>
          </cell>
          <cell r="AQ4561">
            <v>0</v>
          </cell>
          <cell r="AV4561">
            <v>0</v>
          </cell>
        </row>
        <row r="4562">
          <cell r="E4562" t="str">
            <v>B26001487</v>
          </cell>
          <cell r="AP4562">
            <v>0</v>
          </cell>
          <cell r="AQ4562">
            <v>0</v>
          </cell>
          <cell r="AV4562">
            <v>0</v>
          </cell>
        </row>
        <row r="4563">
          <cell r="E4563" t="str">
            <v>D26001598</v>
          </cell>
          <cell r="AP4563">
            <v>0</v>
          </cell>
          <cell r="AQ4563">
            <v>0</v>
          </cell>
          <cell r="AV4563">
            <v>0</v>
          </cell>
        </row>
        <row r="4564">
          <cell r="E4564" t="str">
            <v>D26001599</v>
          </cell>
          <cell r="AP4564">
            <v>0</v>
          </cell>
          <cell r="AQ4564">
            <v>0</v>
          </cell>
          <cell r="AV4564">
            <v>0</v>
          </cell>
        </row>
        <row r="4565">
          <cell r="E4565" t="str">
            <v>D26001697</v>
          </cell>
          <cell r="AP4565">
            <v>0</v>
          </cell>
          <cell r="AQ4565">
            <v>0</v>
          </cell>
          <cell r="AV4565">
            <v>0</v>
          </cell>
        </row>
        <row r="4566">
          <cell r="E4566" t="str">
            <v>B26001612</v>
          </cell>
          <cell r="AP4566">
            <v>0</v>
          </cell>
          <cell r="AQ4566">
            <v>0</v>
          </cell>
          <cell r="AV4566">
            <v>0</v>
          </cell>
        </row>
        <row r="4567">
          <cell r="E4567" t="str">
            <v>B26000360</v>
          </cell>
          <cell r="AP4567">
            <v>0</v>
          </cell>
          <cell r="AQ4567">
            <v>0</v>
          </cell>
          <cell r="AV4567">
            <v>0</v>
          </cell>
        </row>
        <row r="4568">
          <cell r="E4568" t="str">
            <v>D26000441</v>
          </cell>
          <cell r="AP4568">
            <v>0</v>
          </cell>
          <cell r="AQ4568">
            <v>0</v>
          </cell>
          <cell r="AV4568">
            <v>0</v>
          </cell>
        </row>
        <row r="4569">
          <cell r="E4569" t="str">
            <v>T25001880</v>
          </cell>
          <cell r="AP4569">
            <v>0</v>
          </cell>
          <cell r="AQ4569">
            <v>0</v>
          </cell>
          <cell r="AV4569">
            <v>0</v>
          </cell>
        </row>
        <row r="4570">
          <cell r="E4570" t="str">
            <v>B26000964</v>
          </cell>
          <cell r="AP4570">
            <v>0</v>
          </cell>
          <cell r="AQ4570">
            <v>0</v>
          </cell>
          <cell r="AV4570">
            <v>0</v>
          </cell>
        </row>
        <row r="4571">
          <cell r="E4571" t="str">
            <v>B26000965</v>
          </cell>
          <cell r="AP4571">
            <v>0</v>
          </cell>
          <cell r="AQ4571">
            <v>0</v>
          </cell>
          <cell r="AV4571">
            <v>0</v>
          </cell>
        </row>
        <row r="4572">
          <cell r="E4572" t="str">
            <v>B26001570</v>
          </cell>
          <cell r="AP4572">
            <v>0</v>
          </cell>
          <cell r="AQ4572">
            <v>0</v>
          </cell>
          <cell r="AV4572">
            <v>0</v>
          </cell>
        </row>
        <row r="4573">
          <cell r="E4573" t="str">
            <v>B26001149</v>
          </cell>
          <cell r="AP4573">
            <v>0</v>
          </cell>
          <cell r="AQ4573">
            <v>0</v>
          </cell>
          <cell r="AV4573">
            <v>0</v>
          </cell>
        </row>
        <row r="4574">
          <cell r="E4574" t="str">
            <v>D26001262</v>
          </cell>
          <cell r="AP4574">
            <v>0</v>
          </cell>
          <cell r="AQ4574">
            <v>0</v>
          </cell>
          <cell r="AV4574">
            <v>0</v>
          </cell>
        </row>
        <row r="4575">
          <cell r="E4575" t="str">
            <v>D26001395</v>
          </cell>
          <cell r="AP4575">
            <v>0</v>
          </cell>
          <cell r="AQ4575">
            <v>0</v>
          </cell>
          <cell r="AV4575">
            <v>0</v>
          </cell>
        </row>
        <row r="4576">
          <cell r="E4576" t="str">
            <v>B26001600</v>
          </cell>
          <cell r="AP4576">
            <v>0</v>
          </cell>
          <cell r="AQ4576">
            <v>0</v>
          </cell>
          <cell r="AV4576">
            <v>0</v>
          </cell>
        </row>
        <row r="4577">
          <cell r="E4577" t="str">
            <v>B26001601</v>
          </cell>
          <cell r="AP4577">
            <v>0</v>
          </cell>
          <cell r="AQ4577">
            <v>0</v>
          </cell>
          <cell r="AV4577">
            <v>0</v>
          </cell>
        </row>
        <row r="4578">
          <cell r="E4578" t="str">
            <v>B26000703</v>
          </cell>
          <cell r="AP4578">
            <v>0</v>
          </cell>
          <cell r="AQ4578">
            <v>0</v>
          </cell>
          <cell r="AV4578">
            <v>0</v>
          </cell>
        </row>
        <row r="4579">
          <cell r="E4579" t="str">
            <v>B25012562</v>
          </cell>
          <cell r="AP4579">
            <v>0</v>
          </cell>
          <cell r="AQ4579">
            <v>0</v>
          </cell>
          <cell r="AV4579">
            <v>0</v>
          </cell>
        </row>
        <row r="4580">
          <cell r="E4580" t="str">
            <v>D25018138</v>
          </cell>
          <cell r="AP4580">
            <v>0</v>
          </cell>
          <cell r="AQ4580">
            <v>0</v>
          </cell>
          <cell r="AV4580">
            <v>0</v>
          </cell>
        </row>
        <row r="4581">
          <cell r="E4581" t="str">
            <v>D26000414</v>
          </cell>
          <cell r="AP4581">
            <v>0</v>
          </cell>
          <cell r="AQ4581">
            <v>0</v>
          </cell>
          <cell r="AV4581">
            <v>0</v>
          </cell>
        </row>
        <row r="4582">
          <cell r="E4582" t="str">
            <v>D26000734</v>
          </cell>
          <cell r="AP4582">
            <v>0</v>
          </cell>
          <cell r="AQ4582">
            <v>0</v>
          </cell>
          <cell r="AV4582">
            <v>0</v>
          </cell>
        </row>
        <row r="4583">
          <cell r="E4583" t="str">
            <v>D26000978</v>
          </cell>
          <cell r="AP4583">
            <v>0</v>
          </cell>
          <cell r="AQ4583">
            <v>0</v>
          </cell>
          <cell r="AV4583">
            <v>0</v>
          </cell>
        </row>
        <row r="4584">
          <cell r="E4584" t="str">
            <v>D26001284</v>
          </cell>
          <cell r="AP4584">
            <v>0</v>
          </cell>
          <cell r="AQ4584">
            <v>0</v>
          </cell>
          <cell r="AV4584">
            <v>0</v>
          </cell>
        </row>
        <row r="4585">
          <cell r="E4585" t="str">
            <v>B25012496</v>
          </cell>
          <cell r="AP4585">
            <v>0</v>
          </cell>
          <cell r="AQ4585">
            <v>0</v>
          </cell>
          <cell r="AV4585">
            <v>0</v>
          </cell>
        </row>
        <row r="4586">
          <cell r="E4586" t="str">
            <v>B25014117</v>
          </cell>
          <cell r="AP4586">
            <v>0</v>
          </cell>
          <cell r="AQ4586">
            <v>0</v>
          </cell>
          <cell r="AV4586">
            <v>0</v>
          </cell>
        </row>
        <row r="4587">
          <cell r="E4587" t="str">
            <v>B25015370</v>
          </cell>
          <cell r="AP4587">
            <v>0</v>
          </cell>
          <cell r="AQ4587">
            <v>0</v>
          </cell>
          <cell r="AV4587">
            <v>0</v>
          </cell>
        </row>
        <row r="4588">
          <cell r="E4588" t="str">
            <v>D25017825</v>
          </cell>
          <cell r="AP4588">
            <v>0</v>
          </cell>
          <cell r="AQ4588">
            <v>0</v>
          </cell>
          <cell r="AV4588">
            <v>0</v>
          </cell>
        </row>
        <row r="4589">
          <cell r="E4589" t="str">
            <v>B25015450</v>
          </cell>
          <cell r="AP4589">
            <v>0</v>
          </cell>
          <cell r="AQ4589">
            <v>0</v>
          </cell>
          <cell r="AV4589">
            <v>0</v>
          </cell>
        </row>
        <row r="4590">
          <cell r="E4590" t="str">
            <v>D25017977</v>
          </cell>
          <cell r="AP4590">
            <v>0</v>
          </cell>
          <cell r="AQ4590">
            <v>0</v>
          </cell>
          <cell r="AV4590">
            <v>5600000</v>
          </cell>
        </row>
        <row r="4591">
          <cell r="E4591" t="str">
            <v>D25018108</v>
          </cell>
          <cell r="AP4591">
            <v>0</v>
          </cell>
          <cell r="AQ4591">
            <v>0</v>
          </cell>
          <cell r="AV4591">
            <v>3600000</v>
          </cell>
        </row>
        <row r="4592">
          <cell r="E4592" t="str">
            <v>D25018601</v>
          </cell>
          <cell r="AP4592">
            <v>0</v>
          </cell>
          <cell r="AQ4592">
            <v>0</v>
          </cell>
          <cell r="AV4592">
            <v>0</v>
          </cell>
        </row>
        <row r="4593">
          <cell r="E4593" t="str">
            <v>B25016277</v>
          </cell>
          <cell r="AP4593">
            <v>0</v>
          </cell>
          <cell r="AQ4593">
            <v>0</v>
          </cell>
          <cell r="AV4593">
            <v>0</v>
          </cell>
        </row>
        <row r="4594">
          <cell r="E4594" t="str">
            <v>B25016377</v>
          </cell>
          <cell r="AP4594">
            <v>0</v>
          </cell>
          <cell r="AQ4594">
            <v>0</v>
          </cell>
          <cell r="AV4594">
            <v>0</v>
          </cell>
        </row>
        <row r="4595">
          <cell r="E4595" t="str">
            <v>D25018972</v>
          </cell>
          <cell r="AP4595">
            <v>0</v>
          </cell>
          <cell r="AQ4595">
            <v>0</v>
          </cell>
          <cell r="AV4595">
            <v>0</v>
          </cell>
        </row>
        <row r="4596">
          <cell r="E4596" t="str">
            <v>D25019208</v>
          </cell>
          <cell r="AP4596">
            <v>0</v>
          </cell>
          <cell r="AQ4596">
            <v>0</v>
          </cell>
          <cell r="AV4596">
            <v>0</v>
          </cell>
        </row>
        <row r="4597">
          <cell r="E4597" t="str">
            <v>B25016844</v>
          </cell>
          <cell r="AP4597">
            <v>0</v>
          </cell>
          <cell r="AQ4597">
            <v>0</v>
          </cell>
          <cell r="AV4597">
            <v>0</v>
          </cell>
        </row>
        <row r="4598">
          <cell r="E4598" t="str">
            <v>B25017048</v>
          </cell>
          <cell r="AP4598">
            <v>0</v>
          </cell>
          <cell r="AQ4598">
            <v>0</v>
          </cell>
          <cell r="AV4598">
            <v>0</v>
          </cell>
        </row>
        <row r="4599">
          <cell r="E4599" t="str">
            <v>B26000009</v>
          </cell>
          <cell r="AP4599">
            <v>0</v>
          </cell>
          <cell r="AQ4599">
            <v>0</v>
          </cell>
          <cell r="AV4599">
            <v>0</v>
          </cell>
        </row>
        <row r="4600">
          <cell r="E4600" t="str">
            <v>D26000119</v>
          </cell>
          <cell r="AP4600">
            <v>0</v>
          </cell>
          <cell r="AQ4600">
            <v>0</v>
          </cell>
          <cell r="AV4600">
            <v>0</v>
          </cell>
        </row>
        <row r="4601">
          <cell r="E4601" t="str">
            <v>B26000200</v>
          </cell>
          <cell r="AP4601">
            <v>0</v>
          </cell>
          <cell r="AQ4601">
            <v>0</v>
          </cell>
          <cell r="AV4601">
            <v>0</v>
          </cell>
        </row>
        <row r="4602">
          <cell r="E4602" t="str">
            <v>D26000281</v>
          </cell>
          <cell r="AP4602">
            <v>0</v>
          </cell>
          <cell r="AQ4602">
            <v>0</v>
          </cell>
          <cell r="AV4602">
            <v>0</v>
          </cell>
        </row>
        <row r="4603">
          <cell r="E4603" t="str">
            <v>D26000374</v>
          </cell>
          <cell r="AP4603">
            <v>0</v>
          </cell>
          <cell r="AQ4603">
            <v>0</v>
          </cell>
          <cell r="AV4603">
            <v>0</v>
          </cell>
        </row>
        <row r="4604">
          <cell r="E4604" t="str">
            <v>D26000759</v>
          </cell>
          <cell r="AP4604">
            <v>0</v>
          </cell>
          <cell r="AQ4604">
            <v>0</v>
          </cell>
          <cell r="AV4604">
            <v>0</v>
          </cell>
        </row>
        <row r="4605">
          <cell r="E4605" t="str">
            <v>D26000773</v>
          </cell>
          <cell r="AP4605">
            <v>0</v>
          </cell>
          <cell r="AQ4605">
            <v>0</v>
          </cell>
          <cell r="AV4605">
            <v>0</v>
          </cell>
        </row>
        <row r="4606">
          <cell r="E4606" t="str">
            <v>D26000980</v>
          </cell>
          <cell r="AP4606">
            <v>0</v>
          </cell>
          <cell r="AQ4606">
            <v>0</v>
          </cell>
          <cell r="AV4606">
            <v>0</v>
          </cell>
        </row>
        <row r="4607">
          <cell r="E4607" t="str">
            <v>B26001098</v>
          </cell>
          <cell r="AP4607">
            <v>0</v>
          </cell>
          <cell r="AQ4607">
            <v>0</v>
          </cell>
          <cell r="AV4607">
            <v>0</v>
          </cell>
        </row>
        <row r="4608">
          <cell r="E4608" t="str">
            <v>D25015979</v>
          </cell>
          <cell r="AP4608">
            <v>0</v>
          </cell>
          <cell r="AQ4608">
            <v>0</v>
          </cell>
          <cell r="AV4608">
            <v>0</v>
          </cell>
        </row>
        <row r="4609">
          <cell r="E4609" t="str">
            <v>B26000375</v>
          </cell>
          <cell r="AP4609">
            <v>0</v>
          </cell>
          <cell r="AQ4609">
            <v>0</v>
          </cell>
          <cell r="AV4609">
            <v>0</v>
          </cell>
        </row>
        <row r="4610">
          <cell r="E4610" t="str">
            <v>B26000622</v>
          </cell>
          <cell r="AP4610">
            <v>0</v>
          </cell>
          <cell r="AQ4610">
            <v>0</v>
          </cell>
          <cell r="AV4610">
            <v>0</v>
          </cell>
        </row>
        <row r="4611">
          <cell r="E4611" t="str">
            <v>B26000775</v>
          </cell>
          <cell r="AP4611">
            <v>0</v>
          </cell>
          <cell r="AQ4611">
            <v>0</v>
          </cell>
          <cell r="AV4611">
            <v>0</v>
          </cell>
        </row>
        <row r="4612">
          <cell r="E4612" t="str">
            <v>B26001262</v>
          </cell>
          <cell r="AP4612">
            <v>0</v>
          </cell>
          <cell r="AQ4612">
            <v>0</v>
          </cell>
          <cell r="AV4612">
            <v>0</v>
          </cell>
        </row>
        <row r="4613">
          <cell r="E4613" t="str">
            <v>T26000105</v>
          </cell>
          <cell r="AP4613">
            <v>0</v>
          </cell>
          <cell r="AQ4613">
            <v>0</v>
          </cell>
          <cell r="AV4613">
            <v>0</v>
          </cell>
        </row>
        <row r="4614">
          <cell r="E4614" t="str">
            <v>D25016981</v>
          </cell>
          <cell r="AP4614">
            <v>0</v>
          </cell>
          <cell r="AQ4614">
            <v>0</v>
          </cell>
          <cell r="AV4614">
            <v>0</v>
          </cell>
        </row>
        <row r="4615">
          <cell r="E4615" t="str">
            <v>D25016983</v>
          </cell>
          <cell r="AP4615">
            <v>0</v>
          </cell>
          <cell r="AQ4615">
            <v>0</v>
          </cell>
          <cell r="AV4615">
            <v>0</v>
          </cell>
        </row>
        <row r="4616">
          <cell r="E4616" t="str">
            <v>D25017237</v>
          </cell>
          <cell r="AP4616">
            <v>0</v>
          </cell>
          <cell r="AQ4616">
            <v>0</v>
          </cell>
          <cell r="AV4616">
            <v>0</v>
          </cell>
        </row>
        <row r="4617">
          <cell r="E4617" t="str">
            <v>D25017247</v>
          </cell>
          <cell r="AP4617">
            <v>0</v>
          </cell>
          <cell r="AQ4617">
            <v>0</v>
          </cell>
          <cell r="AV4617">
            <v>0</v>
          </cell>
        </row>
        <row r="4618">
          <cell r="E4618" t="str">
            <v>B25015169</v>
          </cell>
          <cell r="AP4618">
            <v>0</v>
          </cell>
          <cell r="AQ4618">
            <v>0</v>
          </cell>
          <cell r="AV4618">
            <v>0</v>
          </cell>
        </row>
        <row r="4619">
          <cell r="E4619" t="str">
            <v>D25018067</v>
          </cell>
          <cell r="AP4619">
            <v>0</v>
          </cell>
          <cell r="AQ4619">
            <v>0</v>
          </cell>
          <cell r="AV4619">
            <v>0</v>
          </cell>
        </row>
        <row r="4620">
          <cell r="E4620" t="str">
            <v>D25018084</v>
          </cell>
          <cell r="AP4620">
            <v>0</v>
          </cell>
          <cell r="AQ4620">
            <v>0</v>
          </cell>
          <cell r="AV4620">
            <v>0</v>
          </cell>
        </row>
        <row r="4621">
          <cell r="E4621" t="str">
            <v>B25016237</v>
          </cell>
          <cell r="AP4621">
            <v>0</v>
          </cell>
          <cell r="AQ4621">
            <v>0</v>
          </cell>
          <cell r="AV4621">
            <v>0</v>
          </cell>
        </row>
        <row r="4622">
          <cell r="E4622" t="str">
            <v>D25019227</v>
          </cell>
          <cell r="AP4622">
            <v>0</v>
          </cell>
          <cell r="AQ4622">
            <v>0</v>
          </cell>
          <cell r="AV4622">
            <v>0</v>
          </cell>
        </row>
        <row r="4623">
          <cell r="E4623" t="str">
            <v>D25019279</v>
          </cell>
          <cell r="AP4623">
            <v>0</v>
          </cell>
          <cell r="AQ4623">
            <v>0</v>
          </cell>
          <cell r="AV4623">
            <v>0</v>
          </cell>
        </row>
        <row r="4624">
          <cell r="E4624" t="str">
            <v>D26001292</v>
          </cell>
          <cell r="AP4624">
            <v>0</v>
          </cell>
          <cell r="AQ4624">
            <v>0</v>
          </cell>
          <cell r="AV4624">
            <v>0</v>
          </cell>
        </row>
        <row r="4625">
          <cell r="E4625" t="str">
            <v>D26001420</v>
          </cell>
          <cell r="AP4625">
            <v>0</v>
          </cell>
          <cell r="AQ4625">
            <v>0</v>
          </cell>
          <cell r="AV4625">
            <v>0</v>
          </cell>
        </row>
        <row r="4626">
          <cell r="E4626" t="str">
            <v>D26001523</v>
          </cell>
          <cell r="AP4626">
            <v>0</v>
          </cell>
          <cell r="AQ4626">
            <v>0</v>
          </cell>
          <cell r="AV4626">
            <v>0</v>
          </cell>
        </row>
        <row r="4627">
          <cell r="E4627" t="str">
            <v>D25018655</v>
          </cell>
          <cell r="AP4627">
            <v>0</v>
          </cell>
          <cell r="AQ4627">
            <v>0</v>
          </cell>
          <cell r="AV4627">
            <v>0</v>
          </cell>
        </row>
        <row r="4628">
          <cell r="E4628" t="str">
            <v>B26000006</v>
          </cell>
          <cell r="AP4628">
            <v>0</v>
          </cell>
          <cell r="AQ4628">
            <v>0</v>
          </cell>
          <cell r="AV4628">
            <v>0</v>
          </cell>
        </row>
        <row r="4629">
          <cell r="E4629" t="str">
            <v>B26001309</v>
          </cell>
          <cell r="AP4629">
            <v>0</v>
          </cell>
          <cell r="AQ4629">
            <v>0</v>
          </cell>
          <cell r="AV4629">
            <v>0</v>
          </cell>
        </row>
        <row r="4630">
          <cell r="E4630" t="str">
            <v>D26000429</v>
          </cell>
          <cell r="AP4630">
            <v>0</v>
          </cell>
          <cell r="AQ4630">
            <v>0</v>
          </cell>
          <cell r="AV4630">
            <v>0</v>
          </cell>
        </row>
        <row r="4631">
          <cell r="E4631" t="str">
            <v>B25014885</v>
          </cell>
          <cell r="AP4631">
            <v>0</v>
          </cell>
          <cell r="AQ4631">
            <v>0</v>
          </cell>
          <cell r="AV4631">
            <v>0</v>
          </cell>
        </row>
        <row r="4632">
          <cell r="E4632" t="str">
            <v>B25014906</v>
          </cell>
          <cell r="AP4632">
            <v>0</v>
          </cell>
          <cell r="AQ4632">
            <v>0</v>
          </cell>
          <cell r="AV4632">
            <v>0</v>
          </cell>
        </row>
        <row r="4633">
          <cell r="E4633" t="str">
            <v>D25017502</v>
          </cell>
          <cell r="AP4633">
            <v>0</v>
          </cell>
          <cell r="AQ4633">
            <v>0</v>
          </cell>
          <cell r="AV4633">
            <v>0</v>
          </cell>
        </row>
        <row r="4634">
          <cell r="E4634" t="str">
            <v>B25015265</v>
          </cell>
          <cell r="AP4634">
            <v>0</v>
          </cell>
          <cell r="AQ4634">
            <v>0</v>
          </cell>
          <cell r="AV4634">
            <v>0</v>
          </cell>
        </row>
        <row r="4635">
          <cell r="E4635" t="str">
            <v>B25015320</v>
          </cell>
          <cell r="AP4635">
            <v>0</v>
          </cell>
          <cell r="AQ4635">
            <v>0</v>
          </cell>
          <cell r="AV4635">
            <v>0</v>
          </cell>
        </row>
        <row r="4636">
          <cell r="E4636" t="str">
            <v>D25017811</v>
          </cell>
          <cell r="AP4636">
            <v>0</v>
          </cell>
          <cell r="AQ4636">
            <v>0</v>
          </cell>
          <cell r="AV4636">
            <v>0</v>
          </cell>
        </row>
        <row r="4637">
          <cell r="E4637" t="str">
            <v>D25017841</v>
          </cell>
          <cell r="AP4637">
            <v>0</v>
          </cell>
          <cell r="AQ4637">
            <v>0</v>
          </cell>
          <cell r="AV4637">
            <v>0</v>
          </cell>
        </row>
        <row r="4638">
          <cell r="E4638" t="str">
            <v>B25015718</v>
          </cell>
          <cell r="AP4638">
            <v>0</v>
          </cell>
          <cell r="AQ4638">
            <v>0</v>
          </cell>
          <cell r="AV4638">
            <v>0</v>
          </cell>
        </row>
        <row r="4639">
          <cell r="E4639" t="str">
            <v>B25015859</v>
          </cell>
          <cell r="AP4639">
            <v>0</v>
          </cell>
          <cell r="AQ4639">
            <v>0</v>
          </cell>
          <cell r="AV4639">
            <v>0</v>
          </cell>
        </row>
        <row r="4640">
          <cell r="E4640" t="str">
            <v>D25018274</v>
          </cell>
          <cell r="AP4640">
            <v>0</v>
          </cell>
          <cell r="AQ4640">
            <v>0</v>
          </cell>
          <cell r="AV4640">
            <v>0</v>
          </cell>
        </row>
        <row r="4641">
          <cell r="E4641" t="str">
            <v>B25016836</v>
          </cell>
          <cell r="AP4641">
            <v>0</v>
          </cell>
          <cell r="AQ4641">
            <v>0</v>
          </cell>
          <cell r="AV4641">
            <v>0</v>
          </cell>
        </row>
        <row r="4642">
          <cell r="E4642" t="str">
            <v>B25016874</v>
          </cell>
          <cell r="AP4642">
            <v>0</v>
          </cell>
          <cell r="AQ4642">
            <v>0</v>
          </cell>
          <cell r="AV4642">
            <v>0</v>
          </cell>
        </row>
        <row r="4643">
          <cell r="E4643" t="str">
            <v>B26000337</v>
          </cell>
          <cell r="AP4643">
            <v>0</v>
          </cell>
          <cell r="AQ4643">
            <v>0</v>
          </cell>
          <cell r="AV4643">
            <v>0</v>
          </cell>
        </row>
        <row r="4644">
          <cell r="E4644" t="str">
            <v>D26000722</v>
          </cell>
          <cell r="AP4644">
            <v>0</v>
          </cell>
          <cell r="AQ4644">
            <v>0</v>
          </cell>
          <cell r="AV4644">
            <v>0</v>
          </cell>
        </row>
        <row r="4645">
          <cell r="E4645" t="str">
            <v>D26000854</v>
          </cell>
          <cell r="AP4645">
            <v>0</v>
          </cell>
          <cell r="AQ4645">
            <v>0</v>
          </cell>
          <cell r="AV4645">
            <v>0</v>
          </cell>
        </row>
        <row r="4646">
          <cell r="E4646" t="str">
            <v>D26000362</v>
          </cell>
          <cell r="AP4646">
            <v>0</v>
          </cell>
          <cell r="AQ4646">
            <v>0</v>
          </cell>
          <cell r="AV4646">
            <v>0</v>
          </cell>
        </row>
        <row r="4647">
          <cell r="E4647" t="str">
            <v>D26000822</v>
          </cell>
          <cell r="AP4647">
            <v>0</v>
          </cell>
          <cell r="AQ4647">
            <v>0</v>
          </cell>
          <cell r="AV4647">
            <v>0</v>
          </cell>
        </row>
        <row r="4648">
          <cell r="E4648" t="str">
            <v>B25016188</v>
          </cell>
          <cell r="AP4648">
            <v>0</v>
          </cell>
          <cell r="AQ4648">
            <v>0</v>
          </cell>
          <cell r="AV4648">
            <v>0</v>
          </cell>
        </row>
        <row r="4649">
          <cell r="E4649" t="str">
            <v>B26000859</v>
          </cell>
          <cell r="AP4649">
            <v>0</v>
          </cell>
          <cell r="AQ4649">
            <v>0</v>
          </cell>
          <cell r="AV4649">
            <v>0</v>
          </cell>
        </row>
        <row r="4650">
          <cell r="E4650" t="str">
            <v>T25001868</v>
          </cell>
          <cell r="AP4650">
            <v>0</v>
          </cell>
          <cell r="AQ4650">
            <v>0</v>
          </cell>
          <cell r="AV4650">
            <v>0</v>
          </cell>
        </row>
        <row r="4651">
          <cell r="E4651" t="str">
            <v>D25018771</v>
          </cell>
          <cell r="AP4651">
            <v>0</v>
          </cell>
          <cell r="AQ4651">
            <v>0</v>
          </cell>
          <cell r="AV4651">
            <v>0</v>
          </cell>
        </row>
        <row r="4652">
          <cell r="E4652" t="str">
            <v>T26000066k</v>
          </cell>
          <cell r="AP4652">
            <v>0</v>
          </cell>
          <cell r="AQ4652">
            <v>0</v>
          </cell>
          <cell r="AV4652">
            <v>0</v>
          </cell>
        </row>
        <row r="4653">
          <cell r="E4653" t="str">
            <v>B26001273</v>
          </cell>
          <cell r="AP4653">
            <v>0</v>
          </cell>
          <cell r="AQ4653">
            <v>0</v>
          </cell>
          <cell r="AV4653">
            <v>0</v>
          </cell>
        </row>
        <row r="4654">
          <cell r="E4654" t="str">
            <v>T25001818</v>
          </cell>
          <cell r="AP4654">
            <v>0</v>
          </cell>
          <cell r="AQ4654">
            <v>0</v>
          </cell>
          <cell r="AV4654">
            <v>0</v>
          </cell>
        </row>
        <row r="4655">
          <cell r="E4655" t="str">
            <v>D26001692</v>
          </cell>
          <cell r="AP4655">
            <v>0</v>
          </cell>
          <cell r="AQ4655">
            <v>0</v>
          </cell>
          <cell r="AV4655">
            <v>0</v>
          </cell>
        </row>
        <row r="4656">
          <cell r="E4656" t="str">
            <v>B26000454</v>
          </cell>
          <cell r="AP4656">
            <v>0</v>
          </cell>
          <cell r="AQ4656">
            <v>0</v>
          </cell>
          <cell r="AV4656">
            <v>0</v>
          </cell>
        </row>
        <row r="4657">
          <cell r="E4657" t="str">
            <v>T25001515k</v>
          </cell>
          <cell r="AP4657">
            <v>0</v>
          </cell>
          <cell r="AQ4657">
            <v>0</v>
          </cell>
          <cell r="AV4657">
            <v>0</v>
          </cell>
        </row>
        <row r="4658">
          <cell r="E4658" t="str">
            <v>T25001519K</v>
          </cell>
          <cell r="AP4658">
            <v>0</v>
          </cell>
          <cell r="AQ4658">
            <v>0</v>
          </cell>
          <cell r="AV4658">
            <v>0</v>
          </cell>
        </row>
        <row r="4659">
          <cell r="E4659" t="str">
            <v>D26001011</v>
          </cell>
          <cell r="AP4659">
            <v>0</v>
          </cell>
          <cell r="AQ4659">
            <v>0</v>
          </cell>
          <cell r="AV4659">
            <v>0</v>
          </cell>
        </row>
        <row r="4660">
          <cell r="E4660" t="str">
            <v>B26001009</v>
          </cell>
          <cell r="AP4660">
            <v>0</v>
          </cell>
          <cell r="AQ4660">
            <v>0</v>
          </cell>
          <cell r="AV4660">
            <v>0</v>
          </cell>
        </row>
        <row r="4661">
          <cell r="E4661" t="str">
            <v>B26000739</v>
          </cell>
          <cell r="AP4661">
            <v>0</v>
          </cell>
          <cell r="AQ4661">
            <v>0</v>
          </cell>
          <cell r="AV4661">
            <v>0</v>
          </cell>
        </row>
        <row r="4662">
          <cell r="E4662" t="str">
            <v>B26001298</v>
          </cell>
          <cell r="AP4662">
            <v>0</v>
          </cell>
          <cell r="AQ4662">
            <v>0</v>
          </cell>
          <cell r="AV4662">
            <v>0</v>
          </cell>
        </row>
        <row r="4663">
          <cell r="E4663" t="str">
            <v>D26001646</v>
          </cell>
          <cell r="AP4663">
            <v>0</v>
          </cell>
          <cell r="AQ4663">
            <v>0</v>
          </cell>
          <cell r="AV4663">
            <v>0</v>
          </cell>
        </row>
        <row r="4664">
          <cell r="E4664" t="str">
            <v>B25013109</v>
          </cell>
          <cell r="AP4664">
            <v>0</v>
          </cell>
          <cell r="AQ4664">
            <v>0</v>
          </cell>
          <cell r="AV4664">
            <v>0</v>
          </cell>
        </row>
        <row r="4665">
          <cell r="E4665" t="str">
            <v>D25015675</v>
          </cell>
          <cell r="AP4665">
            <v>0</v>
          </cell>
          <cell r="AQ4665">
            <v>0</v>
          </cell>
          <cell r="AV4665">
            <v>0</v>
          </cell>
        </row>
        <row r="4666">
          <cell r="E4666" t="str">
            <v>B25014895</v>
          </cell>
          <cell r="AP4666">
            <v>0</v>
          </cell>
          <cell r="AQ4666">
            <v>0</v>
          </cell>
          <cell r="AV4666">
            <v>0</v>
          </cell>
        </row>
        <row r="4667">
          <cell r="E4667" t="str">
            <v>D25017233</v>
          </cell>
          <cell r="AP4667">
            <v>0</v>
          </cell>
          <cell r="AQ4667">
            <v>0</v>
          </cell>
          <cell r="AV4667">
            <v>0</v>
          </cell>
        </row>
        <row r="4668">
          <cell r="E4668" t="str">
            <v>B25015497</v>
          </cell>
          <cell r="AP4668">
            <v>0</v>
          </cell>
          <cell r="AQ4668">
            <v>0</v>
          </cell>
          <cell r="AV4668">
            <v>0</v>
          </cell>
        </row>
        <row r="4669">
          <cell r="E4669" t="str">
            <v>B25015498</v>
          </cell>
          <cell r="AP4669">
            <v>0</v>
          </cell>
          <cell r="AQ4669">
            <v>0</v>
          </cell>
          <cell r="AV4669">
            <v>0</v>
          </cell>
        </row>
        <row r="4670">
          <cell r="E4670" t="str">
            <v>B25015508</v>
          </cell>
          <cell r="AP4670">
            <v>0</v>
          </cell>
          <cell r="AQ4670">
            <v>0</v>
          </cell>
          <cell r="AV4670">
            <v>0</v>
          </cell>
        </row>
        <row r="4671">
          <cell r="E4671" t="str">
            <v>B25015667</v>
          </cell>
          <cell r="AP4671">
            <v>0</v>
          </cell>
          <cell r="AQ4671">
            <v>0</v>
          </cell>
          <cell r="AV4671">
            <v>0</v>
          </cell>
        </row>
        <row r="4672">
          <cell r="E4672" t="str">
            <v>B25015981</v>
          </cell>
          <cell r="AP4672">
            <v>0</v>
          </cell>
          <cell r="AQ4672">
            <v>0</v>
          </cell>
          <cell r="AV4672">
            <v>0</v>
          </cell>
        </row>
        <row r="4673">
          <cell r="E4673" t="str">
            <v>T25001821</v>
          </cell>
          <cell r="AP4673">
            <v>0</v>
          </cell>
          <cell r="AQ4673">
            <v>0</v>
          </cell>
          <cell r="AV4673">
            <v>0</v>
          </cell>
        </row>
        <row r="4674">
          <cell r="E4674" t="str">
            <v>D25018765</v>
          </cell>
          <cell r="AP4674">
            <v>0</v>
          </cell>
          <cell r="AQ4674">
            <v>0</v>
          </cell>
          <cell r="AV4674">
            <v>0</v>
          </cell>
        </row>
        <row r="4675">
          <cell r="E4675" t="str">
            <v>B25016753</v>
          </cell>
          <cell r="AP4675">
            <v>0</v>
          </cell>
          <cell r="AQ4675">
            <v>0</v>
          </cell>
          <cell r="AV4675">
            <v>0</v>
          </cell>
        </row>
        <row r="4676">
          <cell r="E4676" t="str">
            <v>T25001877</v>
          </cell>
          <cell r="AP4676">
            <v>0</v>
          </cell>
          <cell r="AQ4676">
            <v>0</v>
          </cell>
          <cell r="AV4676">
            <v>0</v>
          </cell>
        </row>
        <row r="4677">
          <cell r="E4677" t="str">
            <v>B25016907</v>
          </cell>
          <cell r="AP4677">
            <v>0</v>
          </cell>
          <cell r="AQ4677">
            <v>0</v>
          </cell>
          <cell r="AV4677">
            <v>0</v>
          </cell>
        </row>
        <row r="4678">
          <cell r="E4678" t="str">
            <v>B25016909</v>
          </cell>
          <cell r="AP4678">
            <v>0</v>
          </cell>
          <cell r="AQ4678">
            <v>0</v>
          </cell>
          <cell r="AV4678">
            <v>0</v>
          </cell>
        </row>
        <row r="4679">
          <cell r="E4679" t="str">
            <v>D26000033</v>
          </cell>
          <cell r="AP4679">
            <v>0</v>
          </cell>
          <cell r="AQ4679">
            <v>0</v>
          </cell>
          <cell r="AV4679">
            <v>0</v>
          </cell>
        </row>
        <row r="4680">
          <cell r="E4680" t="str">
            <v>D26000041</v>
          </cell>
          <cell r="AP4680">
            <v>0</v>
          </cell>
          <cell r="AQ4680">
            <v>0</v>
          </cell>
          <cell r="AV4680">
            <v>0</v>
          </cell>
        </row>
        <row r="4681">
          <cell r="E4681" t="str">
            <v>D26000042</v>
          </cell>
          <cell r="AP4681">
            <v>0</v>
          </cell>
          <cell r="AQ4681">
            <v>0</v>
          </cell>
          <cell r="AV4681">
            <v>0</v>
          </cell>
        </row>
        <row r="4682">
          <cell r="E4682" t="str">
            <v>B26000271</v>
          </cell>
          <cell r="AP4682">
            <v>0</v>
          </cell>
          <cell r="AQ4682">
            <v>0</v>
          </cell>
          <cell r="AV4682">
            <v>0</v>
          </cell>
        </row>
        <row r="4683">
          <cell r="E4683" t="str">
            <v>B26000335</v>
          </cell>
          <cell r="AP4683">
            <v>0</v>
          </cell>
          <cell r="AQ4683">
            <v>0</v>
          </cell>
          <cell r="AV4683">
            <v>0</v>
          </cell>
        </row>
        <row r="4684">
          <cell r="E4684" t="str">
            <v>D26000591</v>
          </cell>
          <cell r="AP4684">
            <v>0</v>
          </cell>
          <cell r="AQ4684">
            <v>0</v>
          </cell>
          <cell r="AV4684">
            <v>0</v>
          </cell>
        </row>
        <row r="4685">
          <cell r="E4685" t="str">
            <v>D26000816</v>
          </cell>
          <cell r="AP4685">
            <v>0</v>
          </cell>
          <cell r="AQ4685">
            <v>0</v>
          </cell>
          <cell r="AV4685">
            <v>0</v>
          </cell>
        </row>
        <row r="4686">
          <cell r="E4686" t="str">
            <v>D26000831</v>
          </cell>
          <cell r="AP4686">
            <v>0</v>
          </cell>
          <cell r="AQ4686">
            <v>0</v>
          </cell>
          <cell r="AV4686">
            <v>0</v>
          </cell>
        </row>
        <row r="4687">
          <cell r="E4687" t="str">
            <v>B26001161</v>
          </cell>
          <cell r="AP4687">
            <v>0</v>
          </cell>
          <cell r="AQ4687">
            <v>0</v>
          </cell>
          <cell r="AV4687">
            <v>0</v>
          </cell>
        </row>
        <row r="4688">
          <cell r="E4688" t="str">
            <v>D26001238</v>
          </cell>
          <cell r="AP4688">
            <v>0</v>
          </cell>
          <cell r="AQ4688">
            <v>0</v>
          </cell>
          <cell r="AV4688">
            <v>0</v>
          </cell>
        </row>
        <row r="4689">
          <cell r="E4689" t="str">
            <v>D26001378</v>
          </cell>
          <cell r="AP4689">
            <v>0</v>
          </cell>
          <cell r="AQ4689">
            <v>0</v>
          </cell>
          <cell r="AV4689">
            <v>0</v>
          </cell>
        </row>
        <row r="4690">
          <cell r="E4690" t="str">
            <v>D25018155</v>
          </cell>
          <cell r="AP4690">
            <v>0</v>
          </cell>
          <cell r="AQ4690">
            <v>0</v>
          </cell>
          <cell r="AV4690">
            <v>0</v>
          </cell>
        </row>
        <row r="4691">
          <cell r="E4691" t="str">
            <v>B25015911</v>
          </cell>
          <cell r="AP4691">
            <v>0</v>
          </cell>
          <cell r="AQ4691">
            <v>0</v>
          </cell>
          <cell r="AV4691">
            <v>0</v>
          </cell>
        </row>
        <row r="4692">
          <cell r="E4692" t="str">
            <v>B25016190</v>
          </cell>
          <cell r="AP4692">
            <v>0</v>
          </cell>
          <cell r="AQ4692">
            <v>0</v>
          </cell>
          <cell r="AV4692">
            <v>0</v>
          </cell>
        </row>
        <row r="4693">
          <cell r="E4693" t="str">
            <v>D26000593</v>
          </cell>
          <cell r="AP4693">
            <v>0</v>
          </cell>
          <cell r="AQ4693">
            <v>0</v>
          </cell>
          <cell r="AV4693">
            <v>0</v>
          </cell>
        </row>
        <row r="4694">
          <cell r="E4694" t="str">
            <v>D26000732</v>
          </cell>
          <cell r="AP4694">
            <v>0</v>
          </cell>
          <cell r="AQ4694">
            <v>0</v>
          </cell>
          <cell r="AV4694">
            <v>0</v>
          </cell>
        </row>
        <row r="4695">
          <cell r="E4695" t="str">
            <v>B26000718</v>
          </cell>
          <cell r="AP4695">
            <v>0</v>
          </cell>
          <cell r="AQ4695">
            <v>0</v>
          </cell>
          <cell r="AV4695">
            <v>0</v>
          </cell>
        </row>
        <row r="4696">
          <cell r="E4696" t="str">
            <v>D26001206</v>
          </cell>
          <cell r="AP4696">
            <v>0</v>
          </cell>
          <cell r="AQ4696">
            <v>0</v>
          </cell>
          <cell r="AV4696">
            <v>0</v>
          </cell>
        </row>
        <row r="4697">
          <cell r="E4697" t="str">
            <v>B26001142</v>
          </cell>
          <cell r="AP4697">
            <v>0</v>
          </cell>
          <cell r="AQ4697">
            <v>0</v>
          </cell>
          <cell r="AV4697">
            <v>0</v>
          </cell>
        </row>
        <row r="4698">
          <cell r="E4698" t="str">
            <v>B26001158</v>
          </cell>
          <cell r="AP4698">
            <v>0</v>
          </cell>
          <cell r="AQ4698">
            <v>0</v>
          </cell>
          <cell r="AV4698">
            <v>0</v>
          </cell>
        </row>
        <row r="4699">
          <cell r="E4699" t="str">
            <v>D26001411</v>
          </cell>
          <cell r="AP4699">
            <v>0</v>
          </cell>
          <cell r="AQ4699">
            <v>0</v>
          </cell>
          <cell r="AV4699">
            <v>0</v>
          </cell>
        </row>
        <row r="4700">
          <cell r="E4700" t="str">
            <v>D26001470</v>
          </cell>
          <cell r="AP4700">
            <v>0</v>
          </cell>
          <cell r="AQ4700">
            <v>0</v>
          </cell>
          <cell r="AV4700">
            <v>0</v>
          </cell>
        </row>
        <row r="4701">
          <cell r="E4701" t="str">
            <v>D26000488</v>
          </cell>
          <cell r="AP4701">
            <v>0</v>
          </cell>
          <cell r="AQ4701">
            <v>0</v>
          </cell>
          <cell r="AV4701">
            <v>0</v>
          </cell>
        </row>
        <row r="4702">
          <cell r="E4702" t="str">
            <v>D26000489</v>
          </cell>
          <cell r="AP4702">
            <v>0</v>
          </cell>
          <cell r="AQ4702">
            <v>0</v>
          </cell>
          <cell r="AV4702">
            <v>0</v>
          </cell>
        </row>
        <row r="4703">
          <cell r="E4703" t="str">
            <v>D25018575</v>
          </cell>
          <cell r="AP4703">
            <v>0</v>
          </cell>
          <cell r="AQ4703">
            <v>0</v>
          </cell>
          <cell r="AV4703">
            <v>0</v>
          </cell>
        </row>
        <row r="4704">
          <cell r="E4704" t="str">
            <v>D25019428</v>
          </cell>
          <cell r="AP4704">
            <v>0</v>
          </cell>
          <cell r="AQ4704">
            <v>0</v>
          </cell>
          <cell r="AV4704">
            <v>0</v>
          </cell>
        </row>
        <row r="4705">
          <cell r="E4705" t="str">
            <v>B25016970</v>
          </cell>
          <cell r="AP4705">
            <v>0</v>
          </cell>
          <cell r="AQ4705">
            <v>0</v>
          </cell>
          <cell r="AV4705">
            <v>0</v>
          </cell>
        </row>
        <row r="4706">
          <cell r="E4706" t="str">
            <v>B26000386</v>
          </cell>
          <cell r="AP4706">
            <v>0</v>
          </cell>
          <cell r="AQ4706">
            <v>0</v>
          </cell>
          <cell r="AV4706">
            <v>0</v>
          </cell>
        </row>
        <row r="4707">
          <cell r="E4707" t="str">
            <v>B26000388</v>
          </cell>
          <cell r="AP4707">
            <v>0</v>
          </cell>
          <cell r="AQ4707">
            <v>0</v>
          </cell>
          <cell r="AV4707">
            <v>0</v>
          </cell>
        </row>
        <row r="4708">
          <cell r="E4708" t="str">
            <v>B26000443</v>
          </cell>
          <cell r="AP4708">
            <v>0</v>
          </cell>
          <cell r="AQ4708">
            <v>0</v>
          </cell>
          <cell r="AV4708">
            <v>0</v>
          </cell>
        </row>
        <row r="4709">
          <cell r="E4709" t="str">
            <v>B26000476</v>
          </cell>
          <cell r="AP4709">
            <v>0</v>
          </cell>
          <cell r="AQ4709">
            <v>0</v>
          </cell>
          <cell r="AV4709">
            <v>0</v>
          </cell>
        </row>
        <row r="4710">
          <cell r="E4710" t="str">
            <v>B26001014</v>
          </cell>
          <cell r="AP4710">
            <v>0</v>
          </cell>
          <cell r="AQ4710">
            <v>0</v>
          </cell>
          <cell r="AV4710">
            <v>0</v>
          </cell>
        </row>
        <row r="4711">
          <cell r="E4711" t="str">
            <v>B26001027</v>
          </cell>
          <cell r="AP4711">
            <v>0</v>
          </cell>
          <cell r="AQ4711">
            <v>0</v>
          </cell>
          <cell r="AV4711">
            <v>0</v>
          </cell>
        </row>
        <row r="4712">
          <cell r="E4712" t="str">
            <v>T26000101</v>
          </cell>
          <cell r="AP4712">
            <v>0</v>
          </cell>
          <cell r="AQ4712">
            <v>0</v>
          </cell>
          <cell r="AV4712">
            <v>0</v>
          </cell>
        </row>
        <row r="4713">
          <cell r="E4713" t="str">
            <v>B25014153</v>
          </cell>
          <cell r="AP4713">
            <v>0</v>
          </cell>
          <cell r="AQ4713">
            <v>0</v>
          </cell>
          <cell r="AV4713">
            <v>0</v>
          </cell>
        </row>
        <row r="4714">
          <cell r="E4714" t="str">
            <v>B25014241</v>
          </cell>
          <cell r="AP4714">
            <v>0</v>
          </cell>
          <cell r="AQ4714">
            <v>0</v>
          </cell>
          <cell r="AV4714">
            <v>0</v>
          </cell>
        </row>
        <row r="4715">
          <cell r="E4715" t="str">
            <v>B25014610</v>
          </cell>
          <cell r="AP4715">
            <v>0</v>
          </cell>
          <cell r="AQ4715">
            <v>0</v>
          </cell>
          <cell r="AV4715">
            <v>0</v>
          </cell>
        </row>
        <row r="4716">
          <cell r="E4716" t="str">
            <v>B25015061</v>
          </cell>
          <cell r="AP4716">
            <v>0</v>
          </cell>
          <cell r="AQ4716">
            <v>0</v>
          </cell>
          <cell r="AV4716">
            <v>0</v>
          </cell>
        </row>
        <row r="4717">
          <cell r="E4717" t="str">
            <v>B25015063</v>
          </cell>
          <cell r="AP4717">
            <v>0</v>
          </cell>
          <cell r="AQ4717">
            <v>0</v>
          </cell>
          <cell r="AV4717">
            <v>0</v>
          </cell>
        </row>
        <row r="4718">
          <cell r="E4718" t="str">
            <v>D25017643</v>
          </cell>
          <cell r="AP4718">
            <v>0</v>
          </cell>
          <cell r="AQ4718">
            <v>0</v>
          </cell>
          <cell r="AV4718">
            <v>0</v>
          </cell>
        </row>
        <row r="4719">
          <cell r="E4719" t="str">
            <v>B25015410</v>
          </cell>
          <cell r="AP4719">
            <v>0</v>
          </cell>
          <cell r="AQ4719">
            <v>0</v>
          </cell>
          <cell r="AV4719">
            <v>0</v>
          </cell>
        </row>
        <row r="4720">
          <cell r="E4720" t="str">
            <v>B25015462</v>
          </cell>
          <cell r="AP4720">
            <v>0</v>
          </cell>
          <cell r="AQ4720">
            <v>0</v>
          </cell>
          <cell r="AV4720">
            <v>0</v>
          </cell>
        </row>
        <row r="4721">
          <cell r="E4721" t="str">
            <v>D25018207</v>
          </cell>
          <cell r="AP4721">
            <v>0</v>
          </cell>
          <cell r="AQ4721">
            <v>0</v>
          </cell>
          <cell r="AV4721">
            <v>0</v>
          </cell>
        </row>
        <row r="4722">
          <cell r="E4722" t="str">
            <v>D25019018</v>
          </cell>
          <cell r="AP4722">
            <v>0</v>
          </cell>
          <cell r="AQ4722">
            <v>0</v>
          </cell>
          <cell r="AV4722">
            <v>0</v>
          </cell>
        </row>
        <row r="4723">
          <cell r="E4723" t="str">
            <v>D25019607</v>
          </cell>
          <cell r="AP4723">
            <v>0</v>
          </cell>
          <cell r="AQ4723">
            <v>0</v>
          </cell>
          <cell r="AV4723">
            <v>0</v>
          </cell>
        </row>
        <row r="4724">
          <cell r="E4724" t="str">
            <v>B26000124</v>
          </cell>
          <cell r="AP4724">
            <v>0</v>
          </cell>
          <cell r="AQ4724">
            <v>0</v>
          </cell>
          <cell r="AV4724">
            <v>0</v>
          </cell>
        </row>
        <row r="4725">
          <cell r="E4725" t="str">
            <v>B26000372</v>
          </cell>
          <cell r="AP4725">
            <v>0</v>
          </cell>
          <cell r="AQ4725">
            <v>0</v>
          </cell>
          <cell r="AV4725">
            <v>0</v>
          </cell>
        </row>
        <row r="4726">
          <cell r="E4726" t="str">
            <v>B26000495</v>
          </cell>
          <cell r="AP4726">
            <v>0</v>
          </cell>
          <cell r="AQ4726">
            <v>0</v>
          </cell>
          <cell r="AV4726">
            <v>0</v>
          </cell>
        </row>
        <row r="4727">
          <cell r="E4727" t="str">
            <v>B26001120</v>
          </cell>
          <cell r="AP4727">
            <v>0</v>
          </cell>
          <cell r="AQ4727">
            <v>0</v>
          </cell>
          <cell r="AV4727">
            <v>0</v>
          </cell>
        </row>
        <row r="4728">
          <cell r="E4728" t="str">
            <v>B26001210</v>
          </cell>
          <cell r="AP4728">
            <v>0</v>
          </cell>
          <cell r="AQ4728">
            <v>0</v>
          </cell>
          <cell r="AV4728">
            <v>0</v>
          </cell>
        </row>
        <row r="4729">
          <cell r="E4729" t="str">
            <v>B26001520</v>
          </cell>
          <cell r="AP4729">
            <v>0</v>
          </cell>
          <cell r="AQ4729">
            <v>0</v>
          </cell>
          <cell r="AV4729">
            <v>0</v>
          </cell>
        </row>
        <row r="4730">
          <cell r="E4730" t="str">
            <v>B26001579</v>
          </cell>
          <cell r="AP4730">
            <v>0</v>
          </cell>
          <cell r="AQ4730">
            <v>0</v>
          </cell>
          <cell r="AV4730">
            <v>0</v>
          </cell>
        </row>
        <row r="4731">
          <cell r="E4731" t="str">
            <v>Z26000256</v>
          </cell>
          <cell r="AP4731">
            <v>0</v>
          </cell>
          <cell r="AQ4731">
            <v>0</v>
          </cell>
          <cell r="AV4731">
            <v>0</v>
          </cell>
        </row>
        <row r="4732">
          <cell r="E4732" t="str">
            <v>Z26000259</v>
          </cell>
          <cell r="AP4732">
            <v>0</v>
          </cell>
          <cell r="AQ4732">
            <v>0</v>
          </cell>
          <cell r="AV4732">
            <v>0</v>
          </cell>
        </row>
        <row r="4733">
          <cell r="E4733" t="str">
            <v>Z26000260</v>
          </cell>
          <cell r="AP4733">
            <v>0</v>
          </cell>
          <cell r="AQ4733">
            <v>0</v>
          </cell>
          <cell r="AV4733">
            <v>0</v>
          </cell>
        </row>
        <row r="4734">
          <cell r="E4734" t="str">
            <v>Z26000272</v>
          </cell>
          <cell r="AP4734">
            <v>0</v>
          </cell>
          <cell r="AQ4734">
            <v>0</v>
          </cell>
          <cell r="AV4734">
            <v>0</v>
          </cell>
        </row>
        <row r="4735">
          <cell r="E4735" t="str">
            <v>Z26000274</v>
          </cell>
          <cell r="AP4735">
            <v>0</v>
          </cell>
          <cell r="AQ4735">
            <v>0</v>
          </cell>
          <cell r="AV4735">
            <v>0</v>
          </cell>
        </row>
        <row r="4736">
          <cell r="E4736" t="str">
            <v>Z26000287</v>
          </cell>
          <cell r="AP4736">
            <v>0</v>
          </cell>
          <cell r="AQ4736">
            <v>0</v>
          </cell>
          <cell r="AV4736">
            <v>0</v>
          </cell>
        </row>
        <row r="4737">
          <cell r="E4737" t="str">
            <v>Z26000291</v>
          </cell>
          <cell r="AP4737">
            <v>0</v>
          </cell>
          <cell r="AQ4737">
            <v>0</v>
          </cell>
          <cell r="AV4737">
            <v>0</v>
          </cell>
        </row>
        <row r="4738">
          <cell r="E4738" t="str">
            <v>D25018261</v>
          </cell>
          <cell r="AP4738">
            <v>0</v>
          </cell>
          <cell r="AQ4738">
            <v>0</v>
          </cell>
          <cell r="AV4738">
            <v>0</v>
          </cell>
        </row>
        <row r="4739">
          <cell r="E4739" t="str">
            <v>B25015917</v>
          </cell>
          <cell r="AP4739">
            <v>0</v>
          </cell>
          <cell r="AQ4739">
            <v>0</v>
          </cell>
          <cell r="AV4739">
            <v>0</v>
          </cell>
        </row>
        <row r="4740">
          <cell r="E4740" t="str">
            <v>T25001814</v>
          </cell>
          <cell r="AP4740">
            <v>0</v>
          </cell>
          <cell r="AQ4740">
            <v>0</v>
          </cell>
          <cell r="AV4740">
            <v>0</v>
          </cell>
        </row>
        <row r="4741">
          <cell r="E4741" t="str">
            <v>B25016522</v>
          </cell>
          <cell r="AP4741">
            <v>0</v>
          </cell>
          <cell r="AQ4741">
            <v>0</v>
          </cell>
          <cell r="AV4741">
            <v>0</v>
          </cell>
        </row>
        <row r="4742">
          <cell r="E4742" t="str">
            <v>D25018976</v>
          </cell>
          <cell r="AP4742">
            <v>0</v>
          </cell>
          <cell r="AQ4742">
            <v>0</v>
          </cell>
          <cell r="AV4742">
            <v>0</v>
          </cell>
        </row>
        <row r="4743">
          <cell r="E4743" t="str">
            <v>D25018977</v>
          </cell>
          <cell r="AP4743">
            <v>0</v>
          </cell>
          <cell r="AQ4743">
            <v>0</v>
          </cell>
          <cell r="AV4743">
            <v>0</v>
          </cell>
        </row>
        <row r="4744">
          <cell r="E4744" t="str">
            <v>D25019447</v>
          </cell>
          <cell r="AP4744">
            <v>0</v>
          </cell>
          <cell r="AQ4744">
            <v>0</v>
          </cell>
          <cell r="AV4744">
            <v>0</v>
          </cell>
        </row>
        <row r="4745">
          <cell r="E4745" t="str">
            <v>D26000051</v>
          </cell>
          <cell r="AP4745">
            <v>0</v>
          </cell>
          <cell r="AQ4745">
            <v>0</v>
          </cell>
          <cell r="AV4745">
            <v>0</v>
          </cell>
        </row>
        <row r="4746">
          <cell r="E4746" t="str">
            <v>D26000052</v>
          </cell>
          <cell r="AP4746">
            <v>0</v>
          </cell>
          <cell r="AQ4746">
            <v>0</v>
          </cell>
          <cell r="AV4746">
            <v>0</v>
          </cell>
        </row>
        <row r="4747">
          <cell r="E4747" t="str">
            <v>D26000069</v>
          </cell>
          <cell r="AP4747">
            <v>0</v>
          </cell>
          <cell r="AQ4747">
            <v>0</v>
          </cell>
          <cell r="AV4747">
            <v>0</v>
          </cell>
        </row>
        <row r="4748">
          <cell r="E4748" t="str">
            <v>B26000725</v>
          </cell>
          <cell r="AP4748">
            <v>0</v>
          </cell>
          <cell r="AQ4748">
            <v>0</v>
          </cell>
          <cell r="AV4748">
            <v>0</v>
          </cell>
        </row>
        <row r="4749">
          <cell r="E4749" t="str">
            <v>B26000727</v>
          </cell>
          <cell r="AP4749">
            <v>0</v>
          </cell>
          <cell r="AQ4749">
            <v>0</v>
          </cell>
          <cell r="AV4749">
            <v>0</v>
          </cell>
        </row>
        <row r="4750">
          <cell r="E4750" t="str">
            <v>B26000891</v>
          </cell>
          <cell r="AP4750">
            <v>0</v>
          </cell>
          <cell r="AQ4750">
            <v>0</v>
          </cell>
          <cell r="AV4750">
            <v>0</v>
          </cell>
        </row>
        <row r="4751">
          <cell r="E4751" t="str">
            <v>B26000892</v>
          </cell>
          <cell r="AP4751">
            <v>0</v>
          </cell>
          <cell r="AQ4751">
            <v>0</v>
          </cell>
          <cell r="AV4751">
            <v>0</v>
          </cell>
        </row>
        <row r="4752">
          <cell r="E4752" t="str">
            <v>B26000893</v>
          </cell>
          <cell r="AP4752">
            <v>0</v>
          </cell>
          <cell r="AQ4752">
            <v>0</v>
          </cell>
          <cell r="AV4752">
            <v>0</v>
          </cell>
        </row>
        <row r="4753">
          <cell r="E4753" t="str">
            <v>B26000923</v>
          </cell>
          <cell r="AP4753">
            <v>0</v>
          </cell>
          <cell r="AQ4753">
            <v>0</v>
          </cell>
          <cell r="AV4753">
            <v>0</v>
          </cell>
        </row>
        <row r="4754">
          <cell r="E4754" t="str">
            <v>B26000945</v>
          </cell>
          <cell r="AP4754">
            <v>0</v>
          </cell>
          <cell r="AQ4754">
            <v>0</v>
          </cell>
          <cell r="AV4754">
            <v>0</v>
          </cell>
        </row>
        <row r="4755">
          <cell r="E4755" t="str">
            <v>B26001018</v>
          </cell>
          <cell r="AP4755">
            <v>0</v>
          </cell>
          <cell r="AQ4755">
            <v>0</v>
          </cell>
          <cell r="AV4755">
            <v>0</v>
          </cell>
        </row>
        <row r="4756">
          <cell r="E4756" t="str">
            <v>B26001594</v>
          </cell>
          <cell r="AP4756">
            <v>0</v>
          </cell>
          <cell r="AQ4756">
            <v>0</v>
          </cell>
          <cell r="AV4756">
            <v>0</v>
          </cell>
        </row>
        <row r="4757">
          <cell r="E4757" t="str">
            <v>B26001302</v>
          </cell>
          <cell r="AP4757">
            <v>0</v>
          </cell>
          <cell r="AQ4757">
            <v>0</v>
          </cell>
          <cell r="AV4757">
            <v>0</v>
          </cell>
        </row>
        <row r="4758">
          <cell r="E4758" t="str">
            <v>B25015947</v>
          </cell>
          <cell r="AP4758">
            <v>0</v>
          </cell>
          <cell r="AQ4758">
            <v>0</v>
          </cell>
          <cell r="AV4758">
            <v>0</v>
          </cell>
        </row>
        <row r="4759">
          <cell r="E4759" t="str">
            <v>B25016358</v>
          </cell>
          <cell r="AP4759">
            <v>0</v>
          </cell>
          <cell r="AQ4759">
            <v>0</v>
          </cell>
          <cell r="AV4759">
            <v>0</v>
          </cell>
        </row>
        <row r="4760">
          <cell r="E4760" t="str">
            <v>D25018892</v>
          </cell>
          <cell r="AP4760">
            <v>0</v>
          </cell>
          <cell r="AQ4760">
            <v>0</v>
          </cell>
          <cell r="AV4760">
            <v>0</v>
          </cell>
        </row>
        <row r="4761">
          <cell r="E4761" t="str">
            <v>D25019646</v>
          </cell>
          <cell r="AP4761">
            <v>0</v>
          </cell>
          <cell r="AQ4761">
            <v>0</v>
          </cell>
          <cell r="AV4761">
            <v>0</v>
          </cell>
        </row>
        <row r="4762">
          <cell r="E4762" t="str">
            <v>D26000087</v>
          </cell>
          <cell r="AP4762">
            <v>0</v>
          </cell>
          <cell r="AQ4762">
            <v>0</v>
          </cell>
          <cell r="AV4762">
            <v>0</v>
          </cell>
        </row>
        <row r="4763">
          <cell r="E4763" t="str">
            <v>D26000404</v>
          </cell>
          <cell r="AP4763">
            <v>0</v>
          </cell>
          <cell r="AQ4763">
            <v>0</v>
          </cell>
          <cell r="AV4763">
            <v>0</v>
          </cell>
        </row>
        <row r="4764">
          <cell r="E4764" t="str">
            <v>B26000928</v>
          </cell>
          <cell r="AP4764">
            <v>0</v>
          </cell>
          <cell r="AQ4764">
            <v>0</v>
          </cell>
          <cell r="AV4764">
            <v>0</v>
          </cell>
        </row>
        <row r="4765">
          <cell r="E4765" t="str">
            <v>D26001385</v>
          </cell>
          <cell r="AP4765">
            <v>0</v>
          </cell>
          <cell r="AQ4765">
            <v>0</v>
          </cell>
          <cell r="AV4765">
            <v>0</v>
          </cell>
        </row>
        <row r="4766">
          <cell r="E4766" t="str">
            <v>D26001436</v>
          </cell>
          <cell r="AP4766">
            <v>0</v>
          </cell>
          <cell r="AQ4766">
            <v>0</v>
          </cell>
          <cell r="AV4766">
            <v>0</v>
          </cell>
        </row>
        <row r="4767">
          <cell r="E4767" t="str">
            <v>D26001488</v>
          </cell>
          <cell r="AP4767">
            <v>0</v>
          </cell>
          <cell r="AQ4767">
            <v>0</v>
          </cell>
          <cell r="AV4767">
            <v>0</v>
          </cell>
        </row>
        <row r="4768">
          <cell r="E4768" t="str">
            <v>D26001503</v>
          </cell>
          <cell r="AP4768">
            <v>0</v>
          </cell>
          <cell r="AQ4768">
            <v>0</v>
          </cell>
          <cell r="AV4768">
            <v>0</v>
          </cell>
        </row>
        <row r="4769">
          <cell r="E4769" t="str">
            <v>D26001505</v>
          </cell>
          <cell r="AP4769">
            <v>0</v>
          </cell>
          <cell r="AQ4769">
            <v>0</v>
          </cell>
          <cell r="AV4769">
            <v>0</v>
          </cell>
        </row>
        <row r="4770">
          <cell r="E4770" t="str">
            <v>D26001527</v>
          </cell>
          <cell r="AP4770">
            <v>0</v>
          </cell>
          <cell r="AQ4770">
            <v>0</v>
          </cell>
          <cell r="AV4770">
            <v>0</v>
          </cell>
        </row>
        <row r="4771">
          <cell r="E4771" t="str">
            <v>D25018536</v>
          </cell>
          <cell r="AP4771">
            <v>0</v>
          </cell>
          <cell r="AQ4771">
            <v>0</v>
          </cell>
          <cell r="AV4771">
            <v>0</v>
          </cell>
        </row>
        <row r="4772">
          <cell r="E4772" t="str">
            <v>D25018614</v>
          </cell>
          <cell r="AP4772">
            <v>0</v>
          </cell>
          <cell r="AQ4772">
            <v>0</v>
          </cell>
          <cell r="AV4772">
            <v>0</v>
          </cell>
        </row>
        <row r="4773">
          <cell r="E4773" t="str">
            <v>B25016376</v>
          </cell>
          <cell r="AP4773">
            <v>0</v>
          </cell>
          <cell r="AQ4773">
            <v>0</v>
          </cell>
          <cell r="AV4773">
            <v>0</v>
          </cell>
        </row>
        <row r="4774">
          <cell r="E4774" t="str">
            <v>B25016743</v>
          </cell>
          <cell r="AP4774">
            <v>0</v>
          </cell>
          <cell r="AQ4774">
            <v>0</v>
          </cell>
          <cell r="AV4774">
            <v>0</v>
          </cell>
        </row>
        <row r="4775">
          <cell r="E4775" t="str">
            <v>B25017013</v>
          </cell>
          <cell r="AP4775">
            <v>0</v>
          </cell>
          <cell r="AQ4775">
            <v>0</v>
          </cell>
          <cell r="AV4775">
            <v>0</v>
          </cell>
        </row>
        <row r="4776">
          <cell r="E4776" t="str">
            <v>B25017043</v>
          </cell>
          <cell r="AP4776">
            <v>0</v>
          </cell>
          <cell r="AQ4776">
            <v>0</v>
          </cell>
          <cell r="AV4776">
            <v>0</v>
          </cell>
        </row>
        <row r="4777">
          <cell r="E4777" t="str">
            <v>D25019635</v>
          </cell>
          <cell r="AP4777">
            <v>0</v>
          </cell>
          <cell r="AQ4777">
            <v>0</v>
          </cell>
          <cell r="AV4777">
            <v>0</v>
          </cell>
        </row>
        <row r="4778">
          <cell r="E4778" t="str">
            <v>D26000172</v>
          </cell>
          <cell r="AP4778">
            <v>0</v>
          </cell>
          <cell r="AQ4778">
            <v>0</v>
          </cell>
          <cell r="AV4778">
            <v>0</v>
          </cell>
        </row>
        <row r="4779">
          <cell r="E4779" t="str">
            <v>D26000199</v>
          </cell>
          <cell r="AP4779">
            <v>0</v>
          </cell>
          <cell r="AQ4779">
            <v>0</v>
          </cell>
          <cell r="AV4779">
            <v>0</v>
          </cell>
        </row>
        <row r="4780">
          <cell r="E4780" t="str">
            <v>B26000195</v>
          </cell>
          <cell r="AP4780">
            <v>0</v>
          </cell>
          <cell r="AQ4780">
            <v>0</v>
          </cell>
          <cell r="AV4780">
            <v>0</v>
          </cell>
        </row>
        <row r="4781">
          <cell r="E4781" t="str">
            <v>D26000221</v>
          </cell>
          <cell r="AP4781">
            <v>0</v>
          </cell>
          <cell r="AQ4781">
            <v>0</v>
          </cell>
          <cell r="AV4781">
            <v>0</v>
          </cell>
        </row>
        <row r="4782">
          <cell r="E4782" t="str">
            <v>B26000519</v>
          </cell>
          <cell r="AP4782">
            <v>0</v>
          </cell>
          <cell r="AQ4782">
            <v>0</v>
          </cell>
          <cell r="AV4782">
            <v>0</v>
          </cell>
        </row>
        <row r="4783">
          <cell r="E4783" t="str">
            <v>B26000520</v>
          </cell>
          <cell r="AP4783">
            <v>0</v>
          </cell>
          <cell r="AQ4783">
            <v>0</v>
          </cell>
          <cell r="AV4783">
            <v>0</v>
          </cell>
        </row>
        <row r="4784">
          <cell r="E4784" t="str">
            <v>B26000822</v>
          </cell>
          <cell r="AP4784">
            <v>0</v>
          </cell>
          <cell r="AQ4784">
            <v>0</v>
          </cell>
          <cell r="AV4784">
            <v>0</v>
          </cell>
        </row>
        <row r="4785">
          <cell r="E4785" t="str">
            <v>B26000833</v>
          </cell>
          <cell r="AP4785">
            <v>0</v>
          </cell>
          <cell r="AQ4785">
            <v>0</v>
          </cell>
          <cell r="AV4785">
            <v>0</v>
          </cell>
        </row>
        <row r="4786">
          <cell r="E4786" t="str">
            <v>B26000880</v>
          </cell>
          <cell r="AP4786">
            <v>0</v>
          </cell>
          <cell r="AQ4786">
            <v>0</v>
          </cell>
          <cell r="AV4786">
            <v>0</v>
          </cell>
        </row>
        <row r="4787">
          <cell r="E4787" t="str">
            <v>D26000985</v>
          </cell>
          <cell r="AP4787">
            <v>0</v>
          </cell>
          <cell r="AQ4787">
            <v>0</v>
          </cell>
          <cell r="AV4787">
            <v>0</v>
          </cell>
        </row>
        <row r="4788">
          <cell r="E4788" t="str">
            <v>B26000990</v>
          </cell>
          <cell r="AP4788">
            <v>0</v>
          </cell>
          <cell r="AQ4788">
            <v>0</v>
          </cell>
          <cell r="AV4788">
            <v>0</v>
          </cell>
        </row>
        <row r="4789">
          <cell r="E4789" t="str">
            <v>D26001048</v>
          </cell>
          <cell r="AP4789">
            <v>0</v>
          </cell>
          <cell r="AQ4789">
            <v>0</v>
          </cell>
          <cell r="AV4789">
            <v>0</v>
          </cell>
        </row>
        <row r="4790">
          <cell r="E4790" t="str">
            <v>D26001208</v>
          </cell>
          <cell r="AP4790">
            <v>0</v>
          </cell>
          <cell r="AQ4790">
            <v>0</v>
          </cell>
          <cell r="AV4790">
            <v>0</v>
          </cell>
        </row>
        <row r="4791">
          <cell r="E4791" t="str">
            <v>D26001271</v>
          </cell>
          <cell r="AP4791">
            <v>0</v>
          </cell>
          <cell r="AQ4791">
            <v>0</v>
          </cell>
          <cell r="AV4791">
            <v>0</v>
          </cell>
        </row>
        <row r="4792">
          <cell r="E4792" t="str">
            <v>D26001278</v>
          </cell>
          <cell r="AP4792">
            <v>0</v>
          </cell>
          <cell r="AQ4792">
            <v>0</v>
          </cell>
          <cell r="AV4792">
            <v>0</v>
          </cell>
        </row>
        <row r="4793">
          <cell r="E4793" t="str">
            <v>B26001235</v>
          </cell>
          <cell r="AP4793">
            <v>0</v>
          </cell>
          <cell r="AQ4793">
            <v>0</v>
          </cell>
          <cell r="AV4793">
            <v>0</v>
          </cell>
        </row>
        <row r="4794">
          <cell r="E4794" t="str">
            <v>D26001374</v>
          </cell>
          <cell r="AP4794">
            <v>0</v>
          </cell>
          <cell r="AQ4794">
            <v>0</v>
          </cell>
          <cell r="AV4794">
            <v>0</v>
          </cell>
        </row>
        <row r="4795">
          <cell r="E4795" t="str">
            <v>B26001631</v>
          </cell>
          <cell r="AP4795">
            <v>0</v>
          </cell>
          <cell r="AQ4795">
            <v>0</v>
          </cell>
          <cell r="AV4795">
            <v>0</v>
          </cell>
        </row>
        <row r="4796">
          <cell r="E4796" t="str">
            <v>B25016192</v>
          </cell>
          <cell r="AP4796">
            <v>0</v>
          </cell>
          <cell r="AQ4796">
            <v>0</v>
          </cell>
          <cell r="AV4796">
            <v>0</v>
          </cell>
        </row>
        <row r="4797">
          <cell r="E4797" t="str">
            <v>T26000003</v>
          </cell>
          <cell r="AP4797">
            <v>0</v>
          </cell>
          <cell r="AQ4797">
            <v>0</v>
          </cell>
          <cell r="AV4797">
            <v>0</v>
          </cell>
        </row>
        <row r="4798">
          <cell r="E4798" t="str">
            <v>D25017244</v>
          </cell>
          <cell r="AP4798">
            <v>0</v>
          </cell>
          <cell r="AQ4798">
            <v>0</v>
          </cell>
          <cell r="AV4798">
            <v>0</v>
          </cell>
        </row>
        <row r="4799">
          <cell r="E4799" t="str">
            <v>B25015130</v>
          </cell>
          <cell r="AP4799">
            <v>0</v>
          </cell>
          <cell r="AQ4799">
            <v>0</v>
          </cell>
          <cell r="AV4799">
            <v>0</v>
          </cell>
        </row>
        <row r="4800">
          <cell r="E4800" t="str">
            <v>B25015305</v>
          </cell>
          <cell r="AP4800">
            <v>0</v>
          </cell>
          <cell r="AQ4800">
            <v>0</v>
          </cell>
          <cell r="AV4800">
            <v>0</v>
          </cell>
        </row>
        <row r="4801">
          <cell r="E4801" t="str">
            <v>D25018115</v>
          </cell>
          <cell r="AP4801">
            <v>0</v>
          </cell>
          <cell r="AQ4801">
            <v>0</v>
          </cell>
          <cell r="AV4801">
            <v>0</v>
          </cell>
        </row>
        <row r="4802">
          <cell r="E4802" t="str">
            <v>D25018171</v>
          </cell>
          <cell r="AP4802">
            <v>0</v>
          </cell>
          <cell r="AQ4802">
            <v>0</v>
          </cell>
          <cell r="AV4802">
            <v>0</v>
          </cell>
        </row>
        <row r="4803">
          <cell r="E4803" t="str">
            <v>D25018568</v>
          </cell>
          <cell r="AP4803">
            <v>0</v>
          </cell>
          <cell r="AQ4803">
            <v>0</v>
          </cell>
          <cell r="AV4803">
            <v>0</v>
          </cell>
        </row>
        <row r="4804">
          <cell r="E4804" t="str">
            <v>D25019184</v>
          </cell>
          <cell r="AP4804">
            <v>0</v>
          </cell>
          <cell r="AQ4804">
            <v>0</v>
          </cell>
          <cell r="AV4804">
            <v>0</v>
          </cell>
        </row>
        <row r="4805">
          <cell r="E4805" t="str">
            <v>D25019476</v>
          </cell>
          <cell r="AP4805">
            <v>0</v>
          </cell>
          <cell r="AQ4805">
            <v>0</v>
          </cell>
          <cell r="AV4805">
            <v>0</v>
          </cell>
        </row>
        <row r="4806">
          <cell r="E4806" t="str">
            <v>D25019477</v>
          </cell>
          <cell r="AP4806">
            <v>0</v>
          </cell>
          <cell r="AQ4806">
            <v>0</v>
          </cell>
          <cell r="AV4806">
            <v>0</v>
          </cell>
        </row>
        <row r="4807">
          <cell r="E4807" t="str">
            <v>B25017143</v>
          </cell>
          <cell r="AP4807">
            <v>0</v>
          </cell>
          <cell r="AQ4807">
            <v>0</v>
          </cell>
          <cell r="AV4807">
            <v>0</v>
          </cell>
        </row>
        <row r="4808">
          <cell r="E4808" t="str">
            <v>D26000064</v>
          </cell>
          <cell r="AP4808">
            <v>0</v>
          </cell>
          <cell r="AQ4808">
            <v>0</v>
          </cell>
          <cell r="AV4808">
            <v>0</v>
          </cell>
        </row>
        <row r="4809">
          <cell r="E4809" t="str">
            <v>D26000065</v>
          </cell>
          <cell r="AP4809">
            <v>0</v>
          </cell>
          <cell r="AQ4809">
            <v>0</v>
          </cell>
          <cell r="AV4809">
            <v>0</v>
          </cell>
        </row>
        <row r="4810">
          <cell r="E4810" t="str">
            <v>T25001776</v>
          </cell>
          <cell r="AP4810">
            <v>0</v>
          </cell>
          <cell r="AQ4810">
            <v>0</v>
          </cell>
          <cell r="AV4810">
            <v>0</v>
          </cell>
        </row>
        <row r="4811">
          <cell r="E4811" t="str">
            <v>Z25003112</v>
          </cell>
          <cell r="AP4811">
            <v>0</v>
          </cell>
          <cell r="AQ4811">
            <v>0</v>
          </cell>
          <cell r="AV4811">
            <v>0</v>
          </cell>
        </row>
        <row r="4812">
          <cell r="E4812" t="str">
            <v>Z26000017</v>
          </cell>
          <cell r="AP4812">
            <v>0</v>
          </cell>
          <cell r="AQ4812">
            <v>0</v>
          </cell>
          <cell r="AV4812">
            <v>0</v>
          </cell>
        </row>
        <row r="4813">
          <cell r="E4813" t="str">
            <v>Z26000181</v>
          </cell>
          <cell r="AP4813">
            <v>0</v>
          </cell>
          <cell r="AQ4813">
            <v>0</v>
          </cell>
          <cell r="AV4813">
            <v>0</v>
          </cell>
        </row>
        <row r="4814">
          <cell r="E4814" t="str">
            <v>Z26000182</v>
          </cell>
          <cell r="AP4814">
            <v>0</v>
          </cell>
          <cell r="AQ4814">
            <v>0</v>
          </cell>
          <cell r="AV4814">
            <v>0</v>
          </cell>
        </row>
        <row r="4815">
          <cell r="E4815" t="str">
            <v>Z26000298</v>
          </cell>
          <cell r="AP4815">
            <v>0</v>
          </cell>
          <cell r="AQ4815">
            <v>0</v>
          </cell>
          <cell r="AV4815">
            <v>0</v>
          </cell>
        </row>
        <row r="4816">
          <cell r="E4816" t="str">
            <v>B26000379</v>
          </cell>
          <cell r="AP4816">
            <v>0</v>
          </cell>
          <cell r="AQ4816">
            <v>0</v>
          </cell>
          <cell r="AV4816">
            <v>0</v>
          </cell>
        </row>
        <row r="4817">
          <cell r="E4817" t="str">
            <v>B26000451</v>
          </cell>
          <cell r="AP4817">
            <v>0</v>
          </cell>
          <cell r="AQ4817">
            <v>0</v>
          </cell>
          <cell r="AV4817">
            <v>0</v>
          </cell>
        </row>
        <row r="4818">
          <cell r="E4818" t="str">
            <v>B26000456</v>
          </cell>
          <cell r="AP4818">
            <v>0</v>
          </cell>
          <cell r="AQ4818">
            <v>0</v>
          </cell>
          <cell r="AV4818">
            <v>0</v>
          </cell>
        </row>
        <row r="4819">
          <cell r="E4819" t="str">
            <v>B26000707</v>
          </cell>
          <cell r="AP4819">
            <v>0</v>
          </cell>
          <cell r="AQ4819">
            <v>0</v>
          </cell>
          <cell r="AV4819">
            <v>0</v>
          </cell>
        </row>
        <row r="4820">
          <cell r="E4820" t="str">
            <v>B26001462</v>
          </cell>
          <cell r="AP4820">
            <v>0</v>
          </cell>
          <cell r="AQ4820">
            <v>0</v>
          </cell>
          <cell r="AV4820">
            <v>0</v>
          </cell>
        </row>
        <row r="4821">
          <cell r="E4821" t="str">
            <v>D26001560</v>
          </cell>
          <cell r="AP4821">
            <v>0</v>
          </cell>
          <cell r="AQ4821">
            <v>0</v>
          </cell>
          <cell r="AV4821">
            <v>0</v>
          </cell>
        </row>
        <row r="4822">
          <cell r="E4822" t="str">
            <v>Z25003241</v>
          </cell>
          <cell r="AP4822">
            <v>0</v>
          </cell>
          <cell r="AQ4822">
            <v>0</v>
          </cell>
          <cell r="AV4822">
            <v>0</v>
          </cell>
        </row>
        <row r="4823">
          <cell r="E4823" t="str">
            <v>Z26000025</v>
          </cell>
          <cell r="AP4823">
            <v>0</v>
          </cell>
          <cell r="AQ4823">
            <v>0</v>
          </cell>
          <cell r="AV4823">
            <v>0</v>
          </cell>
        </row>
        <row r="4824">
          <cell r="E4824" t="str">
            <v>Z26000237</v>
          </cell>
          <cell r="AP4824">
            <v>0</v>
          </cell>
          <cell r="AQ4824">
            <v>0</v>
          </cell>
          <cell r="AV4824">
            <v>0</v>
          </cell>
        </row>
        <row r="4825">
          <cell r="E4825" t="str">
            <v>D25016736</v>
          </cell>
          <cell r="AP4825">
            <v>0</v>
          </cell>
          <cell r="AQ4825">
            <v>0</v>
          </cell>
          <cell r="AV4825">
            <v>0</v>
          </cell>
        </row>
        <row r="4826">
          <cell r="E4826" t="str">
            <v>D25016855</v>
          </cell>
          <cell r="AP4826">
            <v>0</v>
          </cell>
          <cell r="AQ4826">
            <v>0</v>
          </cell>
          <cell r="AV4826">
            <v>0</v>
          </cell>
        </row>
        <row r="4827">
          <cell r="E4827" t="str">
            <v>B25014592</v>
          </cell>
          <cell r="AP4827">
            <v>0</v>
          </cell>
          <cell r="AQ4827">
            <v>0</v>
          </cell>
          <cell r="AV4827">
            <v>0</v>
          </cell>
        </row>
        <row r="4828">
          <cell r="E4828" t="str">
            <v>D25016987</v>
          </cell>
          <cell r="AP4828">
            <v>0</v>
          </cell>
          <cell r="AQ4828">
            <v>0</v>
          </cell>
          <cell r="AV4828">
            <v>0</v>
          </cell>
        </row>
        <row r="4829">
          <cell r="E4829" t="str">
            <v>B25015156</v>
          </cell>
          <cell r="AP4829">
            <v>0</v>
          </cell>
          <cell r="AQ4829">
            <v>0</v>
          </cell>
          <cell r="AV4829">
            <v>0</v>
          </cell>
        </row>
        <row r="4830">
          <cell r="E4830" t="str">
            <v>D25017582</v>
          </cell>
          <cell r="AP4830">
            <v>0</v>
          </cell>
          <cell r="AQ4830">
            <v>0</v>
          </cell>
          <cell r="AV4830">
            <v>0</v>
          </cell>
        </row>
        <row r="4831">
          <cell r="E4831" t="str">
            <v>B25015225</v>
          </cell>
          <cell r="AP4831">
            <v>0</v>
          </cell>
          <cell r="AQ4831">
            <v>0</v>
          </cell>
          <cell r="AV4831">
            <v>0</v>
          </cell>
        </row>
        <row r="4832">
          <cell r="E4832" t="str">
            <v>D25017837</v>
          </cell>
          <cell r="AP4832">
            <v>0</v>
          </cell>
          <cell r="AQ4832">
            <v>0</v>
          </cell>
          <cell r="AV4832">
            <v>0</v>
          </cell>
        </row>
        <row r="4833">
          <cell r="E4833" t="str">
            <v>D25018210</v>
          </cell>
          <cell r="AP4833">
            <v>0</v>
          </cell>
          <cell r="AQ4833">
            <v>0</v>
          </cell>
          <cell r="AV4833">
            <v>0</v>
          </cell>
        </row>
        <row r="4834">
          <cell r="E4834" t="str">
            <v>B25016202</v>
          </cell>
          <cell r="AP4834">
            <v>0</v>
          </cell>
          <cell r="AQ4834">
            <v>0</v>
          </cell>
          <cell r="AV4834">
            <v>0</v>
          </cell>
        </row>
        <row r="4835">
          <cell r="E4835" t="str">
            <v>D25018685</v>
          </cell>
          <cell r="AP4835">
            <v>0</v>
          </cell>
          <cell r="AQ4835">
            <v>0</v>
          </cell>
          <cell r="AV4835">
            <v>0</v>
          </cell>
        </row>
        <row r="4836">
          <cell r="E4836" t="str">
            <v>D25018685</v>
          </cell>
          <cell r="AP4836">
            <v>0</v>
          </cell>
          <cell r="AQ4836">
            <v>0</v>
          </cell>
          <cell r="AV4836">
            <v>0</v>
          </cell>
        </row>
        <row r="4837">
          <cell r="E4837" t="str">
            <v>D25018685</v>
          </cell>
          <cell r="AP4837">
            <v>0</v>
          </cell>
          <cell r="AQ4837">
            <v>0</v>
          </cell>
          <cell r="AV4837">
            <v>0</v>
          </cell>
        </row>
        <row r="4838">
          <cell r="E4838" t="str">
            <v>D25018686</v>
          </cell>
          <cell r="AP4838">
            <v>0</v>
          </cell>
          <cell r="AQ4838">
            <v>0</v>
          </cell>
          <cell r="AV4838">
            <v>0</v>
          </cell>
        </row>
        <row r="4839">
          <cell r="E4839" t="str">
            <v>D25018979</v>
          </cell>
          <cell r="AP4839">
            <v>0</v>
          </cell>
          <cell r="AQ4839">
            <v>0</v>
          </cell>
          <cell r="AV4839">
            <v>0</v>
          </cell>
        </row>
        <row r="4840">
          <cell r="E4840" t="str">
            <v>B25016581</v>
          </cell>
          <cell r="AP4840">
            <v>0</v>
          </cell>
          <cell r="AQ4840">
            <v>0</v>
          </cell>
          <cell r="AV4840">
            <v>0</v>
          </cell>
        </row>
        <row r="4841">
          <cell r="E4841" t="str">
            <v>B25016605</v>
          </cell>
          <cell r="AP4841">
            <v>0</v>
          </cell>
          <cell r="AQ4841">
            <v>0</v>
          </cell>
          <cell r="AV4841">
            <v>0</v>
          </cell>
        </row>
        <row r="4842">
          <cell r="E4842" t="str">
            <v>D25019309</v>
          </cell>
          <cell r="AP4842">
            <v>0</v>
          </cell>
          <cell r="AQ4842">
            <v>0</v>
          </cell>
          <cell r="AV4842">
            <v>0</v>
          </cell>
        </row>
        <row r="4843">
          <cell r="E4843" t="str">
            <v>B25016921</v>
          </cell>
          <cell r="AP4843">
            <v>0</v>
          </cell>
          <cell r="AQ4843">
            <v>0</v>
          </cell>
          <cell r="AV4843">
            <v>0</v>
          </cell>
        </row>
        <row r="4844">
          <cell r="E4844" t="str">
            <v>B25016989</v>
          </cell>
          <cell r="AP4844">
            <v>0</v>
          </cell>
          <cell r="AQ4844">
            <v>0</v>
          </cell>
          <cell r="AV4844">
            <v>0</v>
          </cell>
        </row>
        <row r="4845">
          <cell r="E4845" t="str">
            <v>D25019644</v>
          </cell>
          <cell r="AP4845">
            <v>0</v>
          </cell>
          <cell r="AQ4845">
            <v>0</v>
          </cell>
          <cell r="AV4845">
            <v>0</v>
          </cell>
        </row>
        <row r="4846">
          <cell r="E4846" t="str">
            <v>B26000063</v>
          </cell>
          <cell r="AP4846">
            <v>0</v>
          </cell>
          <cell r="AQ4846">
            <v>0</v>
          </cell>
          <cell r="AV4846">
            <v>0</v>
          </cell>
        </row>
        <row r="4847">
          <cell r="E4847" t="str">
            <v>B26000309</v>
          </cell>
          <cell r="AP4847">
            <v>0</v>
          </cell>
          <cell r="AQ4847">
            <v>0</v>
          </cell>
          <cell r="AV4847">
            <v>0</v>
          </cell>
        </row>
        <row r="4848">
          <cell r="E4848" t="str">
            <v>B26000320</v>
          </cell>
          <cell r="AP4848">
            <v>0</v>
          </cell>
          <cell r="AQ4848">
            <v>0</v>
          </cell>
          <cell r="AV4848">
            <v>0</v>
          </cell>
        </row>
        <row r="4849">
          <cell r="E4849" t="str">
            <v>B26000492</v>
          </cell>
          <cell r="AP4849">
            <v>0</v>
          </cell>
          <cell r="AQ4849">
            <v>0</v>
          </cell>
          <cell r="AV4849">
            <v>0</v>
          </cell>
        </row>
        <row r="4850">
          <cell r="E4850" t="str">
            <v>B26000604</v>
          </cell>
          <cell r="AP4850">
            <v>0</v>
          </cell>
          <cell r="AQ4850">
            <v>0</v>
          </cell>
          <cell r="AV4850">
            <v>0</v>
          </cell>
        </row>
        <row r="4851">
          <cell r="E4851" t="str">
            <v>B26000732</v>
          </cell>
          <cell r="AP4851">
            <v>0</v>
          </cell>
          <cell r="AQ4851">
            <v>0</v>
          </cell>
          <cell r="AV4851">
            <v>0</v>
          </cell>
        </row>
        <row r="4852">
          <cell r="E4852" t="str">
            <v>B26001066</v>
          </cell>
          <cell r="AP4852">
            <v>0</v>
          </cell>
          <cell r="AQ4852">
            <v>0</v>
          </cell>
          <cell r="AV4852">
            <v>0</v>
          </cell>
        </row>
        <row r="4853">
          <cell r="E4853" t="str">
            <v>B26001148</v>
          </cell>
          <cell r="AP4853">
            <v>0</v>
          </cell>
          <cell r="AQ4853">
            <v>0</v>
          </cell>
          <cell r="AV4853">
            <v>0</v>
          </cell>
        </row>
        <row r="4854">
          <cell r="E4854" t="str">
            <v>B26001443</v>
          </cell>
          <cell r="AP4854">
            <v>0</v>
          </cell>
          <cell r="AQ4854">
            <v>0</v>
          </cell>
          <cell r="AV4854">
            <v>0</v>
          </cell>
        </row>
        <row r="4855">
          <cell r="E4855" t="str">
            <v>B26001448</v>
          </cell>
          <cell r="AP4855">
            <v>0</v>
          </cell>
          <cell r="AQ4855">
            <v>0</v>
          </cell>
          <cell r="AV4855">
            <v>0</v>
          </cell>
        </row>
        <row r="4856">
          <cell r="E4856" t="str">
            <v>B26001465</v>
          </cell>
          <cell r="AP4856">
            <v>0</v>
          </cell>
          <cell r="AQ4856">
            <v>0</v>
          </cell>
          <cell r="AV4856">
            <v>0</v>
          </cell>
        </row>
        <row r="4857">
          <cell r="E4857" t="str">
            <v>D26000278</v>
          </cell>
          <cell r="AP4857">
            <v>0</v>
          </cell>
          <cell r="AQ4857">
            <v>0</v>
          </cell>
          <cell r="AV4857">
            <v>0</v>
          </cell>
        </row>
        <row r="4858">
          <cell r="E4858" t="str">
            <v>D26000279</v>
          </cell>
          <cell r="AP4858">
            <v>0</v>
          </cell>
          <cell r="AQ4858">
            <v>0</v>
          </cell>
          <cell r="AV4858">
            <v>0</v>
          </cell>
        </row>
        <row r="4859">
          <cell r="E4859" t="str">
            <v>D26000894</v>
          </cell>
          <cell r="AP4859">
            <v>0</v>
          </cell>
          <cell r="AQ4859">
            <v>0</v>
          </cell>
          <cell r="AV4859">
            <v>0</v>
          </cell>
        </row>
        <row r="4860">
          <cell r="E4860" t="str">
            <v>D26001666</v>
          </cell>
          <cell r="AP4860">
            <v>0</v>
          </cell>
          <cell r="AQ4860">
            <v>0</v>
          </cell>
          <cell r="AV4860">
            <v>0</v>
          </cell>
        </row>
        <row r="4861">
          <cell r="E4861" t="str">
            <v>R25000016</v>
          </cell>
          <cell r="AP4861">
            <v>0</v>
          </cell>
          <cell r="AQ4861">
            <v>0</v>
          </cell>
          <cell r="AV4861">
            <v>0</v>
          </cell>
        </row>
        <row r="4862">
          <cell r="E4862" t="str">
            <v>T25001692</v>
          </cell>
          <cell r="AP4862">
            <v>0</v>
          </cell>
          <cell r="AQ4862">
            <v>0</v>
          </cell>
          <cell r="AV4862">
            <v>0</v>
          </cell>
        </row>
        <row r="4863">
          <cell r="E4863" t="str">
            <v>B26000594</v>
          </cell>
          <cell r="AP4863">
            <v>0</v>
          </cell>
          <cell r="AQ4863">
            <v>0</v>
          </cell>
          <cell r="AV4863">
            <v>0</v>
          </cell>
        </row>
        <row r="4864">
          <cell r="E4864" t="str">
            <v>B26000595</v>
          </cell>
          <cell r="AP4864">
            <v>0</v>
          </cell>
          <cell r="AQ4864">
            <v>0</v>
          </cell>
          <cell r="AV4864">
            <v>0</v>
          </cell>
        </row>
        <row r="4865">
          <cell r="E4865" t="str">
            <v>D26000651</v>
          </cell>
          <cell r="AP4865">
            <v>0</v>
          </cell>
          <cell r="AQ4865">
            <v>0</v>
          </cell>
          <cell r="AV4865">
            <v>0</v>
          </cell>
        </row>
        <row r="4866">
          <cell r="E4866" t="str">
            <v>T25001865</v>
          </cell>
          <cell r="AP4866">
            <v>0</v>
          </cell>
          <cell r="AQ4866">
            <v>0</v>
          </cell>
          <cell r="AV4866">
            <v>0</v>
          </cell>
        </row>
        <row r="4867">
          <cell r="E4867" t="str">
            <v>T25001353</v>
          </cell>
          <cell r="AP4867">
            <v>0</v>
          </cell>
          <cell r="AQ4867">
            <v>0</v>
          </cell>
          <cell r="AV4867">
            <v>0</v>
          </cell>
        </row>
        <row r="4868">
          <cell r="E4868" t="str">
            <v>D26000819</v>
          </cell>
          <cell r="AP4868">
            <v>0</v>
          </cell>
          <cell r="AQ4868">
            <v>0</v>
          </cell>
          <cell r="AV4868">
            <v>0</v>
          </cell>
        </row>
        <row r="4869">
          <cell r="E4869" t="str">
            <v>D26001152</v>
          </cell>
          <cell r="AP4869">
            <v>0</v>
          </cell>
          <cell r="AQ4869">
            <v>0</v>
          </cell>
          <cell r="AV4869">
            <v>0</v>
          </cell>
        </row>
        <row r="4870">
          <cell r="E4870" t="str">
            <v>D26001634</v>
          </cell>
          <cell r="AP4870">
            <v>0</v>
          </cell>
          <cell r="AQ4870">
            <v>0</v>
          </cell>
          <cell r="AV4870">
            <v>0</v>
          </cell>
        </row>
        <row r="4871">
          <cell r="E4871" t="str">
            <v>T25001625</v>
          </cell>
          <cell r="AP4871">
            <v>0</v>
          </cell>
          <cell r="AQ4871">
            <v>0</v>
          </cell>
          <cell r="AV4871">
            <v>0</v>
          </cell>
        </row>
        <row r="4872">
          <cell r="E4872" t="str">
            <v>D25019383</v>
          </cell>
          <cell r="AP4872">
            <v>0</v>
          </cell>
          <cell r="AQ4872">
            <v>0</v>
          </cell>
          <cell r="AV4872">
            <v>0</v>
          </cell>
        </row>
        <row r="4873">
          <cell r="E4873" t="str">
            <v>T26000088k</v>
          </cell>
          <cell r="AP4873">
            <v>0</v>
          </cell>
          <cell r="AQ4873">
            <v>0</v>
          </cell>
          <cell r="AV4873">
            <v>0</v>
          </cell>
        </row>
        <row r="4874">
          <cell r="E4874" t="str">
            <v>B26001517</v>
          </cell>
          <cell r="AP4874">
            <v>0</v>
          </cell>
          <cell r="AQ4874">
            <v>0</v>
          </cell>
          <cell r="AV4874">
            <v>0</v>
          </cell>
        </row>
        <row r="4875">
          <cell r="E4875" t="str">
            <v>D25018177</v>
          </cell>
          <cell r="AP4875">
            <v>0</v>
          </cell>
          <cell r="AQ4875">
            <v>0</v>
          </cell>
          <cell r="AV4875">
            <v>1840000</v>
          </cell>
        </row>
        <row r="4876">
          <cell r="E4876" t="str">
            <v>D25018834</v>
          </cell>
          <cell r="AP4876">
            <v>0</v>
          </cell>
          <cell r="AQ4876">
            <v>0</v>
          </cell>
          <cell r="AV4876">
            <v>0</v>
          </cell>
        </row>
        <row r="4877">
          <cell r="E4877" t="str">
            <v>D26000282</v>
          </cell>
          <cell r="AP4877">
            <v>0</v>
          </cell>
          <cell r="AQ4877">
            <v>0</v>
          </cell>
          <cell r="AV4877">
            <v>0</v>
          </cell>
        </row>
        <row r="4878">
          <cell r="E4878" t="str">
            <v>B26000043</v>
          </cell>
          <cell r="AP4878">
            <v>0</v>
          </cell>
          <cell r="AQ4878">
            <v>0</v>
          </cell>
          <cell r="AV4878">
            <v>0</v>
          </cell>
        </row>
        <row r="4879">
          <cell r="E4879" t="str">
            <v>B26000045</v>
          </cell>
          <cell r="AP4879">
            <v>0</v>
          </cell>
          <cell r="AQ4879">
            <v>0</v>
          </cell>
          <cell r="AV4879">
            <v>0</v>
          </cell>
        </row>
        <row r="4880">
          <cell r="E4880" t="str">
            <v>C26000008</v>
          </cell>
          <cell r="AP4880">
            <v>0</v>
          </cell>
          <cell r="AQ4880">
            <v>0</v>
          </cell>
          <cell r="AV4880">
            <v>0</v>
          </cell>
        </row>
        <row r="4881">
          <cell r="E4881" t="str">
            <v>B26000446</v>
          </cell>
          <cell r="AP4881">
            <v>0</v>
          </cell>
          <cell r="AQ4881">
            <v>0</v>
          </cell>
          <cell r="AV4881">
            <v>0</v>
          </cell>
        </row>
        <row r="4882">
          <cell r="E4882" t="str">
            <v>D26000516</v>
          </cell>
          <cell r="AP4882">
            <v>0</v>
          </cell>
          <cell r="AQ4882">
            <v>0</v>
          </cell>
          <cell r="AV4882">
            <v>0</v>
          </cell>
        </row>
        <row r="4883">
          <cell r="E4883" t="str">
            <v>B26000246</v>
          </cell>
          <cell r="AP4883">
            <v>0</v>
          </cell>
          <cell r="AQ4883">
            <v>0</v>
          </cell>
          <cell r="AV4883">
            <v>0</v>
          </cell>
        </row>
        <row r="4884">
          <cell r="E4884" t="str">
            <v>B26000247</v>
          </cell>
          <cell r="AP4884">
            <v>0</v>
          </cell>
          <cell r="AQ4884">
            <v>0</v>
          </cell>
          <cell r="AV4884">
            <v>0</v>
          </cell>
        </row>
        <row r="4885">
          <cell r="E4885" t="str">
            <v>D26001546</v>
          </cell>
          <cell r="AP4885">
            <v>0</v>
          </cell>
          <cell r="AQ4885">
            <v>0</v>
          </cell>
          <cell r="AV4885">
            <v>0</v>
          </cell>
        </row>
        <row r="4886">
          <cell r="E4886" t="str">
            <v>B25014156</v>
          </cell>
          <cell r="AP4886">
            <v>0</v>
          </cell>
          <cell r="AQ4886">
            <v>0</v>
          </cell>
          <cell r="AV4886">
            <v>0</v>
          </cell>
        </row>
        <row r="4887">
          <cell r="E4887" t="str">
            <v>D25018044</v>
          </cell>
          <cell r="AP4887">
            <v>0</v>
          </cell>
          <cell r="AQ4887">
            <v>0</v>
          </cell>
          <cell r="AV4887">
            <v>0</v>
          </cell>
        </row>
        <row r="4888">
          <cell r="E4888" t="str">
            <v>B25015992</v>
          </cell>
          <cell r="AP4888">
            <v>0</v>
          </cell>
          <cell r="AQ4888">
            <v>0</v>
          </cell>
          <cell r="AV4888">
            <v>0</v>
          </cell>
        </row>
        <row r="4889">
          <cell r="E4889" t="str">
            <v>B25016085</v>
          </cell>
          <cell r="AP4889">
            <v>0</v>
          </cell>
          <cell r="AQ4889">
            <v>0</v>
          </cell>
          <cell r="AV4889">
            <v>0</v>
          </cell>
        </row>
        <row r="4890">
          <cell r="E4890" t="str">
            <v>D25018873</v>
          </cell>
          <cell r="AP4890">
            <v>0</v>
          </cell>
          <cell r="AQ4890">
            <v>0</v>
          </cell>
          <cell r="AV4890">
            <v>0</v>
          </cell>
        </row>
        <row r="4891">
          <cell r="E4891" t="str">
            <v>D25018889</v>
          </cell>
          <cell r="AP4891">
            <v>0</v>
          </cell>
          <cell r="AQ4891">
            <v>0</v>
          </cell>
          <cell r="AV4891">
            <v>0</v>
          </cell>
        </row>
        <row r="4892">
          <cell r="E4892" t="str">
            <v>D25019527</v>
          </cell>
          <cell r="AP4892">
            <v>0</v>
          </cell>
          <cell r="AQ4892">
            <v>0</v>
          </cell>
          <cell r="AV4892">
            <v>0</v>
          </cell>
        </row>
        <row r="4893">
          <cell r="E4893" t="str">
            <v>D25019528</v>
          </cell>
          <cell r="AP4893">
            <v>0</v>
          </cell>
          <cell r="AQ4893">
            <v>0</v>
          </cell>
          <cell r="AV4893">
            <v>0</v>
          </cell>
        </row>
        <row r="4894">
          <cell r="E4894" t="str">
            <v>D25019529</v>
          </cell>
          <cell r="AP4894">
            <v>0</v>
          </cell>
          <cell r="AQ4894">
            <v>0</v>
          </cell>
          <cell r="AV4894">
            <v>0</v>
          </cell>
        </row>
        <row r="4895">
          <cell r="E4895" t="str">
            <v>B26001458</v>
          </cell>
          <cell r="AP4895">
            <v>0</v>
          </cell>
          <cell r="AQ4895">
            <v>0</v>
          </cell>
          <cell r="AV4895">
            <v>0</v>
          </cell>
        </row>
        <row r="4896">
          <cell r="E4896" t="str">
            <v>B25015024</v>
          </cell>
          <cell r="AP4896">
            <v>0</v>
          </cell>
          <cell r="AQ4896">
            <v>0</v>
          </cell>
          <cell r="AV4896">
            <v>0</v>
          </cell>
        </row>
        <row r="4897">
          <cell r="E4897">
            <v>250197</v>
          </cell>
          <cell r="AP4897">
            <v>0</v>
          </cell>
          <cell r="AQ4897">
            <v>0</v>
          </cell>
          <cell r="AV4897">
            <v>0</v>
          </cell>
        </row>
        <row r="4898">
          <cell r="E4898">
            <v>250198</v>
          </cell>
          <cell r="AP4898">
            <v>0</v>
          </cell>
          <cell r="AQ4898">
            <v>0</v>
          </cell>
          <cell r="AV4898">
            <v>0</v>
          </cell>
        </row>
        <row r="4899">
          <cell r="E4899" t="str">
            <v>D25018478</v>
          </cell>
          <cell r="AP4899">
            <v>0</v>
          </cell>
          <cell r="AQ4899">
            <v>0</v>
          </cell>
          <cell r="AV4899">
            <v>0</v>
          </cell>
        </row>
        <row r="4900">
          <cell r="E4900" t="str">
            <v>D26000491</v>
          </cell>
          <cell r="AP4900">
            <v>0</v>
          </cell>
          <cell r="AQ4900">
            <v>0</v>
          </cell>
          <cell r="AV4900">
            <v>0</v>
          </cell>
        </row>
        <row r="4901">
          <cell r="E4901" t="str">
            <v>D26000947</v>
          </cell>
          <cell r="AP4901">
            <v>0</v>
          </cell>
          <cell r="AQ4901">
            <v>0</v>
          </cell>
          <cell r="AV4901">
            <v>0</v>
          </cell>
        </row>
        <row r="4902">
          <cell r="E4902" t="str">
            <v>D26000987</v>
          </cell>
          <cell r="AP4902">
            <v>0</v>
          </cell>
          <cell r="AQ4902">
            <v>0</v>
          </cell>
          <cell r="AV4902">
            <v>0</v>
          </cell>
        </row>
        <row r="4903">
          <cell r="E4903" t="str">
            <v>B26001280</v>
          </cell>
          <cell r="AP4903">
            <v>0</v>
          </cell>
          <cell r="AQ4903">
            <v>0</v>
          </cell>
          <cell r="AV4903">
            <v>0</v>
          </cell>
        </row>
        <row r="4904">
          <cell r="E4904" t="str">
            <v>B26000884</v>
          </cell>
          <cell r="AP4904">
            <v>0</v>
          </cell>
          <cell r="AQ4904">
            <v>0</v>
          </cell>
          <cell r="AV4904">
            <v>0</v>
          </cell>
        </row>
        <row r="4905">
          <cell r="E4905" t="str">
            <v>B26001284</v>
          </cell>
          <cell r="AP4905">
            <v>0</v>
          </cell>
          <cell r="AQ4905">
            <v>0</v>
          </cell>
          <cell r="AV4905">
            <v>0</v>
          </cell>
        </row>
        <row r="4906">
          <cell r="E4906" t="str">
            <v>B26000116</v>
          </cell>
          <cell r="AP4906">
            <v>0</v>
          </cell>
          <cell r="AQ4906">
            <v>0</v>
          </cell>
          <cell r="AV4906">
            <v>0</v>
          </cell>
        </row>
        <row r="4907">
          <cell r="E4907" t="str">
            <v>B26000168</v>
          </cell>
          <cell r="AP4907">
            <v>0</v>
          </cell>
          <cell r="AQ4907">
            <v>0</v>
          </cell>
          <cell r="AV4907">
            <v>0</v>
          </cell>
        </row>
        <row r="4908">
          <cell r="E4908" t="str">
            <v>B26000499</v>
          </cell>
          <cell r="AP4908">
            <v>0</v>
          </cell>
          <cell r="AQ4908">
            <v>0</v>
          </cell>
          <cell r="AV4908">
            <v>0</v>
          </cell>
        </row>
        <row r="4909">
          <cell r="E4909" t="str">
            <v>B26000500</v>
          </cell>
          <cell r="AP4909">
            <v>0</v>
          </cell>
          <cell r="AQ4909">
            <v>0</v>
          </cell>
          <cell r="AV4909">
            <v>0</v>
          </cell>
        </row>
        <row r="4910">
          <cell r="E4910" t="str">
            <v>B26000507</v>
          </cell>
          <cell r="AP4910">
            <v>0</v>
          </cell>
          <cell r="AQ4910">
            <v>0</v>
          </cell>
          <cell r="AV4910">
            <v>0</v>
          </cell>
        </row>
        <row r="4911">
          <cell r="E4911" t="str">
            <v>B26000890</v>
          </cell>
          <cell r="AP4911">
            <v>0</v>
          </cell>
          <cell r="AQ4911">
            <v>0</v>
          </cell>
          <cell r="AV4911">
            <v>0</v>
          </cell>
        </row>
        <row r="4912">
          <cell r="E4912" t="str">
            <v>D26001435</v>
          </cell>
          <cell r="AP4912">
            <v>0</v>
          </cell>
          <cell r="AQ4912">
            <v>0</v>
          </cell>
          <cell r="AV4912">
            <v>0</v>
          </cell>
        </row>
        <row r="4913">
          <cell r="E4913" t="str">
            <v>D26001660</v>
          </cell>
          <cell r="AP4913">
            <v>0</v>
          </cell>
          <cell r="AQ4913">
            <v>0</v>
          </cell>
          <cell r="AV4913">
            <v>0</v>
          </cell>
        </row>
        <row r="4914">
          <cell r="E4914" t="str">
            <v>D26000785</v>
          </cell>
          <cell r="AP4914">
            <v>0</v>
          </cell>
          <cell r="AQ4914">
            <v>0</v>
          </cell>
          <cell r="AV4914">
            <v>0</v>
          </cell>
        </row>
        <row r="4915">
          <cell r="E4915" t="str">
            <v>B25014926</v>
          </cell>
          <cell r="AP4915">
            <v>0</v>
          </cell>
          <cell r="AQ4915">
            <v>0</v>
          </cell>
          <cell r="AV4915">
            <v>0</v>
          </cell>
        </row>
        <row r="4916">
          <cell r="E4916" t="str">
            <v>B25015763</v>
          </cell>
          <cell r="AP4916">
            <v>0</v>
          </cell>
          <cell r="AQ4916">
            <v>0</v>
          </cell>
          <cell r="AV4916">
            <v>0</v>
          </cell>
        </row>
        <row r="4917">
          <cell r="E4917" t="str">
            <v>B25015927</v>
          </cell>
          <cell r="AP4917">
            <v>0</v>
          </cell>
          <cell r="AQ4917">
            <v>0</v>
          </cell>
          <cell r="AV4917">
            <v>0</v>
          </cell>
        </row>
        <row r="4918">
          <cell r="E4918" t="str">
            <v>D25018368</v>
          </cell>
          <cell r="AP4918">
            <v>0</v>
          </cell>
          <cell r="AQ4918">
            <v>0</v>
          </cell>
          <cell r="AV4918">
            <v>0</v>
          </cell>
        </row>
        <row r="4919">
          <cell r="E4919" t="str">
            <v>D25019001</v>
          </cell>
          <cell r="AP4919">
            <v>0</v>
          </cell>
          <cell r="AQ4919">
            <v>0</v>
          </cell>
          <cell r="AV4919">
            <v>0</v>
          </cell>
        </row>
        <row r="4920">
          <cell r="E4920" t="str">
            <v>D25019019</v>
          </cell>
          <cell r="AP4920">
            <v>0</v>
          </cell>
          <cell r="AQ4920">
            <v>0</v>
          </cell>
          <cell r="AV4920">
            <v>0</v>
          </cell>
        </row>
        <row r="4921">
          <cell r="E4921" t="str">
            <v>D25019440</v>
          </cell>
          <cell r="AP4921">
            <v>0</v>
          </cell>
          <cell r="AQ4921">
            <v>0</v>
          </cell>
          <cell r="AV4921">
            <v>0</v>
          </cell>
        </row>
        <row r="4922">
          <cell r="E4922" t="str">
            <v>B25016982</v>
          </cell>
          <cell r="AP4922">
            <v>0</v>
          </cell>
          <cell r="AQ4922">
            <v>0</v>
          </cell>
          <cell r="AV4922">
            <v>0</v>
          </cell>
        </row>
        <row r="4923">
          <cell r="E4923" t="str">
            <v>D25019587</v>
          </cell>
          <cell r="AP4923">
            <v>0</v>
          </cell>
          <cell r="AQ4923">
            <v>0</v>
          </cell>
          <cell r="AV4923">
            <v>0</v>
          </cell>
        </row>
        <row r="4924">
          <cell r="E4924" t="str">
            <v>B26000022</v>
          </cell>
          <cell r="AP4924">
            <v>0</v>
          </cell>
          <cell r="AQ4924">
            <v>0</v>
          </cell>
          <cell r="AV4924">
            <v>0</v>
          </cell>
        </row>
        <row r="4925">
          <cell r="E4925" t="str">
            <v>D26000091</v>
          </cell>
          <cell r="AP4925">
            <v>0</v>
          </cell>
          <cell r="AQ4925">
            <v>0</v>
          </cell>
          <cell r="AV4925">
            <v>0</v>
          </cell>
        </row>
        <row r="4926">
          <cell r="E4926" t="str">
            <v>B26000175</v>
          </cell>
          <cell r="AP4926">
            <v>0</v>
          </cell>
          <cell r="AQ4926">
            <v>0</v>
          </cell>
          <cell r="AV4926">
            <v>0</v>
          </cell>
        </row>
        <row r="4927">
          <cell r="E4927" t="str">
            <v>D26000626</v>
          </cell>
          <cell r="AP4927">
            <v>0</v>
          </cell>
          <cell r="AQ4927">
            <v>0</v>
          </cell>
          <cell r="AV4927">
            <v>0</v>
          </cell>
        </row>
        <row r="4928">
          <cell r="E4928" t="str">
            <v>D26001467</v>
          </cell>
          <cell r="AP4928">
            <v>0</v>
          </cell>
          <cell r="AQ4928">
            <v>0</v>
          </cell>
          <cell r="AV4928">
            <v>0</v>
          </cell>
        </row>
        <row r="4929">
          <cell r="E4929" t="str">
            <v>Z25003133</v>
          </cell>
          <cell r="AP4929">
            <v>0</v>
          </cell>
          <cell r="AQ4929">
            <v>0</v>
          </cell>
          <cell r="AV4929">
            <v>0</v>
          </cell>
        </row>
        <row r="4930">
          <cell r="E4930" t="str">
            <v>Z25003175</v>
          </cell>
          <cell r="AP4930">
            <v>0</v>
          </cell>
          <cell r="AQ4930">
            <v>0</v>
          </cell>
          <cell r="AV4930">
            <v>0</v>
          </cell>
        </row>
        <row r="4931">
          <cell r="E4931" t="str">
            <v>Z25003313</v>
          </cell>
          <cell r="AP4931">
            <v>0</v>
          </cell>
          <cell r="AQ4931">
            <v>0</v>
          </cell>
          <cell r="AV4931">
            <v>0</v>
          </cell>
        </row>
        <row r="4932">
          <cell r="E4932" t="str">
            <v>Z26000010</v>
          </cell>
          <cell r="AP4932">
            <v>0</v>
          </cell>
          <cell r="AQ4932">
            <v>0</v>
          </cell>
          <cell r="AV4932">
            <v>0</v>
          </cell>
        </row>
        <row r="4933">
          <cell r="E4933" t="str">
            <v>Z26000013</v>
          </cell>
          <cell r="AP4933">
            <v>0</v>
          </cell>
          <cell r="AQ4933">
            <v>0</v>
          </cell>
          <cell r="AV4933">
            <v>0</v>
          </cell>
        </row>
        <row r="4934">
          <cell r="E4934" t="str">
            <v>Z26000149</v>
          </cell>
          <cell r="AP4934">
            <v>0</v>
          </cell>
          <cell r="AQ4934">
            <v>0</v>
          </cell>
          <cell r="AV4934">
            <v>0</v>
          </cell>
        </row>
        <row r="4935">
          <cell r="E4935" t="str">
            <v>Z26000172</v>
          </cell>
          <cell r="AP4935">
            <v>0</v>
          </cell>
          <cell r="AQ4935">
            <v>0</v>
          </cell>
          <cell r="AV4935">
            <v>0</v>
          </cell>
        </row>
        <row r="4936">
          <cell r="E4936" t="str">
            <v>Z26000186</v>
          </cell>
          <cell r="AP4936">
            <v>0</v>
          </cell>
          <cell r="AQ4936">
            <v>0</v>
          </cell>
          <cell r="AV4936">
            <v>0</v>
          </cell>
        </row>
        <row r="4937">
          <cell r="E4937" t="str">
            <v>Z26000189</v>
          </cell>
          <cell r="AP4937">
            <v>0</v>
          </cell>
          <cell r="AQ4937">
            <v>0</v>
          </cell>
          <cell r="AV4937">
            <v>0</v>
          </cell>
        </row>
        <row r="4938">
          <cell r="E4938" t="str">
            <v>Z26000201</v>
          </cell>
          <cell r="AP4938">
            <v>0</v>
          </cell>
          <cell r="AQ4938">
            <v>0</v>
          </cell>
          <cell r="AV4938">
            <v>0</v>
          </cell>
        </row>
        <row r="4939">
          <cell r="E4939" t="str">
            <v>D26000891</v>
          </cell>
          <cell r="AP4939">
            <v>0</v>
          </cell>
          <cell r="AQ4939">
            <v>0</v>
          </cell>
          <cell r="AV4939">
            <v>0</v>
          </cell>
        </row>
        <row r="4940">
          <cell r="E4940" t="str">
            <v>D26000892</v>
          </cell>
          <cell r="AP4940">
            <v>0</v>
          </cell>
          <cell r="AQ4940">
            <v>0</v>
          </cell>
          <cell r="AV4940">
            <v>0</v>
          </cell>
        </row>
        <row r="4941">
          <cell r="E4941" t="str">
            <v>D26000893</v>
          </cell>
          <cell r="AP4941">
            <v>0</v>
          </cell>
          <cell r="AQ4941">
            <v>0</v>
          </cell>
          <cell r="AV4941">
            <v>0</v>
          </cell>
        </row>
        <row r="4942">
          <cell r="E4942" t="str">
            <v>D25017659</v>
          </cell>
          <cell r="AP4942">
            <v>0</v>
          </cell>
          <cell r="AQ4942">
            <v>0</v>
          </cell>
          <cell r="AV4942">
            <v>0</v>
          </cell>
        </row>
        <row r="4943">
          <cell r="E4943" t="str">
            <v>D25018842</v>
          </cell>
          <cell r="AP4943">
            <v>0</v>
          </cell>
          <cell r="AQ4943">
            <v>0</v>
          </cell>
          <cell r="AV4943">
            <v>0</v>
          </cell>
        </row>
        <row r="4944">
          <cell r="E4944" t="str">
            <v>B25015526</v>
          </cell>
          <cell r="AP4944">
            <v>0</v>
          </cell>
          <cell r="AQ4944">
            <v>0</v>
          </cell>
          <cell r="AV4944">
            <v>0</v>
          </cell>
        </row>
        <row r="4945">
          <cell r="E4945" t="str">
            <v>D25019103</v>
          </cell>
          <cell r="AP4945">
            <v>0</v>
          </cell>
          <cell r="AQ4945">
            <v>0</v>
          </cell>
          <cell r="AV4945">
            <v>0</v>
          </cell>
        </row>
        <row r="4946">
          <cell r="E4946" t="str">
            <v>B26000114</v>
          </cell>
          <cell r="AP4946">
            <v>0</v>
          </cell>
          <cell r="AQ4946">
            <v>0</v>
          </cell>
          <cell r="AV4946">
            <v>0</v>
          </cell>
        </row>
        <row r="4947">
          <cell r="E4947" t="str">
            <v>D26000123</v>
          </cell>
          <cell r="AP4947">
            <v>0</v>
          </cell>
          <cell r="AQ4947">
            <v>0</v>
          </cell>
          <cell r="AV4947">
            <v>0</v>
          </cell>
        </row>
        <row r="4948">
          <cell r="E4948" t="str">
            <v>B26001621</v>
          </cell>
          <cell r="AP4948">
            <v>0</v>
          </cell>
          <cell r="AQ4948">
            <v>0</v>
          </cell>
          <cell r="AV4948">
            <v>0</v>
          </cell>
        </row>
        <row r="4949">
          <cell r="E4949" t="str">
            <v>B26001622</v>
          </cell>
          <cell r="AP4949">
            <v>0</v>
          </cell>
          <cell r="AQ4949">
            <v>0</v>
          </cell>
          <cell r="AV4949">
            <v>0</v>
          </cell>
        </row>
        <row r="4950">
          <cell r="E4950" t="str">
            <v>B25016981</v>
          </cell>
          <cell r="AP4950">
            <v>0</v>
          </cell>
          <cell r="AQ4950">
            <v>0</v>
          </cell>
          <cell r="AV4950">
            <v>0</v>
          </cell>
        </row>
        <row r="4951">
          <cell r="E4951" t="str">
            <v>B25016983</v>
          </cell>
          <cell r="AP4951">
            <v>0</v>
          </cell>
          <cell r="AQ4951">
            <v>0</v>
          </cell>
          <cell r="AV4951">
            <v>0</v>
          </cell>
        </row>
        <row r="4952">
          <cell r="E4952" t="str">
            <v>B26000189</v>
          </cell>
          <cell r="AP4952">
            <v>0</v>
          </cell>
          <cell r="AQ4952">
            <v>0</v>
          </cell>
          <cell r="AV4952">
            <v>0</v>
          </cell>
        </row>
        <row r="4953">
          <cell r="E4953" t="str">
            <v>T26000019</v>
          </cell>
          <cell r="AP4953">
            <v>0</v>
          </cell>
          <cell r="AQ4953">
            <v>0</v>
          </cell>
          <cell r="AV4953">
            <v>0</v>
          </cell>
        </row>
        <row r="4954">
          <cell r="E4954" t="str">
            <v>D26000364</v>
          </cell>
          <cell r="AP4954">
            <v>0</v>
          </cell>
          <cell r="AQ4954">
            <v>0</v>
          </cell>
          <cell r="AV4954">
            <v>0</v>
          </cell>
        </row>
        <row r="4955">
          <cell r="E4955" t="str">
            <v>B26001172</v>
          </cell>
          <cell r="AP4955">
            <v>0</v>
          </cell>
          <cell r="AQ4955">
            <v>0</v>
          </cell>
          <cell r="AV4955">
            <v>0</v>
          </cell>
        </row>
        <row r="4956">
          <cell r="E4956" t="str">
            <v>B26001176</v>
          </cell>
          <cell r="AP4956">
            <v>0</v>
          </cell>
          <cell r="AQ4956">
            <v>0</v>
          </cell>
          <cell r="AV4956">
            <v>0</v>
          </cell>
        </row>
        <row r="4957">
          <cell r="E4957" t="str">
            <v>B26001460</v>
          </cell>
          <cell r="AP4957">
            <v>0</v>
          </cell>
          <cell r="AQ4957">
            <v>0</v>
          </cell>
          <cell r="AV4957">
            <v>0</v>
          </cell>
        </row>
        <row r="4958">
          <cell r="E4958" t="str">
            <v>D26001601</v>
          </cell>
          <cell r="AP4958">
            <v>0</v>
          </cell>
          <cell r="AQ4958">
            <v>0</v>
          </cell>
          <cell r="AV4958">
            <v>0</v>
          </cell>
        </row>
        <row r="4959">
          <cell r="E4959" t="str">
            <v>D26001602</v>
          </cell>
          <cell r="AP4959">
            <v>0</v>
          </cell>
          <cell r="AQ4959">
            <v>0</v>
          </cell>
          <cell r="AV4959">
            <v>0</v>
          </cell>
        </row>
        <row r="4960">
          <cell r="E4960" t="str">
            <v>D25018476</v>
          </cell>
          <cell r="AP4960">
            <v>0</v>
          </cell>
          <cell r="AQ4960">
            <v>0</v>
          </cell>
          <cell r="AV4960">
            <v>0</v>
          </cell>
        </row>
        <row r="4961">
          <cell r="E4961" t="str">
            <v>D25018846</v>
          </cell>
          <cell r="AP4961">
            <v>0</v>
          </cell>
          <cell r="AQ4961">
            <v>0</v>
          </cell>
          <cell r="AV4961">
            <v>0</v>
          </cell>
        </row>
        <row r="4962">
          <cell r="E4962" t="str">
            <v>D25019341</v>
          </cell>
          <cell r="AP4962">
            <v>0</v>
          </cell>
          <cell r="AQ4962">
            <v>0</v>
          </cell>
          <cell r="AV4962">
            <v>0</v>
          </cell>
        </row>
        <row r="4963">
          <cell r="E4963" t="str">
            <v>B26000385</v>
          </cell>
          <cell r="AP4963">
            <v>0</v>
          </cell>
          <cell r="AQ4963">
            <v>0</v>
          </cell>
          <cell r="AV4963">
            <v>0</v>
          </cell>
        </row>
        <row r="4964">
          <cell r="E4964" t="str">
            <v>D26000832</v>
          </cell>
          <cell r="AP4964">
            <v>0</v>
          </cell>
          <cell r="AQ4964">
            <v>0</v>
          </cell>
          <cell r="AV4964">
            <v>0</v>
          </cell>
        </row>
        <row r="4965">
          <cell r="E4965" t="str">
            <v>D26000057</v>
          </cell>
          <cell r="AP4965">
            <v>0</v>
          </cell>
          <cell r="AQ4965">
            <v>0</v>
          </cell>
          <cell r="AV4965">
            <v>0</v>
          </cell>
        </row>
        <row r="4966">
          <cell r="E4966" t="str">
            <v>D26001564</v>
          </cell>
          <cell r="AP4966">
            <v>0</v>
          </cell>
          <cell r="AQ4966">
            <v>0</v>
          </cell>
          <cell r="AV4966">
            <v>0</v>
          </cell>
        </row>
        <row r="4967">
          <cell r="E4967" t="str">
            <v>D25013787</v>
          </cell>
          <cell r="AP4967">
            <v>0</v>
          </cell>
          <cell r="AQ4967">
            <v>0</v>
          </cell>
          <cell r="AV4967">
            <v>0</v>
          </cell>
        </row>
        <row r="4968">
          <cell r="E4968" t="str">
            <v>B25013655</v>
          </cell>
          <cell r="AP4968">
            <v>0</v>
          </cell>
          <cell r="AQ4968">
            <v>0</v>
          </cell>
          <cell r="AV4968">
            <v>0</v>
          </cell>
        </row>
        <row r="4969">
          <cell r="E4969" t="str">
            <v>B25014606</v>
          </cell>
          <cell r="AP4969">
            <v>0</v>
          </cell>
          <cell r="AQ4969">
            <v>0</v>
          </cell>
          <cell r="AV4969">
            <v>0</v>
          </cell>
        </row>
        <row r="4970">
          <cell r="E4970" t="str">
            <v>B25014698</v>
          </cell>
          <cell r="AP4970">
            <v>0</v>
          </cell>
          <cell r="AQ4970">
            <v>0</v>
          </cell>
          <cell r="AV4970">
            <v>0</v>
          </cell>
        </row>
        <row r="4971">
          <cell r="E4971" t="str">
            <v>D25017436</v>
          </cell>
          <cell r="AP4971">
            <v>0</v>
          </cell>
          <cell r="AQ4971">
            <v>0</v>
          </cell>
          <cell r="AV4971">
            <v>0</v>
          </cell>
        </row>
        <row r="4972">
          <cell r="E4972" t="str">
            <v>B25015576</v>
          </cell>
          <cell r="AP4972">
            <v>0</v>
          </cell>
          <cell r="AQ4972">
            <v>0</v>
          </cell>
          <cell r="AV4972">
            <v>0</v>
          </cell>
        </row>
        <row r="4973">
          <cell r="E4973" t="str">
            <v>D25018180</v>
          </cell>
          <cell r="AP4973">
            <v>0</v>
          </cell>
          <cell r="AQ4973">
            <v>0</v>
          </cell>
          <cell r="AV4973">
            <v>0</v>
          </cell>
        </row>
        <row r="4974">
          <cell r="E4974" t="str">
            <v>B25016094</v>
          </cell>
          <cell r="AP4974">
            <v>0</v>
          </cell>
          <cell r="AQ4974">
            <v>0</v>
          </cell>
          <cell r="AV4974">
            <v>0</v>
          </cell>
        </row>
        <row r="4975">
          <cell r="E4975" t="str">
            <v>B26000433</v>
          </cell>
          <cell r="AP4975">
            <v>0</v>
          </cell>
          <cell r="AQ4975">
            <v>0</v>
          </cell>
          <cell r="AV4975">
            <v>0</v>
          </cell>
        </row>
        <row r="4976">
          <cell r="E4976" t="str">
            <v>B26000689</v>
          </cell>
          <cell r="AP4976">
            <v>0</v>
          </cell>
          <cell r="AQ4976">
            <v>0</v>
          </cell>
          <cell r="AV4976">
            <v>0</v>
          </cell>
        </row>
        <row r="4977">
          <cell r="E4977" t="str">
            <v>B26000818</v>
          </cell>
          <cell r="AP4977">
            <v>0</v>
          </cell>
          <cell r="AQ4977">
            <v>0</v>
          </cell>
          <cell r="AV4977">
            <v>0</v>
          </cell>
        </row>
        <row r="4978">
          <cell r="E4978" t="str">
            <v>B26000934</v>
          </cell>
          <cell r="AP4978">
            <v>0</v>
          </cell>
          <cell r="AQ4978">
            <v>0</v>
          </cell>
          <cell r="AV4978">
            <v>0</v>
          </cell>
        </row>
        <row r="4979">
          <cell r="E4979" t="str">
            <v>B26001429</v>
          </cell>
          <cell r="AP4979">
            <v>0</v>
          </cell>
          <cell r="AQ4979">
            <v>0</v>
          </cell>
          <cell r="AV4979">
            <v>0</v>
          </cell>
        </row>
        <row r="4980">
          <cell r="E4980" t="str">
            <v>D25018239</v>
          </cell>
          <cell r="AP4980">
            <v>0</v>
          </cell>
          <cell r="AQ4980">
            <v>0</v>
          </cell>
          <cell r="AV4980">
            <v>0</v>
          </cell>
        </row>
        <row r="4981">
          <cell r="E4981" t="str">
            <v>D25019128</v>
          </cell>
          <cell r="AP4981">
            <v>0</v>
          </cell>
          <cell r="AQ4981">
            <v>0</v>
          </cell>
          <cell r="AV4981">
            <v>0</v>
          </cell>
        </row>
        <row r="4982">
          <cell r="E4982" t="str">
            <v>D25019142</v>
          </cell>
          <cell r="AP4982">
            <v>0</v>
          </cell>
          <cell r="AQ4982">
            <v>0</v>
          </cell>
          <cell r="AV4982">
            <v>0</v>
          </cell>
        </row>
        <row r="4983">
          <cell r="E4983" t="str">
            <v>D25019143</v>
          </cell>
          <cell r="AP4983">
            <v>0</v>
          </cell>
          <cell r="AQ4983">
            <v>0</v>
          </cell>
          <cell r="AV4983">
            <v>0</v>
          </cell>
        </row>
        <row r="4984">
          <cell r="E4984" t="str">
            <v>B25016823</v>
          </cell>
          <cell r="AP4984">
            <v>0</v>
          </cell>
          <cell r="AQ4984">
            <v>0</v>
          </cell>
          <cell r="AV4984">
            <v>0</v>
          </cell>
        </row>
        <row r="4985">
          <cell r="E4985" t="str">
            <v>B25016925</v>
          </cell>
          <cell r="AP4985">
            <v>0</v>
          </cell>
          <cell r="AQ4985">
            <v>0</v>
          </cell>
          <cell r="AV4985">
            <v>0</v>
          </cell>
        </row>
        <row r="4986">
          <cell r="E4986" t="str">
            <v>D26000268</v>
          </cell>
          <cell r="AP4986">
            <v>0</v>
          </cell>
          <cell r="AQ4986">
            <v>0</v>
          </cell>
          <cell r="AV4986">
            <v>0</v>
          </cell>
        </row>
        <row r="4987">
          <cell r="E4987" t="str">
            <v>D26000275</v>
          </cell>
          <cell r="AP4987">
            <v>0</v>
          </cell>
          <cell r="AQ4987">
            <v>0</v>
          </cell>
          <cell r="AV4987">
            <v>0</v>
          </cell>
        </row>
        <row r="4988">
          <cell r="E4988" t="str">
            <v>D26000355</v>
          </cell>
          <cell r="AP4988">
            <v>0</v>
          </cell>
          <cell r="AQ4988">
            <v>0</v>
          </cell>
          <cell r="AV4988">
            <v>0</v>
          </cell>
        </row>
        <row r="4989">
          <cell r="E4989" t="str">
            <v>D26000788</v>
          </cell>
          <cell r="AP4989">
            <v>0</v>
          </cell>
          <cell r="AQ4989">
            <v>0</v>
          </cell>
          <cell r="AV4989">
            <v>0</v>
          </cell>
        </row>
        <row r="4990">
          <cell r="E4990" t="str">
            <v>D26001044</v>
          </cell>
          <cell r="AP4990">
            <v>0</v>
          </cell>
          <cell r="AQ4990">
            <v>0</v>
          </cell>
          <cell r="AV4990">
            <v>0</v>
          </cell>
        </row>
        <row r="4991">
          <cell r="E4991" t="str">
            <v>D26001231</v>
          </cell>
          <cell r="AP4991">
            <v>0</v>
          </cell>
          <cell r="AQ4991">
            <v>0</v>
          </cell>
          <cell r="AV4991">
            <v>0</v>
          </cell>
        </row>
        <row r="4992">
          <cell r="E4992" t="str">
            <v>D26001274</v>
          </cell>
          <cell r="AP4992">
            <v>0</v>
          </cell>
          <cell r="AQ4992">
            <v>0</v>
          </cell>
          <cell r="AV4992">
            <v>0</v>
          </cell>
        </row>
        <row r="4993">
          <cell r="E4993" t="str">
            <v>D26001280</v>
          </cell>
          <cell r="AP4993">
            <v>0</v>
          </cell>
          <cell r="AQ4993">
            <v>0</v>
          </cell>
          <cell r="AV4993">
            <v>0</v>
          </cell>
        </row>
        <row r="4994">
          <cell r="E4994" t="str">
            <v>B26001232</v>
          </cell>
          <cell r="AP4994">
            <v>0</v>
          </cell>
          <cell r="AQ4994">
            <v>0</v>
          </cell>
          <cell r="AV4994">
            <v>0</v>
          </cell>
        </row>
        <row r="4995">
          <cell r="E4995" t="str">
            <v>B25016320</v>
          </cell>
          <cell r="AP4995">
            <v>0</v>
          </cell>
          <cell r="AQ4995">
            <v>0</v>
          </cell>
          <cell r="AV4995">
            <v>0</v>
          </cell>
        </row>
        <row r="4996">
          <cell r="E4996" t="str">
            <v>B26001603</v>
          </cell>
          <cell r="AP4996">
            <v>0</v>
          </cell>
          <cell r="AQ4996">
            <v>0</v>
          </cell>
          <cell r="AV4996">
            <v>0</v>
          </cell>
        </row>
        <row r="4997">
          <cell r="E4997" t="str">
            <v>B26001436</v>
          </cell>
          <cell r="AP4997">
            <v>0</v>
          </cell>
          <cell r="AQ4997">
            <v>0</v>
          </cell>
          <cell r="AV4997">
            <v>0</v>
          </cell>
        </row>
        <row r="4998">
          <cell r="E4998" t="str">
            <v>D25018732</v>
          </cell>
          <cell r="AP4998">
            <v>0</v>
          </cell>
          <cell r="AQ4998">
            <v>0</v>
          </cell>
          <cell r="AV4998">
            <v>0</v>
          </cell>
        </row>
        <row r="4999">
          <cell r="E4999" t="str">
            <v>B26000254</v>
          </cell>
          <cell r="AP4999">
            <v>0</v>
          </cell>
          <cell r="AQ4999">
            <v>0</v>
          </cell>
          <cell r="AV4999">
            <v>0</v>
          </cell>
        </row>
        <row r="5000">
          <cell r="E5000" t="str">
            <v>B26000255</v>
          </cell>
          <cell r="AP5000">
            <v>0</v>
          </cell>
          <cell r="AQ5000">
            <v>0</v>
          </cell>
          <cell r="AV5000">
            <v>0</v>
          </cell>
        </row>
        <row r="5001">
          <cell r="E5001" t="str">
            <v>T26000046</v>
          </cell>
          <cell r="AP5001">
            <v>0</v>
          </cell>
          <cell r="AQ5001">
            <v>0</v>
          </cell>
          <cell r="AV5001">
            <v>0</v>
          </cell>
        </row>
        <row r="5002">
          <cell r="E5002" t="str">
            <v>D26001104</v>
          </cell>
          <cell r="AP5002">
            <v>0</v>
          </cell>
          <cell r="AQ5002">
            <v>0</v>
          </cell>
          <cell r="AV5002">
            <v>0</v>
          </cell>
        </row>
        <row r="5003">
          <cell r="E5003" t="str">
            <v>D26001105</v>
          </cell>
          <cell r="AP5003">
            <v>0</v>
          </cell>
          <cell r="AQ5003">
            <v>0</v>
          </cell>
          <cell r="AV5003">
            <v>0</v>
          </cell>
        </row>
        <row r="5004">
          <cell r="E5004" t="str">
            <v>D25019640</v>
          </cell>
          <cell r="AP5004">
            <v>0</v>
          </cell>
          <cell r="AQ5004">
            <v>0</v>
          </cell>
          <cell r="AV5004">
            <v>0</v>
          </cell>
        </row>
        <row r="5005">
          <cell r="E5005" t="str">
            <v>D25019720</v>
          </cell>
          <cell r="AP5005">
            <v>0</v>
          </cell>
          <cell r="AQ5005">
            <v>0</v>
          </cell>
          <cell r="AV5005">
            <v>0</v>
          </cell>
        </row>
        <row r="5006">
          <cell r="E5006" t="str">
            <v>T25001900</v>
          </cell>
          <cell r="AP5006">
            <v>0</v>
          </cell>
          <cell r="AQ5006">
            <v>0</v>
          </cell>
          <cell r="AV5006">
            <v>0</v>
          </cell>
        </row>
        <row r="5007">
          <cell r="E5007" t="str">
            <v>T25001901</v>
          </cell>
          <cell r="AP5007">
            <v>0</v>
          </cell>
          <cell r="AQ5007">
            <v>0</v>
          </cell>
          <cell r="AV5007">
            <v>0</v>
          </cell>
        </row>
        <row r="5008">
          <cell r="E5008" t="str">
            <v>D26000325</v>
          </cell>
          <cell r="AP5008">
            <v>0</v>
          </cell>
          <cell r="AQ5008">
            <v>0</v>
          </cell>
          <cell r="AV5008">
            <v>0</v>
          </cell>
        </row>
        <row r="5009">
          <cell r="E5009" t="str">
            <v>D26000877</v>
          </cell>
          <cell r="AP5009">
            <v>0</v>
          </cell>
          <cell r="AQ5009">
            <v>0</v>
          </cell>
          <cell r="AV5009">
            <v>0</v>
          </cell>
        </row>
        <row r="5010">
          <cell r="E5010" t="str">
            <v>B26000163</v>
          </cell>
          <cell r="AP5010">
            <v>0</v>
          </cell>
          <cell r="AQ5010">
            <v>0</v>
          </cell>
          <cell r="AV5010">
            <v>0</v>
          </cell>
        </row>
        <row r="5011">
          <cell r="E5011" t="str">
            <v>B26000164</v>
          </cell>
          <cell r="AP5011">
            <v>0</v>
          </cell>
          <cell r="AQ5011">
            <v>0</v>
          </cell>
          <cell r="AV5011">
            <v>0</v>
          </cell>
        </row>
        <row r="5012">
          <cell r="E5012" t="str">
            <v>B26001386</v>
          </cell>
          <cell r="AP5012">
            <v>0</v>
          </cell>
          <cell r="AQ5012">
            <v>0</v>
          </cell>
          <cell r="AV5012">
            <v>0</v>
          </cell>
        </row>
        <row r="5013">
          <cell r="E5013" t="str">
            <v>B25016817</v>
          </cell>
          <cell r="AP5013">
            <v>0</v>
          </cell>
          <cell r="AQ5013">
            <v>0</v>
          </cell>
          <cell r="AV5013">
            <v>0</v>
          </cell>
        </row>
        <row r="5014">
          <cell r="E5014" t="str">
            <v>B25016821</v>
          </cell>
          <cell r="AP5014">
            <v>0</v>
          </cell>
          <cell r="AQ5014">
            <v>0</v>
          </cell>
          <cell r="AV5014">
            <v>0</v>
          </cell>
        </row>
        <row r="5015">
          <cell r="E5015" t="str">
            <v>B25016835</v>
          </cell>
          <cell r="AP5015">
            <v>0</v>
          </cell>
          <cell r="AQ5015">
            <v>0</v>
          </cell>
          <cell r="AV5015">
            <v>0</v>
          </cell>
        </row>
        <row r="5016">
          <cell r="E5016" t="str">
            <v>N25000087</v>
          </cell>
          <cell r="AP5016">
            <v>0</v>
          </cell>
          <cell r="AQ5016">
            <v>0</v>
          </cell>
          <cell r="AV5016">
            <v>0</v>
          </cell>
        </row>
        <row r="5017">
          <cell r="E5017" t="str">
            <v>D25019685</v>
          </cell>
          <cell r="AP5017">
            <v>0</v>
          </cell>
          <cell r="AQ5017">
            <v>0</v>
          </cell>
          <cell r="AV5017">
            <v>0</v>
          </cell>
        </row>
        <row r="5018">
          <cell r="E5018" t="str">
            <v>B26000305</v>
          </cell>
          <cell r="AP5018">
            <v>0</v>
          </cell>
          <cell r="AQ5018">
            <v>0</v>
          </cell>
          <cell r="AV5018">
            <v>0</v>
          </cell>
        </row>
        <row r="5019">
          <cell r="E5019" t="str">
            <v>D26000342</v>
          </cell>
          <cell r="AP5019">
            <v>0</v>
          </cell>
          <cell r="AQ5019">
            <v>0</v>
          </cell>
          <cell r="AV5019">
            <v>0</v>
          </cell>
        </row>
        <row r="5020">
          <cell r="E5020" t="str">
            <v>B26001263</v>
          </cell>
          <cell r="AP5020">
            <v>0</v>
          </cell>
          <cell r="AQ5020">
            <v>0</v>
          </cell>
          <cell r="AV5020">
            <v>0</v>
          </cell>
        </row>
        <row r="5021">
          <cell r="E5021" t="str">
            <v>B25010943</v>
          </cell>
          <cell r="AP5021">
            <v>0</v>
          </cell>
          <cell r="AQ5021">
            <v>0</v>
          </cell>
          <cell r="AV5021">
            <v>0</v>
          </cell>
        </row>
        <row r="5022">
          <cell r="E5022" t="str">
            <v>D25017776</v>
          </cell>
          <cell r="AP5022">
            <v>0</v>
          </cell>
          <cell r="AQ5022">
            <v>0</v>
          </cell>
          <cell r="AV5022">
            <v>0</v>
          </cell>
        </row>
        <row r="5023">
          <cell r="E5023" t="str">
            <v>D25018243</v>
          </cell>
          <cell r="AP5023">
            <v>0</v>
          </cell>
          <cell r="AQ5023">
            <v>0</v>
          </cell>
          <cell r="AV5023">
            <v>0</v>
          </cell>
        </row>
        <row r="5024">
          <cell r="E5024" t="str">
            <v>D25018571</v>
          </cell>
          <cell r="AP5024">
            <v>0</v>
          </cell>
          <cell r="AQ5024">
            <v>0</v>
          </cell>
          <cell r="AV5024">
            <v>0</v>
          </cell>
        </row>
        <row r="5025">
          <cell r="E5025" t="str">
            <v>B25016168</v>
          </cell>
          <cell r="AP5025">
            <v>0</v>
          </cell>
          <cell r="AQ5025">
            <v>0</v>
          </cell>
          <cell r="AV5025">
            <v>0</v>
          </cell>
        </row>
        <row r="5026">
          <cell r="E5026" t="str">
            <v>T25001842</v>
          </cell>
          <cell r="AP5026">
            <v>0</v>
          </cell>
          <cell r="AQ5026">
            <v>0</v>
          </cell>
          <cell r="AV5026">
            <v>0</v>
          </cell>
        </row>
        <row r="5027">
          <cell r="E5027" t="str">
            <v>D25018833</v>
          </cell>
          <cell r="AP5027">
            <v>0</v>
          </cell>
          <cell r="AQ5027">
            <v>0</v>
          </cell>
          <cell r="AV5027">
            <v>0</v>
          </cell>
        </row>
        <row r="5028">
          <cell r="E5028" t="str">
            <v>D25019627</v>
          </cell>
          <cell r="AP5028">
            <v>0</v>
          </cell>
          <cell r="AQ5028">
            <v>0</v>
          </cell>
          <cell r="AV5028">
            <v>0</v>
          </cell>
        </row>
        <row r="5029">
          <cell r="E5029" t="str">
            <v>D25019118</v>
          </cell>
          <cell r="AP5029">
            <v>0</v>
          </cell>
          <cell r="AQ5029">
            <v>0</v>
          </cell>
          <cell r="AV5029">
            <v>0</v>
          </cell>
        </row>
        <row r="5030">
          <cell r="E5030" t="str">
            <v>D25019140</v>
          </cell>
          <cell r="AP5030">
            <v>0</v>
          </cell>
          <cell r="AQ5030">
            <v>0</v>
          </cell>
          <cell r="AV5030">
            <v>0</v>
          </cell>
        </row>
        <row r="5031">
          <cell r="E5031" t="str">
            <v>D26000402</v>
          </cell>
          <cell r="AP5031">
            <v>0</v>
          </cell>
          <cell r="AQ5031">
            <v>0</v>
          </cell>
          <cell r="AV5031">
            <v>0</v>
          </cell>
        </row>
        <row r="5032">
          <cell r="E5032" t="str">
            <v>D26000403</v>
          </cell>
          <cell r="AP5032">
            <v>0</v>
          </cell>
          <cell r="AQ5032">
            <v>0</v>
          </cell>
          <cell r="AV5032">
            <v>0</v>
          </cell>
        </row>
        <row r="5033">
          <cell r="E5033" t="str">
            <v>D25018300</v>
          </cell>
          <cell r="AP5033">
            <v>0</v>
          </cell>
          <cell r="AQ5033">
            <v>0</v>
          </cell>
          <cell r="AV5033">
            <v>0</v>
          </cell>
        </row>
        <row r="5034">
          <cell r="E5034" t="str">
            <v>B25016008</v>
          </cell>
          <cell r="AP5034">
            <v>0</v>
          </cell>
          <cell r="AQ5034">
            <v>0</v>
          </cell>
          <cell r="AV5034">
            <v>0</v>
          </cell>
        </row>
        <row r="5035">
          <cell r="E5035" t="str">
            <v>B26000092</v>
          </cell>
          <cell r="AP5035">
            <v>0</v>
          </cell>
          <cell r="AQ5035">
            <v>0</v>
          </cell>
          <cell r="AV5035">
            <v>0</v>
          </cell>
        </row>
        <row r="5036">
          <cell r="E5036" t="str">
            <v>B26000272</v>
          </cell>
          <cell r="AP5036">
            <v>0</v>
          </cell>
          <cell r="AQ5036">
            <v>0</v>
          </cell>
          <cell r="AV5036">
            <v>0</v>
          </cell>
        </row>
        <row r="5037">
          <cell r="E5037" t="str">
            <v>B26000607</v>
          </cell>
          <cell r="AP5037">
            <v>0</v>
          </cell>
          <cell r="AQ5037">
            <v>0</v>
          </cell>
          <cell r="AV5037">
            <v>0</v>
          </cell>
        </row>
        <row r="5038">
          <cell r="E5038" t="str">
            <v>T26000038</v>
          </cell>
          <cell r="AP5038">
            <v>0</v>
          </cell>
          <cell r="AQ5038">
            <v>0</v>
          </cell>
          <cell r="AV5038">
            <v>0</v>
          </cell>
        </row>
        <row r="5039">
          <cell r="E5039" t="str">
            <v>D26001347</v>
          </cell>
          <cell r="AP5039">
            <v>0</v>
          </cell>
          <cell r="AQ5039">
            <v>0</v>
          </cell>
          <cell r="AV5039">
            <v>0</v>
          </cell>
        </row>
        <row r="5040">
          <cell r="E5040" t="str">
            <v>Z26000263</v>
          </cell>
          <cell r="AP5040">
            <v>0</v>
          </cell>
          <cell r="AQ5040">
            <v>0</v>
          </cell>
          <cell r="AV5040">
            <v>0</v>
          </cell>
        </row>
        <row r="5041">
          <cell r="E5041" t="str">
            <v>Z26000265</v>
          </cell>
          <cell r="AP5041">
            <v>0</v>
          </cell>
          <cell r="AQ5041">
            <v>0</v>
          </cell>
          <cell r="AV5041">
            <v>0</v>
          </cell>
        </row>
        <row r="5042">
          <cell r="E5042" t="str">
            <v>T25001586</v>
          </cell>
          <cell r="AP5042">
            <v>0</v>
          </cell>
          <cell r="AQ5042">
            <v>0</v>
          </cell>
          <cell r="AV5042">
            <v>0</v>
          </cell>
        </row>
        <row r="5043">
          <cell r="E5043" t="str">
            <v>D25016178</v>
          </cell>
          <cell r="AP5043">
            <v>0</v>
          </cell>
          <cell r="AQ5043">
            <v>0</v>
          </cell>
          <cell r="AV5043">
            <v>0</v>
          </cell>
        </row>
        <row r="5044">
          <cell r="E5044" t="str">
            <v>D25018900</v>
          </cell>
          <cell r="AP5044">
            <v>0</v>
          </cell>
          <cell r="AQ5044">
            <v>0</v>
          </cell>
          <cell r="AV5044">
            <v>0</v>
          </cell>
        </row>
        <row r="5045">
          <cell r="E5045" t="str">
            <v>D25018997</v>
          </cell>
          <cell r="AP5045">
            <v>0</v>
          </cell>
          <cell r="AQ5045">
            <v>0</v>
          </cell>
          <cell r="AV5045">
            <v>0</v>
          </cell>
        </row>
        <row r="5046">
          <cell r="E5046" t="str">
            <v>D25018998</v>
          </cell>
          <cell r="AP5046">
            <v>0</v>
          </cell>
          <cell r="AQ5046">
            <v>0</v>
          </cell>
          <cell r="AV5046">
            <v>0</v>
          </cell>
        </row>
        <row r="5047">
          <cell r="E5047" t="str">
            <v>D25019266</v>
          </cell>
          <cell r="AP5047">
            <v>0</v>
          </cell>
          <cell r="AQ5047">
            <v>0</v>
          </cell>
          <cell r="AV5047">
            <v>0</v>
          </cell>
        </row>
        <row r="5048">
          <cell r="E5048" t="str">
            <v>D26001677</v>
          </cell>
          <cell r="AP5048">
            <v>0</v>
          </cell>
          <cell r="AQ5048">
            <v>0</v>
          </cell>
          <cell r="AV5048">
            <v>0</v>
          </cell>
        </row>
        <row r="5049">
          <cell r="E5049" t="str">
            <v>D26001678</v>
          </cell>
          <cell r="AP5049">
            <v>0</v>
          </cell>
          <cell r="AQ5049">
            <v>0</v>
          </cell>
          <cell r="AV5049">
            <v>0</v>
          </cell>
        </row>
        <row r="5050">
          <cell r="E5050" t="str">
            <v>D26001679</v>
          </cell>
          <cell r="AP5050">
            <v>0</v>
          </cell>
          <cell r="AQ5050">
            <v>0</v>
          </cell>
          <cell r="AV5050">
            <v>0</v>
          </cell>
        </row>
        <row r="5051">
          <cell r="E5051" t="str">
            <v>D26001680</v>
          </cell>
          <cell r="AP5051">
            <v>0</v>
          </cell>
          <cell r="AQ5051">
            <v>0</v>
          </cell>
          <cell r="AV5051">
            <v>0</v>
          </cell>
        </row>
        <row r="5052">
          <cell r="E5052" t="str">
            <v>T26000108</v>
          </cell>
          <cell r="AP5052">
            <v>0</v>
          </cell>
          <cell r="AQ5052">
            <v>0</v>
          </cell>
          <cell r="AV5052">
            <v>0</v>
          </cell>
        </row>
        <row r="5053">
          <cell r="E5053" t="str">
            <v>B26001615</v>
          </cell>
          <cell r="AP5053">
            <v>0</v>
          </cell>
          <cell r="AQ5053">
            <v>0</v>
          </cell>
          <cell r="AV5053">
            <v>0</v>
          </cell>
        </row>
        <row r="5054">
          <cell r="E5054" t="str">
            <v>D26000273</v>
          </cell>
          <cell r="AP5054">
            <v>0</v>
          </cell>
          <cell r="AQ5054">
            <v>0</v>
          </cell>
          <cell r="AV5054">
            <v>0</v>
          </cell>
        </row>
        <row r="5055">
          <cell r="E5055" t="str">
            <v>B26000330</v>
          </cell>
          <cell r="AP5055">
            <v>0</v>
          </cell>
          <cell r="AQ5055">
            <v>0</v>
          </cell>
          <cell r="AV5055">
            <v>0</v>
          </cell>
        </row>
        <row r="5056">
          <cell r="E5056" t="str">
            <v>B26000475</v>
          </cell>
          <cell r="AP5056">
            <v>0</v>
          </cell>
          <cell r="AQ5056">
            <v>0</v>
          </cell>
          <cell r="AV5056">
            <v>0</v>
          </cell>
        </row>
        <row r="5057">
          <cell r="E5057" t="str">
            <v>D26001658</v>
          </cell>
          <cell r="AP5057">
            <v>0</v>
          </cell>
          <cell r="AQ5057">
            <v>0</v>
          </cell>
          <cell r="AV5057">
            <v>0</v>
          </cell>
        </row>
        <row r="5058">
          <cell r="E5058" t="str">
            <v>D25013475</v>
          </cell>
          <cell r="AP5058">
            <v>0</v>
          </cell>
          <cell r="AQ5058">
            <v>0</v>
          </cell>
          <cell r="AV5058">
            <v>0</v>
          </cell>
        </row>
        <row r="5059">
          <cell r="E5059" t="str">
            <v>B25012121</v>
          </cell>
          <cell r="AP5059">
            <v>0</v>
          </cell>
          <cell r="AQ5059">
            <v>0</v>
          </cell>
          <cell r="AV5059">
            <v>0</v>
          </cell>
        </row>
        <row r="5060">
          <cell r="E5060" t="str">
            <v>B25016643</v>
          </cell>
          <cell r="AP5060">
            <v>0</v>
          </cell>
          <cell r="AQ5060">
            <v>0</v>
          </cell>
          <cell r="AV5060">
            <v>0</v>
          </cell>
        </row>
        <row r="5061">
          <cell r="E5061" t="str">
            <v>D25019413</v>
          </cell>
          <cell r="AP5061">
            <v>0</v>
          </cell>
          <cell r="AQ5061">
            <v>0</v>
          </cell>
          <cell r="AV5061">
            <v>0</v>
          </cell>
        </row>
        <row r="5062">
          <cell r="E5062" t="str">
            <v>D25019414</v>
          </cell>
          <cell r="AP5062">
            <v>0</v>
          </cell>
          <cell r="AQ5062">
            <v>0</v>
          </cell>
          <cell r="AV5062">
            <v>0</v>
          </cell>
        </row>
        <row r="5063">
          <cell r="E5063" t="str">
            <v>D25019415</v>
          </cell>
          <cell r="AP5063">
            <v>0</v>
          </cell>
          <cell r="AQ5063">
            <v>0</v>
          </cell>
          <cell r="AV5063">
            <v>0</v>
          </cell>
        </row>
        <row r="5064">
          <cell r="E5064" t="str">
            <v>B26000258</v>
          </cell>
          <cell r="AP5064">
            <v>0</v>
          </cell>
          <cell r="AQ5064">
            <v>0</v>
          </cell>
          <cell r="AV5064">
            <v>0</v>
          </cell>
        </row>
        <row r="5065">
          <cell r="E5065" t="str">
            <v>B26000259</v>
          </cell>
          <cell r="AP5065">
            <v>0</v>
          </cell>
          <cell r="AQ5065">
            <v>0</v>
          </cell>
          <cell r="AV5065">
            <v>0</v>
          </cell>
        </row>
        <row r="5066">
          <cell r="E5066" t="str">
            <v>D26000417</v>
          </cell>
          <cell r="AP5066">
            <v>0</v>
          </cell>
          <cell r="AQ5066">
            <v>0</v>
          </cell>
          <cell r="AV5066">
            <v>0</v>
          </cell>
        </row>
        <row r="5067">
          <cell r="E5067" t="str">
            <v>D26000895</v>
          </cell>
          <cell r="AP5067">
            <v>0</v>
          </cell>
          <cell r="AQ5067">
            <v>0</v>
          </cell>
          <cell r="AV5067">
            <v>0</v>
          </cell>
        </row>
        <row r="5068">
          <cell r="E5068" t="str">
            <v>B26001318</v>
          </cell>
          <cell r="AP5068">
            <v>0</v>
          </cell>
          <cell r="AQ5068">
            <v>0</v>
          </cell>
          <cell r="AV5068">
            <v>0</v>
          </cell>
        </row>
        <row r="5069">
          <cell r="E5069" t="str">
            <v>B26001322</v>
          </cell>
          <cell r="AP5069">
            <v>0</v>
          </cell>
          <cell r="AQ5069">
            <v>0</v>
          </cell>
          <cell r="AV5069">
            <v>0</v>
          </cell>
        </row>
        <row r="5070">
          <cell r="E5070" t="str">
            <v>B25015291</v>
          </cell>
          <cell r="AP5070">
            <v>0</v>
          </cell>
          <cell r="AQ5070">
            <v>0</v>
          </cell>
          <cell r="AV5070">
            <v>0</v>
          </cell>
        </row>
        <row r="5071">
          <cell r="E5071" t="str">
            <v>D25018254</v>
          </cell>
          <cell r="AP5071">
            <v>0</v>
          </cell>
          <cell r="AQ5071">
            <v>0</v>
          </cell>
          <cell r="AV5071">
            <v>0</v>
          </cell>
        </row>
        <row r="5072">
          <cell r="E5072" t="str">
            <v>D25019042</v>
          </cell>
          <cell r="AP5072">
            <v>0</v>
          </cell>
          <cell r="AQ5072">
            <v>0</v>
          </cell>
          <cell r="AV5072">
            <v>0</v>
          </cell>
        </row>
        <row r="5073">
          <cell r="E5073" t="str">
            <v>D25019668</v>
          </cell>
          <cell r="AP5073">
            <v>0</v>
          </cell>
          <cell r="AQ5073">
            <v>0</v>
          </cell>
          <cell r="AV5073">
            <v>0</v>
          </cell>
        </row>
        <row r="5074">
          <cell r="E5074" t="str">
            <v>B26000242</v>
          </cell>
          <cell r="AP5074">
            <v>0</v>
          </cell>
          <cell r="AQ5074">
            <v>0</v>
          </cell>
          <cell r="AV5074">
            <v>0</v>
          </cell>
        </row>
        <row r="5075">
          <cell r="E5075" t="str">
            <v>B26000243</v>
          </cell>
          <cell r="AP5075">
            <v>0</v>
          </cell>
          <cell r="AQ5075">
            <v>0</v>
          </cell>
          <cell r="AV5075">
            <v>0</v>
          </cell>
        </row>
        <row r="5076">
          <cell r="E5076" t="str">
            <v>D26000301</v>
          </cell>
          <cell r="AP5076">
            <v>0</v>
          </cell>
          <cell r="AQ5076">
            <v>0</v>
          </cell>
          <cell r="AV5076">
            <v>0</v>
          </cell>
        </row>
        <row r="5077">
          <cell r="E5077" t="str">
            <v>D26001064</v>
          </cell>
          <cell r="AP5077">
            <v>0</v>
          </cell>
          <cell r="AQ5077">
            <v>0</v>
          </cell>
          <cell r="AV5077">
            <v>0</v>
          </cell>
        </row>
        <row r="5078">
          <cell r="E5078" t="str">
            <v>D26001223</v>
          </cell>
          <cell r="AP5078">
            <v>0</v>
          </cell>
          <cell r="AQ5078">
            <v>0</v>
          </cell>
          <cell r="AV5078">
            <v>0</v>
          </cell>
        </row>
        <row r="5079">
          <cell r="E5079" t="str">
            <v>B26001371</v>
          </cell>
          <cell r="AP5079">
            <v>0</v>
          </cell>
          <cell r="AQ5079">
            <v>0</v>
          </cell>
          <cell r="AV5079">
            <v>0</v>
          </cell>
        </row>
        <row r="5080">
          <cell r="E5080" t="str">
            <v>D26001749</v>
          </cell>
          <cell r="AP5080">
            <v>0</v>
          </cell>
          <cell r="AQ5080">
            <v>0</v>
          </cell>
          <cell r="AV5080">
            <v>0</v>
          </cell>
        </row>
        <row r="5081">
          <cell r="E5081" t="str">
            <v>T26000026</v>
          </cell>
          <cell r="AP5081">
            <v>0</v>
          </cell>
          <cell r="AQ5081">
            <v>0</v>
          </cell>
          <cell r="AV5081">
            <v>0</v>
          </cell>
        </row>
        <row r="5082">
          <cell r="E5082" t="str">
            <v>T26000027</v>
          </cell>
          <cell r="AP5082">
            <v>0</v>
          </cell>
          <cell r="AQ5082">
            <v>0</v>
          </cell>
          <cell r="AV5082">
            <v>0</v>
          </cell>
        </row>
        <row r="5083">
          <cell r="E5083" t="str">
            <v>T26000076</v>
          </cell>
          <cell r="AP5083">
            <v>0</v>
          </cell>
          <cell r="AQ5083">
            <v>0</v>
          </cell>
          <cell r="AV5083">
            <v>0</v>
          </cell>
        </row>
        <row r="5084">
          <cell r="E5084" t="str">
            <v>B25016736</v>
          </cell>
          <cell r="AP5084">
            <v>0</v>
          </cell>
          <cell r="AQ5084">
            <v>0</v>
          </cell>
          <cell r="AV5084">
            <v>0</v>
          </cell>
        </row>
        <row r="5085">
          <cell r="E5085" t="str">
            <v>D26000346</v>
          </cell>
          <cell r="AP5085">
            <v>0</v>
          </cell>
          <cell r="AQ5085">
            <v>0</v>
          </cell>
          <cell r="AV5085">
            <v>0</v>
          </cell>
        </row>
        <row r="5086">
          <cell r="E5086" t="str">
            <v>D26000534</v>
          </cell>
          <cell r="AP5086">
            <v>0</v>
          </cell>
          <cell r="AQ5086">
            <v>0</v>
          </cell>
          <cell r="AV5086">
            <v>0</v>
          </cell>
        </row>
        <row r="5087">
          <cell r="E5087" t="str">
            <v>B26001022</v>
          </cell>
          <cell r="AP5087">
            <v>0</v>
          </cell>
          <cell r="AQ5087">
            <v>0</v>
          </cell>
          <cell r="AV5087">
            <v>0</v>
          </cell>
        </row>
        <row r="5088">
          <cell r="E5088" t="str">
            <v>D26001563</v>
          </cell>
          <cell r="AP5088">
            <v>0</v>
          </cell>
          <cell r="AQ5088">
            <v>0</v>
          </cell>
          <cell r="AV5088">
            <v>0</v>
          </cell>
        </row>
        <row r="5089">
          <cell r="E5089" t="str">
            <v>D26001570</v>
          </cell>
          <cell r="AP5089">
            <v>0</v>
          </cell>
          <cell r="AQ5089">
            <v>0</v>
          </cell>
          <cell r="AV5089">
            <v>0</v>
          </cell>
        </row>
        <row r="5090">
          <cell r="E5090" t="str">
            <v>D26001586</v>
          </cell>
          <cell r="AP5090">
            <v>0</v>
          </cell>
          <cell r="AQ5090">
            <v>0</v>
          </cell>
          <cell r="AV5090">
            <v>0</v>
          </cell>
        </row>
        <row r="5091">
          <cell r="E5091" t="str">
            <v>D25019389</v>
          </cell>
          <cell r="AP5091">
            <v>0</v>
          </cell>
          <cell r="AQ5091">
            <v>0</v>
          </cell>
          <cell r="AV5091">
            <v>0</v>
          </cell>
        </row>
        <row r="5092">
          <cell r="E5092" t="str">
            <v>D25019522</v>
          </cell>
          <cell r="AP5092">
            <v>0</v>
          </cell>
          <cell r="AQ5092">
            <v>0</v>
          </cell>
          <cell r="AV5092">
            <v>0</v>
          </cell>
        </row>
        <row r="5093">
          <cell r="E5093" t="str">
            <v>B26000228</v>
          </cell>
          <cell r="AP5093">
            <v>0</v>
          </cell>
          <cell r="AQ5093">
            <v>0</v>
          </cell>
          <cell r="AV5093">
            <v>0</v>
          </cell>
        </row>
        <row r="5094">
          <cell r="E5094" t="str">
            <v>D26000408</v>
          </cell>
          <cell r="AP5094">
            <v>0</v>
          </cell>
          <cell r="AQ5094">
            <v>0</v>
          </cell>
          <cell r="AV5094">
            <v>0</v>
          </cell>
        </row>
        <row r="5095">
          <cell r="E5095" t="str">
            <v>N26000010</v>
          </cell>
          <cell r="AP5095">
            <v>0</v>
          </cell>
          <cell r="AQ5095">
            <v>0</v>
          </cell>
          <cell r="AV5095">
            <v>0</v>
          </cell>
        </row>
        <row r="5096">
          <cell r="E5096" t="str">
            <v>B26001056</v>
          </cell>
          <cell r="AP5096">
            <v>0</v>
          </cell>
          <cell r="AQ5096">
            <v>0</v>
          </cell>
          <cell r="AV5096">
            <v>0</v>
          </cell>
        </row>
        <row r="5097">
          <cell r="E5097" t="str">
            <v>B25017056</v>
          </cell>
          <cell r="AP5097">
            <v>0</v>
          </cell>
          <cell r="AQ5097">
            <v>0</v>
          </cell>
          <cell r="AV5097">
            <v>0</v>
          </cell>
        </row>
        <row r="5098">
          <cell r="E5098" t="str">
            <v>D26000311</v>
          </cell>
          <cell r="AP5098">
            <v>0</v>
          </cell>
          <cell r="AQ5098">
            <v>0</v>
          </cell>
          <cell r="AV5098">
            <v>0</v>
          </cell>
        </row>
        <row r="5099">
          <cell r="E5099" t="str">
            <v>D26000621</v>
          </cell>
          <cell r="AP5099">
            <v>0</v>
          </cell>
          <cell r="AQ5099">
            <v>0</v>
          </cell>
          <cell r="AV5099">
            <v>0</v>
          </cell>
        </row>
        <row r="5100">
          <cell r="E5100" t="str">
            <v>D26000622</v>
          </cell>
          <cell r="AP5100">
            <v>0</v>
          </cell>
          <cell r="AQ5100">
            <v>0</v>
          </cell>
          <cell r="AV5100">
            <v>0</v>
          </cell>
        </row>
        <row r="5101">
          <cell r="E5101" t="str">
            <v>B26000676</v>
          </cell>
          <cell r="AP5101">
            <v>0</v>
          </cell>
          <cell r="AQ5101">
            <v>0</v>
          </cell>
          <cell r="AV5101">
            <v>0</v>
          </cell>
        </row>
        <row r="5102">
          <cell r="E5102" t="str">
            <v>D26000679</v>
          </cell>
          <cell r="AP5102">
            <v>0</v>
          </cell>
          <cell r="AQ5102">
            <v>0</v>
          </cell>
          <cell r="AV5102">
            <v>0</v>
          </cell>
        </row>
        <row r="5103">
          <cell r="E5103" t="str">
            <v>D26000763</v>
          </cell>
          <cell r="AP5103">
            <v>0</v>
          </cell>
          <cell r="AQ5103">
            <v>0</v>
          </cell>
          <cell r="AV5103">
            <v>0</v>
          </cell>
        </row>
        <row r="5104">
          <cell r="E5104" t="str">
            <v>D26000982</v>
          </cell>
          <cell r="AP5104">
            <v>0</v>
          </cell>
          <cell r="AQ5104">
            <v>0</v>
          </cell>
          <cell r="AV5104">
            <v>0</v>
          </cell>
        </row>
        <row r="5105">
          <cell r="E5105" t="str">
            <v>D26001092</v>
          </cell>
          <cell r="AP5105">
            <v>0</v>
          </cell>
          <cell r="AQ5105">
            <v>0</v>
          </cell>
          <cell r="AV5105">
            <v>0</v>
          </cell>
        </row>
        <row r="5106">
          <cell r="E5106" t="str">
            <v>B26001079</v>
          </cell>
          <cell r="AP5106">
            <v>0</v>
          </cell>
          <cell r="AQ5106">
            <v>0</v>
          </cell>
          <cell r="AV5106">
            <v>0</v>
          </cell>
        </row>
        <row r="5107">
          <cell r="E5107" t="str">
            <v>B26001204</v>
          </cell>
          <cell r="AP5107">
            <v>0</v>
          </cell>
          <cell r="AQ5107">
            <v>0</v>
          </cell>
          <cell r="AV5107">
            <v>0</v>
          </cell>
        </row>
        <row r="5108">
          <cell r="E5108" t="str">
            <v>D26001279</v>
          </cell>
          <cell r="AP5108">
            <v>0</v>
          </cell>
          <cell r="AQ5108">
            <v>0</v>
          </cell>
          <cell r="AV5108">
            <v>0</v>
          </cell>
        </row>
        <row r="5109">
          <cell r="E5109" t="str">
            <v>D26001390</v>
          </cell>
          <cell r="AP5109">
            <v>0</v>
          </cell>
          <cell r="AQ5109">
            <v>0</v>
          </cell>
          <cell r="AV5109">
            <v>0</v>
          </cell>
        </row>
        <row r="5110">
          <cell r="E5110" t="str">
            <v>D26001463</v>
          </cell>
          <cell r="AP5110">
            <v>0</v>
          </cell>
          <cell r="AQ5110">
            <v>0</v>
          </cell>
          <cell r="AV5110">
            <v>0</v>
          </cell>
        </row>
        <row r="5111">
          <cell r="E5111" t="str">
            <v>B26001447</v>
          </cell>
          <cell r="AP5111">
            <v>0</v>
          </cell>
          <cell r="AQ5111">
            <v>0</v>
          </cell>
          <cell r="AV5111">
            <v>0</v>
          </cell>
        </row>
        <row r="5112">
          <cell r="E5112" t="str">
            <v>D26001532</v>
          </cell>
          <cell r="AP5112">
            <v>0</v>
          </cell>
          <cell r="AQ5112">
            <v>0</v>
          </cell>
          <cell r="AV5112">
            <v>0</v>
          </cell>
        </row>
        <row r="5113">
          <cell r="E5113" t="str">
            <v>D26001698</v>
          </cell>
          <cell r="AP5113">
            <v>0</v>
          </cell>
          <cell r="AQ5113">
            <v>0</v>
          </cell>
          <cell r="AV5113">
            <v>0</v>
          </cell>
        </row>
        <row r="5114">
          <cell r="E5114" t="str">
            <v>D26001699</v>
          </cell>
          <cell r="AP5114">
            <v>0</v>
          </cell>
          <cell r="AQ5114">
            <v>0</v>
          </cell>
          <cell r="AV5114">
            <v>0</v>
          </cell>
        </row>
        <row r="5115">
          <cell r="E5115" t="str">
            <v>B26001644</v>
          </cell>
          <cell r="AP5115">
            <v>0</v>
          </cell>
          <cell r="AQ5115">
            <v>0</v>
          </cell>
          <cell r="AV5115">
            <v>0</v>
          </cell>
        </row>
        <row r="5116">
          <cell r="E5116" t="str">
            <v>B25015512</v>
          </cell>
          <cell r="AP5116">
            <v>0</v>
          </cell>
          <cell r="AQ5116">
            <v>0</v>
          </cell>
          <cell r="AV5116">
            <v>0</v>
          </cell>
        </row>
        <row r="5117">
          <cell r="E5117" t="str">
            <v>B25015575</v>
          </cell>
          <cell r="AP5117">
            <v>0</v>
          </cell>
          <cell r="AQ5117">
            <v>0</v>
          </cell>
          <cell r="AV5117">
            <v>0</v>
          </cell>
        </row>
        <row r="5118">
          <cell r="E5118" t="str">
            <v>D25018433</v>
          </cell>
          <cell r="AP5118">
            <v>0</v>
          </cell>
          <cell r="AQ5118">
            <v>0</v>
          </cell>
          <cell r="AV5118">
            <v>0</v>
          </cell>
        </row>
        <row r="5119">
          <cell r="E5119" t="str">
            <v>T25001825</v>
          </cell>
          <cell r="AP5119">
            <v>0</v>
          </cell>
          <cell r="AQ5119">
            <v>0</v>
          </cell>
          <cell r="AV5119">
            <v>0</v>
          </cell>
        </row>
        <row r="5120">
          <cell r="E5120" t="str">
            <v>T25001840</v>
          </cell>
          <cell r="AP5120">
            <v>0</v>
          </cell>
          <cell r="AQ5120">
            <v>0</v>
          </cell>
          <cell r="AV5120">
            <v>0</v>
          </cell>
        </row>
        <row r="5121">
          <cell r="E5121" t="str">
            <v>B25016195</v>
          </cell>
          <cell r="AP5121">
            <v>0</v>
          </cell>
          <cell r="AQ5121">
            <v>0</v>
          </cell>
          <cell r="AV5121">
            <v>0</v>
          </cell>
        </row>
        <row r="5122">
          <cell r="E5122" t="str">
            <v>D25018882</v>
          </cell>
          <cell r="AP5122">
            <v>0</v>
          </cell>
          <cell r="AQ5122">
            <v>0</v>
          </cell>
          <cell r="AV5122">
            <v>0</v>
          </cell>
        </row>
        <row r="5123">
          <cell r="E5123" t="str">
            <v>D25019123</v>
          </cell>
          <cell r="AP5123">
            <v>0</v>
          </cell>
          <cell r="AQ5123">
            <v>0</v>
          </cell>
          <cell r="AV5123">
            <v>0</v>
          </cell>
        </row>
        <row r="5124">
          <cell r="E5124" t="str">
            <v>D26000372</v>
          </cell>
          <cell r="AP5124">
            <v>0</v>
          </cell>
          <cell r="AQ5124">
            <v>0</v>
          </cell>
          <cell r="AV5124">
            <v>0</v>
          </cell>
        </row>
        <row r="5125">
          <cell r="E5125" t="str">
            <v>D26000562</v>
          </cell>
          <cell r="AP5125">
            <v>0</v>
          </cell>
          <cell r="AQ5125">
            <v>0</v>
          </cell>
          <cell r="AV5125">
            <v>0</v>
          </cell>
        </row>
        <row r="5126">
          <cell r="E5126" t="str">
            <v>D26000795</v>
          </cell>
          <cell r="AP5126">
            <v>0</v>
          </cell>
          <cell r="AQ5126">
            <v>0</v>
          </cell>
          <cell r="AV5126">
            <v>0</v>
          </cell>
        </row>
        <row r="5127">
          <cell r="E5127" t="str">
            <v>D26001163</v>
          </cell>
          <cell r="AP5127">
            <v>0</v>
          </cell>
          <cell r="AQ5127">
            <v>0</v>
          </cell>
          <cell r="AV5127">
            <v>0</v>
          </cell>
        </row>
        <row r="5128">
          <cell r="E5128" t="str">
            <v>D26001164</v>
          </cell>
          <cell r="AP5128">
            <v>0</v>
          </cell>
          <cell r="AQ5128">
            <v>0</v>
          </cell>
          <cell r="AV5128">
            <v>0</v>
          </cell>
        </row>
        <row r="5129">
          <cell r="E5129" t="str">
            <v>D26001731</v>
          </cell>
          <cell r="AP5129">
            <v>0</v>
          </cell>
          <cell r="AQ5129">
            <v>0</v>
          </cell>
          <cell r="AV5129">
            <v>0</v>
          </cell>
        </row>
        <row r="5130">
          <cell r="E5130" t="str">
            <v>D26001755</v>
          </cell>
          <cell r="AP5130">
            <v>0</v>
          </cell>
          <cell r="AQ5130">
            <v>0</v>
          </cell>
          <cell r="AV5130">
            <v>0</v>
          </cell>
        </row>
        <row r="5131">
          <cell r="E5131" t="str">
            <v>D25016147</v>
          </cell>
          <cell r="AP5131">
            <v>0</v>
          </cell>
          <cell r="AQ5131">
            <v>0</v>
          </cell>
          <cell r="AV5131">
            <v>0</v>
          </cell>
        </row>
        <row r="5132">
          <cell r="E5132" t="str">
            <v>D25018869</v>
          </cell>
          <cell r="AP5132">
            <v>0</v>
          </cell>
          <cell r="AQ5132">
            <v>0</v>
          </cell>
          <cell r="AV5132">
            <v>0</v>
          </cell>
        </row>
        <row r="5133">
          <cell r="E5133" t="str">
            <v>Z25003266</v>
          </cell>
          <cell r="AP5133">
            <v>0</v>
          </cell>
          <cell r="AQ5133">
            <v>0</v>
          </cell>
          <cell r="AV5133">
            <v>0</v>
          </cell>
        </row>
        <row r="5134">
          <cell r="E5134" t="str">
            <v>D26000365</v>
          </cell>
          <cell r="AP5134">
            <v>0</v>
          </cell>
          <cell r="AQ5134">
            <v>0</v>
          </cell>
          <cell r="AV5134">
            <v>0</v>
          </cell>
        </row>
        <row r="5135">
          <cell r="E5135" t="str">
            <v>Z26000203</v>
          </cell>
          <cell r="AP5135">
            <v>0</v>
          </cell>
          <cell r="AQ5135">
            <v>0</v>
          </cell>
          <cell r="AV5135">
            <v>0</v>
          </cell>
        </row>
        <row r="5136">
          <cell r="E5136" t="str">
            <v>D25016427</v>
          </cell>
          <cell r="AP5136">
            <v>0</v>
          </cell>
          <cell r="AQ5136">
            <v>0</v>
          </cell>
          <cell r="AV5136">
            <v>0</v>
          </cell>
        </row>
        <row r="5137">
          <cell r="E5137" t="str">
            <v>D25016464</v>
          </cell>
          <cell r="AP5137">
            <v>0</v>
          </cell>
          <cell r="AQ5137">
            <v>0</v>
          </cell>
          <cell r="AV5137">
            <v>0</v>
          </cell>
        </row>
        <row r="5138">
          <cell r="E5138" t="str">
            <v>D25016539</v>
          </cell>
          <cell r="AP5138">
            <v>0</v>
          </cell>
          <cell r="AQ5138">
            <v>0</v>
          </cell>
          <cell r="AV5138">
            <v>0</v>
          </cell>
        </row>
        <row r="5139">
          <cell r="E5139" t="str">
            <v>D25016812</v>
          </cell>
          <cell r="AP5139">
            <v>0</v>
          </cell>
          <cell r="AQ5139">
            <v>0</v>
          </cell>
          <cell r="AV5139">
            <v>0</v>
          </cell>
        </row>
        <row r="5140">
          <cell r="E5140" t="str">
            <v>D25017107</v>
          </cell>
          <cell r="AP5140">
            <v>0</v>
          </cell>
          <cell r="AQ5140">
            <v>0</v>
          </cell>
          <cell r="AV5140">
            <v>0</v>
          </cell>
        </row>
        <row r="5141">
          <cell r="E5141" t="str">
            <v>D25017315</v>
          </cell>
          <cell r="AP5141">
            <v>0</v>
          </cell>
          <cell r="AQ5141">
            <v>0</v>
          </cell>
          <cell r="AV5141">
            <v>0</v>
          </cell>
        </row>
        <row r="5142">
          <cell r="E5142" t="str">
            <v>D25017698</v>
          </cell>
          <cell r="AP5142">
            <v>0</v>
          </cell>
          <cell r="AQ5142">
            <v>0</v>
          </cell>
          <cell r="AV5142">
            <v>0</v>
          </cell>
        </row>
        <row r="5143">
          <cell r="E5143" t="str">
            <v>D25018251</v>
          </cell>
          <cell r="AP5143">
            <v>0</v>
          </cell>
          <cell r="AQ5143">
            <v>0</v>
          </cell>
          <cell r="AV5143">
            <v>0</v>
          </cell>
        </row>
        <row r="5144">
          <cell r="E5144" t="str">
            <v>D25018302</v>
          </cell>
          <cell r="AP5144">
            <v>0</v>
          </cell>
          <cell r="AQ5144">
            <v>0</v>
          </cell>
          <cell r="AV5144">
            <v>0</v>
          </cell>
        </row>
        <row r="5145">
          <cell r="E5145" t="str">
            <v>D25018453</v>
          </cell>
          <cell r="AP5145">
            <v>0</v>
          </cell>
          <cell r="AQ5145">
            <v>0</v>
          </cell>
          <cell r="AV5145">
            <v>0</v>
          </cell>
        </row>
        <row r="5146">
          <cell r="E5146" t="str">
            <v>D25018491</v>
          </cell>
          <cell r="AP5146">
            <v>0</v>
          </cell>
          <cell r="AQ5146">
            <v>0</v>
          </cell>
          <cell r="AV5146">
            <v>0</v>
          </cell>
        </row>
        <row r="5147">
          <cell r="E5147" t="str">
            <v>D25019005</v>
          </cell>
          <cell r="AP5147">
            <v>0</v>
          </cell>
          <cell r="AQ5147">
            <v>0</v>
          </cell>
          <cell r="AV5147">
            <v>0</v>
          </cell>
        </row>
        <row r="5148">
          <cell r="E5148" t="str">
            <v>D26000062</v>
          </cell>
          <cell r="AP5148">
            <v>0</v>
          </cell>
          <cell r="AQ5148">
            <v>0</v>
          </cell>
          <cell r="AV5148">
            <v>0</v>
          </cell>
        </row>
        <row r="5149">
          <cell r="E5149" t="str">
            <v>B26000565</v>
          </cell>
          <cell r="AP5149">
            <v>0</v>
          </cell>
          <cell r="AQ5149">
            <v>0</v>
          </cell>
          <cell r="AV5149">
            <v>0</v>
          </cell>
        </row>
        <row r="5150">
          <cell r="E5150" t="str">
            <v>D26000552</v>
          </cell>
          <cell r="AP5150">
            <v>0</v>
          </cell>
          <cell r="AQ5150">
            <v>0</v>
          </cell>
          <cell r="AV5150">
            <v>0</v>
          </cell>
        </row>
        <row r="5151">
          <cell r="E5151" t="str">
            <v>D26000595</v>
          </cell>
          <cell r="AP5151">
            <v>0</v>
          </cell>
          <cell r="AQ5151">
            <v>0</v>
          </cell>
          <cell r="AV5151">
            <v>0</v>
          </cell>
        </row>
        <row r="5152">
          <cell r="E5152" t="str">
            <v>D26000710</v>
          </cell>
          <cell r="AP5152">
            <v>0</v>
          </cell>
          <cell r="AQ5152">
            <v>0</v>
          </cell>
          <cell r="AV5152">
            <v>0</v>
          </cell>
        </row>
        <row r="5153">
          <cell r="E5153" t="str">
            <v>D26000721</v>
          </cell>
          <cell r="AP5153">
            <v>0</v>
          </cell>
          <cell r="AQ5153">
            <v>0</v>
          </cell>
          <cell r="AV5153">
            <v>0</v>
          </cell>
        </row>
        <row r="5154">
          <cell r="E5154" t="str">
            <v>D26000951</v>
          </cell>
          <cell r="AP5154">
            <v>0</v>
          </cell>
          <cell r="AQ5154">
            <v>0</v>
          </cell>
          <cell r="AV5154">
            <v>0</v>
          </cell>
        </row>
        <row r="5155">
          <cell r="E5155" t="str">
            <v>D26001083</v>
          </cell>
          <cell r="AP5155">
            <v>0</v>
          </cell>
          <cell r="AQ5155">
            <v>0</v>
          </cell>
          <cell r="AV5155">
            <v>0</v>
          </cell>
        </row>
        <row r="5156">
          <cell r="E5156" t="str">
            <v>D26001088</v>
          </cell>
          <cell r="AP5156">
            <v>0</v>
          </cell>
          <cell r="AQ5156">
            <v>0</v>
          </cell>
          <cell r="AV5156">
            <v>0</v>
          </cell>
        </row>
        <row r="5157">
          <cell r="E5157" t="str">
            <v>D26001122</v>
          </cell>
          <cell r="AP5157">
            <v>0</v>
          </cell>
          <cell r="AQ5157">
            <v>0</v>
          </cell>
          <cell r="AV5157">
            <v>0</v>
          </cell>
        </row>
        <row r="5158">
          <cell r="E5158" t="str">
            <v>D26001377</v>
          </cell>
          <cell r="AP5158">
            <v>0</v>
          </cell>
          <cell r="AQ5158">
            <v>0</v>
          </cell>
          <cell r="AV5158">
            <v>0</v>
          </cell>
        </row>
        <row r="5159">
          <cell r="E5159" t="str">
            <v>D26001477</v>
          </cell>
          <cell r="AP5159">
            <v>0</v>
          </cell>
          <cell r="AQ5159">
            <v>0</v>
          </cell>
          <cell r="AV5159">
            <v>0</v>
          </cell>
        </row>
        <row r="5160">
          <cell r="E5160" t="str">
            <v>D26001497</v>
          </cell>
          <cell r="AP5160">
            <v>0</v>
          </cell>
          <cell r="AQ5160">
            <v>0</v>
          </cell>
          <cell r="AV5160">
            <v>0</v>
          </cell>
        </row>
        <row r="5161">
          <cell r="E5161" t="str">
            <v>D26001499</v>
          </cell>
          <cell r="AP5161">
            <v>0</v>
          </cell>
          <cell r="AQ5161">
            <v>0</v>
          </cell>
          <cell r="AV5161">
            <v>0</v>
          </cell>
        </row>
        <row r="5162">
          <cell r="E5162" t="str">
            <v>D26001746</v>
          </cell>
          <cell r="AP5162">
            <v>0</v>
          </cell>
          <cell r="AQ5162">
            <v>0</v>
          </cell>
          <cell r="AV5162">
            <v>0</v>
          </cell>
        </row>
        <row r="5163">
          <cell r="E5163" t="str">
            <v>B26000219</v>
          </cell>
          <cell r="AP5163">
            <v>0</v>
          </cell>
          <cell r="AQ5163">
            <v>0</v>
          </cell>
          <cell r="AV5163">
            <v>0</v>
          </cell>
        </row>
        <row r="5164">
          <cell r="E5164" t="str">
            <v>B26000485</v>
          </cell>
          <cell r="AP5164">
            <v>0</v>
          </cell>
          <cell r="AQ5164">
            <v>0</v>
          </cell>
          <cell r="AV5164">
            <v>0</v>
          </cell>
        </row>
        <row r="5165">
          <cell r="E5165" t="str">
            <v>B26000584</v>
          </cell>
          <cell r="AP5165">
            <v>0</v>
          </cell>
          <cell r="AQ5165">
            <v>0</v>
          </cell>
          <cell r="AV5165">
            <v>0</v>
          </cell>
        </row>
        <row r="5166">
          <cell r="E5166" t="str">
            <v>D26000684</v>
          </cell>
          <cell r="AP5166">
            <v>0</v>
          </cell>
          <cell r="AQ5166">
            <v>0</v>
          </cell>
          <cell r="AV5166">
            <v>0</v>
          </cell>
        </row>
        <row r="5167">
          <cell r="E5167" t="str">
            <v>D26000804</v>
          </cell>
          <cell r="AP5167">
            <v>0</v>
          </cell>
          <cell r="AQ5167">
            <v>0</v>
          </cell>
          <cell r="AV5167">
            <v>0</v>
          </cell>
        </row>
        <row r="5168">
          <cell r="E5168" t="str">
            <v>B26000976</v>
          </cell>
          <cell r="AP5168">
            <v>0</v>
          </cell>
          <cell r="AQ5168">
            <v>0</v>
          </cell>
          <cell r="AV5168">
            <v>0</v>
          </cell>
        </row>
        <row r="5169">
          <cell r="E5169" t="str">
            <v>D26001640</v>
          </cell>
          <cell r="AP5169">
            <v>0</v>
          </cell>
          <cell r="AQ5169">
            <v>0</v>
          </cell>
          <cell r="AV5169">
            <v>0</v>
          </cell>
        </row>
        <row r="5170">
          <cell r="E5170" t="str">
            <v>B26000814</v>
          </cell>
          <cell r="AP5170">
            <v>0</v>
          </cell>
          <cell r="AQ5170">
            <v>0</v>
          </cell>
          <cell r="AV5170">
            <v>0</v>
          </cell>
        </row>
        <row r="5171">
          <cell r="E5171" t="str">
            <v>D26001220</v>
          </cell>
          <cell r="AP5171">
            <v>0</v>
          </cell>
          <cell r="AQ5171">
            <v>0</v>
          </cell>
          <cell r="AV5171">
            <v>0</v>
          </cell>
        </row>
        <row r="5172">
          <cell r="E5172" t="str">
            <v>D26001575</v>
          </cell>
          <cell r="AP5172">
            <v>0</v>
          </cell>
          <cell r="AQ5172">
            <v>0</v>
          </cell>
          <cell r="AV5172">
            <v>0</v>
          </cell>
        </row>
        <row r="5173">
          <cell r="E5173" t="str">
            <v>B25015974</v>
          </cell>
          <cell r="AP5173">
            <v>0</v>
          </cell>
          <cell r="AQ5173">
            <v>0</v>
          </cell>
          <cell r="AV5173">
            <v>0</v>
          </cell>
        </row>
        <row r="5174">
          <cell r="E5174" t="str">
            <v>D26000725</v>
          </cell>
          <cell r="AP5174">
            <v>0</v>
          </cell>
          <cell r="AQ5174">
            <v>0</v>
          </cell>
          <cell r="AV5174">
            <v>0</v>
          </cell>
        </row>
        <row r="5175">
          <cell r="E5175" t="str">
            <v>D26001408</v>
          </cell>
          <cell r="AP5175">
            <v>0</v>
          </cell>
          <cell r="AQ5175">
            <v>0</v>
          </cell>
          <cell r="AV5175">
            <v>0</v>
          </cell>
        </row>
        <row r="5176">
          <cell r="E5176" t="str">
            <v>D26001653</v>
          </cell>
          <cell r="AP5176">
            <v>0</v>
          </cell>
          <cell r="AQ5176">
            <v>0</v>
          </cell>
          <cell r="AV5176">
            <v>0</v>
          </cell>
        </row>
        <row r="5177">
          <cell r="E5177" t="str">
            <v>D26001652</v>
          </cell>
          <cell r="AP5177">
            <v>0</v>
          </cell>
          <cell r="AQ5177">
            <v>0</v>
          </cell>
          <cell r="AV5177">
            <v>0</v>
          </cell>
        </row>
        <row r="5178">
          <cell r="E5178" t="str">
            <v>B26001627</v>
          </cell>
          <cell r="AP5178">
            <v>0</v>
          </cell>
          <cell r="AQ5178">
            <v>0</v>
          </cell>
          <cell r="AV5178">
            <v>0</v>
          </cell>
        </row>
        <row r="5179">
          <cell r="E5179" t="str">
            <v>B26000016</v>
          </cell>
          <cell r="AP5179">
            <v>0</v>
          </cell>
          <cell r="AQ5179">
            <v>0</v>
          </cell>
          <cell r="AV5179">
            <v>0</v>
          </cell>
        </row>
        <row r="5180">
          <cell r="E5180" t="str">
            <v>B25016667</v>
          </cell>
          <cell r="AP5180">
            <v>0</v>
          </cell>
          <cell r="AQ5180">
            <v>0</v>
          </cell>
          <cell r="AV5180">
            <v>7560000</v>
          </cell>
        </row>
        <row r="5181">
          <cell r="E5181" t="str">
            <v>D25017411</v>
          </cell>
          <cell r="AP5181">
            <v>0</v>
          </cell>
          <cell r="AQ5181">
            <v>0</v>
          </cell>
          <cell r="AV5181">
            <v>0</v>
          </cell>
        </row>
        <row r="5182">
          <cell r="E5182" t="str">
            <v>D25017419</v>
          </cell>
          <cell r="AP5182">
            <v>0</v>
          </cell>
          <cell r="AQ5182">
            <v>0</v>
          </cell>
          <cell r="AV5182">
            <v>0</v>
          </cell>
        </row>
        <row r="5183">
          <cell r="E5183" t="str">
            <v>D25017766</v>
          </cell>
          <cell r="AP5183">
            <v>0</v>
          </cell>
          <cell r="AQ5183">
            <v>0</v>
          </cell>
          <cell r="AV5183">
            <v>0</v>
          </cell>
        </row>
        <row r="5184">
          <cell r="E5184" t="str">
            <v>D25017998</v>
          </cell>
          <cell r="AP5184">
            <v>0</v>
          </cell>
          <cell r="AQ5184">
            <v>0</v>
          </cell>
          <cell r="AV5184">
            <v>0</v>
          </cell>
        </row>
        <row r="5185">
          <cell r="E5185" t="str">
            <v>D25018321</v>
          </cell>
          <cell r="AP5185">
            <v>0</v>
          </cell>
          <cell r="AQ5185">
            <v>0</v>
          </cell>
          <cell r="AV5185">
            <v>0</v>
          </cell>
        </row>
        <row r="5186">
          <cell r="E5186" t="str">
            <v>D25018366</v>
          </cell>
          <cell r="AP5186">
            <v>0</v>
          </cell>
          <cell r="AQ5186">
            <v>0</v>
          </cell>
          <cell r="AV5186">
            <v>0</v>
          </cell>
        </row>
        <row r="5187">
          <cell r="E5187" t="str">
            <v>T25001824</v>
          </cell>
          <cell r="AP5187">
            <v>0</v>
          </cell>
          <cell r="AQ5187">
            <v>0</v>
          </cell>
          <cell r="AV5187">
            <v>0</v>
          </cell>
        </row>
        <row r="5188">
          <cell r="E5188" t="str">
            <v>B25016167</v>
          </cell>
          <cell r="AP5188">
            <v>0</v>
          </cell>
          <cell r="AQ5188">
            <v>0</v>
          </cell>
          <cell r="AV5188">
            <v>0</v>
          </cell>
        </row>
        <row r="5189">
          <cell r="E5189" t="str">
            <v>B25016275</v>
          </cell>
          <cell r="AP5189">
            <v>0</v>
          </cell>
          <cell r="AQ5189">
            <v>0</v>
          </cell>
          <cell r="AV5189">
            <v>0</v>
          </cell>
        </row>
        <row r="5190">
          <cell r="E5190" t="str">
            <v>B25016313</v>
          </cell>
          <cell r="AP5190">
            <v>0</v>
          </cell>
          <cell r="AQ5190">
            <v>0</v>
          </cell>
          <cell r="AV5190">
            <v>0</v>
          </cell>
        </row>
        <row r="5191">
          <cell r="E5191" t="str">
            <v>B25016456</v>
          </cell>
          <cell r="AP5191">
            <v>0</v>
          </cell>
          <cell r="AQ5191">
            <v>0</v>
          </cell>
          <cell r="AV5191">
            <v>0</v>
          </cell>
        </row>
        <row r="5192">
          <cell r="E5192" t="str">
            <v>B25016558</v>
          </cell>
          <cell r="AP5192">
            <v>0</v>
          </cell>
          <cell r="AQ5192">
            <v>0</v>
          </cell>
          <cell r="AV5192">
            <v>0</v>
          </cell>
        </row>
        <row r="5193">
          <cell r="E5193" t="str">
            <v>B25016603</v>
          </cell>
          <cell r="AP5193">
            <v>0</v>
          </cell>
          <cell r="AQ5193">
            <v>0</v>
          </cell>
          <cell r="AV5193">
            <v>0</v>
          </cell>
        </row>
        <row r="5194">
          <cell r="E5194" t="str">
            <v>B25016604</v>
          </cell>
          <cell r="AP5194">
            <v>0</v>
          </cell>
          <cell r="AQ5194">
            <v>0</v>
          </cell>
          <cell r="AV5194">
            <v>0</v>
          </cell>
        </row>
        <row r="5195">
          <cell r="E5195" t="str">
            <v>D25019192</v>
          </cell>
          <cell r="AP5195">
            <v>0</v>
          </cell>
          <cell r="AQ5195">
            <v>0</v>
          </cell>
          <cell r="AV5195">
            <v>0</v>
          </cell>
        </row>
        <row r="5196">
          <cell r="E5196" t="str">
            <v>B25016783</v>
          </cell>
          <cell r="AP5196">
            <v>0</v>
          </cell>
          <cell r="AQ5196">
            <v>0</v>
          </cell>
          <cell r="AV5196">
            <v>0</v>
          </cell>
        </row>
        <row r="5197">
          <cell r="E5197" t="str">
            <v>D25019403</v>
          </cell>
          <cell r="AP5197">
            <v>0</v>
          </cell>
          <cell r="AQ5197">
            <v>0</v>
          </cell>
          <cell r="AV5197">
            <v>0</v>
          </cell>
        </row>
        <row r="5198">
          <cell r="E5198" t="str">
            <v>D25019424</v>
          </cell>
          <cell r="AP5198">
            <v>0</v>
          </cell>
          <cell r="AQ5198">
            <v>0</v>
          </cell>
          <cell r="AV5198">
            <v>0</v>
          </cell>
        </row>
        <row r="5199">
          <cell r="E5199" t="str">
            <v>B25016960</v>
          </cell>
          <cell r="AP5199">
            <v>0</v>
          </cell>
          <cell r="AQ5199">
            <v>0</v>
          </cell>
          <cell r="AV5199">
            <v>0</v>
          </cell>
        </row>
        <row r="5200">
          <cell r="E5200" t="str">
            <v>D26000276</v>
          </cell>
          <cell r="AP5200">
            <v>0</v>
          </cell>
          <cell r="AQ5200">
            <v>0</v>
          </cell>
          <cell r="AV5200">
            <v>0</v>
          </cell>
        </row>
        <row r="5201">
          <cell r="E5201" t="str">
            <v>D26000277</v>
          </cell>
          <cell r="AP5201">
            <v>0</v>
          </cell>
          <cell r="AQ5201">
            <v>0</v>
          </cell>
          <cell r="AV5201">
            <v>0</v>
          </cell>
        </row>
        <row r="5202">
          <cell r="E5202" t="str">
            <v>B26000405</v>
          </cell>
          <cell r="AP5202">
            <v>0</v>
          </cell>
          <cell r="AQ5202">
            <v>0</v>
          </cell>
          <cell r="AV5202">
            <v>0</v>
          </cell>
        </row>
        <row r="5203">
          <cell r="E5203" t="str">
            <v>D26001002</v>
          </cell>
          <cell r="AP5203">
            <v>0</v>
          </cell>
          <cell r="AQ5203">
            <v>0</v>
          </cell>
          <cell r="AV5203">
            <v>0</v>
          </cell>
        </row>
        <row r="5204">
          <cell r="E5204" t="str">
            <v>D26001158</v>
          </cell>
          <cell r="AP5204">
            <v>0</v>
          </cell>
          <cell r="AQ5204">
            <v>0</v>
          </cell>
          <cell r="AV5204">
            <v>0</v>
          </cell>
        </row>
        <row r="5205">
          <cell r="E5205" t="str">
            <v>D26001159</v>
          </cell>
          <cell r="AP5205">
            <v>0</v>
          </cell>
          <cell r="AQ5205">
            <v>0</v>
          </cell>
          <cell r="AV5205">
            <v>0</v>
          </cell>
        </row>
        <row r="5206">
          <cell r="E5206" t="str">
            <v>D26001418</v>
          </cell>
          <cell r="AP5206">
            <v>0</v>
          </cell>
          <cell r="AQ5206">
            <v>0</v>
          </cell>
          <cell r="AV5206">
            <v>0</v>
          </cell>
        </row>
        <row r="5207">
          <cell r="E5207" t="str">
            <v>B26001370</v>
          </cell>
          <cell r="AP5207">
            <v>0</v>
          </cell>
          <cell r="AQ5207">
            <v>0</v>
          </cell>
          <cell r="AV5207">
            <v>0</v>
          </cell>
        </row>
        <row r="5208">
          <cell r="E5208" t="str">
            <v>D26001439</v>
          </cell>
          <cell r="AP5208">
            <v>0</v>
          </cell>
          <cell r="AQ5208">
            <v>0</v>
          </cell>
          <cell r="AV5208">
            <v>0</v>
          </cell>
        </row>
        <row r="5209">
          <cell r="E5209" t="str">
            <v>B25013621</v>
          </cell>
          <cell r="AP5209">
            <v>0</v>
          </cell>
          <cell r="AQ5209">
            <v>0</v>
          </cell>
          <cell r="AV5209">
            <v>0</v>
          </cell>
        </row>
        <row r="5210">
          <cell r="E5210" t="str">
            <v>D25017834</v>
          </cell>
          <cell r="AP5210">
            <v>0</v>
          </cell>
          <cell r="AQ5210">
            <v>0</v>
          </cell>
          <cell r="AV5210">
            <v>0</v>
          </cell>
        </row>
        <row r="5211">
          <cell r="E5211" t="str">
            <v>D26000505</v>
          </cell>
          <cell r="AP5211">
            <v>0</v>
          </cell>
          <cell r="AQ5211">
            <v>0</v>
          </cell>
          <cell r="AV5211">
            <v>0</v>
          </cell>
        </row>
        <row r="5212">
          <cell r="E5212" t="str">
            <v>D26001027</v>
          </cell>
          <cell r="AP5212">
            <v>0</v>
          </cell>
          <cell r="AQ5212">
            <v>0</v>
          </cell>
          <cell r="AV5212">
            <v>0</v>
          </cell>
        </row>
        <row r="5213">
          <cell r="E5213" t="str">
            <v>R25000105</v>
          </cell>
          <cell r="AP5213">
            <v>0</v>
          </cell>
          <cell r="AQ5213">
            <v>0</v>
          </cell>
          <cell r="AV5213">
            <v>0</v>
          </cell>
        </row>
        <row r="5214">
          <cell r="E5214" t="str">
            <v>B26000187</v>
          </cell>
          <cell r="AP5214">
            <v>0</v>
          </cell>
          <cell r="AQ5214">
            <v>0</v>
          </cell>
          <cell r="AV5214">
            <v>0</v>
          </cell>
        </row>
        <row r="5215">
          <cell r="E5215" t="str">
            <v>B26000188</v>
          </cell>
          <cell r="AP5215">
            <v>0</v>
          </cell>
          <cell r="AQ5215">
            <v>0</v>
          </cell>
          <cell r="AV5215">
            <v>0</v>
          </cell>
        </row>
        <row r="5216">
          <cell r="E5216" t="str">
            <v>B26001397</v>
          </cell>
          <cell r="AP5216">
            <v>0</v>
          </cell>
          <cell r="AQ5216">
            <v>0</v>
          </cell>
          <cell r="AV5216">
            <v>0</v>
          </cell>
        </row>
        <row r="5217">
          <cell r="E5217" t="str">
            <v>B26001398</v>
          </cell>
          <cell r="AP5217">
            <v>0</v>
          </cell>
          <cell r="AQ5217">
            <v>0</v>
          </cell>
          <cell r="AV5217">
            <v>0</v>
          </cell>
        </row>
        <row r="5218">
          <cell r="E5218" t="str">
            <v>D26001373</v>
          </cell>
          <cell r="AP5218">
            <v>0</v>
          </cell>
          <cell r="AQ5218">
            <v>0</v>
          </cell>
          <cell r="AV5218">
            <v>0</v>
          </cell>
        </row>
        <row r="5219">
          <cell r="E5219" t="str">
            <v>D26001702</v>
          </cell>
          <cell r="AP5219">
            <v>0</v>
          </cell>
          <cell r="AQ5219">
            <v>0</v>
          </cell>
          <cell r="AV5219">
            <v>0</v>
          </cell>
        </row>
        <row r="5220">
          <cell r="E5220" t="str">
            <v>B26001597</v>
          </cell>
          <cell r="AP5220">
            <v>0</v>
          </cell>
          <cell r="AQ5220">
            <v>0</v>
          </cell>
          <cell r="AV5220">
            <v>0</v>
          </cell>
        </row>
        <row r="5221">
          <cell r="E5221" t="str">
            <v>D25019612</v>
          </cell>
          <cell r="AP5221">
            <v>0</v>
          </cell>
          <cell r="AQ5221">
            <v>0</v>
          </cell>
          <cell r="AV5221">
            <v>0</v>
          </cell>
        </row>
        <row r="5222">
          <cell r="E5222" t="str">
            <v>D25019613</v>
          </cell>
          <cell r="AP5222">
            <v>0</v>
          </cell>
          <cell r="AQ5222">
            <v>0</v>
          </cell>
          <cell r="AV5222">
            <v>0</v>
          </cell>
        </row>
        <row r="5223">
          <cell r="E5223" t="str">
            <v>B26000807</v>
          </cell>
          <cell r="AP5223">
            <v>0</v>
          </cell>
          <cell r="AQ5223">
            <v>0</v>
          </cell>
          <cell r="AV5223">
            <v>0</v>
          </cell>
        </row>
        <row r="5224">
          <cell r="E5224" t="str">
            <v>B26000838</v>
          </cell>
          <cell r="AP5224">
            <v>0</v>
          </cell>
          <cell r="AQ5224">
            <v>0</v>
          </cell>
          <cell r="AV5224">
            <v>0</v>
          </cell>
        </row>
        <row r="5225">
          <cell r="E5225" t="str">
            <v>B26001071</v>
          </cell>
          <cell r="AP5225">
            <v>0</v>
          </cell>
          <cell r="AQ5225">
            <v>0</v>
          </cell>
          <cell r="AV5225">
            <v>0</v>
          </cell>
        </row>
        <row r="5226">
          <cell r="E5226" t="str">
            <v>B26001072</v>
          </cell>
          <cell r="AP5226">
            <v>0</v>
          </cell>
          <cell r="AQ5226">
            <v>0</v>
          </cell>
          <cell r="AV5226">
            <v>0</v>
          </cell>
        </row>
        <row r="5227">
          <cell r="E5227" t="str">
            <v>D26001584</v>
          </cell>
          <cell r="AP5227">
            <v>0</v>
          </cell>
          <cell r="AQ5227">
            <v>0</v>
          </cell>
          <cell r="AV5227">
            <v>0</v>
          </cell>
        </row>
        <row r="5228">
          <cell r="E5228" t="str">
            <v>D26001585</v>
          </cell>
          <cell r="AP5228">
            <v>0</v>
          </cell>
          <cell r="AQ5228">
            <v>0</v>
          </cell>
          <cell r="AV5228">
            <v>0</v>
          </cell>
        </row>
        <row r="5229">
          <cell r="E5229" t="str">
            <v>D26001614</v>
          </cell>
          <cell r="AP5229">
            <v>0</v>
          </cell>
          <cell r="AQ5229">
            <v>0</v>
          </cell>
          <cell r="AV5229">
            <v>0</v>
          </cell>
        </row>
        <row r="5230">
          <cell r="E5230" t="str">
            <v>D25018570</v>
          </cell>
          <cell r="AP5230">
            <v>0</v>
          </cell>
          <cell r="AQ5230">
            <v>0</v>
          </cell>
          <cell r="AV5230">
            <v>0</v>
          </cell>
        </row>
        <row r="5231">
          <cell r="E5231" t="str">
            <v>D25018687</v>
          </cell>
          <cell r="AP5231">
            <v>0</v>
          </cell>
          <cell r="AQ5231">
            <v>0</v>
          </cell>
          <cell r="AV5231">
            <v>0</v>
          </cell>
        </row>
        <row r="5232">
          <cell r="E5232" t="str">
            <v>B25016269</v>
          </cell>
          <cell r="AP5232">
            <v>0</v>
          </cell>
          <cell r="AQ5232">
            <v>0</v>
          </cell>
          <cell r="AV5232">
            <v>0</v>
          </cell>
        </row>
        <row r="5233">
          <cell r="E5233" t="str">
            <v>D25018993</v>
          </cell>
          <cell r="AP5233">
            <v>0</v>
          </cell>
          <cell r="AQ5233">
            <v>0</v>
          </cell>
          <cell r="AV5233">
            <v>0</v>
          </cell>
        </row>
        <row r="5234">
          <cell r="E5234" t="str">
            <v>T25001505</v>
          </cell>
          <cell r="AP5234">
            <v>0</v>
          </cell>
          <cell r="AQ5234">
            <v>0</v>
          </cell>
          <cell r="AV5234">
            <v>0</v>
          </cell>
        </row>
        <row r="5235">
          <cell r="E5235" t="str">
            <v>D26000048</v>
          </cell>
          <cell r="AP5235">
            <v>0</v>
          </cell>
          <cell r="AQ5235">
            <v>0</v>
          </cell>
          <cell r="AV5235">
            <v>0</v>
          </cell>
        </row>
        <row r="5236">
          <cell r="E5236" t="str">
            <v>B26000141</v>
          </cell>
          <cell r="AP5236">
            <v>0</v>
          </cell>
          <cell r="AQ5236">
            <v>0</v>
          </cell>
          <cell r="AV5236">
            <v>0</v>
          </cell>
        </row>
        <row r="5237">
          <cell r="E5237" t="str">
            <v>T26000013</v>
          </cell>
          <cell r="AP5237">
            <v>0</v>
          </cell>
          <cell r="AQ5237">
            <v>0</v>
          </cell>
          <cell r="AV5237">
            <v>0</v>
          </cell>
        </row>
        <row r="5238">
          <cell r="E5238" t="str">
            <v>D26001489</v>
          </cell>
          <cell r="AP5238">
            <v>0</v>
          </cell>
          <cell r="AQ5238">
            <v>0</v>
          </cell>
          <cell r="AV5238">
            <v>0</v>
          </cell>
        </row>
        <row r="5239">
          <cell r="E5239" t="str">
            <v>B26001205</v>
          </cell>
          <cell r="AP5239">
            <v>0</v>
          </cell>
          <cell r="AQ5239">
            <v>0</v>
          </cell>
          <cell r="AV5239">
            <v>0</v>
          </cell>
        </row>
        <row r="5240">
          <cell r="E5240" t="str">
            <v>T25001864</v>
          </cell>
          <cell r="AP5240">
            <v>0</v>
          </cell>
          <cell r="AQ5240">
            <v>0</v>
          </cell>
          <cell r="AV5240">
            <v>0</v>
          </cell>
        </row>
        <row r="5241">
          <cell r="E5241" t="str">
            <v>D25019346</v>
          </cell>
          <cell r="AP5241">
            <v>0</v>
          </cell>
          <cell r="AQ5241">
            <v>0</v>
          </cell>
          <cell r="AV5241">
            <v>0</v>
          </cell>
        </row>
        <row r="5242">
          <cell r="E5242" t="str">
            <v>B26000220</v>
          </cell>
          <cell r="AP5242">
            <v>0</v>
          </cell>
          <cell r="AQ5242">
            <v>0</v>
          </cell>
          <cell r="AV5242">
            <v>0</v>
          </cell>
        </row>
        <row r="5243">
          <cell r="E5243" t="str">
            <v>B26000221</v>
          </cell>
          <cell r="AP5243">
            <v>0</v>
          </cell>
          <cell r="AQ5243">
            <v>0</v>
          </cell>
          <cell r="AV5243">
            <v>0</v>
          </cell>
        </row>
        <row r="5244">
          <cell r="E5244" t="str">
            <v>B26000931</v>
          </cell>
          <cell r="AP5244">
            <v>0</v>
          </cell>
          <cell r="AQ5244">
            <v>0</v>
          </cell>
          <cell r="AV5244">
            <v>0</v>
          </cell>
        </row>
        <row r="5245">
          <cell r="E5245" t="str">
            <v>B26000932</v>
          </cell>
          <cell r="AP5245">
            <v>0</v>
          </cell>
          <cell r="AQ5245">
            <v>0</v>
          </cell>
          <cell r="AV5245">
            <v>0</v>
          </cell>
        </row>
        <row r="5246">
          <cell r="E5246" t="str">
            <v>D26001259</v>
          </cell>
          <cell r="AP5246">
            <v>0</v>
          </cell>
          <cell r="AQ5246">
            <v>0</v>
          </cell>
          <cell r="AV5246">
            <v>0</v>
          </cell>
        </row>
        <row r="5247">
          <cell r="E5247" t="str">
            <v>B26001506</v>
          </cell>
          <cell r="AP5247">
            <v>0</v>
          </cell>
          <cell r="AQ5247">
            <v>0</v>
          </cell>
          <cell r="AV5247">
            <v>0</v>
          </cell>
        </row>
        <row r="5248">
          <cell r="E5248" t="str">
            <v>B26001507</v>
          </cell>
          <cell r="AP5248">
            <v>0</v>
          </cell>
          <cell r="AQ5248">
            <v>0</v>
          </cell>
          <cell r="AV5248">
            <v>0</v>
          </cell>
        </row>
        <row r="5249">
          <cell r="E5249" t="str">
            <v>D26001750</v>
          </cell>
          <cell r="AP5249">
            <v>0</v>
          </cell>
          <cell r="AQ5249">
            <v>0</v>
          </cell>
          <cell r="AV5249">
            <v>0</v>
          </cell>
        </row>
        <row r="5250">
          <cell r="E5250" t="str">
            <v>D25019133</v>
          </cell>
          <cell r="AP5250">
            <v>0</v>
          </cell>
          <cell r="AQ5250">
            <v>0</v>
          </cell>
          <cell r="AV5250">
            <v>0</v>
          </cell>
        </row>
        <row r="5251">
          <cell r="E5251" t="str">
            <v>B25016733</v>
          </cell>
          <cell r="AP5251">
            <v>0</v>
          </cell>
          <cell r="AQ5251">
            <v>0</v>
          </cell>
          <cell r="AV5251">
            <v>0</v>
          </cell>
        </row>
        <row r="5252">
          <cell r="E5252" t="str">
            <v>D25019444</v>
          </cell>
          <cell r="AP5252">
            <v>0</v>
          </cell>
          <cell r="AQ5252">
            <v>0</v>
          </cell>
          <cell r="AV5252">
            <v>0</v>
          </cell>
        </row>
        <row r="5253">
          <cell r="E5253" t="str">
            <v>B25016945</v>
          </cell>
          <cell r="AP5253">
            <v>0</v>
          </cell>
          <cell r="AQ5253">
            <v>0</v>
          </cell>
          <cell r="AV5253">
            <v>0</v>
          </cell>
        </row>
        <row r="5254">
          <cell r="E5254" t="str">
            <v>B25017122</v>
          </cell>
          <cell r="AP5254">
            <v>0</v>
          </cell>
          <cell r="AQ5254">
            <v>0</v>
          </cell>
          <cell r="AV5254">
            <v>0</v>
          </cell>
        </row>
        <row r="5255">
          <cell r="E5255" t="str">
            <v>B26000035</v>
          </cell>
          <cell r="AP5255">
            <v>0</v>
          </cell>
          <cell r="AQ5255">
            <v>0</v>
          </cell>
          <cell r="AV5255">
            <v>0</v>
          </cell>
        </row>
        <row r="5256">
          <cell r="E5256" t="str">
            <v>D26000341</v>
          </cell>
          <cell r="AP5256">
            <v>0</v>
          </cell>
          <cell r="AQ5256">
            <v>0</v>
          </cell>
          <cell r="AV5256">
            <v>0</v>
          </cell>
        </row>
        <row r="5257">
          <cell r="E5257" t="str">
            <v>D26000357</v>
          </cell>
          <cell r="AP5257">
            <v>0</v>
          </cell>
          <cell r="AQ5257">
            <v>0</v>
          </cell>
          <cell r="AV5257">
            <v>0</v>
          </cell>
        </row>
        <row r="5258">
          <cell r="E5258" t="str">
            <v>D26000366</v>
          </cell>
          <cell r="AP5258">
            <v>0</v>
          </cell>
          <cell r="AQ5258">
            <v>0</v>
          </cell>
          <cell r="AV5258">
            <v>0</v>
          </cell>
        </row>
        <row r="5259">
          <cell r="E5259" t="str">
            <v>D26000517</v>
          </cell>
          <cell r="AP5259">
            <v>0</v>
          </cell>
          <cell r="AQ5259">
            <v>0</v>
          </cell>
          <cell r="AV5259">
            <v>0</v>
          </cell>
        </row>
        <row r="5260">
          <cell r="E5260" t="str">
            <v>B26000611</v>
          </cell>
          <cell r="AP5260">
            <v>0</v>
          </cell>
          <cell r="AQ5260">
            <v>0</v>
          </cell>
          <cell r="AV5260">
            <v>0</v>
          </cell>
        </row>
        <row r="5261">
          <cell r="E5261" t="str">
            <v>B26000612</v>
          </cell>
          <cell r="AP5261">
            <v>0</v>
          </cell>
          <cell r="AQ5261">
            <v>0</v>
          </cell>
          <cell r="AV5261">
            <v>0</v>
          </cell>
        </row>
        <row r="5262">
          <cell r="E5262" t="str">
            <v>D26000792</v>
          </cell>
          <cell r="AP5262">
            <v>0</v>
          </cell>
          <cell r="AQ5262">
            <v>0</v>
          </cell>
          <cell r="AV5262">
            <v>0</v>
          </cell>
        </row>
        <row r="5263">
          <cell r="E5263" t="str">
            <v>D26000813</v>
          </cell>
          <cell r="AP5263">
            <v>0</v>
          </cell>
          <cell r="AQ5263">
            <v>0</v>
          </cell>
          <cell r="AV5263">
            <v>0</v>
          </cell>
        </row>
        <row r="5264">
          <cell r="E5264" t="str">
            <v>D26000815</v>
          </cell>
          <cell r="AP5264">
            <v>0</v>
          </cell>
          <cell r="AQ5264">
            <v>0</v>
          </cell>
          <cell r="AV5264">
            <v>0</v>
          </cell>
        </row>
        <row r="5265">
          <cell r="E5265" t="str">
            <v>B26000922</v>
          </cell>
          <cell r="AP5265">
            <v>0</v>
          </cell>
          <cell r="AQ5265">
            <v>0</v>
          </cell>
          <cell r="AV5265">
            <v>0</v>
          </cell>
        </row>
        <row r="5266">
          <cell r="E5266" t="str">
            <v>D26000949</v>
          </cell>
          <cell r="AP5266">
            <v>0</v>
          </cell>
          <cell r="AQ5266">
            <v>0</v>
          </cell>
          <cell r="AV5266">
            <v>0</v>
          </cell>
        </row>
        <row r="5267">
          <cell r="E5267" t="str">
            <v>D26001054</v>
          </cell>
          <cell r="AP5267">
            <v>0</v>
          </cell>
          <cell r="AQ5267">
            <v>0</v>
          </cell>
          <cell r="AV5267">
            <v>0</v>
          </cell>
        </row>
        <row r="5268">
          <cell r="E5268" t="str">
            <v>B26001005</v>
          </cell>
          <cell r="AP5268">
            <v>0</v>
          </cell>
          <cell r="AQ5268">
            <v>0</v>
          </cell>
          <cell r="AV5268">
            <v>0</v>
          </cell>
        </row>
        <row r="5269">
          <cell r="E5269" t="str">
            <v>D26001288</v>
          </cell>
          <cell r="AP5269">
            <v>0</v>
          </cell>
          <cell r="AQ5269">
            <v>0</v>
          </cell>
          <cell r="AV5269">
            <v>0</v>
          </cell>
        </row>
        <row r="5270">
          <cell r="E5270" t="str">
            <v>B26001504</v>
          </cell>
          <cell r="AP5270">
            <v>0</v>
          </cell>
          <cell r="AQ5270">
            <v>0</v>
          </cell>
          <cell r="AV5270">
            <v>0</v>
          </cell>
        </row>
        <row r="5271">
          <cell r="E5271" t="str">
            <v>D26001650</v>
          </cell>
          <cell r="AP5271">
            <v>0</v>
          </cell>
          <cell r="AQ5271">
            <v>0</v>
          </cell>
          <cell r="AV5271">
            <v>0</v>
          </cell>
        </row>
        <row r="5272">
          <cell r="E5272" t="str">
            <v>B25015546</v>
          </cell>
          <cell r="AP5272">
            <v>0</v>
          </cell>
          <cell r="AQ5272">
            <v>0</v>
          </cell>
          <cell r="AV5272">
            <v>0</v>
          </cell>
        </row>
        <row r="5273">
          <cell r="E5273" t="str">
            <v>B25015825</v>
          </cell>
          <cell r="AP5273">
            <v>0</v>
          </cell>
          <cell r="AQ5273">
            <v>0</v>
          </cell>
          <cell r="AV5273">
            <v>0</v>
          </cell>
        </row>
        <row r="5274">
          <cell r="E5274" t="str">
            <v>B25015827</v>
          </cell>
          <cell r="AP5274">
            <v>0</v>
          </cell>
          <cell r="AQ5274">
            <v>0</v>
          </cell>
          <cell r="AV5274">
            <v>0</v>
          </cell>
        </row>
        <row r="5275">
          <cell r="E5275" t="str">
            <v>D25018339</v>
          </cell>
          <cell r="AP5275">
            <v>0</v>
          </cell>
          <cell r="AQ5275">
            <v>0</v>
          </cell>
          <cell r="AV5275">
            <v>0</v>
          </cell>
        </row>
        <row r="5276">
          <cell r="E5276" t="str">
            <v>B25016280</v>
          </cell>
          <cell r="AP5276">
            <v>0</v>
          </cell>
          <cell r="AQ5276">
            <v>0</v>
          </cell>
          <cell r="AV5276">
            <v>0</v>
          </cell>
        </row>
        <row r="5277">
          <cell r="E5277" t="str">
            <v>B25016282</v>
          </cell>
          <cell r="AP5277">
            <v>0</v>
          </cell>
          <cell r="AQ5277">
            <v>0</v>
          </cell>
          <cell r="AV5277">
            <v>0</v>
          </cell>
        </row>
        <row r="5278">
          <cell r="E5278" t="str">
            <v>B25016415</v>
          </cell>
          <cell r="AP5278">
            <v>0</v>
          </cell>
          <cell r="AQ5278">
            <v>0</v>
          </cell>
          <cell r="AV5278">
            <v>0</v>
          </cell>
        </row>
        <row r="5279">
          <cell r="E5279" t="str">
            <v>B25016517</v>
          </cell>
          <cell r="AP5279">
            <v>0</v>
          </cell>
          <cell r="AQ5279">
            <v>0</v>
          </cell>
          <cell r="AV5279">
            <v>0</v>
          </cell>
        </row>
        <row r="5280">
          <cell r="E5280" t="str">
            <v>D25019007</v>
          </cell>
          <cell r="AP5280">
            <v>0</v>
          </cell>
          <cell r="AQ5280">
            <v>0</v>
          </cell>
          <cell r="AV5280">
            <v>0</v>
          </cell>
        </row>
        <row r="5281">
          <cell r="E5281" t="str">
            <v>B25016730</v>
          </cell>
          <cell r="AP5281">
            <v>0</v>
          </cell>
          <cell r="AQ5281">
            <v>0</v>
          </cell>
          <cell r="AV5281">
            <v>0</v>
          </cell>
        </row>
        <row r="5282">
          <cell r="E5282" t="str">
            <v>D25019344</v>
          </cell>
          <cell r="AP5282">
            <v>0</v>
          </cell>
          <cell r="AQ5282">
            <v>0</v>
          </cell>
          <cell r="AV5282">
            <v>0</v>
          </cell>
        </row>
        <row r="5283">
          <cell r="E5283" t="str">
            <v>D25019545</v>
          </cell>
          <cell r="AP5283">
            <v>0</v>
          </cell>
          <cell r="AQ5283">
            <v>0</v>
          </cell>
          <cell r="AV5283">
            <v>0</v>
          </cell>
        </row>
        <row r="5284">
          <cell r="E5284" t="str">
            <v>D25019705</v>
          </cell>
          <cell r="AP5284">
            <v>0</v>
          </cell>
          <cell r="AQ5284">
            <v>0</v>
          </cell>
          <cell r="AV5284">
            <v>0</v>
          </cell>
        </row>
        <row r="5285">
          <cell r="E5285" t="str">
            <v>B26000112</v>
          </cell>
          <cell r="AP5285">
            <v>0</v>
          </cell>
          <cell r="AQ5285">
            <v>0</v>
          </cell>
          <cell r="AV5285">
            <v>0</v>
          </cell>
        </row>
        <row r="5286">
          <cell r="E5286" t="str">
            <v>D26000018</v>
          </cell>
          <cell r="AP5286">
            <v>0</v>
          </cell>
          <cell r="AQ5286">
            <v>0</v>
          </cell>
          <cell r="AV5286">
            <v>0</v>
          </cell>
        </row>
        <row r="5287">
          <cell r="E5287" t="str">
            <v>D26000046</v>
          </cell>
          <cell r="AP5287">
            <v>0</v>
          </cell>
          <cell r="AQ5287">
            <v>0</v>
          </cell>
          <cell r="AV5287">
            <v>0</v>
          </cell>
        </row>
        <row r="5288">
          <cell r="E5288" t="str">
            <v>B26000270</v>
          </cell>
          <cell r="AP5288">
            <v>0</v>
          </cell>
          <cell r="AQ5288">
            <v>0</v>
          </cell>
          <cell r="AV5288">
            <v>0</v>
          </cell>
        </row>
        <row r="5289">
          <cell r="E5289" t="str">
            <v>B26000441</v>
          </cell>
          <cell r="AP5289">
            <v>0</v>
          </cell>
          <cell r="AQ5289">
            <v>0</v>
          </cell>
          <cell r="AV5289">
            <v>0</v>
          </cell>
        </row>
        <row r="5290">
          <cell r="E5290" t="str">
            <v>B26000501</v>
          </cell>
          <cell r="AP5290">
            <v>0</v>
          </cell>
          <cell r="AQ5290">
            <v>0</v>
          </cell>
          <cell r="AV5290">
            <v>0</v>
          </cell>
        </row>
        <row r="5291">
          <cell r="E5291" t="str">
            <v>B26000886</v>
          </cell>
          <cell r="AP5291">
            <v>0</v>
          </cell>
          <cell r="AQ5291">
            <v>0</v>
          </cell>
          <cell r="AV5291">
            <v>0</v>
          </cell>
        </row>
        <row r="5292">
          <cell r="E5292" t="str">
            <v>B26000973</v>
          </cell>
          <cell r="AP5292">
            <v>0</v>
          </cell>
          <cell r="AQ5292">
            <v>0</v>
          </cell>
          <cell r="AV5292">
            <v>0</v>
          </cell>
        </row>
        <row r="5293">
          <cell r="E5293" t="str">
            <v>B26001640</v>
          </cell>
          <cell r="AP5293">
            <v>0</v>
          </cell>
          <cell r="AQ5293">
            <v>0</v>
          </cell>
          <cell r="AV5293">
            <v>0</v>
          </cell>
        </row>
        <row r="5294">
          <cell r="E5294" t="str">
            <v>B26001641</v>
          </cell>
          <cell r="AP5294">
            <v>0</v>
          </cell>
          <cell r="AQ5294">
            <v>0</v>
          </cell>
          <cell r="AV5294">
            <v>0</v>
          </cell>
        </row>
        <row r="5295">
          <cell r="E5295" t="str">
            <v>D25018748</v>
          </cell>
          <cell r="AP5295">
            <v>0</v>
          </cell>
          <cell r="AQ5295">
            <v>0</v>
          </cell>
          <cell r="AV5295">
            <v>0</v>
          </cell>
        </row>
        <row r="5296">
          <cell r="E5296" t="str">
            <v>D26001459</v>
          </cell>
          <cell r="AP5296">
            <v>0</v>
          </cell>
          <cell r="AQ5296">
            <v>0</v>
          </cell>
          <cell r="AV5296">
            <v>0</v>
          </cell>
        </row>
        <row r="5297">
          <cell r="E5297" t="str">
            <v>D25018467</v>
          </cell>
          <cell r="AP5297">
            <v>0</v>
          </cell>
          <cell r="AQ5297">
            <v>0</v>
          </cell>
          <cell r="AV5297">
            <v>0</v>
          </cell>
        </row>
        <row r="5298">
          <cell r="E5298" t="str">
            <v>D25018615</v>
          </cell>
          <cell r="AP5298">
            <v>0</v>
          </cell>
          <cell r="AQ5298">
            <v>0</v>
          </cell>
          <cell r="AV5298">
            <v>0</v>
          </cell>
        </row>
        <row r="5299">
          <cell r="E5299" t="str">
            <v>D25018949</v>
          </cell>
          <cell r="AP5299">
            <v>0</v>
          </cell>
          <cell r="AQ5299">
            <v>0</v>
          </cell>
          <cell r="AV5299">
            <v>0</v>
          </cell>
        </row>
        <row r="5300">
          <cell r="E5300" t="str">
            <v>B25016579</v>
          </cell>
          <cell r="AP5300">
            <v>0</v>
          </cell>
          <cell r="AQ5300">
            <v>0</v>
          </cell>
          <cell r="AV5300">
            <v>0</v>
          </cell>
        </row>
        <row r="5301">
          <cell r="E5301" t="str">
            <v>D25019137</v>
          </cell>
          <cell r="AP5301">
            <v>0</v>
          </cell>
          <cell r="AQ5301">
            <v>0</v>
          </cell>
          <cell r="AV5301">
            <v>0</v>
          </cell>
        </row>
        <row r="5302">
          <cell r="E5302" t="str">
            <v>D25019183</v>
          </cell>
          <cell r="AP5302">
            <v>0</v>
          </cell>
          <cell r="AQ5302">
            <v>0</v>
          </cell>
          <cell r="AV5302">
            <v>0</v>
          </cell>
        </row>
        <row r="5303">
          <cell r="E5303" t="str">
            <v>D26000910</v>
          </cell>
          <cell r="AP5303">
            <v>0</v>
          </cell>
          <cell r="AQ5303">
            <v>0</v>
          </cell>
          <cell r="AV5303">
            <v>0</v>
          </cell>
        </row>
        <row r="5304">
          <cell r="E5304" t="str">
            <v>B26001311</v>
          </cell>
          <cell r="AP5304">
            <v>0</v>
          </cell>
          <cell r="AQ5304">
            <v>0</v>
          </cell>
          <cell r="AV5304">
            <v>0</v>
          </cell>
        </row>
        <row r="5305">
          <cell r="E5305" t="str">
            <v>B26001500</v>
          </cell>
          <cell r="AP5305">
            <v>0</v>
          </cell>
          <cell r="AQ5305">
            <v>0</v>
          </cell>
          <cell r="AV5305">
            <v>0</v>
          </cell>
        </row>
        <row r="5306">
          <cell r="E5306" t="str">
            <v>D26001748</v>
          </cell>
          <cell r="AP5306">
            <v>0</v>
          </cell>
          <cell r="AQ5306">
            <v>0</v>
          </cell>
          <cell r="AV5306">
            <v>0</v>
          </cell>
        </row>
        <row r="5307">
          <cell r="E5307" t="str">
            <v>D26001753</v>
          </cell>
          <cell r="AP5307">
            <v>0</v>
          </cell>
          <cell r="AQ5307">
            <v>0</v>
          </cell>
          <cell r="AV5307">
            <v>0</v>
          </cell>
        </row>
        <row r="5308">
          <cell r="E5308" t="str">
            <v>D26001754</v>
          </cell>
          <cell r="AP5308">
            <v>0</v>
          </cell>
          <cell r="AQ5308">
            <v>0</v>
          </cell>
          <cell r="AV5308">
            <v>0</v>
          </cell>
        </row>
        <row r="5309">
          <cell r="E5309" t="str">
            <v>Z25003334</v>
          </cell>
          <cell r="AP5309">
            <v>0</v>
          </cell>
          <cell r="AQ5309">
            <v>0</v>
          </cell>
          <cell r="AV5309">
            <v>0</v>
          </cell>
        </row>
        <row r="5310">
          <cell r="E5310" t="str">
            <v>D26000428</v>
          </cell>
          <cell r="AP5310">
            <v>0</v>
          </cell>
          <cell r="AQ5310">
            <v>0</v>
          </cell>
          <cell r="AV5310">
            <v>0</v>
          </cell>
        </row>
        <row r="5311">
          <cell r="E5311" t="str">
            <v>D26001452</v>
          </cell>
          <cell r="AP5311">
            <v>0</v>
          </cell>
          <cell r="AQ5311">
            <v>0</v>
          </cell>
          <cell r="AV5311">
            <v>0</v>
          </cell>
        </row>
        <row r="5312">
          <cell r="E5312" t="str">
            <v>Z26000238</v>
          </cell>
          <cell r="AP5312">
            <v>0</v>
          </cell>
          <cell r="AQ5312">
            <v>0</v>
          </cell>
          <cell r="AV5312">
            <v>0</v>
          </cell>
        </row>
        <row r="5313">
          <cell r="E5313" t="str">
            <v>Z26000244</v>
          </cell>
          <cell r="AP5313">
            <v>0</v>
          </cell>
          <cell r="AQ5313">
            <v>0</v>
          </cell>
          <cell r="AV5313">
            <v>0</v>
          </cell>
        </row>
        <row r="5314">
          <cell r="E5314" t="str">
            <v>B25016725</v>
          </cell>
          <cell r="AP5314">
            <v>0</v>
          </cell>
          <cell r="AQ5314">
            <v>0</v>
          </cell>
          <cell r="AV5314">
            <v>0</v>
          </cell>
        </row>
        <row r="5315">
          <cell r="E5315" t="str">
            <v>D25019252</v>
          </cell>
          <cell r="AP5315">
            <v>0</v>
          </cell>
          <cell r="AQ5315">
            <v>0</v>
          </cell>
          <cell r="AV5315">
            <v>0</v>
          </cell>
        </row>
        <row r="5316">
          <cell r="E5316" t="str">
            <v>B25014613</v>
          </cell>
          <cell r="AP5316">
            <v>0</v>
          </cell>
          <cell r="AQ5316">
            <v>0</v>
          </cell>
          <cell r="AV5316">
            <v>0</v>
          </cell>
        </row>
        <row r="5317">
          <cell r="E5317" t="str">
            <v>B25015210</v>
          </cell>
          <cell r="AP5317">
            <v>0</v>
          </cell>
          <cell r="AQ5317">
            <v>0</v>
          </cell>
          <cell r="AV5317">
            <v>0</v>
          </cell>
        </row>
        <row r="5318">
          <cell r="E5318" t="str">
            <v>B25015806</v>
          </cell>
          <cell r="AP5318">
            <v>0</v>
          </cell>
          <cell r="AQ5318">
            <v>0</v>
          </cell>
          <cell r="AV5318">
            <v>0</v>
          </cell>
        </row>
        <row r="5319">
          <cell r="E5319" t="str">
            <v>B25015910</v>
          </cell>
          <cell r="AP5319">
            <v>0</v>
          </cell>
          <cell r="AQ5319">
            <v>0</v>
          </cell>
          <cell r="AV5319">
            <v>0</v>
          </cell>
        </row>
        <row r="5320">
          <cell r="E5320" t="str">
            <v>T25001806</v>
          </cell>
          <cell r="AP5320">
            <v>0</v>
          </cell>
          <cell r="AQ5320">
            <v>0</v>
          </cell>
          <cell r="AV5320">
            <v>0</v>
          </cell>
        </row>
        <row r="5321">
          <cell r="E5321" t="str">
            <v>D25018398</v>
          </cell>
          <cell r="AP5321">
            <v>0</v>
          </cell>
          <cell r="AQ5321">
            <v>0</v>
          </cell>
          <cell r="AV5321">
            <v>0</v>
          </cell>
        </row>
        <row r="5322">
          <cell r="E5322" t="str">
            <v>T25001820</v>
          </cell>
          <cell r="AP5322">
            <v>0</v>
          </cell>
          <cell r="AQ5322">
            <v>0</v>
          </cell>
          <cell r="AV5322">
            <v>0</v>
          </cell>
        </row>
        <row r="5323">
          <cell r="E5323" t="str">
            <v>D25018620</v>
          </cell>
          <cell r="AP5323">
            <v>0</v>
          </cell>
          <cell r="AQ5323">
            <v>0</v>
          </cell>
          <cell r="AV5323">
            <v>0</v>
          </cell>
        </row>
        <row r="5324">
          <cell r="E5324" t="str">
            <v>D25018908</v>
          </cell>
          <cell r="AP5324">
            <v>0</v>
          </cell>
          <cell r="AQ5324">
            <v>0</v>
          </cell>
          <cell r="AV5324">
            <v>0</v>
          </cell>
        </row>
        <row r="5325">
          <cell r="E5325" t="str">
            <v>B25017094</v>
          </cell>
          <cell r="AP5325">
            <v>0</v>
          </cell>
          <cell r="AQ5325">
            <v>0</v>
          </cell>
          <cell r="AV5325">
            <v>0</v>
          </cell>
        </row>
        <row r="5326">
          <cell r="E5326" t="str">
            <v>D26000236</v>
          </cell>
          <cell r="AP5326">
            <v>0</v>
          </cell>
          <cell r="AQ5326">
            <v>0</v>
          </cell>
          <cell r="AV5326">
            <v>0</v>
          </cell>
        </row>
        <row r="5327">
          <cell r="E5327" t="str">
            <v>D26000484</v>
          </cell>
          <cell r="AP5327">
            <v>0</v>
          </cell>
          <cell r="AQ5327">
            <v>0</v>
          </cell>
          <cell r="AV5327">
            <v>0</v>
          </cell>
        </row>
        <row r="5328">
          <cell r="E5328" t="str">
            <v>B26000798</v>
          </cell>
          <cell r="AP5328">
            <v>0</v>
          </cell>
          <cell r="AQ5328">
            <v>0</v>
          </cell>
          <cell r="AV5328">
            <v>0</v>
          </cell>
        </row>
        <row r="5329">
          <cell r="E5329" t="str">
            <v>B26001036</v>
          </cell>
          <cell r="AP5329">
            <v>0</v>
          </cell>
          <cell r="AQ5329">
            <v>0</v>
          </cell>
          <cell r="AV5329">
            <v>0</v>
          </cell>
        </row>
        <row r="5330">
          <cell r="E5330" t="str">
            <v>B26001058</v>
          </cell>
          <cell r="AP5330">
            <v>0</v>
          </cell>
          <cell r="AQ5330">
            <v>0</v>
          </cell>
          <cell r="AV5330">
            <v>0</v>
          </cell>
        </row>
        <row r="5331">
          <cell r="E5331" t="str">
            <v>T26000082</v>
          </cell>
          <cell r="AP5331">
            <v>0</v>
          </cell>
          <cell r="AQ5331">
            <v>0</v>
          </cell>
          <cell r="AV5331">
            <v>0</v>
          </cell>
        </row>
        <row r="5332">
          <cell r="E5332" t="str">
            <v>D25019446</v>
          </cell>
          <cell r="AP5332">
            <v>0</v>
          </cell>
          <cell r="AQ5332">
            <v>0</v>
          </cell>
          <cell r="AV5332">
            <v>0</v>
          </cell>
        </row>
        <row r="5333">
          <cell r="E5333" t="str">
            <v>B25017027</v>
          </cell>
          <cell r="AP5333">
            <v>0</v>
          </cell>
          <cell r="AQ5333">
            <v>0</v>
          </cell>
          <cell r="AV5333">
            <v>0</v>
          </cell>
        </row>
        <row r="5334">
          <cell r="E5334" t="str">
            <v>D25019588</v>
          </cell>
          <cell r="AP5334">
            <v>0</v>
          </cell>
          <cell r="AQ5334">
            <v>0</v>
          </cell>
          <cell r="AV5334">
            <v>0</v>
          </cell>
        </row>
        <row r="5335">
          <cell r="E5335" t="str">
            <v>B26000422</v>
          </cell>
          <cell r="AP5335">
            <v>0</v>
          </cell>
          <cell r="AQ5335">
            <v>0</v>
          </cell>
          <cell r="AV5335">
            <v>0</v>
          </cell>
        </row>
        <row r="5336">
          <cell r="E5336" t="str">
            <v>B26000424</v>
          </cell>
          <cell r="AP5336">
            <v>0</v>
          </cell>
          <cell r="AQ5336">
            <v>0</v>
          </cell>
          <cell r="AV5336">
            <v>0</v>
          </cell>
        </row>
        <row r="5337">
          <cell r="E5337" t="str">
            <v>D26001155</v>
          </cell>
          <cell r="AP5337">
            <v>0</v>
          </cell>
          <cell r="AQ5337">
            <v>0</v>
          </cell>
          <cell r="AV5337">
            <v>0</v>
          </cell>
        </row>
        <row r="5338">
          <cell r="E5338" t="str">
            <v>D26001207</v>
          </cell>
          <cell r="AP5338">
            <v>0</v>
          </cell>
          <cell r="AQ5338">
            <v>0</v>
          </cell>
          <cell r="AV5338">
            <v>0</v>
          </cell>
        </row>
        <row r="5339">
          <cell r="E5339" t="str">
            <v>D26001364</v>
          </cell>
          <cell r="AP5339">
            <v>0</v>
          </cell>
          <cell r="AQ5339">
            <v>0</v>
          </cell>
          <cell r="AV5339">
            <v>0</v>
          </cell>
        </row>
        <row r="5340">
          <cell r="E5340" t="str">
            <v>B26001541</v>
          </cell>
          <cell r="AP5340">
            <v>0</v>
          </cell>
          <cell r="AQ5340">
            <v>0</v>
          </cell>
          <cell r="AV5340">
            <v>0</v>
          </cell>
        </row>
        <row r="5341">
          <cell r="E5341" t="str">
            <v>B26001636</v>
          </cell>
          <cell r="AP5341">
            <v>0</v>
          </cell>
          <cell r="AQ5341">
            <v>0</v>
          </cell>
          <cell r="AV5341">
            <v>0</v>
          </cell>
        </row>
        <row r="5342">
          <cell r="E5342" t="str">
            <v>B26001637</v>
          </cell>
          <cell r="AP5342">
            <v>0</v>
          </cell>
          <cell r="AQ5342">
            <v>0</v>
          </cell>
          <cell r="AV5342">
            <v>0</v>
          </cell>
        </row>
        <row r="5343">
          <cell r="E5343" t="str">
            <v>D26001739</v>
          </cell>
          <cell r="AP5343">
            <v>0</v>
          </cell>
          <cell r="AQ5343">
            <v>0</v>
          </cell>
          <cell r="AV5343">
            <v>0</v>
          </cell>
        </row>
        <row r="5344">
          <cell r="E5344" t="str">
            <v>T25001650K</v>
          </cell>
          <cell r="AP5344">
            <v>0</v>
          </cell>
          <cell r="AQ5344">
            <v>0</v>
          </cell>
          <cell r="AV5344">
            <v>0</v>
          </cell>
        </row>
        <row r="5345">
          <cell r="E5345" t="str">
            <v>T25001664</v>
          </cell>
          <cell r="AP5345">
            <v>0</v>
          </cell>
          <cell r="AQ5345">
            <v>0</v>
          </cell>
          <cell r="AV5345">
            <v>0</v>
          </cell>
        </row>
        <row r="5346">
          <cell r="E5346" t="str">
            <v>D25017969</v>
          </cell>
          <cell r="AP5346">
            <v>0</v>
          </cell>
          <cell r="AQ5346">
            <v>0</v>
          </cell>
          <cell r="AV5346">
            <v>0</v>
          </cell>
        </row>
        <row r="5347">
          <cell r="E5347" t="str">
            <v>B26000483</v>
          </cell>
          <cell r="AP5347">
            <v>0</v>
          </cell>
          <cell r="AQ5347">
            <v>0</v>
          </cell>
          <cell r="AV5347">
            <v>0</v>
          </cell>
        </row>
        <row r="5348">
          <cell r="E5348" t="str">
            <v>B26000849</v>
          </cell>
          <cell r="AP5348">
            <v>0</v>
          </cell>
          <cell r="AQ5348">
            <v>0</v>
          </cell>
          <cell r="AV5348">
            <v>0</v>
          </cell>
        </row>
        <row r="5349">
          <cell r="E5349" t="str">
            <v>B25015014</v>
          </cell>
          <cell r="AP5349">
            <v>0</v>
          </cell>
          <cell r="AQ5349">
            <v>0</v>
          </cell>
          <cell r="AV5349">
            <v>0</v>
          </cell>
        </row>
        <row r="5350">
          <cell r="E5350" t="str">
            <v>D25017847</v>
          </cell>
          <cell r="AP5350">
            <v>0</v>
          </cell>
          <cell r="AQ5350">
            <v>0</v>
          </cell>
          <cell r="AV5350">
            <v>0</v>
          </cell>
        </row>
        <row r="5351">
          <cell r="E5351" t="str">
            <v>B25015804</v>
          </cell>
          <cell r="AP5351">
            <v>0</v>
          </cell>
          <cell r="AQ5351">
            <v>0</v>
          </cell>
          <cell r="AV5351">
            <v>0</v>
          </cell>
        </row>
        <row r="5352">
          <cell r="E5352" t="str">
            <v>B25016077</v>
          </cell>
          <cell r="AP5352">
            <v>0</v>
          </cell>
          <cell r="AQ5352">
            <v>0</v>
          </cell>
          <cell r="AV5352">
            <v>0</v>
          </cell>
        </row>
        <row r="5353">
          <cell r="E5353" t="str">
            <v>D25018581</v>
          </cell>
          <cell r="AP5353">
            <v>0</v>
          </cell>
          <cell r="AQ5353">
            <v>0</v>
          </cell>
          <cell r="AV5353">
            <v>0</v>
          </cell>
        </row>
        <row r="5354">
          <cell r="E5354" t="str">
            <v>D25018724</v>
          </cell>
          <cell r="AP5354">
            <v>0</v>
          </cell>
          <cell r="AQ5354">
            <v>0</v>
          </cell>
          <cell r="AV5354">
            <v>0</v>
          </cell>
        </row>
        <row r="5355">
          <cell r="E5355" t="str">
            <v>D25018766</v>
          </cell>
          <cell r="AP5355">
            <v>0</v>
          </cell>
          <cell r="AQ5355">
            <v>0</v>
          </cell>
          <cell r="AV5355">
            <v>0</v>
          </cell>
        </row>
        <row r="5356">
          <cell r="E5356" t="str">
            <v>B25016403</v>
          </cell>
          <cell r="AP5356">
            <v>0</v>
          </cell>
          <cell r="AQ5356">
            <v>0</v>
          </cell>
          <cell r="AV5356">
            <v>0</v>
          </cell>
        </row>
        <row r="5357">
          <cell r="E5357" t="str">
            <v>B25016449</v>
          </cell>
          <cell r="AP5357">
            <v>0</v>
          </cell>
          <cell r="AQ5357">
            <v>0</v>
          </cell>
          <cell r="AV5357">
            <v>0</v>
          </cell>
        </row>
        <row r="5358">
          <cell r="E5358" t="str">
            <v>D25018941</v>
          </cell>
          <cell r="AP5358">
            <v>0</v>
          </cell>
          <cell r="AQ5358">
            <v>0</v>
          </cell>
          <cell r="AV5358">
            <v>0</v>
          </cell>
        </row>
        <row r="5359">
          <cell r="E5359" t="str">
            <v>D25018968</v>
          </cell>
          <cell r="AP5359">
            <v>0</v>
          </cell>
          <cell r="AQ5359">
            <v>0</v>
          </cell>
          <cell r="AV5359">
            <v>0</v>
          </cell>
        </row>
        <row r="5360">
          <cell r="E5360" t="str">
            <v>D25019405</v>
          </cell>
          <cell r="AP5360">
            <v>0</v>
          </cell>
          <cell r="AQ5360">
            <v>0</v>
          </cell>
          <cell r="AV5360">
            <v>0</v>
          </cell>
        </row>
        <row r="5361">
          <cell r="E5361" t="str">
            <v>D25019406</v>
          </cell>
          <cell r="AP5361">
            <v>0</v>
          </cell>
          <cell r="AQ5361">
            <v>0</v>
          </cell>
          <cell r="AV5361">
            <v>0</v>
          </cell>
        </row>
        <row r="5362">
          <cell r="E5362" t="str">
            <v>B26000104</v>
          </cell>
          <cell r="AP5362">
            <v>0</v>
          </cell>
          <cell r="AQ5362">
            <v>0</v>
          </cell>
          <cell r="AV5362">
            <v>0</v>
          </cell>
        </row>
        <row r="5363">
          <cell r="E5363" t="str">
            <v>B26000105</v>
          </cell>
          <cell r="AP5363">
            <v>0</v>
          </cell>
          <cell r="AQ5363">
            <v>0</v>
          </cell>
          <cell r="AV5363">
            <v>0</v>
          </cell>
        </row>
        <row r="5364">
          <cell r="E5364" t="str">
            <v>B26000265</v>
          </cell>
          <cell r="AP5364">
            <v>0</v>
          </cell>
          <cell r="AQ5364">
            <v>0</v>
          </cell>
          <cell r="AV5364">
            <v>0</v>
          </cell>
        </row>
        <row r="5365">
          <cell r="E5365" t="str">
            <v>B26000266</v>
          </cell>
          <cell r="AP5365">
            <v>0</v>
          </cell>
          <cell r="AQ5365">
            <v>0</v>
          </cell>
          <cell r="AV5365">
            <v>0</v>
          </cell>
        </row>
        <row r="5366">
          <cell r="E5366" t="str">
            <v>D26000312</v>
          </cell>
          <cell r="AP5366">
            <v>0</v>
          </cell>
          <cell r="AQ5366">
            <v>0</v>
          </cell>
          <cell r="AV5366">
            <v>0</v>
          </cell>
        </row>
        <row r="5367">
          <cell r="E5367" t="str">
            <v>B26000396</v>
          </cell>
          <cell r="AP5367">
            <v>0</v>
          </cell>
          <cell r="AQ5367">
            <v>0</v>
          </cell>
          <cell r="AV5367">
            <v>0</v>
          </cell>
        </row>
        <row r="5368">
          <cell r="E5368" t="str">
            <v>D26000509</v>
          </cell>
          <cell r="AP5368">
            <v>0</v>
          </cell>
          <cell r="AQ5368">
            <v>0</v>
          </cell>
          <cell r="AV5368">
            <v>0</v>
          </cell>
        </row>
        <row r="5369">
          <cell r="E5369" t="str">
            <v>D26000564</v>
          </cell>
          <cell r="AP5369">
            <v>0</v>
          </cell>
          <cell r="AQ5369">
            <v>0</v>
          </cell>
          <cell r="AV5369">
            <v>0</v>
          </cell>
        </row>
        <row r="5370">
          <cell r="E5370" t="str">
            <v>D26000984</v>
          </cell>
          <cell r="AP5370">
            <v>0</v>
          </cell>
          <cell r="AQ5370">
            <v>0</v>
          </cell>
          <cell r="AV5370">
            <v>0</v>
          </cell>
        </row>
        <row r="5371">
          <cell r="E5371" t="str">
            <v>B26000961</v>
          </cell>
          <cell r="AP5371">
            <v>0</v>
          </cell>
          <cell r="AQ5371">
            <v>0</v>
          </cell>
          <cell r="AV5371">
            <v>0</v>
          </cell>
        </row>
        <row r="5372">
          <cell r="E5372" t="str">
            <v>D26001056</v>
          </cell>
          <cell r="AP5372">
            <v>0</v>
          </cell>
          <cell r="AQ5372">
            <v>0</v>
          </cell>
          <cell r="AV5372">
            <v>0</v>
          </cell>
        </row>
        <row r="5373">
          <cell r="E5373" t="str">
            <v>D26001312</v>
          </cell>
          <cell r="AP5373">
            <v>0</v>
          </cell>
          <cell r="AQ5373">
            <v>0</v>
          </cell>
          <cell r="AV5373">
            <v>0</v>
          </cell>
        </row>
        <row r="5374">
          <cell r="E5374" t="str">
            <v>B26001407</v>
          </cell>
          <cell r="AP5374">
            <v>0</v>
          </cell>
          <cell r="AQ5374">
            <v>0</v>
          </cell>
          <cell r="AV5374">
            <v>0</v>
          </cell>
        </row>
        <row r="5375">
          <cell r="E5375" t="str">
            <v>B26001408</v>
          </cell>
          <cell r="AP5375">
            <v>0</v>
          </cell>
          <cell r="AQ5375">
            <v>0</v>
          </cell>
          <cell r="AV5375">
            <v>0</v>
          </cell>
        </row>
        <row r="5376">
          <cell r="E5376" t="str">
            <v>D26000747</v>
          </cell>
          <cell r="AP5376">
            <v>0</v>
          </cell>
          <cell r="AQ5376">
            <v>0</v>
          </cell>
          <cell r="AV5376">
            <v>0</v>
          </cell>
        </row>
        <row r="5377">
          <cell r="E5377" t="str">
            <v>D26000751</v>
          </cell>
          <cell r="AP5377">
            <v>0</v>
          </cell>
          <cell r="AQ5377">
            <v>0</v>
          </cell>
          <cell r="AV5377">
            <v>0</v>
          </cell>
        </row>
        <row r="5378">
          <cell r="E5378" t="str">
            <v>B26001530</v>
          </cell>
          <cell r="AP5378">
            <v>0</v>
          </cell>
          <cell r="AQ5378">
            <v>0</v>
          </cell>
          <cell r="AV5378">
            <v>0</v>
          </cell>
        </row>
        <row r="5379">
          <cell r="E5379" t="str">
            <v>B26001093</v>
          </cell>
          <cell r="AP5379">
            <v>0</v>
          </cell>
          <cell r="AQ5379">
            <v>0</v>
          </cell>
          <cell r="AV5379">
            <v>0</v>
          </cell>
        </row>
        <row r="5380">
          <cell r="E5380" t="str">
            <v>B25016506</v>
          </cell>
          <cell r="AP5380">
            <v>0</v>
          </cell>
          <cell r="AQ5380">
            <v>0</v>
          </cell>
          <cell r="AV5380">
            <v>0</v>
          </cell>
        </row>
        <row r="5381">
          <cell r="E5381" t="str">
            <v>B26000861</v>
          </cell>
          <cell r="AP5381">
            <v>0</v>
          </cell>
          <cell r="AQ5381">
            <v>0</v>
          </cell>
          <cell r="AV5381">
            <v>0</v>
          </cell>
        </row>
        <row r="5382">
          <cell r="E5382" t="str">
            <v>B26000967</v>
          </cell>
          <cell r="AP5382">
            <v>0</v>
          </cell>
          <cell r="AQ5382">
            <v>0</v>
          </cell>
          <cell r="AV5382">
            <v>0</v>
          </cell>
        </row>
        <row r="5383">
          <cell r="E5383" t="str">
            <v>D26001363</v>
          </cell>
          <cell r="AP5383">
            <v>0</v>
          </cell>
          <cell r="AQ5383">
            <v>0</v>
          </cell>
          <cell r="AV5383">
            <v>0</v>
          </cell>
        </row>
        <row r="5384">
          <cell r="E5384" t="str">
            <v>B25016720</v>
          </cell>
          <cell r="AP5384">
            <v>0</v>
          </cell>
          <cell r="AQ5384">
            <v>0</v>
          </cell>
          <cell r="AV5384">
            <v>0</v>
          </cell>
        </row>
        <row r="5385">
          <cell r="E5385" t="str">
            <v>B25016527</v>
          </cell>
          <cell r="AP5385">
            <v>0</v>
          </cell>
          <cell r="AQ5385">
            <v>0</v>
          </cell>
          <cell r="AV5385">
            <v>0</v>
          </cell>
        </row>
        <row r="5386">
          <cell r="E5386" t="str">
            <v>D26000349</v>
          </cell>
          <cell r="AP5386">
            <v>0</v>
          </cell>
          <cell r="AQ5386">
            <v>0</v>
          </cell>
          <cell r="AV5386">
            <v>0</v>
          </cell>
        </row>
        <row r="5387">
          <cell r="E5387" t="str">
            <v>B26001364</v>
          </cell>
          <cell r="AP5387">
            <v>0</v>
          </cell>
          <cell r="AQ5387">
            <v>0</v>
          </cell>
          <cell r="AV5387">
            <v>0</v>
          </cell>
        </row>
        <row r="5388">
          <cell r="E5388" t="str">
            <v>T24000579</v>
          </cell>
          <cell r="AP5388">
            <v>0</v>
          </cell>
          <cell r="AQ5388">
            <v>0</v>
          </cell>
          <cell r="AV5388">
            <v>0</v>
          </cell>
        </row>
        <row r="5389">
          <cell r="E5389" t="str">
            <v>T26000094</v>
          </cell>
          <cell r="AP5389">
            <v>0</v>
          </cell>
          <cell r="AQ5389">
            <v>0</v>
          </cell>
          <cell r="AV5389">
            <v>0</v>
          </cell>
        </row>
        <row r="5390">
          <cell r="E5390" t="str">
            <v>T26000095</v>
          </cell>
          <cell r="AP5390">
            <v>0</v>
          </cell>
          <cell r="AQ5390">
            <v>0</v>
          </cell>
          <cell r="AV5390">
            <v>0</v>
          </cell>
        </row>
        <row r="5391">
          <cell r="E5391" t="str">
            <v>B25016872</v>
          </cell>
          <cell r="AP5391">
            <v>0</v>
          </cell>
          <cell r="AQ5391">
            <v>0</v>
          </cell>
          <cell r="AV5391">
            <v>0</v>
          </cell>
        </row>
        <row r="5392">
          <cell r="E5392" t="str">
            <v>D25018456</v>
          </cell>
          <cell r="AP5392">
            <v>0</v>
          </cell>
          <cell r="AQ5392">
            <v>0</v>
          </cell>
          <cell r="AV5392">
            <v>0</v>
          </cell>
        </row>
        <row r="5393">
          <cell r="E5393" t="str">
            <v>D25018691</v>
          </cell>
          <cell r="AP5393">
            <v>0</v>
          </cell>
          <cell r="AQ5393">
            <v>0</v>
          </cell>
          <cell r="AV5393">
            <v>0</v>
          </cell>
        </row>
        <row r="5394">
          <cell r="E5394" t="str">
            <v>D25019380</v>
          </cell>
          <cell r="AP5394">
            <v>0</v>
          </cell>
          <cell r="AQ5394">
            <v>0</v>
          </cell>
          <cell r="AV5394">
            <v>0</v>
          </cell>
        </row>
        <row r="5395">
          <cell r="E5395" t="str">
            <v>B25016924</v>
          </cell>
          <cell r="AP5395">
            <v>0</v>
          </cell>
          <cell r="AQ5395">
            <v>0</v>
          </cell>
          <cell r="AV5395">
            <v>0</v>
          </cell>
        </row>
        <row r="5396">
          <cell r="E5396" t="str">
            <v>D25019503</v>
          </cell>
          <cell r="AP5396">
            <v>0</v>
          </cell>
          <cell r="AQ5396">
            <v>0</v>
          </cell>
          <cell r="AV5396">
            <v>0</v>
          </cell>
        </row>
        <row r="5397">
          <cell r="E5397" t="str">
            <v>B25016963</v>
          </cell>
          <cell r="AP5397">
            <v>0</v>
          </cell>
          <cell r="AQ5397">
            <v>0</v>
          </cell>
          <cell r="AV5397">
            <v>0</v>
          </cell>
        </row>
        <row r="5398">
          <cell r="E5398" t="str">
            <v>B26000087</v>
          </cell>
          <cell r="AP5398">
            <v>0</v>
          </cell>
          <cell r="AQ5398">
            <v>0</v>
          </cell>
          <cell r="AV5398">
            <v>0</v>
          </cell>
        </row>
        <row r="5399">
          <cell r="E5399" t="str">
            <v>B26001571</v>
          </cell>
          <cell r="AP5399">
            <v>0</v>
          </cell>
          <cell r="AQ5399">
            <v>0</v>
          </cell>
          <cell r="AV5399">
            <v>0</v>
          </cell>
        </row>
        <row r="5400">
          <cell r="E5400" t="str">
            <v>B26001572</v>
          </cell>
          <cell r="AP5400">
            <v>0</v>
          </cell>
          <cell r="AQ5400">
            <v>0</v>
          </cell>
          <cell r="AV5400">
            <v>0</v>
          </cell>
        </row>
        <row r="5401">
          <cell r="E5401" t="str">
            <v>B25016002</v>
          </cell>
          <cell r="AP5401">
            <v>0</v>
          </cell>
          <cell r="AQ5401">
            <v>0</v>
          </cell>
          <cell r="AV5401">
            <v>0</v>
          </cell>
        </row>
        <row r="5402">
          <cell r="E5402" t="str">
            <v>B25016440</v>
          </cell>
          <cell r="AP5402">
            <v>0</v>
          </cell>
          <cell r="AQ5402">
            <v>0</v>
          </cell>
          <cell r="AV5402">
            <v>0</v>
          </cell>
        </row>
        <row r="5403">
          <cell r="E5403" t="str">
            <v>D25019251</v>
          </cell>
          <cell r="AP5403">
            <v>0</v>
          </cell>
          <cell r="AQ5403">
            <v>0</v>
          </cell>
          <cell r="AV5403">
            <v>0</v>
          </cell>
        </row>
        <row r="5404">
          <cell r="E5404" t="str">
            <v>B25016920</v>
          </cell>
          <cell r="AP5404">
            <v>0</v>
          </cell>
          <cell r="AQ5404">
            <v>0</v>
          </cell>
          <cell r="AV5404">
            <v>0</v>
          </cell>
        </row>
        <row r="5405">
          <cell r="E5405" t="str">
            <v>B26000197</v>
          </cell>
          <cell r="AP5405">
            <v>0</v>
          </cell>
          <cell r="AQ5405">
            <v>0</v>
          </cell>
          <cell r="AV5405">
            <v>0</v>
          </cell>
        </row>
        <row r="5406">
          <cell r="E5406" t="str">
            <v>D26000285</v>
          </cell>
          <cell r="AP5406">
            <v>0</v>
          </cell>
          <cell r="AQ5406">
            <v>0</v>
          </cell>
          <cell r="AV5406">
            <v>0</v>
          </cell>
        </row>
        <row r="5407">
          <cell r="E5407" t="str">
            <v>D26000339</v>
          </cell>
          <cell r="AP5407">
            <v>0</v>
          </cell>
          <cell r="AQ5407">
            <v>0</v>
          </cell>
          <cell r="AV5407">
            <v>0</v>
          </cell>
        </row>
        <row r="5408">
          <cell r="E5408" t="str">
            <v>D26000436</v>
          </cell>
          <cell r="AP5408">
            <v>0</v>
          </cell>
          <cell r="AQ5408">
            <v>0</v>
          </cell>
          <cell r="AV5408">
            <v>0</v>
          </cell>
        </row>
        <row r="5409">
          <cell r="E5409" t="str">
            <v>B26000448</v>
          </cell>
          <cell r="AP5409">
            <v>0</v>
          </cell>
          <cell r="AQ5409">
            <v>0</v>
          </cell>
          <cell r="AV5409">
            <v>0</v>
          </cell>
        </row>
        <row r="5410">
          <cell r="E5410" t="str">
            <v>B26000969</v>
          </cell>
          <cell r="AP5410">
            <v>0</v>
          </cell>
          <cell r="AQ5410">
            <v>0</v>
          </cell>
          <cell r="AV5410">
            <v>0</v>
          </cell>
        </row>
        <row r="5411">
          <cell r="E5411" t="str">
            <v>B26000989</v>
          </cell>
          <cell r="AP5411">
            <v>0</v>
          </cell>
          <cell r="AQ5411">
            <v>0</v>
          </cell>
          <cell r="AV5411">
            <v>0</v>
          </cell>
        </row>
        <row r="5412">
          <cell r="E5412" t="str">
            <v>B26001057</v>
          </cell>
          <cell r="AP5412">
            <v>0</v>
          </cell>
          <cell r="AQ5412">
            <v>0</v>
          </cell>
          <cell r="AV5412">
            <v>0</v>
          </cell>
        </row>
        <row r="5413">
          <cell r="E5413" t="str">
            <v>D26001086</v>
          </cell>
          <cell r="AP5413">
            <v>0</v>
          </cell>
          <cell r="AQ5413">
            <v>0</v>
          </cell>
          <cell r="AV5413">
            <v>0</v>
          </cell>
        </row>
        <row r="5414">
          <cell r="E5414" t="str">
            <v>D26001087</v>
          </cell>
          <cell r="AP5414">
            <v>0</v>
          </cell>
          <cell r="AQ5414">
            <v>0</v>
          </cell>
          <cell r="AV5414">
            <v>0</v>
          </cell>
        </row>
        <row r="5415">
          <cell r="E5415" t="str">
            <v>D26001226</v>
          </cell>
          <cell r="AP5415">
            <v>0</v>
          </cell>
          <cell r="AQ5415">
            <v>0</v>
          </cell>
          <cell r="AV5415">
            <v>0</v>
          </cell>
        </row>
        <row r="5416">
          <cell r="E5416" t="str">
            <v>D26001227</v>
          </cell>
          <cell r="AP5416">
            <v>0</v>
          </cell>
          <cell r="AQ5416">
            <v>0</v>
          </cell>
          <cell r="AV5416">
            <v>0</v>
          </cell>
        </row>
        <row r="5417">
          <cell r="E5417" t="str">
            <v>D26001387</v>
          </cell>
          <cell r="AP5417">
            <v>0</v>
          </cell>
          <cell r="AQ5417">
            <v>0</v>
          </cell>
          <cell r="AV5417">
            <v>0</v>
          </cell>
        </row>
        <row r="5418">
          <cell r="E5418" t="str">
            <v>D26001410</v>
          </cell>
          <cell r="AP5418">
            <v>0</v>
          </cell>
          <cell r="AQ5418">
            <v>0</v>
          </cell>
          <cell r="AV5418">
            <v>0</v>
          </cell>
        </row>
        <row r="5419">
          <cell r="E5419" t="str">
            <v>B26001391</v>
          </cell>
          <cell r="AP5419">
            <v>0</v>
          </cell>
          <cell r="AQ5419">
            <v>0</v>
          </cell>
          <cell r="AV5419">
            <v>0</v>
          </cell>
        </row>
        <row r="5420">
          <cell r="E5420" t="str">
            <v>D26001471</v>
          </cell>
          <cell r="AP5420">
            <v>0</v>
          </cell>
          <cell r="AQ5420">
            <v>0</v>
          </cell>
          <cell r="AV5420">
            <v>0</v>
          </cell>
        </row>
        <row r="5421">
          <cell r="E5421" t="str">
            <v>D25017696</v>
          </cell>
          <cell r="AP5421">
            <v>0</v>
          </cell>
          <cell r="AQ5421">
            <v>0</v>
          </cell>
          <cell r="AV5421">
            <v>0</v>
          </cell>
        </row>
        <row r="5422">
          <cell r="E5422" t="str">
            <v>D25017697</v>
          </cell>
          <cell r="AP5422">
            <v>0</v>
          </cell>
          <cell r="AQ5422">
            <v>0</v>
          </cell>
          <cell r="AV5422">
            <v>0</v>
          </cell>
        </row>
        <row r="5423">
          <cell r="E5423" t="str">
            <v>D26000941</v>
          </cell>
          <cell r="AP5423">
            <v>0</v>
          </cell>
          <cell r="AQ5423">
            <v>0</v>
          </cell>
          <cell r="AV5423">
            <v>0</v>
          </cell>
        </row>
        <row r="5424">
          <cell r="E5424" t="str">
            <v>D26001067</v>
          </cell>
          <cell r="AP5424">
            <v>0</v>
          </cell>
          <cell r="AQ5424">
            <v>0</v>
          </cell>
          <cell r="AV5424">
            <v>0</v>
          </cell>
        </row>
        <row r="5425">
          <cell r="E5425" t="str">
            <v>B26001566</v>
          </cell>
          <cell r="AP5425">
            <v>0</v>
          </cell>
          <cell r="AQ5425">
            <v>0</v>
          </cell>
          <cell r="AV5425">
            <v>0</v>
          </cell>
        </row>
        <row r="5427">
          <cell r="E5427" t="str">
            <v>x</v>
          </cell>
          <cell r="AP5427" t="str">
            <v>x</v>
          </cell>
          <cell r="AQ5427" t="str">
            <v>x</v>
          </cell>
          <cell r="AV5427" t="str">
            <v>x</v>
          </cell>
        </row>
        <row r="5428">
          <cell r="AP5428">
            <v>0</v>
          </cell>
          <cell r="AQ5428">
            <v>0</v>
          </cell>
          <cell r="AV5428">
            <v>390694000</v>
          </cell>
        </row>
        <row r="5429">
          <cell r="AQ5429">
            <v>0</v>
          </cell>
        </row>
        <row r="5430">
          <cell r="AQ5430">
            <v>0</v>
          </cell>
        </row>
        <row r="5431">
          <cell r="AQ5431">
            <v>0</v>
          </cell>
        </row>
      </sheetData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6"/>
  <sheetViews>
    <sheetView workbookViewId="0">
      <selection activeCell="B19" sqref="B19"/>
    </sheetView>
  </sheetViews>
  <sheetFormatPr defaultRowHeight="15"/>
  <cols>
    <col min="2" max="2" width="10" bestFit="1" customWidth="1"/>
    <col min="5" max="5" width="10" bestFit="1" customWidth="1"/>
  </cols>
  <sheetData>
    <row r="1" spans="1:20" ht="25.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2" t="s">
        <v>1</v>
      </c>
      <c r="M1" s="3" t="s">
        <v>2</v>
      </c>
      <c r="N1" s="4" t="s">
        <v>3</v>
      </c>
      <c r="O1" s="2" t="s">
        <v>4</v>
      </c>
      <c r="P1" s="2" t="s">
        <v>4</v>
      </c>
      <c r="Q1" s="5" t="s">
        <v>5</v>
      </c>
      <c r="R1" s="5"/>
      <c r="S1" s="5"/>
      <c r="T1" s="4" t="s">
        <v>4</v>
      </c>
    </row>
    <row r="2" spans="1:20" ht="36">
      <c r="A2" s="6" t="s">
        <v>6</v>
      </c>
      <c r="B2" s="7" t="s">
        <v>7</v>
      </c>
      <c r="C2" s="8" t="s">
        <v>8</v>
      </c>
      <c r="D2" s="9" t="s">
        <v>9</v>
      </c>
      <c r="E2" s="10" t="s">
        <v>10</v>
      </c>
      <c r="F2" s="10"/>
      <c r="G2" s="11" t="s">
        <v>11</v>
      </c>
      <c r="H2" s="12" t="s">
        <v>12</v>
      </c>
      <c r="I2" s="13" t="s">
        <v>13</v>
      </c>
      <c r="J2" s="14" t="s">
        <v>14</v>
      </c>
      <c r="K2" s="14"/>
      <c r="L2" s="15" t="s">
        <v>15</v>
      </c>
      <c r="M2" s="16" t="s">
        <v>16</v>
      </c>
      <c r="N2" s="17" t="s">
        <v>17</v>
      </c>
      <c r="O2" s="15" t="s">
        <v>18</v>
      </c>
      <c r="P2" s="15" t="s">
        <v>19</v>
      </c>
      <c r="Q2" s="18" t="s">
        <v>20</v>
      </c>
      <c r="R2" s="18" t="s">
        <v>21</v>
      </c>
      <c r="S2" s="18" t="s">
        <v>2</v>
      </c>
      <c r="T2" s="17" t="s">
        <v>22</v>
      </c>
    </row>
    <row r="3" spans="1:20">
      <c r="A3" s="19" t="s">
        <v>23</v>
      </c>
      <c r="B3" s="20">
        <f>+E3+G3+H3+J3</f>
        <v>23682.089988079999</v>
      </c>
      <c r="C3" s="21">
        <v>0.96</v>
      </c>
      <c r="D3" s="22">
        <f>+F3</f>
        <v>0.94300363318104963</v>
      </c>
      <c r="E3" s="20">
        <v>22332.29690008</v>
      </c>
      <c r="F3" s="23">
        <f t="shared" ref="F3" si="0">+E3/B3</f>
        <v>0.94300363318104963</v>
      </c>
      <c r="G3" s="20">
        <v>1244.786288</v>
      </c>
      <c r="H3" s="20">
        <v>105.0068</v>
      </c>
      <c r="I3" s="23">
        <f t="shared" ref="I3" si="1">+(G3+H3)/B3</f>
        <v>5.6996366818950379E-2</v>
      </c>
      <c r="J3" s="20">
        <v>0</v>
      </c>
      <c r="K3" s="23">
        <f t="shared" ref="K3" si="2">+J3/B3</f>
        <v>0</v>
      </c>
      <c r="L3" s="24">
        <v>0.33333333333333331</v>
      </c>
      <c r="M3" s="25">
        <v>0.81179415830108537</v>
      </c>
      <c r="N3" s="26"/>
      <c r="O3" s="26"/>
      <c r="P3" s="26"/>
      <c r="Q3" s="27"/>
      <c r="R3" s="27"/>
      <c r="S3" s="23">
        <v>1</v>
      </c>
      <c r="T3" s="28">
        <v>0</v>
      </c>
    </row>
    <row r="5" spans="1:20">
      <c r="A5" s="29" t="s">
        <v>24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1"/>
    </row>
    <row r="6" spans="1:20">
      <c r="A6" s="32" t="s">
        <v>6</v>
      </c>
      <c r="B6" s="33" t="s">
        <v>25</v>
      </c>
      <c r="C6" s="34"/>
      <c r="D6" s="34"/>
      <c r="E6" s="34"/>
      <c r="F6" s="34"/>
      <c r="G6" s="34"/>
      <c r="H6" s="35"/>
      <c r="I6" s="36" t="s">
        <v>8</v>
      </c>
      <c r="J6" s="37"/>
      <c r="K6" s="38" t="s">
        <v>26</v>
      </c>
      <c r="L6" s="38" t="s">
        <v>27</v>
      </c>
    </row>
    <row r="7" spans="1:20">
      <c r="A7" s="32"/>
      <c r="B7" s="39" t="s">
        <v>28</v>
      </c>
      <c r="C7" s="40"/>
      <c r="D7" s="40"/>
      <c r="E7" s="41"/>
      <c r="F7" s="42" t="s">
        <v>29</v>
      </c>
      <c r="G7" s="43"/>
      <c r="H7" s="44"/>
      <c r="I7" s="45" t="s">
        <v>30</v>
      </c>
      <c r="J7" s="46"/>
      <c r="K7" s="47" t="s">
        <v>31</v>
      </c>
      <c r="L7" s="47" t="s">
        <v>32</v>
      </c>
    </row>
    <row r="8" spans="1:20">
      <c r="A8" s="32"/>
      <c r="B8" s="48" t="s">
        <v>8</v>
      </c>
      <c r="C8" s="49" t="s">
        <v>2</v>
      </c>
      <c r="D8" s="49" t="s">
        <v>33</v>
      </c>
      <c r="E8" s="50" t="s">
        <v>34</v>
      </c>
      <c r="F8" s="49" t="s">
        <v>2</v>
      </c>
      <c r="G8" s="49" t="s">
        <v>33</v>
      </c>
      <c r="H8" s="50" t="s">
        <v>34</v>
      </c>
      <c r="I8" s="51" t="s">
        <v>33</v>
      </c>
      <c r="J8" s="51" t="s">
        <v>34</v>
      </c>
      <c r="K8" s="52" t="s">
        <v>35</v>
      </c>
      <c r="L8" s="52" t="s">
        <v>35</v>
      </c>
    </row>
    <row r="9" spans="1:20">
      <c r="A9" s="53" t="s">
        <v>23</v>
      </c>
      <c r="B9" s="54">
        <v>0.95499999999999996</v>
      </c>
      <c r="C9" s="54">
        <f>+D9/(D9+E9)</f>
        <v>0.93824559493385462</v>
      </c>
      <c r="D9" s="55">
        <f>+G9</f>
        <v>11063.120599999991</v>
      </c>
      <c r="E9" s="55">
        <f>+H9</f>
        <v>728.16375000000016</v>
      </c>
      <c r="F9" s="56">
        <f t="shared" ref="F9:F10" si="3">+G9/(G9+H9)</f>
        <v>0.93824559493385462</v>
      </c>
      <c r="G9" s="57">
        <v>11063.120599999991</v>
      </c>
      <c r="H9" s="57">
        <v>728.16375000000016</v>
      </c>
      <c r="I9" s="58" t="s">
        <v>36</v>
      </c>
      <c r="J9" s="58" t="s">
        <v>37</v>
      </c>
      <c r="K9" s="59">
        <v>2</v>
      </c>
      <c r="L9" s="60">
        <v>0.24425986498374266</v>
      </c>
    </row>
    <row r="10" spans="1:20">
      <c r="A10" s="53" t="s">
        <v>38</v>
      </c>
      <c r="B10" s="54">
        <v>0.95499999999999996</v>
      </c>
      <c r="C10" s="54">
        <f t="shared" ref="C10" si="4">+D10/(D10+E10)</f>
        <v>0.93824559493385462</v>
      </c>
      <c r="D10" s="55">
        <f>+D9+G10</f>
        <v>11063.120599999991</v>
      </c>
      <c r="E10" s="55">
        <f>+E9+H10</f>
        <v>728.16375000000016</v>
      </c>
      <c r="F10" s="56" t="e">
        <f t="shared" si="3"/>
        <v>#DIV/0!</v>
      </c>
      <c r="G10" s="57"/>
      <c r="H10" s="57"/>
      <c r="I10" s="55"/>
      <c r="J10" s="55"/>
      <c r="K10" s="59"/>
      <c r="L10" s="59"/>
    </row>
    <row r="12" spans="1:20">
      <c r="A12" s="61" t="s">
        <v>39</v>
      </c>
      <c r="B12" s="61" t="s">
        <v>40</v>
      </c>
      <c r="C12" s="61" t="s">
        <v>41</v>
      </c>
      <c r="D12" s="61" t="s">
        <v>42</v>
      </c>
      <c r="E12" s="61" t="s">
        <v>43</v>
      </c>
      <c r="F12" s="61" t="s">
        <v>44</v>
      </c>
      <c r="G12" s="61" t="s">
        <v>45</v>
      </c>
      <c r="H12" s="61" t="s">
        <v>46</v>
      </c>
    </row>
    <row r="13" spans="1:20">
      <c r="A13" s="62">
        <v>1</v>
      </c>
      <c r="B13" s="63" t="s">
        <v>47</v>
      </c>
      <c r="C13" s="64">
        <v>387</v>
      </c>
      <c r="D13" s="65">
        <v>468</v>
      </c>
      <c r="E13" s="65">
        <v>609</v>
      </c>
      <c r="F13" s="65">
        <v>453</v>
      </c>
      <c r="G13" s="65">
        <v>438</v>
      </c>
      <c r="H13" s="65">
        <v>889</v>
      </c>
    </row>
    <row r="14" spans="1:20">
      <c r="A14" s="62"/>
      <c r="B14" s="63" t="s">
        <v>48</v>
      </c>
      <c r="C14" s="64">
        <v>357</v>
      </c>
      <c r="D14" s="65">
        <v>455</v>
      </c>
      <c r="E14" s="64">
        <v>562</v>
      </c>
      <c r="F14" s="65">
        <v>415</v>
      </c>
      <c r="G14" s="65">
        <v>415</v>
      </c>
      <c r="H14" s="65">
        <v>861</v>
      </c>
    </row>
    <row r="15" spans="1:20">
      <c r="A15" s="62"/>
      <c r="B15" s="63" t="s">
        <v>8</v>
      </c>
      <c r="C15" s="64">
        <v>30</v>
      </c>
      <c r="D15" s="64">
        <f>+D13-D14</f>
        <v>13</v>
      </c>
      <c r="E15" s="64">
        <f>+E13-E14</f>
        <v>47</v>
      </c>
      <c r="F15" s="64">
        <f>+F13-F14</f>
        <v>38</v>
      </c>
      <c r="G15" s="64">
        <f>+G13-G14</f>
        <v>23</v>
      </c>
      <c r="H15" s="64">
        <v>28</v>
      </c>
    </row>
    <row r="16" spans="1:20">
      <c r="A16" s="62"/>
      <c r="B16" s="66" t="s">
        <v>2</v>
      </c>
      <c r="C16" s="67">
        <f>C14/C13</f>
        <v>0.92248062015503873</v>
      </c>
      <c r="D16" s="67">
        <f t="shared" ref="D16:H16" si="5">D14/D13</f>
        <v>0.97222222222222221</v>
      </c>
      <c r="E16" s="67">
        <f t="shared" si="5"/>
        <v>0.92282430213464695</v>
      </c>
      <c r="F16" s="67">
        <f t="shared" si="5"/>
        <v>0.91611479028697573</v>
      </c>
      <c r="G16" s="67">
        <f t="shared" si="5"/>
        <v>0.94748858447488582</v>
      </c>
      <c r="H16" s="67">
        <f t="shared" si="5"/>
        <v>0.96850393700787396</v>
      </c>
    </row>
  </sheetData>
  <mergeCells count="12">
    <mergeCell ref="I7:J7"/>
    <mergeCell ref="A13:A16"/>
    <mergeCell ref="A1:K1"/>
    <mergeCell ref="Q1:S1"/>
    <mergeCell ref="E2:F2"/>
    <mergeCell ref="J2:K2"/>
    <mergeCell ref="A5:K5"/>
    <mergeCell ref="A6:A8"/>
    <mergeCell ref="B6:H6"/>
    <mergeCell ref="I6:J6"/>
    <mergeCell ref="B7:E7"/>
    <mergeCell ref="F7:H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325"/>
  <sheetViews>
    <sheetView zoomScale="90" zoomScaleNormal="90" workbookViewId="0">
      <pane xSplit="2" ySplit="6" topLeftCell="C7" activePane="bottomRight" state="frozen"/>
      <selection pane="topRight" activeCell="C1" sqref="C1"/>
      <selection pane="bottomLeft" activeCell="A3" sqref="A3"/>
      <selection pane="bottomRight" activeCell="Z3" sqref="Z3"/>
    </sheetView>
  </sheetViews>
  <sheetFormatPr defaultRowHeight="15"/>
  <cols>
    <col min="1" max="1" width="4.5703125" customWidth="1"/>
    <col min="2" max="2" width="21.7109375" customWidth="1"/>
    <col min="3" max="20" width="5.7109375" customWidth="1"/>
    <col min="21" max="21" width="4.5703125" customWidth="1"/>
    <col min="22" max="22" width="5" customWidth="1"/>
    <col min="23" max="23" width="5.140625" customWidth="1"/>
    <col min="24" max="39" width="5.7109375" customWidth="1"/>
  </cols>
  <sheetData>
    <row r="1" spans="1:55" ht="15.75">
      <c r="A1" s="68" t="s">
        <v>49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9"/>
      <c r="AI1" s="69"/>
      <c r="AJ1" s="69"/>
      <c r="AK1" s="69"/>
      <c r="AL1" s="69"/>
      <c r="AM1" s="69"/>
      <c r="AN1" s="69"/>
      <c r="AO1" s="69"/>
      <c r="AP1" s="69"/>
      <c r="AQ1" s="69"/>
      <c r="AR1" s="69"/>
      <c r="AS1" s="69"/>
      <c r="AT1" s="69"/>
      <c r="AU1" s="69"/>
      <c r="AV1" s="69"/>
      <c r="AW1" s="69"/>
      <c r="AX1" s="69"/>
      <c r="AY1" s="69"/>
      <c r="AZ1" s="69"/>
      <c r="BA1" s="69"/>
      <c r="BB1" s="69"/>
      <c r="BC1" s="69"/>
    </row>
    <row r="2" spans="1:55">
      <c r="A2" s="70" t="s">
        <v>50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69" t="s">
        <v>51</v>
      </c>
      <c r="AI2" s="69"/>
      <c r="AJ2" s="69"/>
      <c r="AK2" s="69"/>
      <c r="AL2" s="69"/>
      <c r="AM2" s="69"/>
      <c r="AN2" s="69"/>
      <c r="AO2" s="69"/>
      <c r="AP2" s="69"/>
      <c r="AQ2" s="69"/>
      <c r="AR2" s="69"/>
      <c r="AS2" s="69"/>
      <c r="AT2" s="69"/>
      <c r="AU2" s="69"/>
      <c r="AV2" s="69"/>
      <c r="AW2" s="69"/>
      <c r="AX2" s="69"/>
      <c r="AY2" s="69"/>
      <c r="AZ2" s="69"/>
      <c r="BA2" s="69"/>
      <c r="BB2" s="69"/>
      <c r="BC2" s="69"/>
    </row>
    <row r="3" spans="1:55">
      <c r="A3" s="71"/>
      <c r="B3" s="72" t="s">
        <v>52</v>
      </c>
      <c r="C3" s="69" t="s">
        <v>53</v>
      </c>
      <c r="D3" s="73" t="s">
        <v>54</v>
      </c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 t="s">
        <v>51</v>
      </c>
      <c r="Y3" s="69"/>
      <c r="Z3" s="69"/>
      <c r="AA3" s="69"/>
      <c r="AB3" s="69"/>
      <c r="AC3" s="69" t="s">
        <v>51</v>
      </c>
      <c r="AD3" s="69"/>
      <c r="AE3" s="69"/>
      <c r="AF3" s="69"/>
      <c r="AG3" s="69"/>
      <c r="AH3" s="69" t="s">
        <v>51</v>
      </c>
      <c r="AI3" s="69"/>
      <c r="AJ3" s="69"/>
      <c r="AK3" s="69"/>
      <c r="AL3" s="69"/>
      <c r="AM3" s="69"/>
      <c r="AN3" s="69"/>
      <c r="AO3" s="69"/>
      <c r="AP3" s="69"/>
      <c r="AQ3" s="69"/>
      <c r="AR3" s="69"/>
      <c r="AS3" s="69"/>
      <c r="AT3" s="69"/>
      <c r="AU3" s="69"/>
      <c r="AV3" s="69"/>
      <c r="AW3" s="69"/>
      <c r="AX3" s="69"/>
      <c r="AY3" s="69"/>
      <c r="AZ3" s="69"/>
      <c r="BA3" s="69"/>
      <c r="BB3" s="69"/>
      <c r="BC3" s="69"/>
    </row>
    <row r="4" spans="1:55">
      <c r="A4" s="72"/>
      <c r="B4" s="72" t="s">
        <v>55</v>
      </c>
      <c r="C4" s="69" t="s">
        <v>53</v>
      </c>
      <c r="D4" s="73" t="s">
        <v>56</v>
      </c>
      <c r="E4" s="69"/>
      <c r="F4" s="69"/>
      <c r="G4" s="69"/>
      <c r="H4" s="69"/>
      <c r="I4" s="69"/>
      <c r="J4" s="69"/>
      <c r="K4" s="69"/>
      <c r="L4" s="69"/>
      <c r="M4" s="69" t="s">
        <v>51</v>
      </c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  <c r="AA4" s="69"/>
      <c r="AB4" s="69"/>
      <c r="AC4" s="69"/>
      <c r="AD4" s="69"/>
      <c r="AE4" s="69"/>
      <c r="AF4" s="69"/>
      <c r="AG4" s="69" t="s">
        <v>51</v>
      </c>
      <c r="AH4" s="69"/>
      <c r="AI4" s="69"/>
      <c r="AJ4" s="69"/>
      <c r="AK4" s="69"/>
      <c r="AL4" s="69"/>
      <c r="AM4" s="69"/>
      <c r="AN4" s="69"/>
      <c r="AO4" s="69"/>
      <c r="AP4" s="69"/>
      <c r="AQ4" s="69"/>
      <c r="AR4" s="69"/>
      <c r="AS4" s="69"/>
      <c r="AT4" s="69"/>
      <c r="AU4" s="69"/>
      <c r="AV4" s="69"/>
      <c r="AW4" s="69"/>
      <c r="AX4" s="69"/>
      <c r="AY4" s="69"/>
      <c r="AZ4" s="69"/>
      <c r="BA4" s="69"/>
      <c r="BB4" s="69"/>
      <c r="BC4" s="69"/>
    </row>
    <row r="5" spans="1:55">
      <c r="A5" s="72"/>
      <c r="B5" s="72" t="s">
        <v>57</v>
      </c>
      <c r="C5" s="69" t="s">
        <v>53</v>
      </c>
      <c r="D5" s="73" t="s">
        <v>58</v>
      </c>
      <c r="E5" s="69"/>
      <c r="F5" s="69"/>
      <c r="G5" s="69"/>
      <c r="H5" s="69"/>
      <c r="I5" s="69"/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  <c r="X5" s="69"/>
      <c r="Y5" s="69"/>
      <c r="Z5" s="69"/>
      <c r="AA5" s="69"/>
      <c r="AB5" s="69"/>
      <c r="AC5" s="69"/>
      <c r="AD5" s="69"/>
      <c r="AE5" s="69"/>
      <c r="AF5" s="69"/>
      <c r="AG5" s="69"/>
      <c r="AH5" s="69"/>
      <c r="AI5" s="69"/>
      <c r="AJ5" s="69"/>
      <c r="AK5" s="69"/>
      <c r="AL5" s="69"/>
      <c r="AM5" s="69"/>
      <c r="AN5" s="69"/>
      <c r="AO5" s="69"/>
      <c r="AP5" s="69"/>
      <c r="AQ5" s="69"/>
      <c r="AR5" s="69"/>
      <c r="AS5" s="69"/>
      <c r="AT5" s="69"/>
      <c r="AU5" s="69"/>
      <c r="AV5" s="69"/>
      <c r="AW5" s="69"/>
      <c r="AX5" s="69"/>
      <c r="AY5" s="69"/>
      <c r="AZ5" s="69"/>
      <c r="BA5" s="69"/>
      <c r="BB5" s="69"/>
      <c r="BC5" s="69"/>
    </row>
    <row r="6" spans="1:55" s="76" customFormat="1" ht="12.95" customHeight="1">
      <c r="A6" s="74" t="s">
        <v>59</v>
      </c>
      <c r="B6" s="74" t="s">
        <v>60</v>
      </c>
      <c r="C6" s="75">
        <v>1</v>
      </c>
      <c r="D6" s="74">
        <v>2</v>
      </c>
      <c r="E6" s="74">
        <v>3</v>
      </c>
      <c r="F6" s="75">
        <v>4</v>
      </c>
      <c r="G6" s="74">
        <v>5</v>
      </c>
      <c r="H6" s="74">
        <v>6</v>
      </c>
      <c r="I6" s="74">
        <v>7</v>
      </c>
      <c r="J6" s="74">
        <v>8</v>
      </c>
      <c r="K6" s="74">
        <v>9</v>
      </c>
      <c r="L6" s="74">
        <v>10</v>
      </c>
      <c r="M6" s="75">
        <v>11</v>
      </c>
      <c r="N6" s="74">
        <v>12</v>
      </c>
      <c r="O6" s="74">
        <v>13</v>
      </c>
      <c r="P6" s="74">
        <v>14</v>
      </c>
      <c r="Q6" s="74">
        <v>15</v>
      </c>
      <c r="R6" s="75">
        <v>16</v>
      </c>
      <c r="S6" s="74">
        <v>17</v>
      </c>
      <c r="T6" s="75">
        <v>18</v>
      </c>
      <c r="U6" s="74">
        <v>19</v>
      </c>
      <c r="V6" s="74">
        <v>20</v>
      </c>
      <c r="W6" s="74">
        <v>21</v>
      </c>
      <c r="X6" s="74">
        <v>22</v>
      </c>
      <c r="Y6" s="74">
        <v>23</v>
      </c>
      <c r="Z6" s="74">
        <v>24</v>
      </c>
      <c r="AA6" s="75">
        <v>25</v>
      </c>
      <c r="AB6" s="74">
        <v>26</v>
      </c>
      <c r="AC6" s="74">
        <v>27</v>
      </c>
      <c r="AD6" s="74">
        <v>28</v>
      </c>
      <c r="AE6" s="74">
        <v>29</v>
      </c>
      <c r="AF6" s="74">
        <v>30</v>
      </c>
      <c r="AG6" s="74">
        <v>31</v>
      </c>
      <c r="AH6" s="71"/>
      <c r="AI6" s="71"/>
      <c r="AJ6" s="71"/>
      <c r="AK6" s="71"/>
      <c r="AL6" s="71"/>
      <c r="AM6" s="71"/>
      <c r="AN6" s="71"/>
      <c r="AO6" s="71"/>
      <c r="AP6" s="71"/>
      <c r="AQ6" s="71"/>
      <c r="AR6" s="71"/>
      <c r="AS6" s="71"/>
      <c r="AT6" s="71"/>
      <c r="AU6" s="71"/>
      <c r="AV6" s="71"/>
      <c r="AW6" s="71"/>
      <c r="AX6" s="71"/>
      <c r="AY6" s="71"/>
      <c r="AZ6" s="71"/>
      <c r="BA6" s="71"/>
      <c r="BB6" s="71"/>
      <c r="BC6" s="71"/>
    </row>
    <row r="7" spans="1:55" s="76" customFormat="1" ht="12.95" customHeight="1">
      <c r="A7" s="77">
        <v>1</v>
      </c>
      <c r="B7" s="78" t="s">
        <v>61</v>
      </c>
      <c r="C7" s="79"/>
      <c r="D7" s="79"/>
      <c r="E7" s="79"/>
      <c r="F7" s="79"/>
      <c r="G7" s="79"/>
      <c r="H7" s="79" t="s">
        <v>62</v>
      </c>
      <c r="I7" s="79"/>
      <c r="J7" s="79" t="s">
        <v>62</v>
      </c>
      <c r="K7" s="79"/>
      <c r="L7" s="79" t="s">
        <v>62</v>
      </c>
      <c r="M7" s="79"/>
      <c r="N7" s="79"/>
      <c r="O7" s="79"/>
      <c r="P7" s="79"/>
      <c r="Q7" s="79" t="s">
        <v>63</v>
      </c>
      <c r="R7" s="79"/>
      <c r="S7" s="79" t="s">
        <v>63</v>
      </c>
      <c r="T7" s="79"/>
      <c r="U7" s="79"/>
      <c r="V7" s="79" t="s">
        <v>62</v>
      </c>
      <c r="W7" s="79"/>
      <c r="X7" s="79"/>
      <c r="Y7" s="79"/>
      <c r="Z7" s="79"/>
      <c r="AA7" s="79"/>
      <c r="AB7" s="79" t="s">
        <v>63</v>
      </c>
      <c r="AC7" s="79"/>
      <c r="AD7" s="79"/>
      <c r="AE7" s="79"/>
      <c r="AF7" s="79" t="s">
        <v>63</v>
      </c>
      <c r="AG7" s="79"/>
      <c r="AH7" s="80" t="s">
        <v>62</v>
      </c>
      <c r="AI7" s="81" t="s">
        <v>64</v>
      </c>
      <c r="AJ7" s="82" t="s">
        <v>63</v>
      </c>
      <c r="AK7" s="83"/>
      <c r="AL7" s="83"/>
      <c r="AM7" s="83"/>
      <c r="AN7" s="83"/>
      <c r="AO7" s="83"/>
      <c r="AP7" s="83"/>
      <c r="AQ7" s="83"/>
      <c r="AR7" s="83"/>
      <c r="AS7" s="83"/>
      <c r="AT7" s="83"/>
      <c r="AU7" s="83"/>
      <c r="AV7" s="71"/>
      <c r="AW7" s="71"/>
      <c r="AX7" s="71"/>
      <c r="AY7" s="71"/>
      <c r="AZ7" s="71"/>
      <c r="BA7" s="71"/>
      <c r="BB7" s="71"/>
      <c r="BC7" s="71"/>
    </row>
    <row r="8" spans="1:55" s="76" customFormat="1" ht="12.95" customHeight="1">
      <c r="A8" s="77">
        <v>2</v>
      </c>
      <c r="B8" s="78" t="s">
        <v>65</v>
      </c>
      <c r="C8" s="79"/>
      <c r="D8" s="79" t="s">
        <v>64</v>
      </c>
      <c r="E8" s="79"/>
      <c r="F8" s="79"/>
      <c r="G8" s="79"/>
      <c r="H8" s="79" t="s">
        <v>64</v>
      </c>
      <c r="I8" s="79"/>
      <c r="J8" s="79"/>
      <c r="K8" s="79"/>
      <c r="L8" s="79"/>
      <c r="M8" s="79"/>
      <c r="N8" s="79"/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83">
        <f>COUNTIF(C7:AG121,"T")</f>
        <v>214</v>
      </c>
      <c r="AI8" s="83">
        <f>COUNTIF(C7:AG121,"TB")</f>
        <v>44</v>
      </c>
      <c r="AJ8" s="83">
        <f>COUNTIF(C7:AG121,"B")</f>
        <v>129</v>
      </c>
      <c r="AK8" s="83"/>
      <c r="AL8" s="83"/>
      <c r="AM8" s="83"/>
      <c r="AN8" s="83"/>
      <c r="AO8" s="83"/>
      <c r="AP8" s="83"/>
      <c r="AQ8" s="83"/>
      <c r="AR8" s="83"/>
      <c r="AS8" s="83"/>
      <c r="AT8" s="83"/>
      <c r="AU8" s="83"/>
      <c r="AV8" s="71"/>
      <c r="AW8" s="71"/>
      <c r="AX8" s="71"/>
      <c r="AY8" s="71"/>
      <c r="AZ8" s="71"/>
      <c r="BA8" s="71"/>
      <c r="BB8" s="71"/>
      <c r="BC8" s="71"/>
    </row>
    <row r="9" spans="1:55" s="76" customFormat="1" ht="12.95" customHeight="1">
      <c r="A9" s="77">
        <v>3</v>
      </c>
      <c r="B9" s="78" t="s">
        <v>66</v>
      </c>
      <c r="C9" s="79"/>
      <c r="D9" s="79"/>
      <c r="E9" s="79"/>
      <c r="F9" s="79"/>
      <c r="G9" s="79"/>
      <c r="H9" s="79"/>
      <c r="I9" s="79"/>
      <c r="J9" s="79"/>
      <c r="K9" s="79"/>
      <c r="L9" s="79" t="s">
        <v>62</v>
      </c>
      <c r="M9" s="79"/>
      <c r="N9" s="79"/>
      <c r="O9" s="79"/>
      <c r="P9" s="79"/>
      <c r="Q9" s="79" t="s">
        <v>63</v>
      </c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83"/>
      <c r="AI9" s="83"/>
      <c r="AJ9" s="83"/>
      <c r="AK9" s="83"/>
      <c r="AL9" s="83"/>
      <c r="AM9" s="83"/>
      <c r="AN9" s="83"/>
      <c r="AO9" s="83"/>
      <c r="AP9" s="83"/>
      <c r="AQ9" s="83"/>
      <c r="AR9" s="83"/>
      <c r="AS9" s="83"/>
      <c r="AT9" s="83"/>
      <c r="AU9" s="83"/>
      <c r="AV9" s="71"/>
      <c r="AW9" s="71"/>
      <c r="AX9" s="71"/>
      <c r="AY9" s="71"/>
      <c r="AZ9" s="71"/>
      <c r="BA9" s="71"/>
      <c r="BB9" s="71"/>
      <c r="BC9" s="71"/>
    </row>
    <row r="10" spans="1:55" s="76" customFormat="1" ht="12.95" customHeight="1">
      <c r="A10" s="77">
        <v>4</v>
      </c>
      <c r="B10" s="78" t="s">
        <v>67</v>
      </c>
      <c r="C10" s="79"/>
      <c r="D10" s="79" t="s">
        <v>64</v>
      </c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 t="s">
        <v>62</v>
      </c>
      <c r="W10" s="79"/>
      <c r="X10" s="79" t="s">
        <v>63</v>
      </c>
      <c r="Y10" s="79"/>
      <c r="Z10" s="79"/>
      <c r="AA10" s="79"/>
      <c r="AB10" s="79"/>
      <c r="AC10" s="79"/>
      <c r="AD10" s="79" t="s">
        <v>62</v>
      </c>
      <c r="AE10" s="79"/>
      <c r="AF10" s="79"/>
      <c r="AG10" s="79"/>
      <c r="AH10" s="83" t="s">
        <v>62</v>
      </c>
      <c r="AI10" s="83" t="s">
        <v>63</v>
      </c>
      <c r="AJ10" s="83"/>
      <c r="AK10" s="83"/>
      <c r="AL10" s="83"/>
      <c r="AM10" s="83"/>
      <c r="AN10" s="83"/>
      <c r="AO10" s="83"/>
      <c r="AP10" s="83"/>
      <c r="AQ10" s="83"/>
      <c r="AR10" s="83"/>
      <c r="AS10" s="83"/>
      <c r="AT10" s="83"/>
      <c r="AU10" s="83"/>
      <c r="AV10" s="71"/>
      <c r="AW10" s="71"/>
      <c r="AX10" s="71"/>
      <c r="AY10" s="71"/>
      <c r="AZ10" s="71"/>
      <c r="BA10" s="71"/>
      <c r="BB10" s="71"/>
      <c r="BC10" s="71"/>
    </row>
    <row r="11" spans="1:55" s="76" customFormat="1" ht="12.95" customHeight="1">
      <c r="A11" s="77">
        <v>5</v>
      </c>
      <c r="B11" s="78" t="s">
        <v>68</v>
      </c>
      <c r="C11" s="79"/>
      <c r="D11" s="79" t="s">
        <v>62</v>
      </c>
      <c r="E11" s="79" t="s">
        <v>63</v>
      </c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83">
        <f>AH8+AI8+AH22+AI22</f>
        <v>280</v>
      </c>
      <c r="AI11" s="83">
        <f>AI8+AJ8+AI22+AJ22</f>
        <v>235</v>
      </c>
      <c r="AJ11" s="83"/>
      <c r="AK11" s="83"/>
      <c r="AL11" s="83"/>
      <c r="AM11" s="83"/>
      <c r="AN11" s="83"/>
      <c r="AO11" s="83"/>
      <c r="AP11" s="83"/>
      <c r="AQ11" s="83"/>
      <c r="AR11" s="83"/>
      <c r="AS11" s="83"/>
      <c r="AT11" s="83"/>
      <c r="AU11" s="83"/>
      <c r="AV11" s="71"/>
      <c r="AW11" s="71"/>
      <c r="AX11" s="71"/>
      <c r="AY11" s="71"/>
      <c r="AZ11" s="71"/>
      <c r="BA11" s="71"/>
      <c r="BB11" s="71"/>
      <c r="BC11" s="71"/>
    </row>
    <row r="12" spans="1:55" s="76" customFormat="1" ht="12.95" customHeight="1">
      <c r="A12" s="77">
        <v>6</v>
      </c>
      <c r="B12" s="78" t="s">
        <v>69</v>
      </c>
      <c r="C12" s="79"/>
      <c r="D12" s="79"/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83"/>
      <c r="AI12" s="83"/>
      <c r="AJ12" s="83"/>
      <c r="AK12" s="83"/>
      <c r="AL12" s="83"/>
      <c r="AM12" s="83"/>
      <c r="AN12" s="83"/>
      <c r="AO12" s="83"/>
      <c r="AP12" s="83"/>
      <c r="AQ12" s="83"/>
      <c r="AR12" s="83"/>
      <c r="AS12" s="83"/>
      <c r="AT12" s="83"/>
      <c r="AU12" s="83"/>
      <c r="AV12" s="71"/>
      <c r="AW12" s="71"/>
      <c r="AX12" s="71"/>
      <c r="AY12" s="71"/>
      <c r="AZ12" s="71"/>
      <c r="BA12" s="71"/>
      <c r="BB12" s="71"/>
      <c r="BC12" s="71"/>
    </row>
    <row r="13" spans="1:55" s="76" customFormat="1" ht="12.95" customHeight="1">
      <c r="A13" s="77">
        <v>7</v>
      </c>
      <c r="B13" s="78" t="s">
        <v>70</v>
      </c>
      <c r="C13" s="79"/>
      <c r="D13" s="79" t="s">
        <v>62</v>
      </c>
      <c r="E13" s="79"/>
      <c r="F13" s="79"/>
      <c r="G13" s="79" t="s">
        <v>63</v>
      </c>
      <c r="H13" s="79"/>
      <c r="I13" s="79"/>
      <c r="J13" s="79"/>
      <c r="K13" s="79"/>
      <c r="L13" s="79"/>
      <c r="M13" s="79"/>
      <c r="N13" s="79" t="s">
        <v>63</v>
      </c>
      <c r="O13" s="79"/>
      <c r="P13" s="79"/>
      <c r="Q13" s="79"/>
      <c r="R13" s="79"/>
      <c r="S13" s="79"/>
      <c r="T13" s="79"/>
      <c r="U13" s="79"/>
      <c r="V13" s="79" t="s">
        <v>71</v>
      </c>
      <c r="W13" s="79" t="s">
        <v>63</v>
      </c>
      <c r="X13" s="79"/>
      <c r="Y13" s="79"/>
      <c r="Z13" s="79"/>
      <c r="AA13" s="79"/>
      <c r="AB13" s="79"/>
      <c r="AC13" s="79"/>
      <c r="AD13" s="79"/>
      <c r="AE13" s="79"/>
      <c r="AF13" s="79"/>
      <c r="AG13" s="79"/>
      <c r="AH13" s="84">
        <f>AI11/AH11</f>
        <v>0.8392857142857143</v>
      </c>
      <c r="AI13" s="83"/>
      <c r="AJ13" s="83"/>
      <c r="AK13" s="83"/>
      <c r="AL13" s="83"/>
      <c r="AM13" s="83"/>
      <c r="AN13" s="83"/>
      <c r="AO13" s="83"/>
      <c r="AP13" s="83"/>
      <c r="AQ13" s="83"/>
      <c r="AR13" s="83"/>
      <c r="AS13" s="83"/>
      <c r="AT13" s="83"/>
      <c r="AU13" s="83"/>
      <c r="AV13" s="71"/>
      <c r="AW13" s="71"/>
      <c r="AX13" s="71"/>
      <c r="AY13" s="71"/>
      <c r="AZ13" s="71"/>
      <c r="BA13" s="71"/>
      <c r="BB13" s="71"/>
      <c r="BC13" s="71"/>
    </row>
    <row r="14" spans="1:55" s="76" customFormat="1" ht="12.95" customHeight="1">
      <c r="A14" s="77">
        <v>8</v>
      </c>
      <c r="B14" s="78" t="s">
        <v>72</v>
      </c>
      <c r="C14" s="79"/>
      <c r="D14" s="79" t="s">
        <v>64</v>
      </c>
      <c r="E14" s="79"/>
      <c r="F14" s="79"/>
      <c r="G14" s="79"/>
      <c r="H14" s="79"/>
      <c r="I14" s="79"/>
      <c r="J14" s="79"/>
      <c r="K14" s="79"/>
      <c r="L14" s="79"/>
      <c r="M14" s="79"/>
      <c r="N14" s="79"/>
      <c r="O14" s="79"/>
      <c r="P14" s="79"/>
      <c r="Q14" s="79"/>
      <c r="R14" s="79"/>
      <c r="S14" s="79"/>
      <c r="T14" s="79"/>
      <c r="U14" s="79"/>
      <c r="V14" s="79" t="s">
        <v>64</v>
      </c>
      <c r="W14" s="79"/>
      <c r="X14" s="79"/>
      <c r="Y14" s="79"/>
      <c r="Z14" s="79"/>
      <c r="AA14" s="79"/>
      <c r="AB14" s="79"/>
      <c r="AC14" s="79"/>
      <c r="AD14" s="79"/>
      <c r="AE14" s="79"/>
      <c r="AF14" s="79"/>
      <c r="AG14" s="79" t="s">
        <v>63</v>
      </c>
      <c r="AH14" s="83"/>
      <c r="AI14" s="83"/>
      <c r="AJ14" s="83"/>
      <c r="AK14" s="83"/>
      <c r="AL14" s="83"/>
      <c r="AM14" s="83"/>
      <c r="AN14" s="83"/>
      <c r="AO14" s="83"/>
      <c r="AP14" s="83"/>
      <c r="AQ14" s="83"/>
      <c r="AR14" s="83"/>
      <c r="AS14" s="83"/>
      <c r="AT14" s="83"/>
      <c r="AU14" s="83"/>
      <c r="AV14" s="71"/>
      <c r="AW14" s="71"/>
      <c r="AX14" s="71"/>
      <c r="AY14" s="71"/>
      <c r="AZ14" s="71"/>
      <c r="BA14" s="71"/>
      <c r="BB14" s="71"/>
      <c r="BC14" s="71"/>
    </row>
    <row r="15" spans="1:55" s="76" customFormat="1" ht="12.95" customHeight="1">
      <c r="A15" s="77">
        <v>9</v>
      </c>
      <c r="B15" s="78" t="s">
        <v>73</v>
      </c>
      <c r="C15" s="79"/>
      <c r="D15" s="79" t="s">
        <v>62</v>
      </c>
      <c r="E15" s="79"/>
      <c r="F15" s="79"/>
      <c r="G15" s="79"/>
      <c r="H15" s="79" t="s">
        <v>62</v>
      </c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  <c r="AA15" s="79"/>
      <c r="AB15" s="79"/>
      <c r="AC15" s="79"/>
      <c r="AD15" s="79"/>
      <c r="AE15" s="79"/>
      <c r="AF15" s="79"/>
      <c r="AG15" s="79"/>
      <c r="AH15" s="83"/>
      <c r="AI15" s="83"/>
      <c r="AJ15" s="83"/>
      <c r="AK15" s="83"/>
      <c r="AL15" s="83"/>
      <c r="AM15" s="83"/>
      <c r="AN15" s="83"/>
      <c r="AO15" s="83"/>
      <c r="AP15" s="83"/>
      <c r="AQ15" s="83"/>
      <c r="AR15" s="83"/>
      <c r="AS15" s="83"/>
      <c r="AT15" s="83"/>
      <c r="AU15" s="83"/>
      <c r="AV15" s="71"/>
      <c r="AW15" s="71"/>
      <c r="AX15" s="71"/>
      <c r="AY15" s="71"/>
      <c r="AZ15" s="71"/>
      <c r="BA15" s="71"/>
      <c r="BB15" s="71"/>
      <c r="BC15" s="71"/>
    </row>
    <row r="16" spans="1:55" s="76" customFormat="1" ht="12.95" customHeight="1">
      <c r="A16" s="77">
        <v>10</v>
      </c>
      <c r="B16" s="78" t="s">
        <v>74</v>
      </c>
      <c r="C16" s="79"/>
      <c r="D16" s="79"/>
      <c r="E16" s="79"/>
      <c r="F16" s="79"/>
      <c r="G16" s="79" t="s">
        <v>62</v>
      </c>
      <c r="H16" s="79"/>
      <c r="I16" s="79"/>
      <c r="J16" s="79" t="s">
        <v>63</v>
      </c>
      <c r="K16" s="79"/>
      <c r="L16" s="79"/>
      <c r="M16" s="79"/>
      <c r="N16" s="79"/>
      <c r="O16" s="79" t="s">
        <v>62</v>
      </c>
      <c r="P16" s="79"/>
      <c r="Q16" s="79"/>
      <c r="R16" s="79"/>
      <c r="S16" s="79" t="s">
        <v>62</v>
      </c>
      <c r="T16" s="79"/>
      <c r="U16" s="79" t="s">
        <v>63</v>
      </c>
      <c r="V16" s="79"/>
      <c r="W16" s="79" t="s">
        <v>62</v>
      </c>
      <c r="X16" s="79"/>
      <c r="Y16" s="79"/>
      <c r="Z16" s="79" t="s">
        <v>63</v>
      </c>
      <c r="AA16" s="79"/>
      <c r="AB16" s="79" t="s">
        <v>62</v>
      </c>
      <c r="AC16" s="79"/>
      <c r="AD16" s="79"/>
      <c r="AE16" s="79" t="s">
        <v>62</v>
      </c>
      <c r="AF16" s="79"/>
      <c r="AG16" s="79" t="s">
        <v>62</v>
      </c>
      <c r="AH16" s="83"/>
      <c r="AI16" s="83"/>
      <c r="AJ16" s="83"/>
      <c r="AK16" s="83"/>
      <c r="AL16" s="83"/>
      <c r="AM16" s="83"/>
      <c r="AN16" s="83"/>
      <c r="AO16" s="83"/>
      <c r="AP16" s="83"/>
      <c r="AQ16" s="83"/>
      <c r="AR16" s="83"/>
      <c r="AS16" s="83"/>
      <c r="AT16" s="83"/>
      <c r="AU16" s="83"/>
      <c r="AV16" s="71"/>
      <c r="AW16" s="71"/>
      <c r="AX16" s="71"/>
      <c r="AY16" s="71"/>
      <c r="AZ16" s="71"/>
      <c r="BA16" s="71"/>
      <c r="BB16" s="71"/>
      <c r="BC16" s="71"/>
    </row>
    <row r="17" spans="1:55" s="76" customFormat="1" ht="12.95" customHeight="1">
      <c r="A17" s="77">
        <v>11</v>
      </c>
      <c r="B17" s="78" t="s">
        <v>75</v>
      </c>
      <c r="C17" s="79"/>
      <c r="D17" s="79"/>
      <c r="E17" s="79"/>
      <c r="F17" s="79"/>
      <c r="G17" s="79" t="s">
        <v>62</v>
      </c>
      <c r="H17" s="79"/>
      <c r="I17" s="79"/>
      <c r="J17" s="79" t="s">
        <v>63</v>
      </c>
      <c r="K17" s="79"/>
      <c r="L17" s="79"/>
      <c r="M17" s="79"/>
      <c r="N17" s="79"/>
      <c r="O17" s="79" t="s">
        <v>62</v>
      </c>
      <c r="P17" s="79"/>
      <c r="Q17" s="79"/>
      <c r="R17" s="79"/>
      <c r="S17" s="79" t="s">
        <v>62</v>
      </c>
      <c r="T17" s="79"/>
      <c r="U17" s="79" t="s">
        <v>63</v>
      </c>
      <c r="V17" s="79"/>
      <c r="W17" s="79" t="s">
        <v>62</v>
      </c>
      <c r="X17" s="79"/>
      <c r="Y17" s="79"/>
      <c r="Z17" s="79"/>
      <c r="AA17" s="79"/>
      <c r="AB17" s="79" t="s">
        <v>62</v>
      </c>
      <c r="AC17" s="79"/>
      <c r="AD17" s="79"/>
      <c r="AE17" s="79" t="s">
        <v>62</v>
      </c>
      <c r="AF17" s="79"/>
      <c r="AG17" s="79" t="s">
        <v>62</v>
      </c>
      <c r="AH17" s="83"/>
      <c r="AI17" s="83"/>
      <c r="AJ17" s="83"/>
      <c r="AK17" s="83"/>
      <c r="AL17" s="83"/>
      <c r="AM17" s="83"/>
      <c r="AN17" s="83"/>
      <c r="AO17" s="83"/>
      <c r="AP17" s="83"/>
      <c r="AQ17" s="83"/>
      <c r="AR17" s="83"/>
      <c r="AS17" s="83"/>
      <c r="AT17" s="83"/>
      <c r="AU17" s="83"/>
      <c r="AV17" s="71"/>
      <c r="AW17" s="71"/>
      <c r="AX17" s="71"/>
      <c r="AY17" s="71"/>
      <c r="AZ17" s="71"/>
      <c r="BA17" s="71"/>
      <c r="BB17" s="71"/>
      <c r="BC17" s="71"/>
    </row>
    <row r="18" spans="1:55" s="76" customFormat="1" ht="12.95" customHeight="1">
      <c r="A18" s="77">
        <v>12</v>
      </c>
      <c r="B18" s="78" t="s">
        <v>76</v>
      </c>
      <c r="C18" s="79"/>
      <c r="D18" s="79"/>
      <c r="E18" s="79"/>
      <c r="F18" s="79"/>
      <c r="G18" s="79"/>
      <c r="H18" s="79"/>
      <c r="I18" s="79"/>
      <c r="J18" s="79"/>
      <c r="K18" s="79" t="s">
        <v>62</v>
      </c>
      <c r="L18" s="79"/>
      <c r="M18" s="79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 t="s">
        <v>62</v>
      </c>
      <c r="Y18" s="79"/>
      <c r="Z18" s="79"/>
      <c r="AA18" s="79"/>
      <c r="AB18" s="79"/>
      <c r="AC18" s="79"/>
      <c r="AD18" s="79"/>
      <c r="AE18" s="79"/>
      <c r="AF18" s="79"/>
      <c r="AG18" s="79"/>
      <c r="AH18" s="83"/>
      <c r="AI18" s="83"/>
      <c r="AJ18" s="83"/>
      <c r="AK18" s="83"/>
      <c r="AL18" s="83"/>
      <c r="AM18" s="83"/>
      <c r="AN18" s="83"/>
      <c r="AO18" s="83"/>
      <c r="AP18" s="83"/>
      <c r="AQ18" s="83"/>
      <c r="AR18" s="83"/>
      <c r="AS18" s="83"/>
      <c r="AT18" s="83"/>
      <c r="AU18" s="83"/>
      <c r="AV18" s="71"/>
      <c r="AW18" s="71"/>
      <c r="AX18" s="71"/>
      <c r="AY18" s="71"/>
      <c r="AZ18" s="71"/>
      <c r="BA18" s="71"/>
      <c r="BB18" s="71"/>
      <c r="BC18" s="71"/>
    </row>
    <row r="19" spans="1:55" s="76" customFormat="1" ht="12.95" customHeight="1">
      <c r="A19" s="77">
        <v>13</v>
      </c>
      <c r="B19" s="78" t="s">
        <v>77</v>
      </c>
      <c r="C19" s="79"/>
      <c r="D19" s="79"/>
      <c r="E19" s="79"/>
      <c r="F19" s="79"/>
      <c r="G19" s="79"/>
      <c r="H19" s="79"/>
      <c r="I19" s="79"/>
      <c r="J19" s="79"/>
      <c r="K19" s="79"/>
      <c r="L19" s="79"/>
      <c r="M19" s="79"/>
      <c r="N19" s="79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79"/>
      <c r="AB19" s="79"/>
      <c r="AC19" s="79"/>
      <c r="AD19" s="79"/>
      <c r="AE19" s="79"/>
      <c r="AF19" s="79"/>
      <c r="AG19" s="79"/>
      <c r="AH19" s="83"/>
      <c r="AI19" s="83"/>
      <c r="AJ19" s="83"/>
      <c r="AK19" s="83"/>
      <c r="AL19" s="83"/>
      <c r="AM19" s="83"/>
      <c r="AN19" s="83"/>
      <c r="AO19" s="83"/>
      <c r="AP19" s="83"/>
      <c r="AQ19" s="83"/>
      <c r="AR19" s="83"/>
      <c r="AS19" s="83"/>
      <c r="AT19" s="83"/>
      <c r="AU19" s="83"/>
      <c r="AV19" s="71"/>
      <c r="AW19" s="71"/>
      <c r="AX19" s="71"/>
      <c r="AY19" s="71"/>
      <c r="AZ19" s="71"/>
      <c r="BA19" s="71"/>
      <c r="BB19" s="71"/>
      <c r="BC19" s="71"/>
    </row>
    <row r="20" spans="1:55" s="76" customFormat="1" ht="12.95" customHeight="1">
      <c r="A20" s="77">
        <v>14</v>
      </c>
      <c r="B20" s="78" t="s">
        <v>78</v>
      </c>
      <c r="C20" s="79"/>
      <c r="D20" s="79"/>
      <c r="E20" s="79"/>
      <c r="F20" s="79"/>
      <c r="G20" s="79"/>
      <c r="H20" s="79" t="s">
        <v>63</v>
      </c>
      <c r="I20" s="79"/>
      <c r="J20" s="79"/>
      <c r="K20" s="79" t="s">
        <v>62</v>
      </c>
      <c r="L20" s="79"/>
      <c r="M20" s="79"/>
      <c r="N20" s="79"/>
      <c r="O20" s="79" t="s">
        <v>63</v>
      </c>
      <c r="P20" s="79"/>
      <c r="Q20" s="79" t="s">
        <v>62</v>
      </c>
      <c r="R20" s="79"/>
      <c r="S20" s="79"/>
      <c r="T20" s="79"/>
      <c r="U20" s="79" t="s">
        <v>64</v>
      </c>
      <c r="V20" s="79"/>
      <c r="W20" s="79"/>
      <c r="X20" s="79"/>
      <c r="Y20" s="79"/>
      <c r="Z20" s="79"/>
      <c r="AA20" s="79"/>
      <c r="AB20" s="79"/>
      <c r="AC20" s="79" t="s">
        <v>64</v>
      </c>
      <c r="AD20" s="79"/>
      <c r="AE20" s="79"/>
      <c r="AF20" s="79"/>
      <c r="AG20" s="79"/>
      <c r="AH20" s="83"/>
      <c r="AI20" s="83"/>
      <c r="AJ20" s="83"/>
      <c r="AK20" s="83"/>
      <c r="AL20" s="83"/>
      <c r="AM20" s="83"/>
      <c r="AN20" s="83"/>
      <c r="AO20" s="83"/>
      <c r="AP20" s="83"/>
      <c r="AQ20" s="83"/>
      <c r="AR20" s="83"/>
      <c r="AS20" s="83"/>
      <c r="AT20" s="83"/>
      <c r="AU20" s="83"/>
      <c r="AV20" s="71"/>
      <c r="AW20" s="71"/>
      <c r="AX20" s="71"/>
      <c r="AY20" s="71"/>
      <c r="AZ20" s="71"/>
      <c r="BA20" s="71"/>
      <c r="BB20" s="71"/>
      <c r="BC20" s="71"/>
    </row>
    <row r="21" spans="1:55" s="76" customFormat="1" ht="12.95" customHeight="1">
      <c r="A21" s="77">
        <v>15</v>
      </c>
      <c r="B21" s="78" t="s">
        <v>79</v>
      </c>
      <c r="C21" s="79"/>
      <c r="D21" s="79" t="s">
        <v>63</v>
      </c>
      <c r="E21" s="79"/>
      <c r="F21" s="79"/>
      <c r="G21" s="79"/>
      <c r="H21" s="79" t="s">
        <v>62</v>
      </c>
      <c r="I21" s="79"/>
      <c r="J21" s="79"/>
      <c r="K21" s="79"/>
      <c r="L21" s="79"/>
      <c r="M21" s="79"/>
      <c r="N21" s="79"/>
      <c r="O21" s="79" t="s">
        <v>62</v>
      </c>
      <c r="P21" s="79"/>
      <c r="Q21" s="79"/>
      <c r="R21" s="79"/>
      <c r="S21" s="79" t="s">
        <v>63</v>
      </c>
      <c r="T21" s="79"/>
      <c r="U21" s="79"/>
      <c r="V21" s="79" t="s">
        <v>62</v>
      </c>
      <c r="W21" s="79"/>
      <c r="X21" s="79"/>
      <c r="Y21" s="79" t="s">
        <v>62</v>
      </c>
      <c r="Z21" s="79"/>
      <c r="AA21" s="79"/>
      <c r="AB21" s="79" t="s">
        <v>62</v>
      </c>
      <c r="AC21" s="79"/>
      <c r="AD21" s="79" t="s">
        <v>71</v>
      </c>
      <c r="AE21" s="79"/>
      <c r="AF21" s="79" t="s">
        <v>62</v>
      </c>
      <c r="AG21" s="79"/>
      <c r="AH21" s="80" t="s">
        <v>62</v>
      </c>
      <c r="AI21" s="81" t="s">
        <v>64</v>
      </c>
      <c r="AJ21" s="82" t="s">
        <v>63</v>
      </c>
      <c r="AK21" s="83"/>
      <c r="AL21" s="83"/>
      <c r="AM21" s="83"/>
      <c r="AN21" s="83"/>
      <c r="AO21" s="83"/>
      <c r="AP21" s="83"/>
      <c r="AQ21" s="83"/>
      <c r="AR21" s="83"/>
      <c r="AS21" s="83"/>
      <c r="AT21" s="83"/>
      <c r="AU21" s="83"/>
      <c r="AV21" s="71"/>
      <c r="AW21" s="71"/>
      <c r="AX21" s="71"/>
      <c r="AY21" s="71"/>
      <c r="AZ21" s="71"/>
      <c r="BA21" s="71"/>
      <c r="BB21" s="71"/>
      <c r="BC21" s="71"/>
    </row>
    <row r="22" spans="1:55" s="76" customFormat="1" ht="12.95" customHeight="1">
      <c r="A22" s="77">
        <v>16</v>
      </c>
      <c r="B22" s="78" t="s">
        <v>80</v>
      </c>
      <c r="C22" s="79"/>
      <c r="D22" s="79" t="s">
        <v>62</v>
      </c>
      <c r="E22" s="79"/>
      <c r="F22" s="79"/>
      <c r="G22" s="79"/>
      <c r="H22" s="79"/>
      <c r="I22" s="79" t="s">
        <v>62</v>
      </c>
      <c r="J22" s="79"/>
      <c r="K22" s="79" t="s">
        <v>62</v>
      </c>
      <c r="L22" s="79"/>
      <c r="M22" s="79"/>
      <c r="N22" s="79"/>
      <c r="O22" s="79"/>
      <c r="P22" s="79" t="s">
        <v>63</v>
      </c>
      <c r="Q22" s="79"/>
      <c r="R22" s="79"/>
      <c r="S22" s="79"/>
      <c r="T22" s="79"/>
      <c r="U22" s="79" t="s">
        <v>62</v>
      </c>
      <c r="V22" s="79"/>
      <c r="W22" s="79"/>
      <c r="X22" s="79"/>
      <c r="Y22" s="79" t="s">
        <v>62</v>
      </c>
      <c r="Z22" s="79"/>
      <c r="AA22" s="79"/>
      <c r="AB22" s="79"/>
      <c r="AC22" s="79"/>
      <c r="AD22" s="79" t="s">
        <v>64</v>
      </c>
      <c r="AE22" s="79"/>
      <c r="AF22" s="79" t="s">
        <v>62</v>
      </c>
      <c r="AG22" s="79"/>
      <c r="AH22" s="83">
        <f>COUNTIF(C134:AG162,"T")</f>
        <v>14</v>
      </c>
      <c r="AI22" s="83">
        <f>COUNTIF(C134:AG162,"TB")</f>
        <v>8</v>
      </c>
      <c r="AJ22" s="83">
        <f>COUNTIF(C134:AG224,"B")</f>
        <v>54</v>
      </c>
      <c r="AK22" s="83"/>
      <c r="AL22" s="83"/>
      <c r="AM22" s="83"/>
      <c r="AN22" s="83"/>
      <c r="AO22" s="83"/>
      <c r="AP22" s="83"/>
      <c r="AQ22" s="83"/>
      <c r="AR22" s="83"/>
      <c r="AS22" s="83"/>
      <c r="AT22" s="83"/>
      <c r="AU22" s="83"/>
      <c r="AV22" s="71"/>
      <c r="AW22" s="71"/>
      <c r="AX22" s="71"/>
      <c r="AY22" s="71"/>
      <c r="AZ22" s="71"/>
      <c r="BA22" s="71"/>
      <c r="BB22" s="71"/>
      <c r="BC22" s="71"/>
    </row>
    <row r="23" spans="1:55" s="76" customFormat="1" ht="12.95" customHeight="1">
      <c r="A23" s="77">
        <v>17</v>
      </c>
      <c r="B23" s="78" t="s">
        <v>81</v>
      </c>
      <c r="C23" s="79"/>
      <c r="D23" s="79" t="s">
        <v>62</v>
      </c>
      <c r="E23" s="79"/>
      <c r="F23" s="79"/>
      <c r="G23" s="79"/>
      <c r="H23" s="79"/>
      <c r="I23" s="79" t="s">
        <v>63</v>
      </c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79"/>
      <c r="U23" s="79"/>
      <c r="V23" s="79"/>
      <c r="W23" s="79"/>
      <c r="X23" s="79"/>
      <c r="Y23" s="79" t="s">
        <v>62</v>
      </c>
      <c r="Z23" s="79"/>
      <c r="AA23" s="79"/>
      <c r="AB23" s="79"/>
      <c r="AC23" s="79"/>
      <c r="AD23" s="79"/>
      <c r="AE23" s="79"/>
      <c r="AF23" s="79"/>
      <c r="AG23" s="79"/>
      <c r="AH23" s="83"/>
      <c r="AI23" s="83"/>
      <c r="AJ23" s="83"/>
      <c r="AK23" s="83"/>
      <c r="AL23" s="83"/>
      <c r="AM23" s="83"/>
      <c r="AN23" s="83"/>
      <c r="AO23" s="83"/>
      <c r="AP23" s="83"/>
      <c r="AQ23" s="83"/>
      <c r="AR23" s="83"/>
      <c r="AS23" s="83"/>
      <c r="AT23" s="83"/>
      <c r="AU23" s="83"/>
      <c r="AV23" s="71"/>
      <c r="AW23" s="71"/>
      <c r="AX23" s="71"/>
      <c r="AY23" s="71"/>
      <c r="AZ23" s="71"/>
      <c r="BA23" s="71"/>
      <c r="BB23" s="71"/>
      <c r="BC23" s="71"/>
    </row>
    <row r="24" spans="1:55" s="76" customFormat="1" ht="12.95" customHeight="1">
      <c r="A24" s="77">
        <v>18</v>
      </c>
      <c r="B24" s="78" t="s">
        <v>82</v>
      </c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79"/>
      <c r="AC24" s="79"/>
      <c r="AD24" s="79"/>
      <c r="AE24" s="79"/>
      <c r="AF24" s="79"/>
      <c r="AG24" s="79"/>
      <c r="AH24" s="83"/>
      <c r="AI24" s="83"/>
      <c r="AJ24" s="83"/>
      <c r="AK24" s="83"/>
      <c r="AL24" s="83"/>
      <c r="AM24" s="83"/>
      <c r="AN24" s="83"/>
      <c r="AO24" s="83"/>
      <c r="AP24" s="83"/>
      <c r="AQ24" s="83"/>
      <c r="AR24" s="83"/>
      <c r="AS24" s="83"/>
      <c r="AT24" s="83"/>
      <c r="AU24" s="83"/>
      <c r="AV24" s="71"/>
      <c r="AW24" s="71"/>
      <c r="AX24" s="71"/>
      <c r="AY24" s="71"/>
      <c r="AZ24" s="71"/>
      <c r="BA24" s="71"/>
      <c r="BB24" s="71"/>
      <c r="BC24" s="71"/>
    </row>
    <row r="25" spans="1:55" s="76" customFormat="1" ht="12.95" customHeight="1">
      <c r="A25" s="77">
        <v>19</v>
      </c>
      <c r="B25" s="78" t="s">
        <v>83</v>
      </c>
      <c r="C25" s="79"/>
      <c r="D25" s="79" t="s">
        <v>62</v>
      </c>
      <c r="E25" s="79"/>
      <c r="F25" s="79"/>
      <c r="G25" s="79"/>
      <c r="H25" s="79" t="s">
        <v>62</v>
      </c>
      <c r="I25" s="79"/>
      <c r="J25" s="79" t="s">
        <v>62</v>
      </c>
      <c r="K25" s="79"/>
      <c r="L25" s="79" t="s">
        <v>62</v>
      </c>
      <c r="M25" s="79"/>
      <c r="N25" s="79"/>
      <c r="O25" s="79"/>
      <c r="P25" s="79" t="s">
        <v>62</v>
      </c>
      <c r="Q25" s="79"/>
      <c r="R25" s="79"/>
      <c r="S25" s="79" t="s">
        <v>62</v>
      </c>
      <c r="T25" s="79"/>
      <c r="U25" s="79"/>
      <c r="V25" s="79"/>
      <c r="W25" s="79"/>
      <c r="X25" s="79" t="s">
        <v>62</v>
      </c>
      <c r="Y25" s="79"/>
      <c r="Z25" s="79"/>
      <c r="AA25" s="79"/>
      <c r="AB25" s="79" t="s">
        <v>62</v>
      </c>
      <c r="AC25" s="79"/>
      <c r="AD25" s="79" t="s">
        <v>62</v>
      </c>
      <c r="AE25" s="79"/>
      <c r="AF25" s="79" t="s">
        <v>62</v>
      </c>
      <c r="AG25" s="79"/>
      <c r="AH25" s="83"/>
      <c r="AI25" s="83"/>
      <c r="AJ25" s="83"/>
      <c r="AK25" s="83"/>
      <c r="AL25" s="83"/>
      <c r="AM25" s="83"/>
      <c r="AN25" s="83"/>
      <c r="AO25" s="83"/>
      <c r="AP25" s="83"/>
      <c r="AQ25" s="83"/>
      <c r="AR25" s="83"/>
      <c r="AS25" s="83"/>
      <c r="AT25" s="83"/>
      <c r="AU25" s="83"/>
      <c r="AV25" s="71"/>
      <c r="AW25" s="71"/>
      <c r="AX25" s="71"/>
      <c r="AY25" s="71"/>
      <c r="AZ25" s="71"/>
      <c r="BA25" s="71"/>
      <c r="BB25" s="71"/>
      <c r="BC25" s="71"/>
    </row>
    <row r="26" spans="1:55" s="76" customFormat="1" ht="12.95" customHeight="1">
      <c r="A26" s="77">
        <v>20</v>
      </c>
      <c r="B26" s="78" t="s">
        <v>84</v>
      </c>
      <c r="C26" s="79"/>
      <c r="D26" s="79" t="s">
        <v>62</v>
      </c>
      <c r="E26" s="79"/>
      <c r="F26" s="79"/>
      <c r="G26" s="79" t="s">
        <v>63</v>
      </c>
      <c r="H26" s="79"/>
      <c r="I26" s="79"/>
      <c r="J26" s="79"/>
      <c r="K26" s="79"/>
      <c r="L26" s="79"/>
      <c r="M26" s="79"/>
      <c r="N26" s="79"/>
      <c r="O26" s="79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  <c r="AA26" s="79"/>
      <c r="AB26" s="79"/>
      <c r="AC26" s="79"/>
      <c r="AD26" s="79"/>
      <c r="AE26" s="79"/>
      <c r="AF26" s="79"/>
      <c r="AG26" s="79"/>
      <c r="AH26" s="83"/>
      <c r="AI26" s="83"/>
      <c r="AJ26" s="83"/>
      <c r="AK26" s="83"/>
      <c r="AL26" s="83"/>
      <c r="AM26" s="83"/>
      <c r="AN26" s="83"/>
      <c r="AO26" s="83"/>
      <c r="AP26" s="83"/>
      <c r="AQ26" s="83"/>
      <c r="AR26" s="83"/>
      <c r="AS26" s="83"/>
      <c r="AT26" s="83"/>
      <c r="AU26" s="83"/>
      <c r="AV26" s="71"/>
      <c r="AW26" s="71"/>
      <c r="AX26" s="71"/>
      <c r="AY26" s="71"/>
      <c r="AZ26" s="71"/>
      <c r="BA26" s="71"/>
      <c r="BB26" s="71"/>
      <c r="BC26" s="71"/>
    </row>
    <row r="27" spans="1:55" s="76" customFormat="1" ht="12.95" customHeight="1">
      <c r="A27" s="77">
        <v>21</v>
      </c>
      <c r="B27" s="78" t="s">
        <v>85</v>
      </c>
      <c r="C27" s="79"/>
      <c r="D27" s="79" t="s">
        <v>62</v>
      </c>
      <c r="E27" s="79" t="s">
        <v>63</v>
      </c>
      <c r="F27" s="79"/>
      <c r="G27" s="79"/>
      <c r="H27" s="79"/>
      <c r="I27" s="79"/>
      <c r="J27" s="79"/>
      <c r="K27" s="79"/>
      <c r="L27" s="79"/>
      <c r="M27" s="79"/>
      <c r="N27" s="79"/>
      <c r="O27" s="79"/>
      <c r="P27" s="79"/>
      <c r="Q27" s="79"/>
      <c r="R27" s="79"/>
      <c r="S27" s="79" t="s">
        <v>63</v>
      </c>
      <c r="T27" s="79"/>
      <c r="U27" s="79"/>
      <c r="V27" s="79"/>
      <c r="W27" s="79"/>
      <c r="X27" s="79"/>
      <c r="Y27" s="79"/>
      <c r="Z27" s="79"/>
      <c r="AA27" s="79"/>
      <c r="AB27" s="79"/>
      <c r="AC27" s="79"/>
      <c r="AD27" s="79"/>
      <c r="AE27" s="79"/>
      <c r="AF27" s="79"/>
      <c r="AG27" s="79"/>
      <c r="AH27" s="83"/>
      <c r="AI27" s="83"/>
      <c r="AJ27" s="83"/>
      <c r="AK27" s="83"/>
      <c r="AL27" s="83"/>
      <c r="AM27" s="83"/>
      <c r="AN27" s="83"/>
      <c r="AO27" s="83"/>
      <c r="AP27" s="83"/>
      <c r="AQ27" s="83"/>
      <c r="AR27" s="83"/>
      <c r="AS27" s="83"/>
      <c r="AT27" s="83"/>
      <c r="AU27" s="83"/>
      <c r="AV27" s="71"/>
      <c r="AW27" s="71"/>
      <c r="AX27" s="71"/>
      <c r="AY27" s="71"/>
      <c r="AZ27" s="71"/>
      <c r="BA27" s="71"/>
      <c r="BB27" s="71"/>
      <c r="BC27" s="71"/>
    </row>
    <row r="28" spans="1:55" s="76" customFormat="1" ht="12.95" customHeight="1">
      <c r="A28" s="77">
        <v>22</v>
      </c>
      <c r="B28" s="78" t="s">
        <v>86</v>
      </c>
      <c r="C28" s="79"/>
      <c r="D28" s="79"/>
      <c r="E28" s="79"/>
      <c r="F28" s="79"/>
      <c r="G28" s="79"/>
      <c r="H28" s="79"/>
      <c r="I28" s="79"/>
      <c r="J28" s="79"/>
      <c r="K28" s="79" t="s">
        <v>64</v>
      </c>
      <c r="L28" s="79"/>
      <c r="M28" s="79"/>
      <c r="N28" s="79"/>
      <c r="O28" s="79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  <c r="AA28" s="79"/>
      <c r="AB28" s="79"/>
      <c r="AC28" s="79"/>
      <c r="AD28" s="79"/>
      <c r="AE28" s="79"/>
      <c r="AF28" s="79"/>
      <c r="AG28" s="79"/>
      <c r="AH28" s="83"/>
      <c r="AI28" s="83"/>
      <c r="AJ28" s="83"/>
      <c r="AK28" s="83"/>
      <c r="AL28" s="83"/>
      <c r="AM28" s="83"/>
      <c r="AN28" s="83"/>
      <c r="AO28" s="83"/>
      <c r="AP28" s="83"/>
      <c r="AQ28" s="83"/>
      <c r="AR28" s="83"/>
      <c r="AS28" s="83"/>
      <c r="AT28" s="83"/>
      <c r="AU28" s="83"/>
      <c r="AV28" s="71"/>
      <c r="AW28" s="71"/>
      <c r="AX28" s="71"/>
      <c r="AY28" s="71"/>
      <c r="AZ28" s="71"/>
      <c r="BA28" s="71"/>
      <c r="BB28" s="71"/>
      <c r="BC28" s="71"/>
    </row>
    <row r="29" spans="1:55" s="76" customFormat="1" ht="12.95" customHeight="1">
      <c r="A29" s="77">
        <v>23</v>
      </c>
      <c r="B29" s="78" t="s">
        <v>87</v>
      </c>
      <c r="C29" s="79"/>
      <c r="D29" s="79"/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9"/>
      <c r="AC29" s="79"/>
      <c r="AD29" s="79"/>
      <c r="AE29" s="79"/>
      <c r="AF29" s="79"/>
      <c r="AG29" s="79"/>
      <c r="AH29" s="83"/>
      <c r="AI29" s="83"/>
      <c r="AJ29" s="83"/>
      <c r="AK29" s="83"/>
      <c r="AL29" s="83"/>
      <c r="AM29" s="83"/>
      <c r="AN29" s="83"/>
      <c r="AO29" s="83"/>
      <c r="AP29" s="83"/>
      <c r="AQ29" s="83"/>
      <c r="AR29" s="83"/>
      <c r="AS29" s="83"/>
      <c r="AT29" s="83"/>
      <c r="AU29" s="83"/>
      <c r="AV29" s="71"/>
      <c r="AW29" s="71"/>
      <c r="AX29" s="71"/>
      <c r="AY29" s="71"/>
      <c r="AZ29" s="71"/>
      <c r="BA29" s="71"/>
      <c r="BB29" s="71"/>
      <c r="BC29" s="71"/>
    </row>
    <row r="30" spans="1:55" s="76" customFormat="1" ht="12.95" customHeight="1">
      <c r="A30" s="77">
        <v>24</v>
      </c>
      <c r="B30" s="78" t="s">
        <v>88</v>
      </c>
      <c r="C30" s="79"/>
      <c r="D30" s="79" t="s">
        <v>64</v>
      </c>
      <c r="E30" s="79"/>
      <c r="F30" s="79"/>
      <c r="G30" s="79"/>
      <c r="H30" s="79" t="s">
        <v>64</v>
      </c>
      <c r="I30" s="79"/>
      <c r="J30" s="79"/>
      <c r="K30" s="79"/>
      <c r="L30" s="79"/>
      <c r="M30" s="79"/>
      <c r="N30" s="79"/>
      <c r="O30" s="79" t="s">
        <v>62</v>
      </c>
      <c r="P30" s="79" t="s">
        <v>63</v>
      </c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79"/>
      <c r="AC30" s="79"/>
      <c r="AD30" s="79"/>
      <c r="AE30" s="79"/>
      <c r="AF30" s="79"/>
      <c r="AG30" s="79"/>
      <c r="AH30" s="83"/>
      <c r="AI30" s="83"/>
      <c r="AJ30" s="83"/>
      <c r="AK30" s="83"/>
      <c r="AL30" s="83"/>
      <c r="AM30" s="83"/>
      <c r="AN30" s="83"/>
      <c r="AO30" s="83"/>
      <c r="AP30" s="83"/>
      <c r="AQ30" s="83"/>
      <c r="AR30" s="83"/>
      <c r="AS30" s="83"/>
      <c r="AT30" s="83"/>
      <c r="AU30" s="83"/>
      <c r="AV30" s="71"/>
      <c r="AW30" s="71"/>
      <c r="AX30" s="71"/>
      <c r="AY30" s="71"/>
      <c r="AZ30" s="71"/>
      <c r="BA30" s="71"/>
      <c r="BB30" s="71"/>
      <c r="BC30" s="71"/>
    </row>
    <row r="31" spans="1:55" s="76" customFormat="1" ht="12.95" customHeight="1">
      <c r="A31" s="77">
        <v>25</v>
      </c>
      <c r="B31" s="78" t="s">
        <v>89</v>
      </c>
      <c r="C31" s="79"/>
      <c r="D31" s="79" t="s">
        <v>62</v>
      </c>
      <c r="E31" s="79"/>
      <c r="F31" s="79"/>
      <c r="G31" s="79"/>
      <c r="H31" s="79"/>
      <c r="I31" s="79" t="s">
        <v>62</v>
      </c>
      <c r="J31" s="79"/>
      <c r="K31" s="79"/>
      <c r="L31" s="79" t="s">
        <v>63</v>
      </c>
      <c r="M31" s="79"/>
      <c r="N31" s="79"/>
      <c r="O31" s="79"/>
      <c r="P31" s="79"/>
      <c r="Q31" s="79"/>
      <c r="R31" s="79"/>
      <c r="S31" s="79" t="s">
        <v>62</v>
      </c>
      <c r="T31" s="79"/>
      <c r="U31" s="79"/>
      <c r="V31" s="79"/>
      <c r="W31" s="79" t="s">
        <v>64</v>
      </c>
      <c r="X31" s="79"/>
      <c r="Y31" s="79"/>
      <c r="Z31" s="79" t="s">
        <v>62</v>
      </c>
      <c r="AA31" s="79"/>
      <c r="AB31" s="79"/>
      <c r="AC31" s="79" t="s">
        <v>62</v>
      </c>
      <c r="AD31" s="79" t="s">
        <v>63</v>
      </c>
      <c r="AE31" s="79" t="s">
        <v>62</v>
      </c>
      <c r="AF31" s="79"/>
      <c r="AG31" s="79" t="s">
        <v>62</v>
      </c>
      <c r="AH31" s="83"/>
      <c r="AI31" s="83"/>
      <c r="AJ31" s="83"/>
      <c r="AK31" s="83"/>
      <c r="AL31" s="83"/>
      <c r="AM31" s="83"/>
      <c r="AN31" s="83"/>
      <c r="AO31" s="83"/>
      <c r="AP31" s="83"/>
      <c r="AQ31" s="83"/>
      <c r="AR31" s="83"/>
      <c r="AS31" s="83"/>
      <c r="AT31" s="83"/>
      <c r="AU31" s="83"/>
      <c r="AV31" s="71"/>
      <c r="AW31" s="71"/>
      <c r="AX31" s="71"/>
      <c r="AY31" s="71"/>
      <c r="AZ31" s="71"/>
      <c r="BA31" s="71"/>
      <c r="BB31" s="71"/>
      <c r="BC31" s="71"/>
    </row>
    <row r="32" spans="1:55" s="76" customFormat="1" ht="12.95" customHeight="1">
      <c r="A32" s="77">
        <v>26</v>
      </c>
      <c r="B32" s="78" t="s">
        <v>90</v>
      </c>
      <c r="C32" s="79"/>
      <c r="D32" s="79"/>
      <c r="E32" s="79"/>
      <c r="F32" s="79"/>
      <c r="G32" s="79"/>
      <c r="H32" s="79" t="s">
        <v>63</v>
      </c>
      <c r="I32" s="79"/>
      <c r="J32" s="79"/>
      <c r="K32" s="79"/>
      <c r="L32" s="79" t="s">
        <v>64</v>
      </c>
      <c r="M32" s="79"/>
      <c r="N32" s="79"/>
      <c r="O32" s="79" t="s">
        <v>64</v>
      </c>
      <c r="P32" s="79"/>
      <c r="Q32" s="79"/>
      <c r="R32" s="79"/>
      <c r="S32" s="79" t="s">
        <v>64</v>
      </c>
      <c r="T32" s="79"/>
      <c r="U32" s="79"/>
      <c r="V32" s="79" t="s">
        <v>64</v>
      </c>
      <c r="W32" s="79"/>
      <c r="X32" s="79" t="s">
        <v>62</v>
      </c>
      <c r="Y32" s="79"/>
      <c r="Z32" s="79" t="s">
        <v>64</v>
      </c>
      <c r="AA32" s="79"/>
      <c r="AB32" s="79"/>
      <c r="AC32" s="79" t="s">
        <v>63</v>
      </c>
      <c r="AD32" s="79"/>
      <c r="AE32" s="79"/>
      <c r="AF32" s="79" t="s">
        <v>62</v>
      </c>
      <c r="AG32" s="79"/>
      <c r="AH32" s="83"/>
      <c r="AI32" s="83"/>
      <c r="AJ32" s="83"/>
      <c r="AK32" s="83"/>
      <c r="AL32" s="83"/>
      <c r="AM32" s="83"/>
      <c r="AN32" s="83"/>
      <c r="AO32" s="83"/>
      <c r="AP32" s="83"/>
      <c r="AQ32" s="83"/>
      <c r="AR32" s="83"/>
      <c r="AS32" s="83"/>
      <c r="AT32" s="83"/>
      <c r="AU32" s="83"/>
      <c r="AV32" s="71"/>
      <c r="AW32" s="71"/>
      <c r="AX32" s="71"/>
      <c r="AY32" s="71"/>
      <c r="AZ32" s="71"/>
      <c r="BA32" s="71"/>
      <c r="BB32" s="71"/>
      <c r="BC32" s="71"/>
    </row>
    <row r="33" spans="1:55" s="76" customFormat="1" ht="12.95" customHeight="1">
      <c r="A33" s="77">
        <v>27</v>
      </c>
      <c r="B33" s="78" t="s">
        <v>91</v>
      </c>
      <c r="C33" s="79"/>
      <c r="D33" s="79" t="s">
        <v>64</v>
      </c>
      <c r="E33" s="79"/>
      <c r="F33" s="79"/>
      <c r="G33" s="79"/>
      <c r="H33" s="79" t="s">
        <v>62</v>
      </c>
      <c r="I33" s="79"/>
      <c r="J33" s="79"/>
      <c r="K33" s="79"/>
      <c r="L33" s="79" t="s">
        <v>62</v>
      </c>
      <c r="M33" s="79"/>
      <c r="N33" s="79"/>
      <c r="O33" s="79"/>
      <c r="P33" s="79" t="s">
        <v>62</v>
      </c>
      <c r="Q33" s="79"/>
      <c r="R33" s="79"/>
      <c r="S33" s="79" t="s">
        <v>64</v>
      </c>
      <c r="T33" s="79"/>
      <c r="U33" s="79"/>
      <c r="V33" s="79" t="s">
        <v>71</v>
      </c>
      <c r="W33" s="79"/>
      <c r="X33" s="79" t="s">
        <v>62</v>
      </c>
      <c r="Y33" s="79"/>
      <c r="Z33" s="79" t="s">
        <v>64</v>
      </c>
      <c r="AA33" s="79"/>
      <c r="AB33" s="79"/>
      <c r="AC33" s="79"/>
      <c r="AD33" s="79"/>
      <c r="AE33" s="79"/>
      <c r="AF33" s="79"/>
      <c r="AG33" s="79"/>
      <c r="AH33" s="83"/>
      <c r="AI33" s="83"/>
      <c r="AJ33" s="83"/>
      <c r="AK33" s="83"/>
      <c r="AL33" s="83"/>
      <c r="AM33" s="83"/>
      <c r="AN33" s="83"/>
      <c r="AO33" s="83"/>
      <c r="AP33" s="83"/>
      <c r="AQ33" s="83"/>
      <c r="AR33" s="83"/>
      <c r="AS33" s="83"/>
      <c r="AT33" s="83"/>
      <c r="AU33" s="83"/>
      <c r="AV33" s="71"/>
      <c r="AW33" s="71"/>
      <c r="AX33" s="71"/>
      <c r="AY33" s="71"/>
      <c r="AZ33" s="71"/>
      <c r="BA33" s="71"/>
      <c r="BB33" s="71"/>
      <c r="BC33" s="71"/>
    </row>
    <row r="34" spans="1:55" s="76" customFormat="1" ht="12.95" customHeight="1">
      <c r="A34" s="77">
        <v>28</v>
      </c>
      <c r="B34" s="78" t="s">
        <v>92</v>
      </c>
      <c r="C34" s="79"/>
      <c r="D34" s="79"/>
      <c r="E34" s="79"/>
      <c r="F34" s="79"/>
      <c r="G34" s="79"/>
      <c r="H34" s="79"/>
      <c r="I34" s="79"/>
      <c r="J34" s="79" t="s">
        <v>63</v>
      </c>
      <c r="K34" s="79"/>
      <c r="L34" s="79" t="s">
        <v>62</v>
      </c>
      <c r="M34" s="79"/>
      <c r="N34" s="79"/>
      <c r="O34" s="79" t="s">
        <v>62</v>
      </c>
      <c r="P34" s="79" t="s">
        <v>63</v>
      </c>
      <c r="Q34" s="79"/>
      <c r="R34" s="79"/>
      <c r="S34" s="79" t="s">
        <v>62</v>
      </c>
      <c r="T34" s="79"/>
      <c r="U34" s="79"/>
      <c r="V34" s="79" t="s">
        <v>64</v>
      </c>
      <c r="W34" s="79"/>
      <c r="X34" s="79" t="s">
        <v>62</v>
      </c>
      <c r="Y34" s="79"/>
      <c r="Z34" s="79" t="s">
        <v>62</v>
      </c>
      <c r="AA34" s="79"/>
      <c r="AB34" s="79"/>
      <c r="AC34" s="79" t="s">
        <v>62</v>
      </c>
      <c r="AD34" s="79" t="s">
        <v>63</v>
      </c>
      <c r="AE34" s="79" t="s">
        <v>62</v>
      </c>
      <c r="AF34" s="79"/>
      <c r="AG34" s="79" t="s">
        <v>62</v>
      </c>
      <c r="AH34" s="83"/>
      <c r="AI34" s="83"/>
      <c r="AJ34" s="83"/>
      <c r="AK34" s="83"/>
      <c r="AL34" s="83"/>
      <c r="AM34" s="83"/>
      <c r="AN34" s="83"/>
      <c r="AO34" s="83"/>
      <c r="AP34" s="83"/>
      <c r="AQ34" s="83"/>
      <c r="AR34" s="83"/>
      <c r="AS34" s="83"/>
      <c r="AT34" s="83"/>
      <c r="AU34" s="83"/>
      <c r="AV34" s="71"/>
      <c r="AW34" s="71"/>
      <c r="AX34" s="71"/>
      <c r="AY34" s="71"/>
      <c r="AZ34" s="71"/>
      <c r="BA34" s="71"/>
      <c r="BB34" s="71"/>
      <c r="BC34" s="71"/>
    </row>
    <row r="35" spans="1:55" s="76" customFormat="1" ht="12.95" customHeight="1">
      <c r="A35" s="77">
        <v>29</v>
      </c>
      <c r="B35" s="78" t="s">
        <v>93</v>
      </c>
      <c r="C35" s="79"/>
      <c r="D35" s="79" t="s">
        <v>64</v>
      </c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  <c r="AC35" s="79" t="s">
        <v>64</v>
      </c>
      <c r="AD35" s="79"/>
      <c r="AE35" s="79"/>
      <c r="AF35" s="79"/>
      <c r="AG35" s="79"/>
      <c r="AH35" s="83"/>
      <c r="AI35" s="83"/>
      <c r="AJ35" s="83"/>
      <c r="AK35" s="83"/>
      <c r="AL35" s="83"/>
      <c r="AM35" s="83"/>
      <c r="AN35" s="83"/>
      <c r="AO35" s="83"/>
      <c r="AP35" s="83"/>
      <c r="AQ35" s="83"/>
      <c r="AR35" s="83"/>
      <c r="AS35" s="83"/>
      <c r="AT35" s="83"/>
      <c r="AU35" s="83"/>
      <c r="AV35" s="71"/>
      <c r="AW35" s="71"/>
      <c r="AX35" s="71"/>
      <c r="AY35" s="71"/>
      <c r="AZ35" s="71"/>
      <c r="BA35" s="71"/>
      <c r="BB35" s="71"/>
      <c r="BC35" s="71"/>
    </row>
    <row r="36" spans="1:55" s="76" customFormat="1" ht="12.95" customHeight="1">
      <c r="A36" s="77">
        <v>30</v>
      </c>
      <c r="B36" s="78" t="s">
        <v>94</v>
      </c>
      <c r="C36" s="79"/>
      <c r="D36" s="79"/>
      <c r="E36" s="79" t="s">
        <v>62</v>
      </c>
      <c r="F36" s="79"/>
      <c r="G36" s="79"/>
      <c r="H36" s="79" t="s">
        <v>62</v>
      </c>
      <c r="I36" s="79"/>
      <c r="J36" s="79"/>
      <c r="K36" s="79" t="s">
        <v>62</v>
      </c>
      <c r="L36" s="79"/>
      <c r="M36" s="79"/>
      <c r="N36" s="79"/>
      <c r="O36" s="79" t="s">
        <v>62</v>
      </c>
      <c r="P36" s="79"/>
      <c r="Q36" s="79" t="s">
        <v>62</v>
      </c>
      <c r="R36" s="79"/>
      <c r="S36" s="79" t="s">
        <v>62</v>
      </c>
      <c r="T36" s="79"/>
      <c r="U36" s="79" t="s">
        <v>63</v>
      </c>
      <c r="V36" s="79"/>
      <c r="W36" s="79" t="s">
        <v>62</v>
      </c>
      <c r="X36" s="79"/>
      <c r="Y36" s="79" t="s">
        <v>62</v>
      </c>
      <c r="Z36" s="79"/>
      <c r="AA36" s="79"/>
      <c r="AB36" s="79" t="s">
        <v>62</v>
      </c>
      <c r="AC36" s="79"/>
      <c r="AD36" s="79" t="s">
        <v>62</v>
      </c>
      <c r="AE36" s="79"/>
      <c r="AF36" s="79" t="s">
        <v>62</v>
      </c>
      <c r="AG36" s="79"/>
      <c r="AH36" s="83"/>
      <c r="AI36" s="83"/>
      <c r="AJ36" s="83"/>
      <c r="AK36" s="83"/>
      <c r="AL36" s="83"/>
      <c r="AM36" s="83"/>
      <c r="AN36" s="83"/>
      <c r="AO36" s="83"/>
      <c r="AP36" s="83"/>
      <c r="AQ36" s="83"/>
      <c r="AR36" s="83"/>
      <c r="AS36" s="83"/>
      <c r="AT36" s="83"/>
      <c r="AU36" s="83"/>
      <c r="AV36" s="71"/>
      <c r="AW36" s="71"/>
      <c r="AX36" s="71"/>
      <c r="AY36" s="71"/>
      <c r="AZ36" s="71"/>
      <c r="BA36" s="71"/>
      <c r="BB36" s="71"/>
      <c r="BC36" s="71"/>
    </row>
    <row r="37" spans="1:55" s="76" customFormat="1" ht="12.95" customHeight="1">
      <c r="A37" s="77">
        <v>31</v>
      </c>
      <c r="B37" s="78" t="s">
        <v>95</v>
      </c>
      <c r="C37" s="79"/>
      <c r="D37" s="79"/>
      <c r="E37" s="79" t="s">
        <v>62</v>
      </c>
      <c r="F37" s="79"/>
      <c r="G37" s="79"/>
      <c r="H37" s="79" t="s">
        <v>62</v>
      </c>
      <c r="I37" s="79"/>
      <c r="J37" s="79"/>
      <c r="K37" s="79"/>
      <c r="L37" s="79"/>
      <c r="M37" s="79"/>
      <c r="N37" s="79"/>
      <c r="O37" s="79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79"/>
      <c r="AC37" s="79"/>
      <c r="AD37" s="79"/>
      <c r="AE37" s="79"/>
      <c r="AF37" s="79"/>
      <c r="AG37" s="79"/>
      <c r="AH37" s="83"/>
      <c r="AI37" s="83"/>
      <c r="AJ37" s="83"/>
      <c r="AK37" s="83"/>
      <c r="AL37" s="83"/>
      <c r="AM37" s="83"/>
      <c r="AN37" s="83"/>
      <c r="AO37" s="83"/>
      <c r="AP37" s="83"/>
      <c r="AQ37" s="83"/>
      <c r="AR37" s="83"/>
      <c r="AS37" s="83"/>
      <c r="AT37" s="83"/>
      <c r="AU37" s="83"/>
      <c r="AV37" s="71"/>
      <c r="AW37" s="71"/>
      <c r="AX37" s="71"/>
      <c r="AY37" s="71"/>
      <c r="AZ37" s="71"/>
      <c r="BA37" s="71"/>
      <c r="BB37" s="71"/>
      <c r="BC37" s="71"/>
    </row>
    <row r="38" spans="1:55" s="76" customFormat="1" ht="12.95" customHeight="1">
      <c r="A38" s="77">
        <v>32</v>
      </c>
      <c r="B38" s="78" t="s">
        <v>96</v>
      </c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 t="s">
        <v>62</v>
      </c>
      <c r="R38" s="79"/>
      <c r="S38" s="79"/>
      <c r="T38" s="79"/>
      <c r="U38" s="79"/>
      <c r="V38" s="79" t="s">
        <v>62</v>
      </c>
      <c r="W38" s="79"/>
      <c r="X38" s="79"/>
      <c r="Y38" s="79" t="s">
        <v>63</v>
      </c>
      <c r="Z38" s="79"/>
      <c r="AA38" s="79"/>
      <c r="AB38" s="79"/>
      <c r="AC38" s="79"/>
      <c r="AD38" s="79"/>
      <c r="AE38" s="79"/>
      <c r="AF38" s="79"/>
      <c r="AG38" s="79"/>
      <c r="AH38" s="83"/>
      <c r="AI38" s="83"/>
      <c r="AJ38" s="83"/>
      <c r="AK38" s="83"/>
      <c r="AL38" s="83"/>
      <c r="AM38" s="83"/>
      <c r="AN38" s="83"/>
      <c r="AO38" s="83"/>
      <c r="AP38" s="83"/>
      <c r="AQ38" s="83"/>
      <c r="AR38" s="83"/>
      <c r="AS38" s="83"/>
      <c r="AT38" s="83"/>
      <c r="AU38" s="83"/>
      <c r="AV38" s="71"/>
      <c r="AW38" s="71"/>
      <c r="AX38" s="71"/>
      <c r="AY38" s="71"/>
      <c r="AZ38" s="71"/>
      <c r="BA38" s="71"/>
      <c r="BB38" s="71"/>
      <c r="BC38" s="71"/>
    </row>
    <row r="39" spans="1:55" s="76" customFormat="1" ht="12.95" customHeight="1">
      <c r="A39" s="77">
        <v>33</v>
      </c>
      <c r="B39" s="78" t="s">
        <v>97</v>
      </c>
      <c r="C39" s="79"/>
      <c r="D39" s="79"/>
      <c r="E39" s="79" t="s">
        <v>62</v>
      </c>
      <c r="F39" s="79"/>
      <c r="G39" s="79" t="s">
        <v>63</v>
      </c>
      <c r="H39" s="79"/>
      <c r="I39" s="79"/>
      <c r="J39" s="79"/>
      <c r="K39" s="79"/>
      <c r="L39" s="79" t="s">
        <v>62</v>
      </c>
      <c r="M39" s="79"/>
      <c r="N39" s="79"/>
      <c r="O39" s="79" t="s">
        <v>62</v>
      </c>
      <c r="P39" s="79"/>
      <c r="Q39" s="79" t="s">
        <v>62</v>
      </c>
      <c r="R39" s="79"/>
      <c r="S39" s="79"/>
      <c r="T39" s="79"/>
      <c r="U39" s="79" t="s">
        <v>62</v>
      </c>
      <c r="V39" s="79"/>
      <c r="W39" s="79" t="s">
        <v>62</v>
      </c>
      <c r="X39" s="79" t="s">
        <v>63</v>
      </c>
      <c r="Y39" s="79"/>
      <c r="Z39" s="79" t="s">
        <v>62</v>
      </c>
      <c r="AA39" s="79"/>
      <c r="AB39" s="79"/>
      <c r="AC39" s="79" t="s">
        <v>63</v>
      </c>
      <c r="AD39" s="79"/>
      <c r="AE39" s="79" t="s">
        <v>62</v>
      </c>
      <c r="AF39" s="79"/>
      <c r="AG39" s="79"/>
      <c r="AH39" s="83"/>
      <c r="AI39" s="83"/>
      <c r="AJ39" s="83"/>
      <c r="AK39" s="83"/>
      <c r="AL39" s="83"/>
      <c r="AM39" s="83"/>
      <c r="AN39" s="83"/>
      <c r="AO39" s="83"/>
      <c r="AP39" s="83"/>
      <c r="AQ39" s="83"/>
      <c r="AR39" s="83"/>
      <c r="AS39" s="83"/>
      <c r="AT39" s="83"/>
      <c r="AU39" s="83"/>
      <c r="AV39" s="71"/>
      <c r="AW39" s="71"/>
      <c r="AX39" s="71"/>
      <c r="AY39" s="71"/>
      <c r="AZ39" s="71"/>
      <c r="BA39" s="71"/>
      <c r="BB39" s="71"/>
      <c r="BC39" s="71"/>
    </row>
    <row r="40" spans="1:55" s="76" customFormat="1" ht="12.95" customHeight="1">
      <c r="A40" s="77">
        <v>34</v>
      </c>
      <c r="B40" s="78" t="s">
        <v>98</v>
      </c>
      <c r="C40" s="79"/>
      <c r="D40" s="79"/>
      <c r="E40" s="79" t="s">
        <v>64</v>
      </c>
      <c r="F40" s="79"/>
      <c r="G40" s="79"/>
      <c r="H40" s="79"/>
      <c r="I40" s="79"/>
      <c r="J40" s="79"/>
      <c r="K40" s="79"/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  <c r="AA40" s="79"/>
      <c r="AB40" s="79"/>
      <c r="AC40" s="79"/>
      <c r="AD40" s="79"/>
      <c r="AE40" s="79"/>
      <c r="AF40" s="79"/>
      <c r="AG40" s="79"/>
      <c r="AH40" s="83"/>
      <c r="AI40" s="83"/>
      <c r="AJ40" s="83"/>
      <c r="AK40" s="83"/>
      <c r="AL40" s="83"/>
      <c r="AM40" s="83"/>
      <c r="AN40" s="83"/>
      <c r="AO40" s="83"/>
      <c r="AP40" s="83"/>
      <c r="AQ40" s="83"/>
      <c r="AR40" s="83"/>
      <c r="AS40" s="83"/>
      <c r="AT40" s="83"/>
      <c r="AU40" s="83"/>
      <c r="AV40" s="71"/>
      <c r="AW40" s="71"/>
      <c r="AX40" s="71"/>
      <c r="AY40" s="71"/>
      <c r="AZ40" s="71"/>
      <c r="BA40" s="71"/>
      <c r="BB40" s="71"/>
      <c r="BC40" s="71"/>
    </row>
    <row r="41" spans="1:55" s="76" customFormat="1" ht="12.95" customHeight="1">
      <c r="A41" s="77">
        <v>35</v>
      </c>
      <c r="B41" s="78" t="s">
        <v>99</v>
      </c>
      <c r="C41" s="79"/>
      <c r="D41" s="79" t="s">
        <v>62</v>
      </c>
      <c r="E41" s="79"/>
      <c r="F41" s="79"/>
      <c r="G41" s="79" t="s">
        <v>63</v>
      </c>
      <c r="H41" s="79"/>
      <c r="I41" s="79"/>
      <c r="J41" s="79"/>
      <c r="K41" s="79"/>
      <c r="L41" s="79"/>
      <c r="M41" s="79"/>
      <c r="N41" s="79"/>
      <c r="O41" s="79"/>
      <c r="P41" s="79"/>
      <c r="Q41" s="79"/>
      <c r="R41" s="79"/>
      <c r="S41" s="79"/>
      <c r="T41" s="79"/>
      <c r="U41" s="79"/>
      <c r="V41" s="79"/>
      <c r="W41" s="79"/>
      <c r="X41" s="79"/>
      <c r="Y41" s="79" t="s">
        <v>62</v>
      </c>
      <c r="Z41" s="79"/>
      <c r="AA41" s="79"/>
      <c r="AB41" s="79"/>
      <c r="AC41" s="79" t="s">
        <v>63</v>
      </c>
      <c r="AD41" s="79"/>
      <c r="AE41" s="79"/>
      <c r="AF41" s="79"/>
      <c r="AG41" s="79"/>
      <c r="AH41" s="83"/>
      <c r="AI41" s="83"/>
      <c r="AJ41" s="83"/>
      <c r="AK41" s="83"/>
      <c r="AL41" s="83"/>
      <c r="AM41" s="83"/>
      <c r="AN41" s="83"/>
      <c r="AO41" s="83"/>
      <c r="AP41" s="83"/>
      <c r="AQ41" s="83"/>
      <c r="AR41" s="83"/>
      <c r="AS41" s="83"/>
      <c r="AT41" s="83"/>
      <c r="AU41" s="83"/>
      <c r="AV41" s="71"/>
      <c r="AW41" s="71"/>
      <c r="AX41" s="71"/>
      <c r="AY41" s="71"/>
      <c r="AZ41" s="71"/>
      <c r="BA41" s="71"/>
      <c r="BB41" s="71"/>
      <c r="BC41" s="71"/>
    </row>
    <row r="42" spans="1:55" s="76" customFormat="1" ht="12.95" customHeight="1">
      <c r="A42" s="77">
        <v>36</v>
      </c>
      <c r="B42" s="78" t="s">
        <v>100</v>
      </c>
      <c r="C42" s="79"/>
      <c r="D42" s="79" t="s">
        <v>62</v>
      </c>
      <c r="E42" s="79"/>
      <c r="F42" s="79"/>
      <c r="G42" s="79"/>
      <c r="H42" s="79" t="s">
        <v>62</v>
      </c>
      <c r="I42" s="79" t="s">
        <v>63</v>
      </c>
      <c r="J42" s="79"/>
      <c r="K42" s="79"/>
      <c r="L42" s="79"/>
      <c r="M42" s="79"/>
      <c r="N42" s="79"/>
      <c r="O42" s="79"/>
      <c r="P42" s="79"/>
      <c r="Q42" s="79"/>
      <c r="R42" s="79"/>
      <c r="S42" s="79"/>
      <c r="T42" s="79"/>
      <c r="U42" s="79"/>
      <c r="V42" s="79"/>
      <c r="W42" s="79"/>
      <c r="X42" s="79"/>
      <c r="Y42" s="79"/>
      <c r="Z42" s="79"/>
      <c r="AA42" s="79"/>
      <c r="AB42" s="79"/>
      <c r="AC42" s="79" t="s">
        <v>62</v>
      </c>
      <c r="AD42" s="79"/>
      <c r="AE42" s="79" t="s">
        <v>62</v>
      </c>
      <c r="AF42" s="79"/>
      <c r="AG42" s="79" t="s">
        <v>63</v>
      </c>
      <c r="AH42" s="83"/>
      <c r="AI42" s="83"/>
      <c r="AJ42" s="83"/>
      <c r="AK42" s="83"/>
      <c r="AL42" s="83"/>
      <c r="AM42" s="83"/>
      <c r="AN42" s="83"/>
      <c r="AO42" s="83"/>
      <c r="AP42" s="83"/>
      <c r="AQ42" s="83"/>
      <c r="AR42" s="83"/>
      <c r="AS42" s="83"/>
      <c r="AT42" s="83"/>
      <c r="AU42" s="83"/>
      <c r="AV42" s="71"/>
      <c r="AW42" s="71"/>
      <c r="AX42" s="71"/>
      <c r="AY42" s="71"/>
      <c r="AZ42" s="71"/>
      <c r="BA42" s="71"/>
      <c r="BB42" s="71"/>
      <c r="BC42" s="71"/>
    </row>
    <row r="43" spans="1:55" s="76" customFormat="1" ht="12.95" customHeight="1">
      <c r="A43" s="77">
        <v>37</v>
      </c>
      <c r="B43" s="78" t="s">
        <v>101</v>
      </c>
      <c r="C43" s="79"/>
      <c r="D43" s="79" t="s">
        <v>62</v>
      </c>
      <c r="E43" s="79"/>
      <c r="F43" s="79"/>
      <c r="G43" s="79"/>
      <c r="H43" s="79" t="s">
        <v>62</v>
      </c>
      <c r="I43" s="79"/>
      <c r="J43" s="79"/>
      <c r="K43" s="79"/>
      <c r="L43" s="79"/>
      <c r="M43" s="79"/>
      <c r="N43" s="79"/>
      <c r="O43" s="79"/>
      <c r="P43" s="79"/>
      <c r="Q43" s="79"/>
      <c r="R43" s="79"/>
      <c r="S43" s="79"/>
      <c r="T43" s="79"/>
      <c r="U43" s="79"/>
      <c r="V43" s="79"/>
      <c r="W43" s="79" t="s">
        <v>62</v>
      </c>
      <c r="X43" s="79"/>
      <c r="Y43" s="79"/>
      <c r="Z43" s="79"/>
      <c r="AA43" s="79"/>
      <c r="AB43" s="79"/>
      <c r="AC43" s="79"/>
      <c r="AD43" s="79" t="s">
        <v>62</v>
      </c>
      <c r="AE43" s="79"/>
      <c r="AF43" s="79"/>
      <c r="AG43" s="79"/>
      <c r="AH43" s="83"/>
      <c r="AI43" s="83"/>
      <c r="AJ43" s="83"/>
      <c r="AK43" s="83"/>
      <c r="AL43" s="83"/>
      <c r="AM43" s="83"/>
      <c r="AN43" s="83"/>
      <c r="AO43" s="83"/>
      <c r="AP43" s="83"/>
      <c r="AQ43" s="83"/>
      <c r="AR43" s="83"/>
      <c r="AS43" s="83"/>
      <c r="AT43" s="83"/>
      <c r="AU43" s="83"/>
      <c r="AV43" s="71"/>
      <c r="AW43" s="71"/>
      <c r="AX43" s="71"/>
      <c r="AY43" s="71"/>
      <c r="AZ43" s="71"/>
      <c r="BA43" s="71"/>
      <c r="BB43" s="71"/>
      <c r="BC43" s="71"/>
    </row>
    <row r="44" spans="1:55" s="76" customFormat="1" ht="12.95" customHeight="1">
      <c r="A44" s="77">
        <v>38</v>
      </c>
      <c r="B44" s="78" t="s">
        <v>102</v>
      </c>
      <c r="C44" s="79"/>
      <c r="D44" s="79"/>
      <c r="E44" s="79"/>
      <c r="F44" s="79"/>
      <c r="G44" s="79"/>
      <c r="H44" s="79" t="s">
        <v>62</v>
      </c>
      <c r="I44" s="79"/>
      <c r="J44" s="79"/>
      <c r="K44" s="79" t="s">
        <v>63</v>
      </c>
      <c r="L44" s="79"/>
      <c r="M44" s="79"/>
      <c r="N44" s="79"/>
      <c r="O44" s="79" t="s">
        <v>62</v>
      </c>
      <c r="P44" s="79"/>
      <c r="Q44" s="79"/>
      <c r="R44" s="79"/>
      <c r="S44" s="79"/>
      <c r="T44" s="79"/>
      <c r="U44" s="79"/>
      <c r="V44" s="79"/>
      <c r="W44" s="79"/>
      <c r="X44" s="79"/>
      <c r="Y44" s="79" t="s">
        <v>63</v>
      </c>
      <c r="Z44" s="79"/>
      <c r="AA44" s="79"/>
      <c r="AB44" s="79" t="s">
        <v>63</v>
      </c>
      <c r="AC44" s="79"/>
      <c r="AD44" s="79"/>
      <c r="AE44" s="79"/>
      <c r="AF44" s="79"/>
      <c r="AG44" s="79"/>
      <c r="AH44" s="83"/>
      <c r="AI44" s="83"/>
      <c r="AJ44" s="83"/>
      <c r="AK44" s="83"/>
      <c r="AL44" s="83"/>
      <c r="AM44" s="83"/>
      <c r="AN44" s="83"/>
      <c r="AO44" s="83"/>
      <c r="AP44" s="83"/>
      <c r="AQ44" s="83"/>
      <c r="AR44" s="83"/>
      <c r="AS44" s="83"/>
      <c r="AT44" s="83"/>
      <c r="AU44" s="83"/>
      <c r="AV44" s="71"/>
      <c r="AW44" s="71"/>
      <c r="AX44" s="71"/>
      <c r="AY44" s="71"/>
      <c r="AZ44" s="71"/>
      <c r="BA44" s="71"/>
      <c r="BB44" s="71"/>
      <c r="BC44" s="71"/>
    </row>
    <row r="45" spans="1:55" s="76" customFormat="1" ht="12.95" customHeight="1">
      <c r="A45" s="77">
        <v>39</v>
      </c>
      <c r="B45" s="78" t="s">
        <v>103</v>
      </c>
      <c r="C45" s="79"/>
      <c r="D45" s="79"/>
      <c r="E45" s="79" t="s">
        <v>62</v>
      </c>
      <c r="F45" s="79"/>
      <c r="G45" s="79"/>
      <c r="H45" s="79" t="s">
        <v>62</v>
      </c>
      <c r="I45" s="79"/>
      <c r="J45" s="79" t="s">
        <v>71</v>
      </c>
      <c r="K45" s="79" t="s">
        <v>63</v>
      </c>
      <c r="L45" s="79"/>
      <c r="M45" s="79"/>
      <c r="N45" s="79"/>
      <c r="O45" s="79" t="s">
        <v>62</v>
      </c>
      <c r="P45" s="79" t="s">
        <v>63</v>
      </c>
      <c r="Q45" s="79"/>
      <c r="R45" s="79"/>
      <c r="S45" s="79"/>
      <c r="T45" s="79"/>
      <c r="U45" s="79" t="s">
        <v>62</v>
      </c>
      <c r="V45" s="79"/>
      <c r="W45" s="79" t="s">
        <v>62</v>
      </c>
      <c r="X45" s="79" t="s">
        <v>63</v>
      </c>
      <c r="Y45" s="79" t="s">
        <v>62</v>
      </c>
      <c r="Z45" s="79"/>
      <c r="AA45" s="79"/>
      <c r="AB45" s="79" t="s">
        <v>62</v>
      </c>
      <c r="AC45" s="79"/>
      <c r="AD45" s="79" t="s">
        <v>62</v>
      </c>
      <c r="AE45" s="79"/>
      <c r="AF45" s="79" t="s">
        <v>63</v>
      </c>
      <c r="AG45" s="79" t="s">
        <v>62</v>
      </c>
      <c r="AH45" s="83"/>
      <c r="AI45" s="83"/>
      <c r="AJ45" s="83"/>
      <c r="AK45" s="83"/>
      <c r="AL45" s="83"/>
      <c r="AM45" s="83"/>
      <c r="AN45" s="83"/>
      <c r="AO45" s="83"/>
      <c r="AP45" s="83"/>
      <c r="AQ45" s="83"/>
      <c r="AR45" s="83"/>
      <c r="AS45" s="83"/>
      <c r="AT45" s="83"/>
      <c r="AU45" s="83"/>
      <c r="AV45" s="71"/>
      <c r="AW45" s="71"/>
      <c r="AX45" s="71"/>
      <c r="AY45" s="71"/>
      <c r="AZ45" s="71"/>
      <c r="BA45" s="71"/>
      <c r="BB45" s="71"/>
      <c r="BC45" s="71"/>
    </row>
    <row r="46" spans="1:55" s="76" customFormat="1" ht="12.95" customHeight="1">
      <c r="A46" s="77">
        <v>40</v>
      </c>
      <c r="B46" s="78" t="s">
        <v>104</v>
      </c>
      <c r="C46" s="79"/>
      <c r="D46" s="79"/>
      <c r="E46" s="79"/>
      <c r="F46" s="79"/>
      <c r="G46" s="79"/>
      <c r="H46" s="79"/>
      <c r="I46" s="79" t="s">
        <v>62</v>
      </c>
      <c r="J46" s="79"/>
      <c r="K46" s="79"/>
      <c r="L46" s="79"/>
      <c r="M46" s="79"/>
      <c r="N46" s="79" t="s">
        <v>63</v>
      </c>
      <c r="O46" s="79"/>
      <c r="P46" s="79"/>
      <c r="Q46" s="79"/>
      <c r="R46" s="79"/>
      <c r="S46" s="79"/>
      <c r="T46" s="79"/>
      <c r="U46" s="79"/>
      <c r="V46" s="79"/>
      <c r="W46" s="79"/>
      <c r="X46" s="79"/>
      <c r="Y46" s="79"/>
      <c r="Z46" s="79"/>
      <c r="AA46" s="79"/>
      <c r="AB46" s="79"/>
      <c r="AC46" s="79"/>
      <c r="AD46" s="79"/>
      <c r="AE46" s="79"/>
      <c r="AF46" s="79"/>
      <c r="AG46" s="79"/>
      <c r="AH46" s="83"/>
      <c r="AI46" s="83"/>
      <c r="AJ46" s="83"/>
      <c r="AK46" s="83"/>
      <c r="AL46" s="83"/>
      <c r="AM46" s="83"/>
      <c r="AN46" s="83"/>
      <c r="AO46" s="83"/>
      <c r="AP46" s="83"/>
      <c r="AQ46" s="83"/>
      <c r="AR46" s="83"/>
      <c r="AS46" s="83"/>
      <c r="AT46" s="83"/>
      <c r="AU46" s="83"/>
      <c r="AV46" s="71"/>
      <c r="AW46" s="71"/>
      <c r="AX46" s="71"/>
      <c r="AY46" s="71"/>
      <c r="AZ46" s="71"/>
      <c r="BA46" s="71"/>
      <c r="BB46" s="71"/>
      <c r="BC46" s="71"/>
    </row>
    <row r="47" spans="1:55" s="76" customFormat="1" ht="12.95" customHeight="1">
      <c r="A47" s="77">
        <v>41</v>
      </c>
      <c r="B47" s="78" t="s">
        <v>105</v>
      </c>
      <c r="C47" s="79"/>
      <c r="D47" s="79"/>
      <c r="E47" s="79" t="s">
        <v>62</v>
      </c>
      <c r="F47" s="79"/>
      <c r="G47" s="79"/>
      <c r="H47" s="79" t="s">
        <v>63</v>
      </c>
      <c r="I47" s="79"/>
      <c r="J47" s="79"/>
      <c r="K47" s="79"/>
      <c r="L47" s="79" t="s">
        <v>64</v>
      </c>
      <c r="M47" s="79"/>
      <c r="N47" s="79"/>
      <c r="O47" s="79" t="s">
        <v>63</v>
      </c>
      <c r="P47" s="79"/>
      <c r="Q47" s="79"/>
      <c r="R47" s="79"/>
      <c r="S47" s="79"/>
      <c r="T47" s="79"/>
      <c r="U47" s="79" t="s">
        <v>64</v>
      </c>
      <c r="V47" s="79"/>
      <c r="W47" s="79"/>
      <c r="X47" s="79"/>
      <c r="Y47" s="79"/>
      <c r="Z47" s="79" t="s">
        <v>63</v>
      </c>
      <c r="AA47" s="79"/>
      <c r="AB47" s="79"/>
      <c r="AC47" s="79" t="s">
        <v>63</v>
      </c>
      <c r="AD47" s="79"/>
      <c r="AE47" s="79"/>
      <c r="AF47" s="79"/>
      <c r="AG47" s="79"/>
      <c r="AH47" s="83"/>
      <c r="AI47" s="83"/>
      <c r="AJ47" s="83"/>
      <c r="AK47" s="83"/>
      <c r="AL47" s="83"/>
      <c r="AM47" s="83"/>
      <c r="AN47" s="83"/>
      <c r="AO47" s="83"/>
      <c r="AP47" s="83"/>
      <c r="AQ47" s="83"/>
      <c r="AR47" s="83"/>
      <c r="AS47" s="83"/>
      <c r="AT47" s="83"/>
      <c r="AU47" s="83"/>
      <c r="AV47" s="71"/>
      <c r="AW47" s="71"/>
      <c r="AX47" s="71"/>
      <c r="AY47" s="71"/>
      <c r="AZ47" s="71"/>
      <c r="BA47" s="71"/>
      <c r="BB47" s="71"/>
      <c r="BC47" s="71"/>
    </row>
    <row r="48" spans="1:55" s="76" customFormat="1" ht="12.95" customHeight="1">
      <c r="A48" s="77">
        <v>42</v>
      </c>
      <c r="B48" s="78" t="s">
        <v>106</v>
      </c>
      <c r="C48" s="79"/>
      <c r="D48" s="79"/>
      <c r="E48" s="79" t="s">
        <v>62</v>
      </c>
      <c r="F48" s="79"/>
      <c r="G48" s="79"/>
      <c r="H48" s="79" t="s">
        <v>62</v>
      </c>
      <c r="I48" s="79"/>
      <c r="J48" s="79" t="s">
        <v>63</v>
      </c>
      <c r="K48" s="79"/>
      <c r="L48" s="79" t="s">
        <v>62</v>
      </c>
      <c r="M48" s="79"/>
      <c r="N48" s="79" t="s">
        <v>63</v>
      </c>
      <c r="O48" s="79"/>
      <c r="P48" s="79" t="s">
        <v>62</v>
      </c>
      <c r="Q48" s="79"/>
      <c r="R48" s="79"/>
      <c r="S48" s="79"/>
      <c r="T48" s="79"/>
      <c r="U48" s="79"/>
      <c r="V48" s="79" t="s">
        <v>62</v>
      </c>
      <c r="W48" s="79"/>
      <c r="X48" s="79" t="s">
        <v>62</v>
      </c>
      <c r="Y48" s="79"/>
      <c r="Z48" s="79" t="s">
        <v>62</v>
      </c>
      <c r="AA48" s="79"/>
      <c r="AB48" s="79" t="s">
        <v>63</v>
      </c>
      <c r="AC48" s="79"/>
      <c r="AD48" s="79" t="s">
        <v>62</v>
      </c>
      <c r="AE48" s="79"/>
      <c r="AF48" s="79" t="s">
        <v>63</v>
      </c>
      <c r="AG48" s="79" t="s">
        <v>62</v>
      </c>
      <c r="AH48" s="83"/>
      <c r="AI48" s="83"/>
      <c r="AJ48" s="83"/>
      <c r="AK48" s="83"/>
      <c r="AL48" s="83"/>
      <c r="AM48" s="83"/>
      <c r="AN48" s="83"/>
      <c r="AO48" s="83"/>
      <c r="AP48" s="83"/>
      <c r="AQ48" s="83"/>
      <c r="AR48" s="83"/>
      <c r="AS48" s="83"/>
      <c r="AT48" s="83"/>
      <c r="AU48" s="83"/>
      <c r="AV48" s="71"/>
      <c r="AW48" s="71"/>
      <c r="AX48" s="71"/>
      <c r="AY48" s="71"/>
      <c r="AZ48" s="71"/>
      <c r="BA48" s="71"/>
      <c r="BB48" s="71"/>
      <c r="BC48" s="71"/>
    </row>
    <row r="49" spans="1:55" s="76" customFormat="1" ht="12.95" customHeight="1">
      <c r="A49" s="77">
        <v>43</v>
      </c>
      <c r="B49" s="78" t="s">
        <v>107</v>
      </c>
      <c r="C49" s="79"/>
      <c r="D49" s="79"/>
      <c r="E49" s="79"/>
      <c r="F49" s="79"/>
      <c r="G49" s="79" t="s">
        <v>62</v>
      </c>
      <c r="H49" s="79" t="s">
        <v>63</v>
      </c>
      <c r="I49" s="79"/>
      <c r="J49" s="79"/>
      <c r="K49" s="79"/>
      <c r="L49" s="79"/>
      <c r="M49" s="79"/>
      <c r="N49" s="79"/>
      <c r="O49" s="79"/>
      <c r="P49" s="79"/>
      <c r="Q49" s="79"/>
      <c r="R49" s="79"/>
      <c r="S49" s="79"/>
      <c r="T49" s="79"/>
      <c r="U49" s="79" t="s">
        <v>64</v>
      </c>
      <c r="V49" s="79"/>
      <c r="W49" s="79"/>
      <c r="X49" s="79"/>
      <c r="Y49" s="79"/>
      <c r="Z49" s="79"/>
      <c r="AA49" s="79"/>
      <c r="AB49" s="79"/>
      <c r="AC49" s="79"/>
      <c r="AD49" s="79"/>
      <c r="AE49" s="79"/>
      <c r="AF49" s="79"/>
      <c r="AG49" s="79"/>
      <c r="AH49" s="83"/>
      <c r="AI49" s="83"/>
      <c r="AJ49" s="83"/>
      <c r="AK49" s="83"/>
      <c r="AL49" s="83"/>
      <c r="AM49" s="83"/>
      <c r="AN49" s="83"/>
      <c r="AO49" s="83"/>
      <c r="AP49" s="83"/>
      <c r="AQ49" s="83"/>
      <c r="AR49" s="83"/>
      <c r="AS49" s="83"/>
      <c r="AT49" s="83"/>
      <c r="AU49" s="83"/>
      <c r="AV49" s="71"/>
      <c r="AW49" s="71"/>
      <c r="AX49" s="71"/>
      <c r="AY49" s="71"/>
      <c r="AZ49" s="71"/>
      <c r="BA49" s="71"/>
      <c r="BB49" s="71"/>
      <c r="BC49" s="71"/>
    </row>
    <row r="50" spans="1:55" s="76" customFormat="1" ht="12.95" customHeight="1">
      <c r="A50" s="77">
        <v>44</v>
      </c>
      <c r="B50" s="78" t="s">
        <v>108</v>
      </c>
      <c r="C50" s="79"/>
      <c r="D50" s="79"/>
      <c r="E50" s="79"/>
      <c r="F50" s="79"/>
      <c r="G50" s="79" t="s">
        <v>63</v>
      </c>
      <c r="H50" s="79"/>
      <c r="I50" s="79"/>
      <c r="J50" s="79"/>
      <c r="K50" s="79"/>
      <c r="L50" s="79"/>
      <c r="M50" s="79"/>
      <c r="N50" s="79"/>
      <c r="O50" s="79"/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79"/>
      <c r="AA50" s="79"/>
      <c r="AB50" s="79"/>
      <c r="AC50" s="79"/>
      <c r="AD50" s="79"/>
      <c r="AE50" s="79"/>
      <c r="AF50" s="79"/>
      <c r="AG50" s="79"/>
      <c r="AH50" s="83"/>
      <c r="AI50" s="83"/>
      <c r="AJ50" s="83"/>
      <c r="AK50" s="83"/>
      <c r="AL50" s="83"/>
      <c r="AM50" s="83"/>
      <c r="AN50" s="83"/>
      <c r="AO50" s="83"/>
      <c r="AP50" s="83"/>
      <c r="AQ50" s="83"/>
      <c r="AR50" s="83"/>
      <c r="AS50" s="83"/>
      <c r="AT50" s="83"/>
      <c r="AU50" s="83"/>
      <c r="AV50" s="71"/>
      <c r="AW50" s="71"/>
      <c r="AX50" s="71"/>
      <c r="AY50" s="71"/>
      <c r="AZ50" s="71"/>
      <c r="BA50" s="71"/>
      <c r="BB50" s="71"/>
      <c r="BC50" s="71"/>
    </row>
    <row r="51" spans="1:55" s="76" customFormat="1" ht="12.95" customHeight="1">
      <c r="A51" s="77">
        <v>46</v>
      </c>
      <c r="B51" s="78" t="s">
        <v>109</v>
      </c>
      <c r="C51" s="79"/>
      <c r="D51" s="79" t="s">
        <v>63</v>
      </c>
      <c r="E51" s="79"/>
      <c r="F51" s="79"/>
      <c r="G51" s="79" t="s">
        <v>62</v>
      </c>
      <c r="H51" s="79"/>
      <c r="I51" s="79" t="s">
        <v>62</v>
      </c>
      <c r="J51" s="79"/>
      <c r="K51" s="79" t="s">
        <v>62</v>
      </c>
      <c r="L51" s="79"/>
      <c r="M51" s="79"/>
      <c r="N51" s="79"/>
      <c r="O51" s="79" t="s">
        <v>63</v>
      </c>
      <c r="P51" s="79"/>
      <c r="Q51" s="79"/>
      <c r="R51" s="79"/>
      <c r="S51" s="79"/>
      <c r="T51" s="79"/>
      <c r="U51" s="79" t="s">
        <v>63</v>
      </c>
      <c r="V51" s="79"/>
      <c r="W51" s="79"/>
      <c r="X51" s="79"/>
      <c r="Y51" s="79"/>
      <c r="Z51" s="79"/>
      <c r="AA51" s="79"/>
      <c r="AB51" s="79"/>
      <c r="AC51" s="79"/>
      <c r="AD51" s="79"/>
      <c r="AE51" s="79"/>
      <c r="AF51" s="79"/>
      <c r="AG51" s="79"/>
      <c r="AH51" s="83"/>
      <c r="AI51" s="83"/>
      <c r="AJ51" s="83"/>
      <c r="AK51" s="83"/>
      <c r="AL51" s="83"/>
      <c r="AM51" s="83"/>
      <c r="AN51" s="83"/>
      <c r="AO51" s="83"/>
      <c r="AP51" s="83"/>
      <c r="AQ51" s="83"/>
      <c r="AR51" s="83"/>
      <c r="AS51" s="83"/>
      <c r="AT51" s="83"/>
      <c r="AU51" s="83"/>
      <c r="AV51" s="71"/>
      <c r="AW51" s="71"/>
      <c r="AX51" s="71"/>
      <c r="AY51" s="71"/>
      <c r="AZ51" s="71"/>
      <c r="BA51" s="71"/>
      <c r="BB51" s="71"/>
      <c r="BC51" s="71"/>
    </row>
    <row r="52" spans="1:55" s="76" customFormat="1" ht="12.95" customHeight="1">
      <c r="A52" s="77">
        <v>47</v>
      </c>
      <c r="B52" s="78" t="s">
        <v>110</v>
      </c>
      <c r="C52" s="79"/>
      <c r="D52" s="79"/>
      <c r="E52" s="79"/>
      <c r="F52" s="79"/>
      <c r="G52" s="79" t="s">
        <v>62</v>
      </c>
      <c r="H52" s="79" t="s">
        <v>63</v>
      </c>
      <c r="I52" s="79"/>
      <c r="J52" s="79"/>
      <c r="K52" s="79"/>
      <c r="L52" s="79"/>
      <c r="M52" s="79"/>
      <c r="N52" s="79"/>
      <c r="O52" s="79"/>
      <c r="P52" s="79" t="s">
        <v>63</v>
      </c>
      <c r="Q52" s="79"/>
      <c r="R52" s="79"/>
      <c r="S52" s="79"/>
      <c r="T52" s="79"/>
      <c r="U52" s="79"/>
      <c r="V52" s="79"/>
      <c r="W52" s="79"/>
      <c r="X52" s="79"/>
      <c r="Y52" s="79"/>
      <c r="Z52" s="79"/>
      <c r="AA52" s="79"/>
      <c r="AB52" s="79"/>
      <c r="AC52" s="79"/>
      <c r="AD52" s="79"/>
      <c r="AE52" s="79"/>
      <c r="AF52" s="79"/>
      <c r="AG52" s="79"/>
      <c r="AH52" s="83"/>
      <c r="AI52" s="83"/>
      <c r="AJ52" s="83"/>
      <c r="AK52" s="83"/>
      <c r="AL52" s="83"/>
      <c r="AM52" s="83"/>
      <c r="AN52" s="83"/>
      <c r="AO52" s="83"/>
      <c r="AP52" s="83"/>
      <c r="AQ52" s="83"/>
      <c r="AR52" s="83"/>
      <c r="AS52" s="83"/>
      <c r="AT52" s="83"/>
      <c r="AU52" s="83"/>
      <c r="AV52" s="71"/>
      <c r="AW52" s="71"/>
      <c r="AX52" s="71"/>
      <c r="AY52" s="71"/>
      <c r="AZ52" s="71"/>
      <c r="BA52" s="71"/>
      <c r="BB52" s="71"/>
      <c r="BC52" s="71"/>
    </row>
    <row r="53" spans="1:55" s="76" customFormat="1" ht="12.95" customHeight="1">
      <c r="A53" s="77">
        <v>48</v>
      </c>
      <c r="B53" s="78" t="s">
        <v>111</v>
      </c>
      <c r="C53" s="79"/>
      <c r="D53" s="79"/>
      <c r="E53" s="79"/>
      <c r="F53" s="79"/>
      <c r="G53" s="79" t="s">
        <v>62</v>
      </c>
      <c r="H53" s="79"/>
      <c r="I53" s="79"/>
      <c r="J53" s="79" t="s">
        <v>63</v>
      </c>
      <c r="K53" s="79"/>
      <c r="L53" s="79"/>
      <c r="M53" s="79"/>
      <c r="N53" s="79"/>
      <c r="O53" s="79" t="s">
        <v>62</v>
      </c>
      <c r="P53" s="79"/>
      <c r="Q53" s="79" t="s">
        <v>62</v>
      </c>
      <c r="R53" s="79"/>
      <c r="S53" s="79"/>
      <c r="T53" s="79"/>
      <c r="U53" s="79" t="s">
        <v>62</v>
      </c>
      <c r="V53" s="79"/>
      <c r="W53" s="79" t="s">
        <v>63</v>
      </c>
      <c r="X53" s="79"/>
      <c r="Y53" s="79"/>
      <c r="Z53" s="79"/>
      <c r="AA53" s="79"/>
      <c r="AB53" s="79"/>
      <c r="AC53" s="79"/>
      <c r="AD53" s="79"/>
      <c r="AE53" s="79" t="s">
        <v>62</v>
      </c>
      <c r="AF53" s="79"/>
      <c r="AG53" s="79"/>
      <c r="AH53" s="83"/>
      <c r="AI53" s="83"/>
      <c r="AJ53" s="83"/>
      <c r="AK53" s="83"/>
      <c r="AL53" s="83"/>
      <c r="AM53" s="83"/>
      <c r="AN53" s="83"/>
      <c r="AO53" s="83"/>
      <c r="AP53" s="83"/>
      <c r="AQ53" s="83"/>
      <c r="AR53" s="83"/>
      <c r="AS53" s="83"/>
      <c r="AT53" s="83"/>
      <c r="AU53" s="83"/>
      <c r="AV53" s="71"/>
      <c r="AW53" s="71"/>
      <c r="AX53" s="71"/>
      <c r="AY53" s="71"/>
      <c r="AZ53" s="71"/>
      <c r="BA53" s="71"/>
      <c r="BB53" s="71"/>
      <c r="BC53" s="71"/>
    </row>
    <row r="54" spans="1:55" s="76" customFormat="1" ht="12.95" customHeight="1">
      <c r="A54" s="77">
        <v>49</v>
      </c>
      <c r="B54" s="78" t="s">
        <v>112</v>
      </c>
      <c r="C54" s="79"/>
      <c r="D54" s="79"/>
      <c r="E54" s="79"/>
      <c r="F54" s="79"/>
      <c r="G54" s="79" t="s">
        <v>62</v>
      </c>
      <c r="H54" s="79" t="s">
        <v>63</v>
      </c>
      <c r="I54" s="79"/>
      <c r="J54" s="79"/>
      <c r="K54" s="79" t="s">
        <v>62</v>
      </c>
      <c r="L54" s="79"/>
      <c r="M54" s="79"/>
      <c r="N54" s="79"/>
      <c r="O54" s="79" t="s">
        <v>63</v>
      </c>
      <c r="P54" s="79"/>
      <c r="Q54" s="79"/>
      <c r="R54" s="79"/>
      <c r="S54" s="79"/>
      <c r="T54" s="79"/>
      <c r="U54" s="79" t="s">
        <v>62</v>
      </c>
      <c r="V54" s="79"/>
      <c r="W54" s="79" t="s">
        <v>64</v>
      </c>
      <c r="X54" s="79"/>
      <c r="Y54" s="79"/>
      <c r="Z54" s="79"/>
      <c r="AA54" s="79"/>
      <c r="AB54" s="79"/>
      <c r="AC54" s="79"/>
      <c r="AD54" s="79" t="s">
        <v>63</v>
      </c>
      <c r="AE54" s="79"/>
      <c r="AF54" s="79"/>
      <c r="AG54" s="79"/>
      <c r="AH54" s="83"/>
      <c r="AI54" s="83"/>
      <c r="AJ54" s="83"/>
      <c r="AK54" s="83"/>
      <c r="AL54" s="83"/>
      <c r="AM54" s="83"/>
      <c r="AN54" s="83"/>
      <c r="AO54" s="83"/>
      <c r="AP54" s="83"/>
      <c r="AQ54" s="83"/>
      <c r="AR54" s="83"/>
      <c r="AS54" s="83"/>
      <c r="AT54" s="83"/>
      <c r="AU54" s="83"/>
      <c r="AV54" s="71"/>
      <c r="AW54" s="71"/>
      <c r="AX54" s="71"/>
      <c r="AY54" s="71"/>
      <c r="AZ54" s="71"/>
      <c r="BA54" s="71"/>
      <c r="BB54" s="71"/>
      <c r="BC54" s="71"/>
    </row>
    <row r="55" spans="1:55" s="76" customFormat="1" ht="12.95" customHeight="1">
      <c r="A55" s="77">
        <v>50</v>
      </c>
      <c r="B55" s="78" t="s">
        <v>113</v>
      </c>
      <c r="C55" s="79"/>
      <c r="D55" s="79"/>
      <c r="E55" s="79"/>
      <c r="F55" s="79"/>
      <c r="G55" s="79" t="s">
        <v>62</v>
      </c>
      <c r="H55" s="79"/>
      <c r="I55" s="79" t="s">
        <v>63</v>
      </c>
      <c r="J55" s="79"/>
      <c r="K55" s="79"/>
      <c r="L55" s="79"/>
      <c r="M55" s="79"/>
      <c r="N55" s="79"/>
      <c r="O55" s="79"/>
      <c r="P55" s="79" t="s">
        <v>62</v>
      </c>
      <c r="Q55" s="79"/>
      <c r="R55" s="79"/>
      <c r="S55" s="79" t="s">
        <v>62</v>
      </c>
      <c r="T55" s="79"/>
      <c r="U55" s="79" t="s">
        <v>63</v>
      </c>
      <c r="V55" s="79"/>
      <c r="W55" s="79"/>
      <c r="X55" s="79"/>
      <c r="Y55" s="79"/>
      <c r="Z55" s="79"/>
      <c r="AA55" s="79"/>
      <c r="AB55" s="79"/>
      <c r="AC55" s="79"/>
      <c r="AD55" s="79"/>
      <c r="AE55" s="79"/>
      <c r="AF55" s="79"/>
      <c r="AG55" s="79"/>
      <c r="AH55" s="83"/>
      <c r="AI55" s="83"/>
      <c r="AJ55" s="83"/>
      <c r="AK55" s="83"/>
      <c r="AL55" s="83"/>
      <c r="AM55" s="83"/>
      <c r="AN55" s="83"/>
      <c r="AO55" s="83"/>
      <c r="AP55" s="83"/>
      <c r="AQ55" s="83"/>
      <c r="AR55" s="83"/>
      <c r="AS55" s="83"/>
      <c r="AT55" s="83"/>
      <c r="AU55" s="83"/>
      <c r="AV55" s="71"/>
      <c r="AW55" s="71"/>
      <c r="AX55" s="71"/>
      <c r="AY55" s="71"/>
      <c r="AZ55" s="71"/>
      <c r="BA55" s="71"/>
      <c r="BB55" s="71"/>
      <c r="BC55" s="71"/>
    </row>
    <row r="56" spans="1:55" s="76" customFormat="1" ht="12.95" customHeight="1">
      <c r="A56" s="77">
        <v>51</v>
      </c>
      <c r="B56" s="78" t="s">
        <v>114</v>
      </c>
      <c r="C56" s="79"/>
      <c r="D56" s="79"/>
      <c r="E56" s="79"/>
      <c r="F56" s="79"/>
      <c r="G56" s="79" t="s">
        <v>64</v>
      </c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79" t="s">
        <v>63</v>
      </c>
      <c r="Y56" s="79"/>
      <c r="Z56" s="79"/>
      <c r="AA56" s="79"/>
      <c r="AB56" s="79"/>
      <c r="AC56" s="79"/>
      <c r="AD56" s="79"/>
      <c r="AE56" s="79"/>
      <c r="AF56" s="79"/>
      <c r="AG56" s="79"/>
      <c r="AH56" s="83"/>
      <c r="AI56" s="83"/>
      <c r="AJ56" s="83"/>
      <c r="AK56" s="83"/>
      <c r="AL56" s="83"/>
      <c r="AM56" s="83"/>
      <c r="AN56" s="83"/>
      <c r="AO56" s="83"/>
      <c r="AP56" s="83"/>
      <c r="AQ56" s="83"/>
      <c r="AR56" s="83"/>
      <c r="AS56" s="83"/>
      <c r="AT56" s="83"/>
      <c r="AU56" s="83"/>
      <c r="AV56" s="71"/>
      <c r="AW56" s="71"/>
      <c r="AX56" s="71"/>
      <c r="AY56" s="71"/>
      <c r="AZ56" s="71"/>
      <c r="BA56" s="71"/>
      <c r="BB56" s="71"/>
      <c r="BC56" s="71"/>
    </row>
    <row r="57" spans="1:55" s="76" customFormat="1" ht="12.95" customHeight="1">
      <c r="A57" s="77">
        <v>52</v>
      </c>
      <c r="B57" s="78" t="s">
        <v>115</v>
      </c>
      <c r="C57" s="79"/>
      <c r="D57" s="79"/>
      <c r="E57" s="79"/>
      <c r="F57" s="79"/>
      <c r="G57" s="79" t="s">
        <v>62</v>
      </c>
      <c r="H57" s="79" t="s">
        <v>63</v>
      </c>
      <c r="I57" s="79"/>
      <c r="J57" s="79"/>
      <c r="K57" s="79"/>
      <c r="L57" s="79"/>
      <c r="M57" s="79"/>
      <c r="N57" s="79" t="s">
        <v>63</v>
      </c>
      <c r="O57" s="79"/>
      <c r="P57" s="79"/>
      <c r="Q57" s="79"/>
      <c r="R57" s="79"/>
      <c r="S57" s="79"/>
      <c r="T57" s="79"/>
      <c r="U57" s="79"/>
      <c r="V57" s="79"/>
      <c r="W57" s="79"/>
      <c r="X57" s="79"/>
      <c r="Y57" s="79"/>
      <c r="Z57" s="79"/>
      <c r="AA57" s="79"/>
      <c r="AB57" s="79" t="s">
        <v>63</v>
      </c>
      <c r="AC57" s="79"/>
      <c r="AD57" s="79"/>
      <c r="AE57" s="79"/>
      <c r="AF57" s="79"/>
      <c r="AG57" s="79"/>
      <c r="AH57" s="83"/>
      <c r="AI57" s="83"/>
      <c r="AJ57" s="83"/>
      <c r="AK57" s="83"/>
      <c r="AL57" s="83"/>
      <c r="AM57" s="83"/>
      <c r="AN57" s="83"/>
      <c r="AO57" s="83"/>
      <c r="AP57" s="83"/>
      <c r="AQ57" s="83"/>
      <c r="AR57" s="83"/>
      <c r="AS57" s="83"/>
      <c r="AT57" s="83"/>
      <c r="AU57" s="83"/>
      <c r="AV57" s="71"/>
      <c r="AW57" s="71"/>
      <c r="AX57" s="71"/>
      <c r="AY57" s="71"/>
      <c r="AZ57" s="71"/>
      <c r="BA57" s="71"/>
      <c r="BB57" s="71"/>
      <c r="BC57" s="71"/>
    </row>
    <row r="58" spans="1:55" s="76" customFormat="1" ht="12.95" customHeight="1">
      <c r="A58" s="77">
        <v>53</v>
      </c>
      <c r="B58" s="78" t="s">
        <v>116</v>
      </c>
      <c r="C58" s="79"/>
      <c r="D58" s="79"/>
      <c r="E58" s="79"/>
      <c r="F58" s="79"/>
      <c r="G58" s="79" t="s">
        <v>64</v>
      </c>
      <c r="H58" s="79"/>
      <c r="I58" s="79"/>
      <c r="J58" s="79" t="s">
        <v>63</v>
      </c>
      <c r="K58" s="79"/>
      <c r="L58" s="79" t="s">
        <v>62</v>
      </c>
      <c r="M58" s="79"/>
      <c r="N58" s="79"/>
      <c r="O58" s="79" t="s">
        <v>64</v>
      </c>
      <c r="P58" s="79"/>
      <c r="Q58" s="79" t="s">
        <v>62</v>
      </c>
      <c r="R58" s="79"/>
      <c r="S58" s="79"/>
      <c r="T58" s="79"/>
      <c r="U58" s="79"/>
      <c r="V58" s="79" t="s">
        <v>62</v>
      </c>
      <c r="W58" s="79"/>
      <c r="X58" s="79" t="s">
        <v>62</v>
      </c>
      <c r="Y58" s="79"/>
      <c r="Z58" s="79"/>
      <c r="AA58" s="79"/>
      <c r="AB58" s="79" t="s">
        <v>62</v>
      </c>
      <c r="AC58" s="79" t="s">
        <v>63</v>
      </c>
      <c r="AD58" s="79"/>
      <c r="AE58" s="79" t="s">
        <v>62</v>
      </c>
      <c r="AF58" s="79"/>
      <c r="AG58" s="79"/>
      <c r="AH58" s="83"/>
      <c r="AI58" s="83"/>
      <c r="AJ58" s="83"/>
      <c r="AK58" s="83"/>
      <c r="AL58" s="83"/>
      <c r="AM58" s="83"/>
      <c r="AN58" s="83"/>
      <c r="AO58" s="83"/>
      <c r="AP58" s="83"/>
      <c r="AQ58" s="83"/>
      <c r="AR58" s="83"/>
      <c r="AS58" s="83"/>
      <c r="AT58" s="83"/>
      <c r="AU58" s="83"/>
      <c r="AV58" s="71"/>
      <c r="AW58" s="71"/>
      <c r="AX58" s="71"/>
      <c r="AY58" s="71"/>
      <c r="AZ58" s="71"/>
      <c r="BA58" s="71"/>
      <c r="BB58" s="71"/>
      <c r="BC58" s="71"/>
    </row>
    <row r="59" spans="1:55" s="76" customFormat="1" ht="12.95" customHeight="1">
      <c r="A59" s="77">
        <v>54</v>
      </c>
      <c r="B59" s="78" t="s">
        <v>117</v>
      </c>
      <c r="C59" s="79"/>
      <c r="D59" s="79" t="s">
        <v>62</v>
      </c>
      <c r="E59" s="79" t="s">
        <v>63</v>
      </c>
      <c r="F59" s="79"/>
      <c r="G59" s="79"/>
      <c r="H59" s="79" t="s">
        <v>62</v>
      </c>
      <c r="I59" s="79" t="s">
        <v>63</v>
      </c>
      <c r="J59" s="79"/>
      <c r="K59" s="79"/>
      <c r="L59" s="79" t="s">
        <v>62</v>
      </c>
      <c r="M59" s="79"/>
      <c r="N59" s="79" t="s">
        <v>63</v>
      </c>
      <c r="O59" s="79"/>
      <c r="P59" s="79" t="s">
        <v>62</v>
      </c>
      <c r="Q59" s="79" t="s">
        <v>63</v>
      </c>
      <c r="R59" s="79"/>
      <c r="S59" s="79"/>
      <c r="T59" s="79"/>
      <c r="U59" s="79" t="s">
        <v>63</v>
      </c>
      <c r="V59" s="79"/>
      <c r="W59" s="79"/>
      <c r="X59" s="79" t="s">
        <v>62</v>
      </c>
      <c r="Y59" s="79"/>
      <c r="Z59" s="79" t="s">
        <v>62</v>
      </c>
      <c r="AA59" s="79"/>
      <c r="AB59" s="79"/>
      <c r="AC59" s="79" t="s">
        <v>63</v>
      </c>
      <c r="AD59" s="79"/>
      <c r="AE59" s="79" t="s">
        <v>62</v>
      </c>
      <c r="AF59" s="79" t="s">
        <v>63</v>
      </c>
      <c r="AG59" s="79"/>
      <c r="AH59" s="83"/>
      <c r="AI59" s="83"/>
      <c r="AJ59" s="83"/>
      <c r="AK59" s="83"/>
      <c r="AL59" s="83"/>
      <c r="AM59" s="83"/>
      <c r="AN59" s="83"/>
      <c r="AO59" s="83"/>
      <c r="AP59" s="83"/>
      <c r="AQ59" s="83"/>
      <c r="AR59" s="83"/>
      <c r="AS59" s="83"/>
      <c r="AT59" s="83"/>
      <c r="AU59" s="83"/>
      <c r="AV59" s="71"/>
      <c r="AW59" s="71"/>
      <c r="AX59" s="71"/>
      <c r="AY59" s="71"/>
      <c r="AZ59" s="71"/>
      <c r="BA59" s="71"/>
      <c r="BB59" s="71"/>
      <c r="BC59" s="71"/>
    </row>
    <row r="60" spans="1:55" s="76" customFormat="1" ht="12.95" customHeight="1">
      <c r="A60" s="77">
        <v>55</v>
      </c>
      <c r="B60" s="78" t="s">
        <v>118</v>
      </c>
      <c r="C60" s="79"/>
      <c r="D60" s="79"/>
      <c r="E60" s="79"/>
      <c r="F60" s="79"/>
      <c r="G60" s="79"/>
      <c r="H60" s="79"/>
      <c r="I60" s="79"/>
      <c r="J60" s="79"/>
      <c r="K60" s="79"/>
      <c r="L60" s="79"/>
      <c r="M60" s="79"/>
      <c r="N60" s="79"/>
      <c r="O60" s="79"/>
      <c r="P60" s="79"/>
      <c r="Q60" s="79"/>
      <c r="R60" s="79"/>
      <c r="S60" s="79"/>
      <c r="T60" s="79"/>
      <c r="U60" s="79"/>
      <c r="V60" s="79"/>
      <c r="W60" s="79"/>
      <c r="X60" s="79"/>
      <c r="Y60" s="79"/>
      <c r="Z60" s="79"/>
      <c r="AA60" s="79"/>
      <c r="AB60" s="79"/>
      <c r="AC60" s="79"/>
      <c r="AD60" s="79"/>
      <c r="AE60" s="79"/>
      <c r="AF60" s="79"/>
      <c r="AG60" s="79"/>
      <c r="AH60" s="83"/>
      <c r="AI60" s="83"/>
      <c r="AJ60" s="83"/>
      <c r="AK60" s="83"/>
      <c r="AL60" s="83"/>
      <c r="AM60" s="83"/>
      <c r="AN60" s="83"/>
      <c r="AO60" s="83"/>
      <c r="AP60" s="83"/>
      <c r="AQ60" s="83"/>
      <c r="AR60" s="83"/>
      <c r="AS60" s="83"/>
      <c r="AT60" s="83"/>
      <c r="AU60" s="83"/>
      <c r="AV60" s="71"/>
      <c r="AW60" s="71"/>
      <c r="AX60" s="71"/>
      <c r="AY60" s="71"/>
      <c r="AZ60" s="71"/>
      <c r="BA60" s="71"/>
      <c r="BB60" s="71"/>
      <c r="BC60" s="71"/>
    </row>
    <row r="61" spans="1:55" s="76" customFormat="1" ht="12.95" customHeight="1">
      <c r="A61" s="77">
        <v>56</v>
      </c>
      <c r="B61" s="78" t="s">
        <v>119</v>
      </c>
      <c r="C61" s="79"/>
      <c r="D61" s="79" t="s">
        <v>64</v>
      </c>
      <c r="E61" s="79"/>
      <c r="F61" s="79"/>
      <c r="G61" s="79"/>
      <c r="H61" s="79"/>
      <c r="I61" s="79"/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Z61" s="79"/>
      <c r="AA61" s="79"/>
      <c r="AB61" s="79"/>
      <c r="AC61" s="79"/>
      <c r="AD61" s="79"/>
      <c r="AE61" s="79"/>
      <c r="AF61" s="79"/>
      <c r="AG61" s="79"/>
      <c r="AH61" s="83"/>
      <c r="AI61" s="83"/>
      <c r="AJ61" s="83"/>
      <c r="AK61" s="83"/>
      <c r="AL61" s="83"/>
      <c r="AM61" s="83"/>
      <c r="AN61" s="83"/>
      <c r="AO61" s="83"/>
      <c r="AP61" s="83"/>
      <c r="AQ61" s="83"/>
      <c r="AR61" s="83"/>
      <c r="AS61" s="83"/>
      <c r="AT61" s="83"/>
      <c r="AU61" s="83"/>
      <c r="AV61" s="71"/>
      <c r="AW61" s="71"/>
      <c r="AX61" s="71"/>
      <c r="AY61" s="71"/>
      <c r="AZ61" s="71"/>
      <c r="BA61" s="71"/>
      <c r="BB61" s="71"/>
      <c r="BC61" s="71"/>
    </row>
    <row r="62" spans="1:55" s="76" customFormat="1" ht="12.95" customHeight="1">
      <c r="A62" s="77">
        <v>57</v>
      </c>
      <c r="B62" s="78" t="s">
        <v>120</v>
      </c>
      <c r="C62" s="79"/>
      <c r="D62" s="79"/>
      <c r="E62" s="79"/>
      <c r="F62" s="79"/>
      <c r="G62" s="79" t="s">
        <v>62</v>
      </c>
      <c r="H62" s="79"/>
      <c r="I62" s="79" t="s">
        <v>63</v>
      </c>
      <c r="J62" s="79"/>
      <c r="K62" s="79"/>
      <c r="L62" s="79"/>
      <c r="M62" s="79"/>
      <c r="N62" s="79"/>
      <c r="O62" s="79"/>
      <c r="P62" s="79"/>
      <c r="Q62" s="79"/>
      <c r="R62" s="79"/>
      <c r="S62" s="79"/>
      <c r="T62" s="79"/>
      <c r="U62" s="79"/>
      <c r="V62" s="79"/>
      <c r="W62" s="79"/>
      <c r="X62" s="79"/>
      <c r="Y62" s="79"/>
      <c r="Z62" s="79"/>
      <c r="AA62" s="79"/>
      <c r="AB62" s="79"/>
      <c r="AC62" s="79"/>
      <c r="AD62" s="79"/>
      <c r="AE62" s="79"/>
      <c r="AF62" s="79"/>
      <c r="AG62" s="79"/>
      <c r="AH62" s="83"/>
      <c r="AI62" s="83"/>
      <c r="AJ62" s="83"/>
      <c r="AK62" s="83"/>
      <c r="AL62" s="83"/>
      <c r="AM62" s="83"/>
      <c r="AN62" s="83"/>
      <c r="AO62" s="83"/>
      <c r="AP62" s="83"/>
      <c r="AQ62" s="83"/>
      <c r="AR62" s="83"/>
      <c r="AS62" s="83"/>
      <c r="AT62" s="83"/>
      <c r="AU62" s="83"/>
      <c r="AV62" s="71"/>
      <c r="AW62" s="71"/>
      <c r="AX62" s="71"/>
      <c r="AY62" s="71"/>
      <c r="AZ62" s="71"/>
      <c r="BA62" s="71"/>
      <c r="BB62" s="71"/>
      <c r="BC62" s="71"/>
    </row>
    <row r="63" spans="1:55" s="76" customFormat="1" ht="12.95" customHeight="1">
      <c r="A63" s="77">
        <v>58</v>
      </c>
      <c r="B63" s="78" t="s">
        <v>121</v>
      </c>
      <c r="C63" s="79"/>
      <c r="D63" s="79"/>
      <c r="E63" s="79"/>
      <c r="F63" s="79"/>
      <c r="G63" s="79"/>
      <c r="H63" s="79"/>
      <c r="I63" s="79"/>
      <c r="J63" s="79"/>
      <c r="K63" s="79" t="s">
        <v>63</v>
      </c>
      <c r="L63" s="79"/>
      <c r="M63" s="79"/>
      <c r="N63" s="79"/>
      <c r="O63" s="79"/>
      <c r="P63" s="79"/>
      <c r="Q63" s="79"/>
      <c r="R63" s="79"/>
      <c r="S63" s="79"/>
      <c r="T63" s="79"/>
      <c r="U63" s="79"/>
      <c r="V63" s="79"/>
      <c r="W63" s="79"/>
      <c r="X63" s="79"/>
      <c r="Y63" s="79"/>
      <c r="Z63" s="79"/>
      <c r="AA63" s="79"/>
      <c r="AB63" s="79" t="s">
        <v>63</v>
      </c>
      <c r="AC63" s="79"/>
      <c r="AD63" s="79"/>
      <c r="AE63" s="79"/>
      <c r="AF63" s="79"/>
      <c r="AG63" s="79"/>
      <c r="AH63" s="83"/>
      <c r="AI63" s="83"/>
      <c r="AJ63" s="83"/>
      <c r="AK63" s="83"/>
      <c r="AL63" s="83"/>
      <c r="AM63" s="83"/>
      <c r="AN63" s="83"/>
      <c r="AO63" s="83"/>
      <c r="AP63" s="83"/>
      <c r="AQ63" s="83"/>
      <c r="AR63" s="83"/>
      <c r="AS63" s="83"/>
      <c r="AT63" s="83"/>
      <c r="AU63" s="83"/>
      <c r="AV63" s="71"/>
      <c r="AW63" s="71"/>
      <c r="AX63" s="71"/>
      <c r="AY63" s="71"/>
      <c r="AZ63" s="71"/>
      <c r="BA63" s="71"/>
      <c r="BB63" s="71"/>
      <c r="BC63" s="71"/>
    </row>
    <row r="64" spans="1:55" s="76" customFormat="1" ht="13.5" customHeight="1">
      <c r="A64" s="77">
        <v>59</v>
      </c>
      <c r="B64" s="78" t="s">
        <v>122</v>
      </c>
      <c r="C64" s="79"/>
      <c r="D64" s="79"/>
      <c r="E64" s="79"/>
      <c r="F64" s="79"/>
      <c r="G64" s="79" t="s">
        <v>62</v>
      </c>
      <c r="H64" s="79"/>
      <c r="I64" s="79" t="s">
        <v>62</v>
      </c>
      <c r="J64" s="79" t="s">
        <v>63</v>
      </c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79"/>
      <c r="X64" s="79"/>
      <c r="Y64" s="79" t="s">
        <v>63</v>
      </c>
      <c r="Z64" s="79"/>
      <c r="AA64" s="79"/>
      <c r="AB64" s="79"/>
      <c r="AC64" s="79"/>
      <c r="AD64" s="79" t="s">
        <v>63</v>
      </c>
      <c r="AE64" s="79"/>
      <c r="AF64" s="79"/>
      <c r="AG64" s="79"/>
      <c r="AH64" s="83"/>
      <c r="AI64" s="83"/>
      <c r="AJ64" s="83"/>
      <c r="AK64" s="83"/>
      <c r="AL64" s="83"/>
      <c r="AM64" s="83"/>
      <c r="AN64" s="83"/>
      <c r="AO64" s="83"/>
      <c r="AP64" s="83"/>
      <c r="AQ64" s="83"/>
      <c r="AR64" s="83"/>
      <c r="AS64" s="83"/>
      <c r="AT64" s="83"/>
      <c r="AU64" s="83"/>
      <c r="AV64" s="71"/>
      <c r="AW64" s="71"/>
      <c r="AX64" s="71"/>
      <c r="AY64" s="71"/>
      <c r="AZ64" s="71"/>
      <c r="BA64" s="71"/>
      <c r="BB64" s="71"/>
      <c r="BC64" s="71"/>
    </row>
    <row r="65" spans="1:55" s="76" customFormat="1" ht="12.95" customHeight="1">
      <c r="A65" s="77">
        <v>60</v>
      </c>
      <c r="B65" s="78" t="s">
        <v>123</v>
      </c>
      <c r="C65" s="79"/>
      <c r="D65" s="79"/>
      <c r="E65" s="79"/>
      <c r="F65" s="79"/>
      <c r="G65" s="79" t="s">
        <v>62</v>
      </c>
      <c r="H65" s="79"/>
      <c r="I65" s="79" t="s">
        <v>63</v>
      </c>
      <c r="J65" s="79"/>
      <c r="K65" s="79"/>
      <c r="L65" s="79" t="s">
        <v>62</v>
      </c>
      <c r="M65" s="79"/>
      <c r="N65" s="79"/>
      <c r="O65" s="79"/>
      <c r="P65" s="79" t="s">
        <v>64</v>
      </c>
      <c r="Q65" s="79"/>
      <c r="R65" s="79"/>
      <c r="S65" s="79"/>
      <c r="T65" s="79"/>
      <c r="U65" s="79"/>
      <c r="V65" s="79"/>
      <c r="W65" s="79"/>
      <c r="X65" s="79"/>
      <c r="Y65" s="79"/>
      <c r="Z65" s="79"/>
      <c r="AA65" s="79"/>
      <c r="AB65" s="79"/>
      <c r="AC65" s="79"/>
      <c r="AD65" s="79"/>
      <c r="AE65" s="79" t="s">
        <v>62</v>
      </c>
      <c r="AF65" s="79"/>
      <c r="AG65" s="79"/>
      <c r="AH65" s="83"/>
      <c r="AI65" s="83"/>
      <c r="AJ65" s="83"/>
      <c r="AK65" s="83"/>
      <c r="AL65" s="83"/>
      <c r="AM65" s="83"/>
      <c r="AN65" s="83"/>
      <c r="AO65" s="83"/>
      <c r="AP65" s="83"/>
      <c r="AQ65" s="83"/>
      <c r="AR65" s="83"/>
      <c r="AS65" s="83"/>
      <c r="AT65" s="83"/>
      <c r="AU65" s="83"/>
      <c r="AV65" s="71"/>
      <c r="AW65" s="71"/>
      <c r="AX65" s="71"/>
      <c r="AY65" s="71"/>
      <c r="AZ65" s="71"/>
      <c r="BA65" s="71"/>
      <c r="BB65" s="71"/>
      <c r="BC65" s="71"/>
    </row>
    <row r="66" spans="1:55" s="76" customFormat="1" ht="12.95" customHeight="1">
      <c r="A66" s="77">
        <v>61</v>
      </c>
      <c r="B66" s="78" t="s">
        <v>124</v>
      </c>
      <c r="C66" s="79"/>
      <c r="D66" s="79"/>
      <c r="E66" s="79"/>
      <c r="F66" s="79"/>
      <c r="G66" s="79" t="s">
        <v>62</v>
      </c>
      <c r="H66" s="79"/>
      <c r="I66" s="79"/>
      <c r="J66" s="79"/>
      <c r="K66" s="79"/>
      <c r="L66" s="79"/>
      <c r="M66" s="79"/>
      <c r="N66" s="79"/>
      <c r="O66" s="79"/>
      <c r="P66" s="79"/>
      <c r="Q66" s="79"/>
      <c r="R66" s="79"/>
      <c r="S66" s="79"/>
      <c r="T66" s="79"/>
      <c r="U66" s="79"/>
      <c r="V66" s="79"/>
      <c r="W66" s="79"/>
      <c r="X66" s="79"/>
      <c r="Y66" s="79"/>
      <c r="Z66" s="79"/>
      <c r="AA66" s="79"/>
      <c r="AB66" s="79"/>
      <c r="AC66" s="79"/>
      <c r="AD66" s="79"/>
      <c r="AE66" s="79" t="s">
        <v>62</v>
      </c>
      <c r="AF66" s="79"/>
      <c r="AG66" s="79"/>
      <c r="AH66" s="83"/>
      <c r="AI66" s="83"/>
      <c r="AJ66" s="83"/>
      <c r="AK66" s="83"/>
      <c r="AL66" s="83"/>
      <c r="AM66" s="83"/>
      <c r="AN66" s="83"/>
      <c r="AO66" s="83"/>
      <c r="AP66" s="83"/>
      <c r="AQ66" s="83"/>
      <c r="AR66" s="83"/>
      <c r="AS66" s="83"/>
      <c r="AT66" s="83"/>
      <c r="AU66" s="83"/>
      <c r="AV66" s="71"/>
      <c r="AW66" s="71"/>
      <c r="AX66" s="71"/>
      <c r="AY66" s="71"/>
      <c r="AZ66" s="71"/>
      <c r="BA66" s="71"/>
      <c r="BB66" s="71"/>
      <c r="BC66" s="71"/>
    </row>
    <row r="67" spans="1:55" s="76" customFormat="1" ht="12.95" customHeight="1">
      <c r="A67" s="77">
        <v>62</v>
      </c>
      <c r="B67" s="78" t="s">
        <v>125</v>
      </c>
      <c r="C67" s="79"/>
      <c r="D67" s="79"/>
      <c r="E67" s="79"/>
      <c r="F67" s="79"/>
      <c r="G67" s="79" t="s">
        <v>62</v>
      </c>
      <c r="H67" s="79"/>
      <c r="I67" s="79"/>
      <c r="J67" s="79"/>
      <c r="K67" s="79" t="s">
        <v>64</v>
      </c>
      <c r="L67" s="79"/>
      <c r="M67" s="79"/>
      <c r="N67" s="79"/>
      <c r="O67" s="79"/>
      <c r="P67" s="79" t="s">
        <v>62</v>
      </c>
      <c r="Q67" s="79"/>
      <c r="R67" s="79"/>
      <c r="S67" s="79" t="s">
        <v>64</v>
      </c>
      <c r="T67" s="79"/>
      <c r="U67" s="79"/>
      <c r="V67" s="79"/>
      <c r="W67" s="79"/>
      <c r="X67" s="79"/>
      <c r="Y67" s="79"/>
      <c r="Z67" s="79"/>
      <c r="AA67" s="79"/>
      <c r="AB67" s="79"/>
      <c r="AC67" s="79"/>
      <c r="AD67" s="79"/>
      <c r="AE67" s="79"/>
      <c r="AF67" s="79"/>
      <c r="AG67" s="79"/>
      <c r="AH67" s="83"/>
      <c r="AI67" s="83"/>
      <c r="AJ67" s="83"/>
      <c r="AK67" s="83"/>
      <c r="AL67" s="83"/>
      <c r="AM67" s="83"/>
      <c r="AN67" s="83"/>
      <c r="AO67" s="83"/>
      <c r="AP67" s="83"/>
      <c r="AQ67" s="83"/>
      <c r="AR67" s="83"/>
      <c r="AS67" s="83"/>
      <c r="AT67" s="83"/>
      <c r="AU67" s="83"/>
      <c r="AV67" s="71"/>
      <c r="AW67" s="71"/>
      <c r="AX67" s="71"/>
      <c r="AY67" s="71"/>
      <c r="AZ67" s="71"/>
      <c r="BA67" s="71"/>
      <c r="BB67" s="71"/>
      <c r="BC67" s="71"/>
    </row>
    <row r="68" spans="1:55" s="76" customFormat="1" ht="12.95" customHeight="1">
      <c r="A68" s="77">
        <v>63</v>
      </c>
      <c r="B68" s="78" t="s">
        <v>126</v>
      </c>
      <c r="C68" s="79"/>
      <c r="D68" s="79"/>
      <c r="E68" s="79"/>
      <c r="F68" s="79"/>
      <c r="G68" s="79"/>
      <c r="H68" s="79"/>
      <c r="I68" s="79"/>
      <c r="J68" s="79"/>
      <c r="K68" s="79"/>
      <c r="L68" s="79"/>
      <c r="M68" s="79"/>
      <c r="N68" s="79"/>
      <c r="O68" s="79"/>
      <c r="P68" s="79"/>
      <c r="Q68" s="79"/>
      <c r="R68" s="79"/>
      <c r="S68" s="79"/>
      <c r="T68" s="79"/>
      <c r="U68" s="79"/>
      <c r="V68" s="79"/>
      <c r="W68" s="79"/>
      <c r="X68" s="79"/>
      <c r="Y68" s="79"/>
      <c r="Z68" s="79"/>
      <c r="AA68" s="79"/>
      <c r="AB68" s="79"/>
      <c r="AC68" s="79"/>
      <c r="AD68" s="79"/>
      <c r="AE68" s="79"/>
      <c r="AF68" s="79"/>
      <c r="AG68" s="79"/>
      <c r="AH68" s="83"/>
      <c r="AI68" s="83"/>
      <c r="AJ68" s="83"/>
      <c r="AK68" s="83"/>
      <c r="AL68" s="83"/>
      <c r="AM68" s="83"/>
      <c r="AN68" s="83"/>
      <c r="AO68" s="83"/>
      <c r="AP68" s="83"/>
      <c r="AQ68" s="83"/>
      <c r="AR68" s="83"/>
      <c r="AS68" s="83"/>
      <c r="AT68" s="83"/>
      <c r="AU68" s="83"/>
      <c r="AV68" s="71"/>
      <c r="AW68" s="71"/>
      <c r="AX68" s="71"/>
      <c r="AY68" s="71"/>
      <c r="AZ68" s="71"/>
      <c r="BA68" s="71"/>
      <c r="BB68" s="71"/>
      <c r="BC68" s="71"/>
    </row>
    <row r="69" spans="1:55" s="76" customFormat="1" ht="12.95" customHeight="1">
      <c r="A69" s="77">
        <v>64</v>
      </c>
      <c r="B69" s="78" t="s">
        <v>127</v>
      </c>
      <c r="C69" s="79"/>
      <c r="D69" s="79"/>
      <c r="E69" s="79"/>
      <c r="F69" s="79"/>
      <c r="G69" s="79" t="s">
        <v>62</v>
      </c>
      <c r="H69" s="79" t="s">
        <v>63</v>
      </c>
      <c r="I69" s="79"/>
      <c r="J69" s="79"/>
      <c r="K69" s="79"/>
      <c r="L69" s="79"/>
      <c r="M69" s="79"/>
      <c r="N69" s="79"/>
      <c r="O69" s="79"/>
      <c r="P69" s="79"/>
      <c r="Q69" s="79"/>
      <c r="R69" s="79"/>
      <c r="S69" s="79"/>
      <c r="T69" s="79"/>
      <c r="U69" s="79"/>
      <c r="V69" s="79"/>
      <c r="W69" s="79"/>
      <c r="X69" s="79"/>
      <c r="Y69" s="79"/>
      <c r="Z69" s="79"/>
      <c r="AA69" s="79"/>
      <c r="AB69" s="79"/>
      <c r="AC69" s="79"/>
      <c r="AD69" s="79"/>
      <c r="AE69" s="79"/>
      <c r="AF69" s="79"/>
      <c r="AG69" s="79"/>
      <c r="AH69" s="83"/>
      <c r="AI69" s="83"/>
      <c r="AJ69" s="83"/>
      <c r="AK69" s="83"/>
      <c r="AL69" s="83"/>
      <c r="AM69" s="83"/>
      <c r="AN69" s="83"/>
      <c r="AO69" s="83"/>
      <c r="AP69" s="83"/>
      <c r="AQ69" s="83"/>
      <c r="AR69" s="83"/>
      <c r="AS69" s="83"/>
      <c r="AT69" s="83"/>
      <c r="AU69" s="83"/>
      <c r="AV69" s="71"/>
      <c r="AW69" s="71"/>
      <c r="AX69" s="71"/>
      <c r="AY69" s="71"/>
      <c r="AZ69" s="71"/>
      <c r="BA69" s="71"/>
      <c r="BB69" s="71"/>
      <c r="BC69" s="71"/>
    </row>
    <row r="70" spans="1:55" s="76" customFormat="1" ht="12.95" customHeight="1">
      <c r="A70" s="77">
        <v>65</v>
      </c>
      <c r="B70" s="78" t="s">
        <v>128</v>
      </c>
      <c r="C70" s="79"/>
      <c r="D70" s="79"/>
      <c r="E70" s="79"/>
      <c r="F70" s="79"/>
      <c r="G70" s="79" t="s">
        <v>62</v>
      </c>
      <c r="H70" s="79"/>
      <c r="I70" s="79" t="s">
        <v>63</v>
      </c>
      <c r="J70" s="79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  <c r="W70" s="79"/>
      <c r="X70" s="79"/>
      <c r="Y70" s="79"/>
      <c r="Z70" s="79"/>
      <c r="AA70" s="79"/>
      <c r="AB70" s="79"/>
      <c r="AC70" s="79"/>
      <c r="AD70" s="79"/>
      <c r="AE70" s="79"/>
      <c r="AF70" s="79"/>
      <c r="AG70" s="79"/>
      <c r="AH70" s="83"/>
      <c r="AI70" s="83"/>
      <c r="AJ70" s="83"/>
      <c r="AK70" s="83"/>
      <c r="AL70" s="83"/>
      <c r="AM70" s="83"/>
      <c r="AN70" s="83"/>
      <c r="AO70" s="83"/>
      <c r="AP70" s="83"/>
      <c r="AQ70" s="83"/>
      <c r="AR70" s="83"/>
      <c r="AS70" s="83"/>
      <c r="AT70" s="83"/>
      <c r="AU70" s="83"/>
      <c r="AV70" s="71"/>
      <c r="AW70" s="71"/>
      <c r="AX70" s="71"/>
      <c r="AY70" s="71"/>
      <c r="AZ70" s="71"/>
      <c r="BA70" s="71"/>
      <c r="BB70" s="71"/>
      <c r="BC70" s="71"/>
    </row>
    <row r="71" spans="1:55" s="76" customFormat="1" ht="12.95" customHeight="1">
      <c r="A71" s="77">
        <v>66</v>
      </c>
      <c r="B71" s="78" t="s">
        <v>129</v>
      </c>
      <c r="C71" s="79"/>
      <c r="D71" s="79"/>
      <c r="E71" s="79"/>
      <c r="F71" s="79"/>
      <c r="G71" s="79" t="s">
        <v>63</v>
      </c>
      <c r="H71" s="79"/>
      <c r="I71" s="79" t="s">
        <v>63</v>
      </c>
      <c r="J71" s="79"/>
      <c r="K71" s="79"/>
      <c r="L71" s="79"/>
      <c r="M71" s="79"/>
      <c r="N71" s="79"/>
      <c r="O71" s="79" t="s">
        <v>63</v>
      </c>
      <c r="P71" s="79" t="s">
        <v>63</v>
      </c>
      <c r="Q71" s="79"/>
      <c r="R71" s="79"/>
      <c r="S71" s="79"/>
      <c r="T71" s="79"/>
      <c r="U71" s="79" t="s">
        <v>63</v>
      </c>
      <c r="V71" s="79"/>
      <c r="W71" s="79" t="s">
        <v>62</v>
      </c>
      <c r="X71" s="79" t="s">
        <v>63</v>
      </c>
      <c r="Y71" s="79"/>
      <c r="Z71" s="79" t="s">
        <v>62</v>
      </c>
      <c r="AA71" s="79"/>
      <c r="AB71" s="79"/>
      <c r="AC71" s="79" t="s">
        <v>62</v>
      </c>
      <c r="AD71" s="79"/>
      <c r="AE71" s="79"/>
      <c r="AF71" s="79" t="s">
        <v>62</v>
      </c>
      <c r="AG71" s="79"/>
      <c r="AH71" s="83"/>
      <c r="AI71" s="83"/>
      <c r="AJ71" s="83"/>
      <c r="AK71" s="83"/>
      <c r="AL71" s="83"/>
      <c r="AM71" s="83"/>
      <c r="AN71" s="83"/>
      <c r="AO71" s="83"/>
      <c r="AP71" s="83"/>
      <c r="AQ71" s="83"/>
      <c r="AR71" s="83"/>
      <c r="AS71" s="83"/>
      <c r="AT71" s="83"/>
      <c r="AU71" s="83"/>
      <c r="AV71" s="71"/>
      <c r="AW71" s="71"/>
      <c r="AX71" s="71"/>
      <c r="AY71" s="71"/>
      <c r="AZ71" s="71"/>
      <c r="BA71" s="71"/>
      <c r="BB71" s="71"/>
      <c r="BC71" s="71"/>
    </row>
    <row r="72" spans="1:55" s="76" customFormat="1" ht="12.95" customHeight="1">
      <c r="A72" s="77">
        <v>67</v>
      </c>
      <c r="B72" s="78" t="s">
        <v>130</v>
      </c>
      <c r="C72" s="79"/>
      <c r="D72" s="79"/>
      <c r="E72" s="79"/>
      <c r="F72" s="79"/>
      <c r="G72" s="79" t="s">
        <v>64</v>
      </c>
      <c r="H72" s="79"/>
      <c r="I72" s="79"/>
      <c r="J72" s="79"/>
      <c r="K72" s="79"/>
      <c r="L72" s="79"/>
      <c r="M72" s="79"/>
      <c r="N72" s="79"/>
      <c r="O72" s="79"/>
      <c r="P72" s="79"/>
      <c r="Q72" s="79"/>
      <c r="R72" s="79"/>
      <c r="S72" s="79"/>
      <c r="T72" s="79"/>
      <c r="U72" s="79"/>
      <c r="V72" s="79"/>
      <c r="W72" s="79"/>
      <c r="X72" s="79" t="s">
        <v>63</v>
      </c>
      <c r="Y72" s="79"/>
      <c r="Z72" s="79"/>
      <c r="AA72" s="79"/>
      <c r="AB72" s="79"/>
      <c r="AC72" s="79"/>
      <c r="AD72" s="79"/>
      <c r="AE72" s="79"/>
      <c r="AF72" s="79"/>
      <c r="AG72" s="79"/>
      <c r="AH72" s="83"/>
      <c r="AI72" s="83"/>
      <c r="AJ72" s="83"/>
      <c r="AK72" s="83"/>
      <c r="AL72" s="83"/>
      <c r="AM72" s="83"/>
      <c r="AN72" s="83"/>
      <c r="AO72" s="83"/>
      <c r="AP72" s="83"/>
      <c r="AQ72" s="83"/>
      <c r="AR72" s="83"/>
      <c r="AS72" s="83"/>
      <c r="AT72" s="83"/>
      <c r="AU72" s="83"/>
      <c r="AV72" s="71"/>
      <c r="AW72" s="71"/>
      <c r="AX72" s="71"/>
      <c r="AY72" s="71"/>
      <c r="AZ72" s="71"/>
      <c r="BA72" s="71"/>
      <c r="BB72" s="71"/>
      <c r="BC72" s="71"/>
    </row>
    <row r="73" spans="1:55" s="76" customFormat="1" ht="12.95" customHeight="1">
      <c r="A73" s="77">
        <v>68</v>
      </c>
      <c r="B73" s="78" t="s">
        <v>131</v>
      </c>
      <c r="C73" s="79"/>
      <c r="D73" s="79"/>
      <c r="E73" s="79"/>
      <c r="F73" s="79"/>
      <c r="G73" s="79" t="s">
        <v>62</v>
      </c>
      <c r="H73" s="79"/>
      <c r="I73" s="79" t="s">
        <v>63</v>
      </c>
      <c r="J73" s="79"/>
      <c r="K73" s="79"/>
      <c r="L73" s="79"/>
      <c r="M73" s="79"/>
      <c r="N73" s="79"/>
      <c r="O73" s="79"/>
      <c r="P73" s="79" t="s">
        <v>63</v>
      </c>
      <c r="Q73" s="79"/>
      <c r="R73" s="79"/>
      <c r="S73" s="79"/>
      <c r="T73" s="79"/>
      <c r="U73" s="79"/>
      <c r="V73" s="79"/>
      <c r="W73" s="79"/>
      <c r="X73" s="79"/>
      <c r="Y73" s="79"/>
      <c r="Z73" s="79"/>
      <c r="AA73" s="79"/>
      <c r="AB73" s="79" t="s">
        <v>63</v>
      </c>
      <c r="AC73" s="79"/>
      <c r="AD73" s="79"/>
      <c r="AE73" s="79"/>
      <c r="AF73" s="79"/>
      <c r="AG73" s="79"/>
      <c r="AH73" s="83"/>
      <c r="AI73" s="83"/>
      <c r="AJ73" s="83"/>
      <c r="AK73" s="83"/>
      <c r="AL73" s="83"/>
      <c r="AM73" s="83"/>
      <c r="AN73" s="83"/>
      <c r="AO73" s="83"/>
      <c r="AP73" s="83"/>
      <c r="AQ73" s="83"/>
      <c r="AR73" s="83"/>
      <c r="AS73" s="83"/>
      <c r="AT73" s="83"/>
      <c r="AU73" s="83"/>
      <c r="AV73" s="71"/>
      <c r="AW73" s="71"/>
      <c r="AX73" s="71"/>
      <c r="AY73" s="71"/>
      <c r="AZ73" s="71"/>
      <c r="BA73" s="71"/>
      <c r="BB73" s="71"/>
      <c r="BC73" s="71"/>
    </row>
    <row r="74" spans="1:55" s="76" customFormat="1" ht="12.95" customHeight="1">
      <c r="A74" s="77">
        <v>69</v>
      </c>
      <c r="B74" s="78" t="s">
        <v>132</v>
      </c>
      <c r="C74" s="79"/>
      <c r="D74" s="79"/>
      <c r="E74" s="79"/>
      <c r="F74" s="79"/>
      <c r="G74" s="79" t="s">
        <v>64</v>
      </c>
      <c r="H74" s="79"/>
      <c r="I74" s="79"/>
      <c r="J74" s="79"/>
      <c r="K74" s="79"/>
      <c r="L74" s="79"/>
      <c r="M74" s="79"/>
      <c r="N74" s="79"/>
      <c r="O74" s="79"/>
      <c r="P74" s="79" t="s">
        <v>62</v>
      </c>
      <c r="Q74" s="79"/>
      <c r="R74" s="79"/>
      <c r="S74" s="79"/>
      <c r="T74" s="79"/>
      <c r="U74" s="79"/>
      <c r="V74" s="79"/>
      <c r="W74" s="79"/>
      <c r="X74" s="79" t="s">
        <v>64</v>
      </c>
      <c r="Y74" s="79"/>
      <c r="Z74" s="79"/>
      <c r="AA74" s="79"/>
      <c r="AB74" s="79"/>
      <c r="AC74" s="79"/>
      <c r="AD74" s="79"/>
      <c r="AE74" s="79" t="s">
        <v>62</v>
      </c>
      <c r="AF74" s="79" t="s">
        <v>63</v>
      </c>
      <c r="AG74" s="79"/>
      <c r="AH74" s="83"/>
      <c r="AI74" s="83"/>
      <c r="AJ74" s="83"/>
      <c r="AK74" s="83"/>
      <c r="AL74" s="83"/>
      <c r="AM74" s="83"/>
      <c r="AN74" s="83"/>
      <c r="AO74" s="83"/>
      <c r="AP74" s="83"/>
      <c r="AQ74" s="83"/>
      <c r="AR74" s="83"/>
      <c r="AS74" s="83"/>
      <c r="AT74" s="83"/>
      <c r="AU74" s="83"/>
      <c r="AV74" s="71"/>
      <c r="AW74" s="71"/>
      <c r="AX74" s="71"/>
      <c r="AY74" s="71"/>
      <c r="AZ74" s="71"/>
      <c r="BA74" s="71"/>
      <c r="BB74" s="71"/>
      <c r="BC74" s="71"/>
    </row>
    <row r="75" spans="1:55" s="76" customFormat="1" ht="12.95" customHeight="1">
      <c r="A75" s="77">
        <v>70</v>
      </c>
      <c r="B75" s="78" t="s">
        <v>133</v>
      </c>
      <c r="C75" s="79"/>
      <c r="D75" s="79" t="s">
        <v>63</v>
      </c>
      <c r="E75" s="79"/>
      <c r="F75" s="79"/>
      <c r="G75" s="79"/>
      <c r="H75" s="79"/>
      <c r="I75" s="79"/>
      <c r="J75" s="79" t="s">
        <v>63</v>
      </c>
      <c r="K75" s="79"/>
      <c r="L75" s="79"/>
      <c r="M75" s="79"/>
      <c r="N75" s="79"/>
      <c r="O75" s="79"/>
      <c r="P75" s="79"/>
      <c r="Q75" s="79"/>
      <c r="R75" s="79"/>
      <c r="S75" s="79" t="s">
        <v>63</v>
      </c>
      <c r="T75" s="79"/>
      <c r="U75" s="79"/>
      <c r="V75" s="79"/>
      <c r="W75" s="79"/>
      <c r="X75" s="79"/>
      <c r="Y75" s="79"/>
      <c r="Z75" s="79"/>
      <c r="AA75" s="79"/>
      <c r="AB75" s="79" t="s">
        <v>63</v>
      </c>
      <c r="AC75" s="79"/>
      <c r="AD75" s="79"/>
      <c r="AE75" s="79" t="s">
        <v>63</v>
      </c>
      <c r="AF75" s="79"/>
      <c r="AG75" s="79"/>
      <c r="AH75" s="83"/>
      <c r="AI75" s="83"/>
      <c r="AJ75" s="83"/>
      <c r="AK75" s="83"/>
      <c r="AL75" s="83"/>
      <c r="AM75" s="83"/>
      <c r="AN75" s="83"/>
      <c r="AO75" s="83"/>
      <c r="AP75" s="83"/>
      <c r="AQ75" s="83"/>
      <c r="AR75" s="83"/>
      <c r="AS75" s="83"/>
      <c r="AT75" s="83"/>
      <c r="AU75" s="83"/>
      <c r="AV75" s="71"/>
      <c r="AW75" s="71"/>
      <c r="AX75" s="71"/>
      <c r="AY75" s="71"/>
      <c r="AZ75" s="71"/>
      <c r="BA75" s="71"/>
      <c r="BB75" s="71"/>
      <c r="BC75" s="71"/>
    </row>
    <row r="76" spans="1:55" s="76" customFormat="1" ht="12.95" customHeight="1">
      <c r="A76" s="77">
        <v>71</v>
      </c>
      <c r="B76" s="78" t="s">
        <v>134</v>
      </c>
      <c r="C76" s="79"/>
      <c r="D76" s="79"/>
      <c r="E76" s="79"/>
      <c r="F76" s="79"/>
      <c r="G76" s="79"/>
      <c r="H76" s="79"/>
      <c r="I76" s="79" t="s">
        <v>62</v>
      </c>
      <c r="J76" s="79"/>
      <c r="K76" s="79"/>
      <c r="L76" s="79"/>
      <c r="M76" s="79"/>
      <c r="N76" s="79"/>
      <c r="O76" s="79"/>
      <c r="P76" s="79"/>
      <c r="Q76" s="79"/>
      <c r="R76" s="79"/>
      <c r="S76" s="79"/>
      <c r="T76" s="79"/>
      <c r="U76" s="79"/>
      <c r="V76" s="79"/>
      <c r="W76" s="79"/>
      <c r="X76" s="79"/>
      <c r="Y76" s="79"/>
      <c r="Z76" s="79"/>
      <c r="AA76" s="79"/>
      <c r="AB76" s="79"/>
      <c r="AC76" s="79"/>
      <c r="AD76" s="79"/>
      <c r="AE76" s="79"/>
      <c r="AF76" s="79"/>
      <c r="AG76" s="79"/>
      <c r="AH76" s="83"/>
      <c r="AI76" s="83"/>
      <c r="AJ76" s="83"/>
      <c r="AK76" s="83"/>
      <c r="AL76" s="83"/>
      <c r="AM76" s="83"/>
      <c r="AN76" s="83"/>
      <c r="AO76" s="83"/>
      <c r="AP76" s="83"/>
      <c r="AQ76" s="83"/>
      <c r="AR76" s="83"/>
      <c r="AS76" s="83"/>
      <c r="AT76" s="83"/>
      <c r="AU76" s="83"/>
      <c r="AV76" s="71"/>
      <c r="AW76" s="71"/>
      <c r="AX76" s="71"/>
      <c r="AY76" s="71"/>
      <c r="AZ76" s="71"/>
      <c r="BA76" s="71"/>
      <c r="BB76" s="71"/>
      <c r="BC76" s="71"/>
    </row>
    <row r="77" spans="1:55" s="76" customFormat="1" ht="12.95" customHeight="1">
      <c r="A77" s="77">
        <v>72</v>
      </c>
      <c r="B77" s="78" t="s">
        <v>135</v>
      </c>
      <c r="C77" s="79"/>
      <c r="D77" s="79"/>
      <c r="E77" s="79"/>
      <c r="F77" s="79"/>
      <c r="G77" s="79"/>
      <c r="H77" s="79" t="s">
        <v>62</v>
      </c>
      <c r="I77" s="79"/>
      <c r="J77" s="79" t="s">
        <v>71</v>
      </c>
      <c r="K77" s="79"/>
      <c r="L77" s="79" t="s">
        <v>62</v>
      </c>
      <c r="M77" s="79"/>
      <c r="N77" s="79"/>
      <c r="O77" s="79"/>
      <c r="P77" s="79"/>
      <c r="Q77" s="79"/>
      <c r="R77" s="79"/>
      <c r="S77" s="79"/>
      <c r="T77" s="79"/>
      <c r="U77" s="79"/>
      <c r="V77" s="79"/>
      <c r="W77" s="79"/>
      <c r="X77" s="79"/>
      <c r="Y77" s="79"/>
      <c r="Z77" s="79"/>
      <c r="AA77" s="79"/>
      <c r="AB77" s="79"/>
      <c r="AC77" s="79"/>
      <c r="AD77" s="79"/>
      <c r="AE77" s="79"/>
      <c r="AF77" s="79"/>
      <c r="AG77" s="79"/>
      <c r="AH77" s="83"/>
      <c r="AI77" s="83"/>
      <c r="AJ77" s="83"/>
      <c r="AK77" s="83"/>
      <c r="AL77" s="83"/>
      <c r="AM77" s="83"/>
      <c r="AN77" s="83"/>
      <c r="AO77" s="83"/>
      <c r="AP77" s="83"/>
      <c r="AQ77" s="83"/>
      <c r="AR77" s="83"/>
      <c r="AS77" s="83"/>
      <c r="AT77" s="83"/>
      <c r="AU77" s="83"/>
      <c r="AV77" s="71"/>
      <c r="AW77" s="71"/>
      <c r="AX77" s="71"/>
      <c r="AY77" s="71"/>
      <c r="AZ77" s="71"/>
      <c r="BA77" s="71"/>
      <c r="BB77" s="71"/>
      <c r="BC77" s="71"/>
    </row>
    <row r="78" spans="1:55" s="76" customFormat="1" ht="12.95" customHeight="1">
      <c r="A78" s="77">
        <v>73</v>
      </c>
      <c r="B78" s="78" t="s">
        <v>136</v>
      </c>
      <c r="C78" s="79"/>
      <c r="D78" s="79"/>
      <c r="E78" s="79"/>
      <c r="F78" s="79"/>
      <c r="G78" s="79"/>
      <c r="H78" s="79"/>
      <c r="I78" s="79" t="s">
        <v>62</v>
      </c>
      <c r="J78" s="79"/>
      <c r="K78" s="79"/>
      <c r="L78" s="79"/>
      <c r="M78" s="79"/>
      <c r="N78" s="79"/>
      <c r="O78" s="79"/>
      <c r="P78" s="79" t="s">
        <v>62</v>
      </c>
      <c r="Q78" s="79" t="s">
        <v>63</v>
      </c>
      <c r="R78" s="79"/>
      <c r="S78" s="79"/>
      <c r="T78" s="79"/>
      <c r="U78" s="79"/>
      <c r="V78" s="79"/>
      <c r="W78" s="79"/>
      <c r="X78" s="79"/>
      <c r="Y78" s="79"/>
      <c r="Z78" s="79"/>
      <c r="AA78" s="79"/>
      <c r="AB78" s="79"/>
      <c r="AC78" s="79"/>
      <c r="AD78" s="79"/>
      <c r="AE78" s="79"/>
      <c r="AF78" s="79"/>
      <c r="AG78" s="79"/>
      <c r="AH78" s="83"/>
      <c r="AI78" s="83"/>
      <c r="AJ78" s="83"/>
      <c r="AK78" s="83"/>
      <c r="AL78" s="83"/>
      <c r="AM78" s="83"/>
      <c r="AN78" s="83"/>
      <c r="AO78" s="83"/>
      <c r="AP78" s="83"/>
      <c r="AQ78" s="83"/>
      <c r="AR78" s="83"/>
      <c r="AS78" s="83"/>
      <c r="AT78" s="83"/>
      <c r="AU78" s="83"/>
      <c r="AV78" s="71"/>
      <c r="AW78" s="71"/>
      <c r="AX78" s="71"/>
      <c r="AY78" s="71"/>
      <c r="AZ78" s="71"/>
      <c r="BA78" s="71"/>
      <c r="BB78" s="71"/>
      <c r="BC78" s="71"/>
    </row>
    <row r="79" spans="1:55" s="76" customFormat="1" ht="12.95" customHeight="1">
      <c r="A79" s="77">
        <v>74</v>
      </c>
      <c r="B79" s="78" t="s">
        <v>137</v>
      </c>
      <c r="C79" s="79"/>
      <c r="D79" s="79"/>
      <c r="E79" s="79"/>
      <c r="F79" s="79"/>
      <c r="G79" s="79"/>
      <c r="H79" s="79" t="s">
        <v>62</v>
      </c>
      <c r="I79" s="79"/>
      <c r="J79" s="79" t="s">
        <v>63</v>
      </c>
      <c r="K79" s="79"/>
      <c r="L79" s="79"/>
      <c r="M79" s="79"/>
      <c r="N79" s="79"/>
      <c r="O79" s="79"/>
      <c r="P79" s="79"/>
      <c r="Q79" s="79"/>
      <c r="R79" s="79"/>
      <c r="S79" s="79"/>
      <c r="T79" s="79"/>
      <c r="U79" s="79"/>
      <c r="V79" s="79"/>
      <c r="W79" s="79"/>
      <c r="X79" s="79"/>
      <c r="Y79" s="79"/>
      <c r="Z79" s="79"/>
      <c r="AA79" s="79"/>
      <c r="AB79" s="79"/>
      <c r="AC79" s="79"/>
      <c r="AD79" s="79"/>
      <c r="AE79" s="79"/>
      <c r="AF79" s="79"/>
      <c r="AG79" s="79"/>
      <c r="AH79" s="83"/>
      <c r="AI79" s="83"/>
      <c r="AJ79" s="83"/>
      <c r="AK79" s="83"/>
      <c r="AL79" s="83"/>
      <c r="AM79" s="83"/>
      <c r="AN79" s="83"/>
      <c r="AO79" s="83"/>
      <c r="AP79" s="83"/>
      <c r="AQ79" s="83"/>
      <c r="AR79" s="83"/>
      <c r="AS79" s="83"/>
      <c r="AT79" s="83"/>
      <c r="AU79" s="83"/>
      <c r="AV79" s="71"/>
      <c r="AW79" s="71"/>
      <c r="AX79" s="71"/>
      <c r="AY79" s="71"/>
      <c r="AZ79" s="71"/>
      <c r="BA79" s="71"/>
      <c r="BB79" s="71"/>
      <c r="BC79" s="71"/>
    </row>
    <row r="80" spans="1:55" s="76" customFormat="1" ht="12.95" customHeight="1">
      <c r="A80" s="77">
        <v>75</v>
      </c>
      <c r="B80" s="78" t="s">
        <v>138</v>
      </c>
      <c r="C80" s="79"/>
      <c r="D80" s="79"/>
      <c r="E80" s="79"/>
      <c r="F80" s="79"/>
      <c r="G80" s="79" t="s">
        <v>62</v>
      </c>
      <c r="H80" s="79"/>
      <c r="I80" s="79" t="s">
        <v>62</v>
      </c>
      <c r="J80" s="79" t="s">
        <v>63</v>
      </c>
      <c r="K80" s="79"/>
      <c r="L80" s="79"/>
      <c r="M80" s="79"/>
      <c r="N80" s="79"/>
      <c r="O80" s="79"/>
      <c r="P80" s="79"/>
      <c r="Q80" s="79"/>
      <c r="R80" s="79"/>
      <c r="S80" s="79"/>
      <c r="T80" s="79"/>
      <c r="U80" s="79"/>
      <c r="V80" s="79"/>
      <c r="W80" s="79"/>
      <c r="X80" s="79"/>
      <c r="Y80" s="79"/>
      <c r="Z80" s="79"/>
      <c r="AA80" s="79"/>
      <c r="AB80" s="79"/>
      <c r="AC80" s="79"/>
      <c r="AD80" s="79"/>
      <c r="AE80" s="79" t="s">
        <v>63</v>
      </c>
      <c r="AF80" s="79"/>
      <c r="AG80" s="79"/>
      <c r="AH80" s="83"/>
      <c r="AI80" s="83"/>
      <c r="AJ80" s="83"/>
      <c r="AK80" s="83"/>
      <c r="AL80" s="83"/>
      <c r="AM80" s="83"/>
      <c r="AN80" s="83"/>
      <c r="AO80" s="83"/>
      <c r="AP80" s="83"/>
      <c r="AQ80" s="83"/>
      <c r="AR80" s="83"/>
      <c r="AS80" s="83"/>
      <c r="AT80" s="83"/>
      <c r="AU80" s="83"/>
      <c r="AV80" s="71"/>
      <c r="AW80" s="71"/>
      <c r="AX80" s="71"/>
      <c r="AY80" s="71"/>
      <c r="AZ80" s="71"/>
      <c r="BA80" s="71"/>
      <c r="BB80" s="71"/>
      <c r="BC80" s="71"/>
    </row>
    <row r="81" spans="1:55" s="76" customFormat="1" ht="12.95" customHeight="1">
      <c r="A81" s="77">
        <v>76</v>
      </c>
      <c r="B81" s="78" t="s">
        <v>139</v>
      </c>
      <c r="C81" s="79"/>
      <c r="D81" s="79"/>
      <c r="E81" s="79"/>
      <c r="F81" s="79"/>
      <c r="G81" s="79" t="s">
        <v>62</v>
      </c>
      <c r="H81" s="79" t="s">
        <v>63</v>
      </c>
      <c r="I81" s="79"/>
      <c r="J81" s="79"/>
      <c r="K81" s="79"/>
      <c r="L81" s="79"/>
      <c r="M81" s="79"/>
      <c r="N81" s="79"/>
      <c r="O81" s="79"/>
      <c r="P81" s="79"/>
      <c r="Q81" s="79"/>
      <c r="R81" s="79"/>
      <c r="S81" s="79"/>
      <c r="T81" s="79"/>
      <c r="U81" s="79"/>
      <c r="V81" s="79"/>
      <c r="W81" s="79"/>
      <c r="X81" s="79"/>
      <c r="Y81" s="79"/>
      <c r="Z81" s="79"/>
      <c r="AA81" s="79"/>
      <c r="AB81" s="79"/>
      <c r="AC81" s="79"/>
      <c r="AD81" s="79"/>
      <c r="AE81" s="79"/>
      <c r="AF81" s="79"/>
      <c r="AG81" s="79"/>
      <c r="AH81" s="83"/>
      <c r="AI81" s="83"/>
      <c r="AJ81" s="83"/>
      <c r="AK81" s="83"/>
      <c r="AL81" s="83"/>
      <c r="AM81" s="83"/>
      <c r="AN81" s="83"/>
      <c r="AO81" s="83"/>
      <c r="AP81" s="83"/>
      <c r="AQ81" s="83"/>
      <c r="AR81" s="83"/>
      <c r="AS81" s="83"/>
      <c r="AT81" s="83"/>
      <c r="AU81" s="83"/>
      <c r="AV81" s="71"/>
      <c r="AW81" s="71"/>
      <c r="AX81" s="71"/>
      <c r="AY81" s="71"/>
      <c r="AZ81" s="71"/>
      <c r="BA81" s="71"/>
      <c r="BB81" s="71"/>
      <c r="BC81" s="71"/>
    </row>
    <row r="82" spans="1:55" s="76" customFormat="1" ht="12.95" customHeight="1">
      <c r="A82" s="77">
        <v>77</v>
      </c>
      <c r="B82" s="78" t="s">
        <v>140</v>
      </c>
      <c r="C82" s="79"/>
      <c r="D82" s="79"/>
      <c r="E82" s="79"/>
      <c r="F82" s="79"/>
      <c r="G82" s="79" t="s">
        <v>62</v>
      </c>
      <c r="H82" s="79" t="s">
        <v>63</v>
      </c>
      <c r="I82" s="79"/>
      <c r="J82" s="79"/>
      <c r="K82" s="79"/>
      <c r="L82" s="79"/>
      <c r="M82" s="79"/>
      <c r="N82" s="79"/>
      <c r="O82" s="79"/>
      <c r="P82" s="79"/>
      <c r="Q82" s="79"/>
      <c r="R82" s="79"/>
      <c r="S82" s="79"/>
      <c r="T82" s="79"/>
      <c r="U82" s="79"/>
      <c r="V82" s="79"/>
      <c r="W82" s="79"/>
      <c r="X82" s="79"/>
      <c r="Y82" s="79"/>
      <c r="Z82" s="79"/>
      <c r="AA82" s="79"/>
      <c r="AB82" s="79"/>
      <c r="AC82" s="79"/>
      <c r="AD82" s="79"/>
      <c r="AE82" s="79" t="s">
        <v>62</v>
      </c>
      <c r="AF82" s="79"/>
      <c r="AG82" s="79"/>
      <c r="AH82" s="83"/>
      <c r="AI82" s="83"/>
      <c r="AJ82" s="83"/>
      <c r="AK82" s="83"/>
      <c r="AL82" s="83"/>
      <c r="AM82" s="83"/>
      <c r="AN82" s="83"/>
      <c r="AO82" s="83"/>
      <c r="AP82" s="83"/>
      <c r="AQ82" s="83"/>
      <c r="AR82" s="83"/>
      <c r="AS82" s="83"/>
      <c r="AT82" s="83"/>
      <c r="AU82" s="83"/>
      <c r="AV82" s="71"/>
      <c r="AW82" s="71"/>
      <c r="AX82" s="71"/>
      <c r="AY82" s="71"/>
      <c r="AZ82" s="71"/>
      <c r="BA82" s="71"/>
      <c r="BB82" s="71"/>
      <c r="BC82" s="71"/>
    </row>
    <row r="83" spans="1:55" s="76" customFormat="1" ht="12.95" customHeight="1">
      <c r="A83" s="77">
        <v>78</v>
      </c>
      <c r="B83" s="78" t="s">
        <v>141</v>
      </c>
      <c r="C83" s="79"/>
      <c r="D83" s="79"/>
      <c r="E83" s="79"/>
      <c r="F83" s="79"/>
      <c r="G83" s="79" t="s">
        <v>63</v>
      </c>
      <c r="H83" s="79"/>
      <c r="I83" s="79"/>
      <c r="J83" s="79" t="s">
        <v>62</v>
      </c>
      <c r="K83" s="79"/>
      <c r="L83" s="79"/>
      <c r="M83" s="79"/>
      <c r="N83" s="79" t="s">
        <v>63</v>
      </c>
      <c r="O83" s="79"/>
      <c r="P83" s="79"/>
      <c r="Q83" s="79" t="s">
        <v>62</v>
      </c>
      <c r="R83" s="79"/>
      <c r="S83" s="79"/>
      <c r="T83" s="79"/>
      <c r="U83" s="79" t="s">
        <v>62</v>
      </c>
      <c r="V83" s="79" t="s">
        <v>63</v>
      </c>
      <c r="W83" s="79"/>
      <c r="X83" s="79"/>
      <c r="Y83" s="79"/>
      <c r="Z83" s="79"/>
      <c r="AA83" s="79"/>
      <c r="AB83" s="79"/>
      <c r="AC83" s="79"/>
      <c r="AD83" s="79"/>
      <c r="AE83" s="79"/>
      <c r="AF83" s="79"/>
      <c r="AG83" s="79"/>
      <c r="AH83" s="83"/>
      <c r="AI83" s="83"/>
      <c r="AJ83" s="83"/>
      <c r="AK83" s="83"/>
      <c r="AL83" s="83"/>
      <c r="AM83" s="83"/>
      <c r="AN83" s="83"/>
      <c r="AO83" s="83"/>
      <c r="AP83" s="83"/>
      <c r="AQ83" s="83"/>
      <c r="AR83" s="83"/>
      <c r="AS83" s="83"/>
      <c r="AT83" s="83"/>
      <c r="AU83" s="83"/>
      <c r="AV83" s="71"/>
      <c r="AW83" s="71"/>
      <c r="AX83" s="71"/>
      <c r="AY83" s="71"/>
      <c r="AZ83" s="71"/>
      <c r="BA83" s="71"/>
      <c r="BB83" s="71"/>
      <c r="BC83" s="71"/>
    </row>
    <row r="84" spans="1:55" s="76" customFormat="1" ht="12.95" customHeight="1">
      <c r="A84" s="77">
        <v>79</v>
      </c>
      <c r="B84" s="78" t="s">
        <v>142</v>
      </c>
      <c r="C84" s="79"/>
      <c r="D84" s="79"/>
      <c r="E84" s="79"/>
      <c r="F84" s="79"/>
      <c r="G84" s="79" t="s">
        <v>62</v>
      </c>
      <c r="H84" s="79"/>
      <c r="I84" s="79" t="s">
        <v>62</v>
      </c>
      <c r="J84" s="79"/>
      <c r="K84" s="79" t="s">
        <v>63</v>
      </c>
      <c r="L84" s="79"/>
      <c r="M84" s="79"/>
      <c r="N84" s="79"/>
      <c r="O84" s="79"/>
      <c r="P84" s="79"/>
      <c r="Q84" s="79" t="s">
        <v>62</v>
      </c>
      <c r="R84" s="79"/>
      <c r="S84" s="79"/>
      <c r="T84" s="79"/>
      <c r="U84" s="79" t="s">
        <v>62</v>
      </c>
      <c r="V84" s="79"/>
      <c r="W84" s="79"/>
      <c r="X84" s="79"/>
      <c r="Y84" s="79"/>
      <c r="Z84" s="79" t="s">
        <v>62</v>
      </c>
      <c r="AA84" s="79"/>
      <c r="AB84" s="79" t="s">
        <v>63</v>
      </c>
      <c r="AC84" s="79"/>
      <c r="AD84" s="79"/>
      <c r="AE84" s="79"/>
      <c r="AF84" s="79"/>
      <c r="AG84" s="79"/>
      <c r="AH84" s="83"/>
      <c r="AI84" s="83"/>
      <c r="AJ84" s="83"/>
      <c r="AK84" s="83"/>
      <c r="AL84" s="83"/>
      <c r="AM84" s="83"/>
      <c r="AN84" s="83"/>
      <c r="AO84" s="83"/>
      <c r="AP84" s="83"/>
      <c r="AQ84" s="83"/>
      <c r="AR84" s="83"/>
      <c r="AS84" s="83"/>
      <c r="AT84" s="83"/>
      <c r="AU84" s="83"/>
      <c r="AV84" s="71"/>
      <c r="AW84" s="71"/>
      <c r="AX84" s="71"/>
      <c r="AY84" s="71"/>
      <c r="AZ84" s="71"/>
      <c r="BA84" s="71"/>
      <c r="BB84" s="71"/>
      <c r="BC84" s="71"/>
    </row>
    <row r="85" spans="1:55" s="76" customFormat="1" ht="12.95" customHeight="1">
      <c r="A85" s="77">
        <v>80</v>
      </c>
      <c r="B85" s="78" t="s">
        <v>143</v>
      </c>
      <c r="C85" s="79"/>
      <c r="D85" s="79"/>
      <c r="E85" s="79"/>
      <c r="F85" s="79"/>
      <c r="G85" s="79" t="s">
        <v>64</v>
      </c>
      <c r="H85" s="79"/>
      <c r="I85" s="79"/>
      <c r="J85" s="79"/>
      <c r="K85" s="79"/>
      <c r="L85" s="79"/>
      <c r="M85" s="79"/>
      <c r="N85" s="79"/>
      <c r="O85" s="79"/>
      <c r="P85" s="79"/>
      <c r="Q85" s="79"/>
      <c r="R85" s="79"/>
      <c r="S85" s="79"/>
      <c r="T85" s="79"/>
      <c r="U85" s="79"/>
      <c r="V85" s="79"/>
      <c r="W85" s="79"/>
      <c r="X85" s="79"/>
      <c r="Y85" s="79"/>
      <c r="Z85" s="79"/>
      <c r="AA85" s="79"/>
      <c r="AB85" s="79" t="s">
        <v>63</v>
      </c>
      <c r="AC85" s="79"/>
      <c r="AD85" s="79"/>
      <c r="AE85" s="79"/>
      <c r="AF85" s="79"/>
      <c r="AG85" s="79"/>
      <c r="AH85" s="83"/>
      <c r="AI85" s="83"/>
      <c r="AJ85" s="83"/>
      <c r="AK85" s="83"/>
      <c r="AL85" s="83"/>
      <c r="AM85" s="83"/>
      <c r="AN85" s="83"/>
      <c r="AO85" s="83"/>
      <c r="AP85" s="83"/>
      <c r="AQ85" s="83"/>
      <c r="AR85" s="83"/>
      <c r="AS85" s="83"/>
      <c r="AT85" s="83"/>
      <c r="AU85" s="83"/>
      <c r="AV85" s="71"/>
      <c r="AW85" s="71"/>
      <c r="AX85" s="71"/>
      <c r="AY85" s="71"/>
      <c r="AZ85" s="71"/>
      <c r="BA85" s="71"/>
      <c r="BB85" s="71"/>
      <c r="BC85" s="71"/>
    </row>
    <row r="86" spans="1:55" s="76" customFormat="1" ht="12.95" customHeight="1">
      <c r="A86" s="77">
        <v>81</v>
      </c>
      <c r="B86" s="78" t="s">
        <v>144</v>
      </c>
      <c r="C86" s="79"/>
      <c r="D86" s="79"/>
      <c r="E86" s="79"/>
      <c r="F86" s="79"/>
      <c r="G86" s="79" t="s">
        <v>62</v>
      </c>
      <c r="H86" s="79"/>
      <c r="I86" s="79" t="s">
        <v>63</v>
      </c>
      <c r="J86" s="79"/>
      <c r="K86" s="79"/>
      <c r="L86" s="79"/>
      <c r="M86" s="79"/>
      <c r="N86" s="79"/>
      <c r="O86" s="79"/>
      <c r="P86" s="79" t="s">
        <v>62</v>
      </c>
      <c r="Q86" s="79"/>
      <c r="R86" s="79"/>
      <c r="S86" s="79" t="s">
        <v>62</v>
      </c>
      <c r="T86" s="79"/>
      <c r="U86" s="79" t="s">
        <v>62</v>
      </c>
      <c r="V86" s="79"/>
      <c r="W86" s="79"/>
      <c r="X86" s="79" t="s">
        <v>62</v>
      </c>
      <c r="Y86" s="79"/>
      <c r="Z86" s="79" t="s">
        <v>62</v>
      </c>
      <c r="AA86" s="79"/>
      <c r="AB86" s="79" t="s">
        <v>63</v>
      </c>
      <c r="AC86" s="79"/>
      <c r="AD86" s="79"/>
      <c r="AE86" s="79"/>
      <c r="AF86" s="79"/>
      <c r="AG86" s="79"/>
      <c r="AH86" s="83"/>
      <c r="AI86" s="83"/>
      <c r="AJ86" s="83"/>
      <c r="AK86" s="83"/>
      <c r="AL86" s="83"/>
      <c r="AM86" s="83"/>
      <c r="AN86" s="83"/>
      <c r="AO86" s="83"/>
      <c r="AP86" s="83"/>
      <c r="AQ86" s="83"/>
      <c r="AR86" s="83"/>
      <c r="AS86" s="83"/>
      <c r="AT86" s="83"/>
      <c r="AU86" s="83"/>
      <c r="AV86" s="71"/>
      <c r="AW86" s="71"/>
      <c r="AX86" s="71"/>
      <c r="AY86" s="71"/>
      <c r="AZ86" s="71"/>
      <c r="BA86" s="71"/>
      <c r="BB86" s="71"/>
      <c r="BC86" s="71"/>
    </row>
    <row r="87" spans="1:55" s="76" customFormat="1" ht="12.95" customHeight="1">
      <c r="A87" s="77">
        <v>82</v>
      </c>
      <c r="B87" s="78" t="s">
        <v>145</v>
      </c>
      <c r="C87" s="79"/>
      <c r="D87" s="79"/>
      <c r="E87" s="79"/>
      <c r="F87" s="79"/>
      <c r="G87" s="79"/>
      <c r="H87" s="79"/>
      <c r="I87" s="79" t="s">
        <v>62</v>
      </c>
      <c r="J87" s="79" t="s">
        <v>63</v>
      </c>
      <c r="K87" s="79"/>
      <c r="L87" s="79"/>
      <c r="M87" s="79"/>
      <c r="N87" s="79"/>
      <c r="O87" s="79"/>
      <c r="P87" s="79"/>
      <c r="Q87" s="79"/>
      <c r="R87" s="79"/>
      <c r="S87" s="79"/>
      <c r="T87" s="79"/>
      <c r="U87" s="79"/>
      <c r="V87" s="79"/>
      <c r="W87" s="79"/>
      <c r="X87" s="79"/>
      <c r="Y87" s="79"/>
      <c r="Z87" s="79"/>
      <c r="AA87" s="79"/>
      <c r="AB87" s="79"/>
      <c r="AC87" s="79"/>
      <c r="AD87" s="79"/>
      <c r="AE87" s="79"/>
      <c r="AF87" s="79"/>
      <c r="AG87" s="79"/>
      <c r="AH87" s="83"/>
      <c r="AI87" s="83"/>
      <c r="AJ87" s="83"/>
      <c r="AK87" s="83"/>
      <c r="AL87" s="83"/>
      <c r="AM87" s="83"/>
      <c r="AN87" s="83"/>
      <c r="AO87" s="83"/>
      <c r="AP87" s="83"/>
      <c r="AQ87" s="83"/>
      <c r="AR87" s="83"/>
      <c r="AS87" s="83"/>
      <c r="AT87" s="83"/>
      <c r="AU87" s="83"/>
      <c r="AV87" s="71"/>
      <c r="AW87" s="71"/>
      <c r="AX87" s="71"/>
      <c r="AY87" s="71"/>
      <c r="AZ87" s="71"/>
      <c r="BA87" s="71"/>
      <c r="BB87" s="71"/>
      <c r="BC87" s="71"/>
    </row>
    <row r="88" spans="1:55" s="76" customFormat="1" ht="12.95" customHeight="1">
      <c r="A88" s="77">
        <v>83</v>
      </c>
      <c r="B88" s="78" t="s">
        <v>146</v>
      </c>
      <c r="C88" s="79"/>
      <c r="D88" s="79"/>
      <c r="E88" s="79" t="s">
        <v>64</v>
      </c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Z88" s="79"/>
      <c r="AA88" s="79"/>
      <c r="AB88" s="79" t="s">
        <v>63</v>
      </c>
      <c r="AC88" s="79"/>
      <c r="AD88" s="79"/>
      <c r="AE88" s="79"/>
      <c r="AF88" s="79"/>
      <c r="AG88" s="79"/>
      <c r="AH88" s="83"/>
      <c r="AI88" s="83"/>
      <c r="AJ88" s="83"/>
      <c r="AK88" s="83"/>
      <c r="AL88" s="83"/>
      <c r="AM88" s="83"/>
      <c r="AN88" s="83"/>
      <c r="AO88" s="83"/>
      <c r="AP88" s="83"/>
      <c r="AQ88" s="83"/>
      <c r="AR88" s="83"/>
      <c r="AS88" s="83"/>
      <c r="AT88" s="83"/>
      <c r="AU88" s="83"/>
      <c r="AV88" s="71"/>
      <c r="AW88" s="71"/>
      <c r="AX88" s="71"/>
      <c r="AY88" s="71"/>
      <c r="AZ88" s="71"/>
      <c r="BA88" s="71"/>
      <c r="BB88" s="71"/>
      <c r="BC88" s="71"/>
    </row>
    <row r="89" spans="1:55" s="76" customFormat="1" ht="12.95" customHeight="1">
      <c r="A89" s="77">
        <v>84</v>
      </c>
      <c r="B89" s="78" t="s">
        <v>147</v>
      </c>
      <c r="C89" s="79"/>
      <c r="D89" s="79"/>
      <c r="E89" s="79"/>
      <c r="F89" s="79"/>
      <c r="G89" s="79"/>
      <c r="H89" s="79"/>
      <c r="I89" s="79" t="s">
        <v>64</v>
      </c>
      <c r="J89" s="79"/>
      <c r="K89" s="79" t="s">
        <v>62</v>
      </c>
      <c r="L89" s="79"/>
      <c r="M89" s="79"/>
      <c r="N89" s="79"/>
      <c r="O89" s="79"/>
      <c r="P89" s="79" t="s">
        <v>62</v>
      </c>
      <c r="Q89" s="79"/>
      <c r="R89" s="79"/>
      <c r="S89" s="79"/>
      <c r="T89" s="79"/>
      <c r="U89" s="79" t="s">
        <v>64</v>
      </c>
      <c r="V89" s="79"/>
      <c r="W89" s="79"/>
      <c r="X89" s="79"/>
      <c r="Y89" s="79"/>
      <c r="Z89" s="79"/>
      <c r="AA89" s="79"/>
      <c r="AB89" s="79"/>
      <c r="AC89" s="79"/>
      <c r="AD89" s="79"/>
      <c r="AE89" s="79"/>
      <c r="AF89" s="79"/>
      <c r="AG89" s="79"/>
      <c r="AH89" s="83"/>
      <c r="AI89" s="83"/>
      <c r="AJ89" s="83"/>
      <c r="AK89" s="83"/>
      <c r="AL89" s="83"/>
      <c r="AM89" s="83"/>
      <c r="AN89" s="83"/>
      <c r="AO89" s="83"/>
      <c r="AP89" s="83"/>
      <c r="AQ89" s="83"/>
      <c r="AR89" s="83"/>
      <c r="AS89" s="83"/>
      <c r="AT89" s="83"/>
      <c r="AU89" s="83"/>
      <c r="AV89" s="71"/>
      <c r="AW89" s="71"/>
      <c r="AX89" s="71"/>
      <c r="AY89" s="71"/>
      <c r="AZ89" s="71"/>
      <c r="BA89" s="71"/>
      <c r="BB89" s="71"/>
      <c r="BC89" s="71"/>
    </row>
    <row r="90" spans="1:55" s="76" customFormat="1" ht="12.95" customHeight="1">
      <c r="A90" s="77">
        <v>85</v>
      </c>
      <c r="B90" s="78" t="s">
        <v>148</v>
      </c>
      <c r="C90" s="79"/>
      <c r="D90" s="79"/>
      <c r="E90" s="79"/>
      <c r="F90" s="79"/>
      <c r="G90" s="79" t="s">
        <v>64</v>
      </c>
      <c r="H90" s="79"/>
      <c r="I90" s="79"/>
      <c r="J90" s="79"/>
      <c r="K90" s="79"/>
      <c r="L90" s="79"/>
      <c r="M90" s="79"/>
      <c r="N90" s="79"/>
      <c r="O90" s="79"/>
      <c r="P90" s="79"/>
      <c r="Q90" s="79"/>
      <c r="R90" s="79"/>
      <c r="S90" s="79"/>
      <c r="T90" s="79"/>
      <c r="U90" s="79"/>
      <c r="V90" s="79"/>
      <c r="W90" s="79"/>
      <c r="X90" s="79"/>
      <c r="Y90" s="79"/>
      <c r="Z90" s="79"/>
      <c r="AA90" s="79"/>
      <c r="AB90" s="79"/>
      <c r="AC90" s="79"/>
      <c r="AD90" s="79"/>
      <c r="AE90" s="79"/>
      <c r="AF90" s="79"/>
      <c r="AG90" s="79"/>
      <c r="AH90" s="83"/>
      <c r="AI90" s="83"/>
      <c r="AJ90" s="83"/>
      <c r="AK90" s="83"/>
      <c r="AL90" s="83"/>
      <c r="AM90" s="83"/>
      <c r="AN90" s="83"/>
      <c r="AO90" s="83"/>
      <c r="AP90" s="83"/>
      <c r="AQ90" s="83"/>
      <c r="AR90" s="83"/>
      <c r="AS90" s="83"/>
      <c r="AT90" s="83"/>
      <c r="AU90" s="83"/>
      <c r="AV90" s="71"/>
      <c r="AW90" s="71"/>
      <c r="AX90" s="71"/>
      <c r="AY90" s="71"/>
      <c r="AZ90" s="71"/>
      <c r="BA90" s="71"/>
      <c r="BB90" s="71"/>
      <c r="BC90" s="71"/>
    </row>
    <row r="91" spans="1:55" s="76" customFormat="1" ht="12.95" customHeight="1">
      <c r="A91" s="77">
        <v>86</v>
      </c>
      <c r="B91" s="78" t="s">
        <v>149</v>
      </c>
      <c r="C91" s="79"/>
      <c r="D91" s="79"/>
      <c r="E91" s="79"/>
      <c r="F91" s="79"/>
      <c r="G91" s="79"/>
      <c r="H91" s="79"/>
      <c r="I91" s="79"/>
      <c r="J91" s="79"/>
      <c r="K91" s="79"/>
      <c r="L91" s="79"/>
      <c r="M91" s="79"/>
      <c r="N91" s="79"/>
      <c r="O91" s="79"/>
      <c r="P91" s="79"/>
      <c r="Q91" s="79"/>
      <c r="R91" s="79"/>
      <c r="S91" s="79"/>
      <c r="T91" s="79"/>
      <c r="U91" s="79"/>
      <c r="V91" s="79"/>
      <c r="W91" s="79"/>
      <c r="X91" s="79"/>
      <c r="Y91" s="79"/>
      <c r="Z91" s="79"/>
      <c r="AA91" s="79"/>
      <c r="AB91" s="79"/>
      <c r="AC91" s="79"/>
      <c r="AD91" s="79"/>
      <c r="AE91" s="79"/>
      <c r="AF91" s="79"/>
      <c r="AG91" s="79"/>
      <c r="AH91" s="83"/>
      <c r="AI91" s="83"/>
      <c r="AJ91" s="83"/>
      <c r="AK91" s="83"/>
      <c r="AL91" s="83"/>
      <c r="AM91" s="83"/>
      <c r="AN91" s="83"/>
      <c r="AO91" s="83"/>
      <c r="AP91" s="83"/>
      <c r="AQ91" s="83"/>
      <c r="AR91" s="83"/>
      <c r="AS91" s="83"/>
      <c r="AT91" s="83"/>
      <c r="AU91" s="83"/>
      <c r="AV91" s="71"/>
      <c r="AW91" s="71"/>
      <c r="AX91" s="71"/>
      <c r="AY91" s="71"/>
      <c r="AZ91" s="71"/>
      <c r="BA91" s="71"/>
      <c r="BB91" s="71"/>
      <c r="BC91" s="71"/>
    </row>
    <row r="92" spans="1:55" s="76" customFormat="1" ht="12.95" customHeight="1">
      <c r="A92" s="77">
        <v>87</v>
      </c>
      <c r="B92" s="78" t="s">
        <v>150</v>
      </c>
      <c r="C92" s="79"/>
      <c r="D92" s="79"/>
      <c r="E92" s="79"/>
      <c r="F92" s="79"/>
      <c r="G92" s="79" t="s">
        <v>64</v>
      </c>
      <c r="H92" s="79"/>
      <c r="I92" s="79"/>
      <c r="J92" s="79"/>
      <c r="K92" s="79" t="s">
        <v>62</v>
      </c>
      <c r="L92" s="79"/>
      <c r="M92" s="79"/>
      <c r="N92" s="79"/>
      <c r="O92" s="79" t="s">
        <v>62</v>
      </c>
      <c r="P92" s="79"/>
      <c r="Q92" s="79" t="s">
        <v>62</v>
      </c>
      <c r="R92" s="79"/>
      <c r="S92" s="79" t="s">
        <v>63</v>
      </c>
      <c r="T92" s="79"/>
      <c r="U92" s="79"/>
      <c r="V92" s="79"/>
      <c r="W92" s="79"/>
      <c r="X92" s="79"/>
      <c r="Y92" s="79" t="s">
        <v>62</v>
      </c>
      <c r="Z92" s="79" t="s">
        <v>63</v>
      </c>
      <c r="AA92" s="79"/>
      <c r="AB92" s="79"/>
      <c r="AC92" s="79"/>
      <c r="AD92" s="79"/>
      <c r="AE92" s="79"/>
      <c r="AF92" s="79" t="s">
        <v>62</v>
      </c>
      <c r="AG92" s="79" t="s">
        <v>63</v>
      </c>
      <c r="AH92" s="83"/>
      <c r="AI92" s="83"/>
      <c r="AJ92" s="83"/>
      <c r="AK92" s="83"/>
      <c r="AL92" s="83"/>
      <c r="AM92" s="83"/>
      <c r="AN92" s="83"/>
      <c r="AO92" s="83"/>
      <c r="AP92" s="83"/>
      <c r="AQ92" s="83"/>
      <c r="AR92" s="83"/>
      <c r="AS92" s="83"/>
      <c r="AT92" s="83"/>
      <c r="AU92" s="83"/>
      <c r="AV92" s="71"/>
      <c r="AW92" s="71"/>
      <c r="AX92" s="71"/>
      <c r="AY92" s="71"/>
      <c r="AZ92" s="71"/>
      <c r="BA92" s="71"/>
      <c r="BB92" s="71"/>
      <c r="BC92" s="71"/>
    </row>
    <row r="93" spans="1:55" s="76" customFormat="1" ht="12.95" customHeight="1">
      <c r="A93" s="77">
        <v>88</v>
      </c>
      <c r="B93" s="78"/>
      <c r="C93" s="79"/>
      <c r="D93" s="79"/>
      <c r="E93" s="79"/>
      <c r="F93" s="79"/>
      <c r="G93" s="79"/>
      <c r="H93" s="79"/>
      <c r="I93" s="79"/>
      <c r="J93" s="79"/>
      <c r="K93" s="79"/>
      <c r="L93" s="79"/>
      <c r="M93" s="79"/>
      <c r="N93" s="79"/>
      <c r="O93" s="79"/>
      <c r="P93" s="79"/>
      <c r="Q93" s="79"/>
      <c r="R93" s="79"/>
      <c r="S93" s="79"/>
      <c r="T93" s="79"/>
      <c r="U93" s="79"/>
      <c r="V93" s="79"/>
      <c r="W93" s="79"/>
      <c r="X93" s="79"/>
      <c r="Y93" s="79"/>
      <c r="Z93" s="79"/>
      <c r="AA93" s="79"/>
      <c r="AB93" s="79"/>
      <c r="AC93" s="79"/>
      <c r="AD93" s="79"/>
      <c r="AE93" s="79"/>
      <c r="AF93" s="79"/>
      <c r="AG93" s="79"/>
      <c r="AH93" s="83"/>
      <c r="AI93" s="83"/>
      <c r="AJ93" s="83"/>
      <c r="AK93" s="83"/>
      <c r="AL93" s="83"/>
      <c r="AM93" s="83"/>
      <c r="AN93" s="83"/>
      <c r="AO93" s="83"/>
      <c r="AP93" s="83"/>
      <c r="AQ93" s="83"/>
      <c r="AR93" s="83"/>
      <c r="AS93" s="83"/>
      <c r="AT93" s="83"/>
      <c r="AU93" s="83"/>
      <c r="AV93" s="71"/>
      <c r="AW93" s="71"/>
      <c r="AX93" s="71"/>
      <c r="AY93" s="71"/>
      <c r="AZ93" s="71"/>
      <c r="BA93" s="71"/>
      <c r="BB93" s="71"/>
      <c r="BC93" s="71"/>
    </row>
    <row r="94" spans="1:55" s="76" customFormat="1" ht="12.95" customHeight="1">
      <c r="A94" s="77">
        <v>89</v>
      </c>
      <c r="B94" s="78"/>
      <c r="C94" s="79"/>
      <c r="D94" s="79"/>
      <c r="E94" s="79"/>
      <c r="F94" s="79"/>
      <c r="G94" s="79"/>
      <c r="H94" s="79"/>
      <c r="I94" s="79"/>
      <c r="J94" s="79"/>
      <c r="K94" s="79"/>
      <c r="L94" s="79"/>
      <c r="M94" s="79"/>
      <c r="N94" s="79"/>
      <c r="O94" s="79"/>
      <c r="P94" s="79"/>
      <c r="Q94" s="79"/>
      <c r="R94" s="79"/>
      <c r="S94" s="79"/>
      <c r="T94" s="79"/>
      <c r="U94" s="79"/>
      <c r="V94" s="79"/>
      <c r="W94" s="79"/>
      <c r="X94" s="79"/>
      <c r="Y94" s="79"/>
      <c r="Z94" s="79"/>
      <c r="AA94" s="79"/>
      <c r="AB94" s="79"/>
      <c r="AC94" s="79"/>
      <c r="AD94" s="79"/>
      <c r="AE94" s="79"/>
      <c r="AF94" s="79"/>
      <c r="AG94" s="79"/>
      <c r="AH94" s="83"/>
      <c r="AI94" s="83"/>
      <c r="AJ94" s="83"/>
      <c r="AK94" s="83"/>
      <c r="AL94" s="83"/>
      <c r="AM94" s="83"/>
      <c r="AN94" s="83"/>
      <c r="AO94" s="83"/>
      <c r="AP94" s="83"/>
      <c r="AQ94" s="83"/>
      <c r="AR94" s="83"/>
      <c r="AS94" s="83"/>
      <c r="AT94" s="83"/>
      <c r="AU94" s="83"/>
      <c r="AV94" s="71"/>
      <c r="AW94" s="71"/>
      <c r="AX94" s="71"/>
      <c r="AY94" s="71"/>
      <c r="AZ94" s="71"/>
      <c r="BA94" s="71"/>
      <c r="BB94" s="71"/>
      <c r="BC94" s="71"/>
    </row>
    <row r="95" spans="1:55" s="76" customFormat="1" ht="12.95" customHeight="1">
      <c r="A95" s="77">
        <v>90</v>
      </c>
      <c r="B95" s="78"/>
      <c r="C95" s="79"/>
      <c r="D95" s="79"/>
      <c r="E95" s="79"/>
      <c r="F95" s="79"/>
      <c r="G95" s="79"/>
      <c r="H95" s="79"/>
      <c r="I95" s="79"/>
      <c r="J95" s="79"/>
      <c r="K95" s="79"/>
      <c r="L95" s="79"/>
      <c r="M95" s="79"/>
      <c r="N95" s="79"/>
      <c r="O95" s="79"/>
      <c r="P95" s="79"/>
      <c r="Q95" s="79"/>
      <c r="R95" s="79"/>
      <c r="S95" s="79"/>
      <c r="T95" s="79"/>
      <c r="U95" s="79"/>
      <c r="V95" s="79"/>
      <c r="W95" s="79"/>
      <c r="X95" s="79"/>
      <c r="Y95" s="79"/>
      <c r="Z95" s="79"/>
      <c r="AA95" s="79"/>
      <c r="AB95" s="79"/>
      <c r="AC95" s="79"/>
      <c r="AD95" s="79"/>
      <c r="AE95" s="79"/>
      <c r="AF95" s="79"/>
      <c r="AG95" s="79"/>
      <c r="AH95" s="83"/>
      <c r="AI95" s="83"/>
      <c r="AJ95" s="83"/>
      <c r="AK95" s="83"/>
      <c r="AL95" s="83"/>
      <c r="AM95" s="83"/>
      <c r="AN95" s="83"/>
      <c r="AO95" s="83"/>
      <c r="AP95" s="83"/>
      <c r="AQ95" s="83"/>
      <c r="AR95" s="83"/>
      <c r="AS95" s="83"/>
      <c r="AT95" s="83"/>
      <c r="AU95" s="83"/>
      <c r="AV95" s="71"/>
      <c r="AW95" s="71"/>
      <c r="AX95" s="71"/>
      <c r="AY95" s="71"/>
      <c r="AZ95" s="71"/>
      <c r="BA95" s="71"/>
      <c r="BB95" s="71"/>
      <c r="BC95" s="71"/>
    </row>
    <row r="96" spans="1:55" s="76" customFormat="1" ht="12.95" hidden="1" customHeight="1">
      <c r="A96" s="77">
        <v>91</v>
      </c>
      <c r="B96" s="78"/>
      <c r="C96" s="79"/>
      <c r="D96" s="79"/>
      <c r="E96" s="79"/>
      <c r="F96" s="79"/>
      <c r="G96" s="79"/>
      <c r="H96" s="79"/>
      <c r="I96" s="79"/>
      <c r="J96" s="79"/>
      <c r="K96" s="79"/>
      <c r="L96" s="79"/>
      <c r="M96" s="79"/>
      <c r="N96" s="79"/>
      <c r="O96" s="79"/>
      <c r="P96" s="79"/>
      <c r="Q96" s="79"/>
      <c r="R96" s="79"/>
      <c r="S96" s="79"/>
      <c r="T96" s="79"/>
      <c r="U96" s="79"/>
      <c r="V96" s="79"/>
      <c r="W96" s="79"/>
      <c r="X96" s="79"/>
      <c r="Y96" s="79"/>
      <c r="Z96" s="79"/>
      <c r="AA96" s="79"/>
      <c r="AB96" s="79"/>
      <c r="AC96" s="79"/>
      <c r="AD96" s="79"/>
      <c r="AE96" s="79"/>
      <c r="AF96" s="79"/>
      <c r="AG96" s="79"/>
      <c r="AH96" s="83"/>
      <c r="AI96" s="83"/>
      <c r="AJ96" s="83"/>
      <c r="AK96" s="83"/>
      <c r="AL96" s="83"/>
      <c r="AM96" s="83"/>
      <c r="AN96" s="83"/>
      <c r="AO96" s="83"/>
      <c r="AP96" s="83"/>
      <c r="AQ96" s="83"/>
      <c r="AR96" s="83"/>
      <c r="AS96" s="83"/>
      <c r="AT96" s="83"/>
      <c r="AU96" s="83"/>
      <c r="AV96" s="71"/>
      <c r="AW96" s="71"/>
      <c r="AX96" s="71"/>
      <c r="AY96" s="71"/>
      <c r="AZ96" s="71"/>
      <c r="BA96" s="71"/>
      <c r="BB96" s="71"/>
      <c r="BC96" s="71"/>
    </row>
    <row r="97" spans="1:55" s="76" customFormat="1" ht="12.95" hidden="1" customHeight="1">
      <c r="A97" s="77">
        <v>92</v>
      </c>
      <c r="B97" s="78"/>
      <c r="C97" s="79"/>
      <c r="D97" s="79"/>
      <c r="E97" s="79"/>
      <c r="F97" s="79"/>
      <c r="G97" s="79"/>
      <c r="H97" s="79"/>
      <c r="I97" s="79"/>
      <c r="J97" s="79"/>
      <c r="K97" s="79"/>
      <c r="L97" s="79"/>
      <c r="M97" s="79"/>
      <c r="N97" s="79"/>
      <c r="O97" s="79"/>
      <c r="P97" s="79"/>
      <c r="Q97" s="79"/>
      <c r="R97" s="79"/>
      <c r="S97" s="79"/>
      <c r="T97" s="79"/>
      <c r="U97" s="79"/>
      <c r="V97" s="79"/>
      <c r="W97" s="79"/>
      <c r="X97" s="79"/>
      <c r="Y97" s="79"/>
      <c r="Z97" s="79"/>
      <c r="AA97" s="79"/>
      <c r="AB97" s="79"/>
      <c r="AC97" s="79"/>
      <c r="AD97" s="79"/>
      <c r="AE97" s="79"/>
      <c r="AF97" s="79"/>
      <c r="AG97" s="79"/>
      <c r="AH97" s="83"/>
      <c r="AI97" s="83"/>
      <c r="AJ97" s="83"/>
      <c r="AK97" s="83"/>
      <c r="AL97" s="83"/>
      <c r="AM97" s="83"/>
      <c r="AN97" s="83"/>
      <c r="AO97" s="83"/>
      <c r="AP97" s="83"/>
      <c r="AQ97" s="83"/>
      <c r="AR97" s="83"/>
      <c r="AS97" s="83"/>
      <c r="AT97" s="83"/>
      <c r="AU97" s="83"/>
      <c r="AV97" s="71"/>
      <c r="AW97" s="71"/>
      <c r="AX97" s="71"/>
      <c r="AY97" s="71"/>
      <c r="AZ97" s="71"/>
      <c r="BA97" s="71"/>
      <c r="BB97" s="71"/>
      <c r="BC97" s="71"/>
    </row>
    <row r="98" spans="1:55" s="76" customFormat="1" ht="12.95" hidden="1" customHeight="1">
      <c r="A98" s="77">
        <v>93</v>
      </c>
      <c r="B98" s="78"/>
      <c r="C98" s="79"/>
      <c r="D98" s="79"/>
      <c r="E98" s="79"/>
      <c r="F98" s="79"/>
      <c r="G98" s="79"/>
      <c r="H98" s="79"/>
      <c r="I98" s="79"/>
      <c r="J98" s="79"/>
      <c r="K98" s="79"/>
      <c r="L98" s="79"/>
      <c r="M98" s="79"/>
      <c r="N98" s="79"/>
      <c r="O98" s="79"/>
      <c r="P98" s="79"/>
      <c r="Q98" s="79"/>
      <c r="R98" s="79"/>
      <c r="S98" s="79"/>
      <c r="T98" s="79"/>
      <c r="U98" s="79"/>
      <c r="V98" s="79"/>
      <c r="W98" s="79"/>
      <c r="X98" s="79"/>
      <c r="Y98" s="79"/>
      <c r="Z98" s="79"/>
      <c r="AA98" s="79"/>
      <c r="AB98" s="79"/>
      <c r="AC98" s="79"/>
      <c r="AD98" s="79"/>
      <c r="AE98" s="79"/>
      <c r="AF98" s="79"/>
      <c r="AG98" s="79"/>
      <c r="AH98" s="83"/>
      <c r="AI98" s="83"/>
      <c r="AJ98" s="83"/>
      <c r="AK98" s="83"/>
      <c r="AL98" s="83"/>
      <c r="AM98" s="83"/>
      <c r="AN98" s="83"/>
      <c r="AO98" s="83"/>
      <c r="AP98" s="83"/>
      <c r="AQ98" s="83"/>
      <c r="AR98" s="83"/>
      <c r="AS98" s="83"/>
      <c r="AT98" s="83"/>
      <c r="AU98" s="83"/>
      <c r="AV98" s="71"/>
      <c r="AW98" s="71"/>
      <c r="AX98" s="71"/>
      <c r="AY98" s="71"/>
      <c r="AZ98" s="71"/>
      <c r="BA98" s="71"/>
      <c r="BB98" s="71"/>
      <c r="BC98" s="71"/>
    </row>
    <row r="99" spans="1:55" s="76" customFormat="1" ht="12.95" hidden="1" customHeight="1">
      <c r="A99" s="77">
        <v>94</v>
      </c>
      <c r="B99" s="78"/>
      <c r="C99" s="79"/>
      <c r="D99" s="79"/>
      <c r="E99" s="79"/>
      <c r="F99" s="79"/>
      <c r="G99" s="79"/>
      <c r="H99" s="79"/>
      <c r="I99" s="79"/>
      <c r="J99" s="79"/>
      <c r="K99" s="79"/>
      <c r="L99" s="79"/>
      <c r="M99" s="79"/>
      <c r="N99" s="79"/>
      <c r="O99" s="79"/>
      <c r="P99" s="79"/>
      <c r="Q99" s="79"/>
      <c r="R99" s="79"/>
      <c r="S99" s="79"/>
      <c r="T99" s="79"/>
      <c r="U99" s="79"/>
      <c r="V99" s="79"/>
      <c r="W99" s="79"/>
      <c r="X99" s="79"/>
      <c r="Y99" s="79"/>
      <c r="Z99" s="79"/>
      <c r="AA99" s="79"/>
      <c r="AB99" s="79"/>
      <c r="AC99" s="79"/>
      <c r="AD99" s="79"/>
      <c r="AE99" s="79"/>
      <c r="AF99" s="79"/>
      <c r="AG99" s="79"/>
      <c r="AH99" s="83"/>
      <c r="AI99" s="83"/>
      <c r="AJ99" s="83"/>
      <c r="AK99" s="83"/>
      <c r="AL99" s="83"/>
      <c r="AM99" s="83"/>
      <c r="AN99" s="83"/>
      <c r="AO99" s="83"/>
      <c r="AP99" s="83"/>
      <c r="AQ99" s="83"/>
      <c r="AR99" s="83"/>
      <c r="AS99" s="83"/>
      <c r="AT99" s="83"/>
      <c r="AU99" s="83"/>
      <c r="AV99" s="71"/>
      <c r="AW99" s="71"/>
      <c r="AX99" s="71"/>
      <c r="AY99" s="71"/>
      <c r="AZ99" s="71"/>
      <c r="BA99" s="71"/>
      <c r="BB99" s="71"/>
      <c r="BC99" s="71"/>
    </row>
    <row r="100" spans="1:55" s="76" customFormat="1" ht="12.95" hidden="1" customHeight="1">
      <c r="A100" s="77">
        <v>95</v>
      </c>
      <c r="B100" s="78"/>
      <c r="C100" s="79"/>
      <c r="D100" s="79"/>
      <c r="E100" s="79"/>
      <c r="F100" s="79"/>
      <c r="G100" s="79"/>
      <c r="H100" s="79"/>
      <c r="I100" s="79"/>
      <c r="J100" s="79"/>
      <c r="K100" s="79"/>
      <c r="L100" s="79"/>
      <c r="M100" s="79"/>
      <c r="N100" s="79"/>
      <c r="O100" s="79"/>
      <c r="P100" s="79"/>
      <c r="Q100" s="79"/>
      <c r="R100" s="79"/>
      <c r="S100" s="79"/>
      <c r="T100" s="79"/>
      <c r="U100" s="79"/>
      <c r="V100" s="79"/>
      <c r="W100" s="79"/>
      <c r="X100" s="79"/>
      <c r="Y100" s="79"/>
      <c r="Z100" s="79"/>
      <c r="AA100" s="79"/>
      <c r="AB100" s="79"/>
      <c r="AC100" s="79"/>
      <c r="AD100" s="79"/>
      <c r="AE100" s="79"/>
      <c r="AF100" s="79"/>
      <c r="AG100" s="79"/>
      <c r="AH100" s="83"/>
      <c r="AI100" s="83"/>
      <c r="AJ100" s="83"/>
      <c r="AK100" s="83"/>
      <c r="AL100" s="83"/>
      <c r="AM100" s="83"/>
      <c r="AN100" s="83"/>
      <c r="AO100" s="83"/>
      <c r="AP100" s="83"/>
      <c r="AQ100" s="83"/>
      <c r="AR100" s="83"/>
      <c r="AS100" s="83"/>
      <c r="AT100" s="83"/>
      <c r="AU100" s="83"/>
      <c r="AV100" s="71"/>
      <c r="AW100" s="71"/>
      <c r="AX100" s="71"/>
      <c r="AY100" s="71"/>
      <c r="AZ100" s="71"/>
      <c r="BA100" s="71"/>
      <c r="BB100" s="71"/>
      <c r="BC100" s="71"/>
    </row>
    <row r="101" spans="1:55" s="76" customFormat="1" ht="12.95" hidden="1" customHeight="1">
      <c r="A101" s="77">
        <v>96</v>
      </c>
      <c r="B101" s="78"/>
      <c r="C101" s="79"/>
      <c r="D101" s="79"/>
      <c r="E101" s="79"/>
      <c r="F101" s="79"/>
      <c r="G101" s="79"/>
      <c r="H101" s="79"/>
      <c r="I101" s="79"/>
      <c r="J101" s="79"/>
      <c r="K101" s="79"/>
      <c r="L101" s="79"/>
      <c r="M101" s="79"/>
      <c r="N101" s="79"/>
      <c r="O101" s="79"/>
      <c r="P101" s="79"/>
      <c r="Q101" s="79"/>
      <c r="R101" s="79"/>
      <c r="S101" s="79"/>
      <c r="T101" s="79"/>
      <c r="U101" s="79"/>
      <c r="V101" s="79"/>
      <c r="W101" s="79"/>
      <c r="X101" s="79"/>
      <c r="Y101" s="79"/>
      <c r="Z101" s="79"/>
      <c r="AA101" s="79"/>
      <c r="AB101" s="79"/>
      <c r="AC101" s="79"/>
      <c r="AD101" s="79"/>
      <c r="AE101" s="79"/>
      <c r="AF101" s="79"/>
      <c r="AG101" s="79"/>
      <c r="AH101" s="83"/>
      <c r="AI101" s="83"/>
      <c r="AJ101" s="83"/>
      <c r="AK101" s="83"/>
      <c r="AL101" s="83"/>
      <c r="AM101" s="83"/>
      <c r="AN101" s="83"/>
      <c r="AO101" s="83"/>
      <c r="AP101" s="83"/>
      <c r="AQ101" s="83"/>
      <c r="AR101" s="83"/>
      <c r="AS101" s="83"/>
      <c r="AT101" s="83"/>
      <c r="AU101" s="83"/>
      <c r="AV101" s="71"/>
      <c r="AW101" s="71"/>
      <c r="AX101" s="71"/>
      <c r="AY101" s="71"/>
      <c r="AZ101" s="71"/>
      <c r="BA101" s="71"/>
      <c r="BB101" s="71"/>
      <c r="BC101" s="71"/>
    </row>
    <row r="102" spans="1:55" s="76" customFormat="1" ht="12.95" hidden="1" customHeight="1">
      <c r="A102" s="77">
        <v>97</v>
      </c>
      <c r="B102" s="78"/>
      <c r="C102" s="79"/>
      <c r="D102" s="79"/>
      <c r="E102" s="79"/>
      <c r="F102" s="79"/>
      <c r="G102" s="79"/>
      <c r="H102" s="79"/>
      <c r="I102" s="79"/>
      <c r="J102" s="79"/>
      <c r="K102" s="79"/>
      <c r="L102" s="79"/>
      <c r="M102" s="79"/>
      <c r="N102" s="79"/>
      <c r="O102" s="79"/>
      <c r="P102" s="79"/>
      <c r="Q102" s="79"/>
      <c r="R102" s="79"/>
      <c r="S102" s="79"/>
      <c r="T102" s="79"/>
      <c r="U102" s="79"/>
      <c r="V102" s="79"/>
      <c r="W102" s="79"/>
      <c r="X102" s="79"/>
      <c r="Y102" s="79"/>
      <c r="Z102" s="79"/>
      <c r="AA102" s="79"/>
      <c r="AB102" s="79"/>
      <c r="AC102" s="79"/>
      <c r="AD102" s="79"/>
      <c r="AE102" s="79"/>
      <c r="AF102" s="79"/>
      <c r="AG102" s="79"/>
      <c r="AH102" s="83"/>
      <c r="AI102" s="83"/>
      <c r="AJ102" s="83"/>
      <c r="AK102" s="83"/>
      <c r="AL102" s="83"/>
      <c r="AM102" s="83"/>
      <c r="AN102" s="83"/>
      <c r="AO102" s="83"/>
      <c r="AP102" s="83"/>
      <c r="AQ102" s="83"/>
      <c r="AR102" s="83"/>
      <c r="AS102" s="83"/>
      <c r="AT102" s="83"/>
      <c r="AU102" s="83"/>
      <c r="AV102" s="71"/>
      <c r="AW102" s="71"/>
      <c r="AX102" s="71"/>
      <c r="AY102" s="71"/>
      <c r="AZ102" s="71"/>
      <c r="BA102" s="71"/>
      <c r="BB102" s="71"/>
      <c r="BC102" s="71"/>
    </row>
    <row r="103" spans="1:55" s="76" customFormat="1" ht="12.95" hidden="1" customHeight="1">
      <c r="A103" s="77">
        <v>98</v>
      </c>
      <c r="B103" s="78"/>
      <c r="C103" s="79"/>
      <c r="D103" s="79"/>
      <c r="E103" s="79"/>
      <c r="F103" s="79"/>
      <c r="G103" s="79"/>
      <c r="H103" s="79"/>
      <c r="I103" s="79"/>
      <c r="J103" s="79"/>
      <c r="K103" s="79"/>
      <c r="L103" s="79"/>
      <c r="M103" s="79"/>
      <c r="N103" s="79"/>
      <c r="O103" s="79"/>
      <c r="P103" s="79"/>
      <c r="Q103" s="79"/>
      <c r="R103" s="79"/>
      <c r="S103" s="79"/>
      <c r="T103" s="79"/>
      <c r="U103" s="79"/>
      <c r="V103" s="79"/>
      <c r="W103" s="79"/>
      <c r="X103" s="79"/>
      <c r="Y103" s="79"/>
      <c r="Z103" s="79"/>
      <c r="AA103" s="79"/>
      <c r="AB103" s="79"/>
      <c r="AC103" s="79"/>
      <c r="AD103" s="79"/>
      <c r="AE103" s="79"/>
      <c r="AF103" s="79"/>
      <c r="AG103" s="79"/>
      <c r="AH103" s="83"/>
      <c r="AI103" s="83"/>
      <c r="AJ103" s="83"/>
      <c r="AK103" s="83"/>
      <c r="AL103" s="83"/>
      <c r="AM103" s="83"/>
      <c r="AN103" s="83"/>
      <c r="AO103" s="83"/>
      <c r="AP103" s="83"/>
      <c r="AQ103" s="83"/>
      <c r="AR103" s="83"/>
      <c r="AS103" s="83"/>
      <c r="AT103" s="83"/>
      <c r="AU103" s="83"/>
      <c r="AV103" s="71"/>
      <c r="AW103" s="71"/>
      <c r="AX103" s="71"/>
      <c r="AY103" s="71"/>
      <c r="AZ103" s="71"/>
      <c r="BA103" s="71"/>
      <c r="BB103" s="71"/>
      <c r="BC103" s="71"/>
    </row>
    <row r="104" spans="1:55" s="76" customFormat="1" ht="12.95" hidden="1" customHeight="1">
      <c r="A104" s="77">
        <v>99</v>
      </c>
      <c r="B104" s="78"/>
      <c r="C104" s="79"/>
      <c r="D104" s="79"/>
      <c r="E104" s="79"/>
      <c r="F104" s="79"/>
      <c r="G104" s="79"/>
      <c r="H104" s="79"/>
      <c r="I104" s="79"/>
      <c r="J104" s="79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  <c r="AA104" s="79"/>
      <c r="AB104" s="79"/>
      <c r="AC104" s="79"/>
      <c r="AD104" s="79"/>
      <c r="AE104" s="79"/>
      <c r="AF104" s="79"/>
      <c r="AG104" s="79"/>
      <c r="AH104" s="83"/>
      <c r="AI104" s="83"/>
      <c r="AJ104" s="83"/>
      <c r="AK104" s="83"/>
      <c r="AL104" s="83"/>
      <c r="AM104" s="83"/>
      <c r="AN104" s="83"/>
      <c r="AO104" s="83"/>
      <c r="AP104" s="83"/>
      <c r="AQ104" s="83"/>
      <c r="AR104" s="83"/>
      <c r="AS104" s="83"/>
      <c r="AT104" s="83"/>
      <c r="AU104" s="83"/>
      <c r="AV104" s="71"/>
      <c r="AW104" s="71"/>
      <c r="AX104" s="71"/>
      <c r="AY104" s="71"/>
      <c r="AZ104" s="71"/>
      <c r="BA104" s="71"/>
      <c r="BB104" s="71"/>
      <c r="BC104" s="71"/>
    </row>
    <row r="105" spans="1:55" s="76" customFormat="1" ht="12.95" hidden="1" customHeight="1">
      <c r="A105" s="77">
        <v>100</v>
      </c>
      <c r="B105" s="78"/>
      <c r="C105" s="79"/>
      <c r="D105" s="79"/>
      <c r="E105" s="79"/>
      <c r="F105" s="79"/>
      <c r="G105" s="79"/>
      <c r="H105" s="79"/>
      <c r="I105" s="79"/>
      <c r="J105" s="79"/>
      <c r="K105" s="79"/>
      <c r="L105" s="79"/>
      <c r="M105" s="79"/>
      <c r="N105" s="79"/>
      <c r="O105" s="79"/>
      <c r="P105" s="79"/>
      <c r="Q105" s="79"/>
      <c r="R105" s="79"/>
      <c r="S105" s="79"/>
      <c r="T105" s="79"/>
      <c r="U105" s="79"/>
      <c r="V105" s="79"/>
      <c r="W105" s="79"/>
      <c r="X105" s="79"/>
      <c r="Y105" s="79"/>
      <c r="Z105" s="79"/>
      <c r="AA105" s="79"/>
      <c r="AB105" s="79"/>
      <c r="AC105" s="79"/>
      <c r="AD105" s="79"/>
      <c r="AE105" s="79"/>
      <c r="AF105" s="79"/>
      <c r="AG105" s="79"/>
      <c r="AH105" s="83"/>
      <c r="AI105" s="83"/>
      <c r="AJ105" s="83"/>
      <c r="AK105" s="83"/>
      <c r="AL105" s="83"/>
      <c r="AM105" s="83"/>
      <c r="AN105" s="83"/>
      <c r="AO105" s="83"/>
      <c r="AP105" s="83"/>
      <c r="AQ105" s="83"/>
      <c r="AR105" s="83"/>
      <c r="AS105" s="83"/>
      <c r="AT105" s="83"/>
      <c r="AU105" s="83"/>
      <c r="AV105" s="71"/>
      <c r="AW105" s="71"/>
      <c r="AX105" s="71"/>
      <c r="AY105" s="71"/>
      <c r="AZ105" s="71"/>
      <c r="BA105" s="71"/>
      <c r="BB105" s="71"/>
      <c r="BC105" s="71"/>
    </row>
    <row r="106" spans="1:55" s="76" customFormat="1" ht="12.95" hidden="1" customHeight="1">
      <c r="A106" s="77">
        <v>101</v>
      </c>
      <c r="B106" s="78"/>
      <c r="C106" s="79"/>
      <c r="D106" s="79"/>
      <c r="E106" s="79"/>
      <c r="F106" s="79"/>
      <c r="G106" s="79"/>
      <c r="H106" s="79"/>
      <c r="I106" s="79"/>
      <c r="J106" s="79"/>
      <c r="K106" s="79"/>
      <c r="L106" s="79"/>
      <c r="M106" s="79"/>
      <c r="N106" s="79"/>
      <c r="O106" s="79"/>
      <c r="P106" s="79"/>
      <c r="Q106" s="79"/>
      <c r="R106" s="79"/>
      <c r="S106" s="79"/>
      <c r="T106" s="79"/>
      <c r="U106" s="79"/>
      <c r="V106" s="79"/>
      <c r="W106" s="79"/>
      <c r="X106" s="79"/>
      <c r="Y106" s="79"/>
      <c r="Z106" s="79"/>
      <c r="AA106" s="79"/>
      <c r="AB106" s="79"/>
      <c r="AC106" s="79"/>
      <c r="AD106" s="79"/>
      <c r="AE106" s="79"/>
      <c r="AF106" s="79"/>
      <c r="AG106" s="79"/>
      <c r="AH106" s="83"/>
      <c r="AI106" s="83"/>
      <c r="AJ106" s="83"/>
      <c r="AK106" s="83"/>
      <c r="AL106" s="83"/>
      <c r="AM106" s="83"/>
      <c r="AN106" s="83"/>
      <c r="AO106" s="83"/>
      <c r="AP106" s="83"/>
      <c r="AQ106" s="83"/>
      <c r="AR106" s="83"/>
      <c r="AS106" s="83"/>
      <c r="AT106" s="83"/>
      <c r="AU106" s="83"/>
      <c r="AV106" s="71"/>
      <c r="AW106" s="71"/>
      <c r="AX106" s="71"/>
      <c r="AY106" s="71"/>
      <c r="AZ106" s="71"/>
      <c r="BA106" s="71"/>
      <c r="BB106" s="71"/>
      <c r="BC106" s="71"/>
    </row>
    <row r="107" spans="1:55" s="76" customFormat="1" ht="12.95" hidden="1" customHeight="1">
      <c r="A107" s="77">
        <v>102</v>
      </c>
      <c r="B107" s="78"/>
      <c r="C107" s="79"/>
      <c r="D107" s="79"/>
      <c r="E107" s="79"/>
      <c r="F107" s="79"/>
      <c r="G107" s="79"/>
      <c r="H107" s="79"/>
      <c r="I107" s="79"/>
      <c r="J107" s="79"/>
      <c r="K107" s="79"/>
      <c r="L107" s="79"/>
      <c r="M107" s="79"/>
      <c r="N107" s="79"/>
      <c r="O107" s="79"/>
      <c r="P107" s="79"/>
      <c r="Q107" s="79"/>
      <c r="R107" s="79"/>
      <c r="S107" s="79"/>
      <c r="T107" s="79"/>
      <c r="U107" s="79"/>
      <c r="V107" s="79"/>
      <c r="W107" s="79"/>
      <c r="X107" s="79"/>
      <c r="Y107" s="79"/>
      <c r="Z107" s="79"/>
      <c r="AA107" s="79"/>
      <c r="AB107" s="79"/>
      <c r="AC107" s="79"/>
      <c r="AD107" s="79"/>
      <c r="AE107" s="79"/>
      <c r="AF107" s="79"/>
      <c r="AG107" s="79"/>
      <c r="AH107" s="83"/>
      <c r="AI107" s="83"/>
      <c r="AJ107" s="83"/>
      <c r="AK107" s="83"/>
      <c r="AL107" s="83"/>
      <c r="AM107" s="83"/>
      <c r="AN107" s="83"/>
      <c r="AO107" s="83"/>
      <c r="AP107" s="83"/>
      <c r="AQ107" s="83"/>
      <c r="AR107" s="83"/>
      <c r="AS107" s="83"/>
      <c r="AT107" s="83"/>
      <c r="AU107" s="83"/>
      <c r="AV107" s="71"/>
      <c r="AW107" s="71"/>
      <c r="AX107" s="71"/>
      <c r="AY107" s="71"/>
      <c r="AZ107" s="71"/>
      <c r="BA107" s="71"/>
      <c r="BB107" s="71"/>
      <c r="BC107" s="71"/>
    </row>
    <row r="108" spans="1:55" s="76" customFormat="1" ht="12.95" hidden="1" customHeight="1">
      <c r="A108" s="77">
        <v>103</v>
      </c>
      <c r="B108" s="78"/>
      <c r="C108" s="79"/>
      <c r="D108" s="79"/>
      <c r="E108" s="79"/>
      <c r="F108" s="79"/>
      <c r="G108" s="79"/>
      <c r="H108" s="79"/>
      <c r="I108" s="79"/>
      <c r="J108" s="79"/>
      <c r="K108" s="79"/>
      <c r="L108" s="79"/>
      <c r="M108" s="79"/>
      <c r="N108" s="79"/>
      <c r="O108" s="79"/>
      <c r="P108" s="79"/>
      <c r="Q108" s="79"/>
      <c r="R108" s="79"/>
      <c r="S108" s="79"/>
      <c r="T108" s="79"/>
      <c r="U108" s="79"/>
      <c r="V108" s="79"/>
      <c r="W108" s="79"/>
      <c r="X108" s="79"/>
      <c r="Y108" s="79"/>
      <c r="Z108" s="79"/>
      <c r="AA108" s="79"/>
      <c r="AB108" s="79"/>
      <c r="AC108" s="79"/>
      <c r="AD108" s="79"/>
      <c r="AE108" s="79"/>
      <c r="AF108" s="79"/>
      <c r="AG108" s="79"/>
      <c r="AH108" s="83" t="s">
        <v>51</v>
      </c>
      <c r="AI108" s="83"/>
      <c r="AJ108" s="83"/>
      <c r="AK108" s="83"/>
      <c r="AL108" s="83"/>
      <c r="AM108" s="83"/>
      <c r="AN108" s="83"/>
      <c r="AO108" s="83"/>
      <c r="AP108" s="83"/>
      <c r="AQ108" s="83"/>
      <c r="AR108" s="83"/>
      <c r="AS108" s="83"/>
      <c r="AT108" s="83"/>
      <c r="AU108" s="83"/>
      <c r="AV108" s="71"/>
      <c r="AW108" s="71"/>
      <c r="AX108" s="71"/>
      <c r="AY108" s="71"/>
      <c r="AZ108" s="71"/>
      <c r="BA108" s="71"/>
      <c r="BB108" s="71"/>
      <c r="BC108" s="71"/>
    </row>
    <row r="109" spans="1:55" s="76" customFormat="1" ht="12.95" hidden="1" customHeight="1">
      <c r="A109" s="77">
        <v>104</v>
      </c>
      <c r="B109" s="78"/>
      <c r="C109" s="79"/>
      <c r="D109" s="79"/>
      <c r="E109" s="79"/>
      <c r="F109" s="79"/>
      <c r="G109" s="79"/>
      <c r="H109" s="79"/>
      <c r="I109" s="79"/>
      <c r="J109" s="79"/>
      <c r="K109" s="79"/>
      <c r="L109" s="79"/>
      <c r="M109" s="79"/>
      <c r="N109" s="79"/>
      <c r="O109" s="79"/>
      <c r="P109" s="79"/>
      <c r="Q109" s="79"/>
      <c r="R109" s="79"/>
      <c r="S109" s="79"/>
      <c r="T109" s="79"/>
      <c r="U109" s="79"/>
      <c r="V109" s="79"/>
      <c r="W109" s="79"/>
      <c r="X109" s="79"/>
      <c r="Y109" s="79"/>
      <c r="Z109" s="79"/>
      <c r="AA109" s="79"/>
      <c r="AB109" s="79"/>
      <c r="AC109" s="79"/>
      <c r="AD109" s="79"/>
      <c r="AE109" s="79"/>
      <c r="AF109" s="79"/>
      <c r="AG109" s="79"/>
      <c r="AH109" s="83"/>
      <c r="AI109" s="83"/>
      <c r="AJ109" s="83"/>
      <c r="AK109" s="83"/>
      <c r="AL109" s="83"/>
      <c r="AM109" s="83"/>
      <c r="AN109" s="83"/>
      <c r="AO109" s="83"/>
      <c r="AP109" s="83"/>
      <c r="AQ109" s="83"/>
      <c r="AR109" s="83"/>
      <c r="AS109" s="83"/>
      <c r="AT109" s="83"/>
      <c r="AU109" s="83"/>
      <c r="AV109" s="71"/>
      <c r="AW109" s="71"/>
      <c r="AX109" s="71"/>
      <c r="AY109" s="71"/>
      <c r="AZ109" s="71"/>
      <c r="BA109" s="71"/>
      <c r="BB109" s="71"/>
      <c r="BC109" s="71"/>
    </row>
    <row r="110" spans="1:55" s="76" customFormat="1" ht="12.95" hidden="1" customHeight="1">
      <c r="A110" s="77">
        <v>105</v>
      </c>
      <c r="B110" s="78"/>
      <c r="C110" s="79"/>
      <c r="D110" s="79"/>
      <c r="E110" s="79"/>
      <c r="F110" s="79"/>
      <c r="G110" s="79"/>
      <c r="H110" s="79"/>
      <c r="I110" s="79"/>
      <c r="J110" s="79"/>
      <c r="K110" s="79"/>
      <c r="L110" s="79"/>
      <c r="M110" s="79"/>
      <c r="N110" s="79"/>
      <c r="O110" s="79"/>
      <c r="P110" s="79"/>
      <c r="Q110" s="79"/>
      <c r="R110" s="79"/>
      <c r="S110" s="79"/>
      <c r="T110" s="79"/>
      <c r="U110" s="79"/>
      <c r="V110" s="79"/>
      <c r="W110" s="79"/>
      <c r="X110" s="79"/>
      <c r="Y110" s="79"/>
      <c r="Z110" s="79"/>
      <c r="AA110" s="79"/>
      <c r="AB110" s="79"/>
      <c r="AC110" s="79"/>
      <c r="AD110" s="79"/>
      <c r="AE110" s="79"/>
      <c r="AF110" s="79"/>
      <c r="AG110" s="79"/>
      <c r="AH110" s="83"/>
      <c r="AI110" s="83"/>
      <c r="AJ110" s="83"/>
      <c r="AK110" s="83"/>
      <c r="AL110" s="83"/>
      <c r="AM110" s="83"/>
      <c r="AN110" s="83"/>
      <c r="AO110" s="83"/>
      <c r="AP110" s="83"/>
      <c r="AQ110" s="83"/>
      <c r="AR110" s="83"/>
      <c r="AS110" s="83"/>
      <c r="AT110" s="83"/>
      <c r="AU110" s="83"/>
      <c r="AV110" s="71"/>
      <c r="AW110" s="71"/>
      <c r="AX110" s="71"/>
      <c r="AY110" s="71"/>
      <c r="AZ110" s="71"/>
      <c r="BA110" s="71"/>
      <c r="BB110" s="71"/>
      <c r="BC110" s="71"/>
    </row>
    <row r="111" spans="1:55" s="76" customFormat="1" ht="12.95" hidden="1" customHeight="1">
      <c r="A111" s="77">
        <v>106</v>
      </c>
      <c r="B111" s="78"/>
      <c r="C111" s="79"/>
      <c r="D111" s="79"/>
      <c r="E111" s="79"/>
      <c r="F111" s="79"/>
      <c r="G111" s="79"/>
      <c r="H111" s="79"/>
      <c r="I111" s="79"/>
      <c r="J111" s="79"/>
      <c r="K111" s="79"/>
      <c r="L111" s="79"/>
      <c r="M111" s="79"/>
      <c r="N111" s="79"/>
      <c r="O111" s="79"/>
      <c r="P111" s="79"/>
      <c r="Q111" s="79"/>
      <c r="R111" s="79"/>
      <c r="S111" s="79"/>
      <c r="T111" s="79"/>
      <c r="U111" s="79"/>
      <c r="V111" s="79"/>
      <c r="W111" s="79"/>
      <c r="X111" s="79"/>
      <c r="Y111" s="79"/>
      <c r="Z111" s="79"/>
      <c r="AA111" s="79"/>
      <c r="AB111" s="79"/>
      <c r="AC111" s="79"/>
      <c r="AD111" s="79"/>
      <c r="AE111" s="79"/>
      <c r="AF111" s="79"/>
      <c r="AG111" s="79"/>
      <c r="AH111" s="83"/>
      <c r="AI111" s="83"/>
      <c r="AJ111" s="83"/>
      <c r="AK111" s="83"/>
      <c r="AL111" s="83"/>
      <c r="AM111" s="83"/>
      <c r="AN111" s="83"/>
      <c r="AO111" s="83"/>
      <c r="AP111" s="83"/>
      <c r="AQ111" s="83"/>
      <c r="AR111" s="83"/>
      <c r="AS111" s="83"/>
      <c r="AT111" s="83"/>
      <c r="AU111" s="83"/>
      <c r="AV111" s="71"/>
      <c r="AW111" s="71"/>
      <c r="AX111" s="71"/>
      <c r="AY111" s="71"/>
      <c r="AZ111" s="71"/>
      <c r="BA111" s="71"/>
      <c r="BB111" s="71"/>
      <c r="BC111" s="71"/>
    </row>
    <row r="112" spans="1:55" s="76" customFormat="1" ht="12.95" hidden="1" customHeight="1">
      <c r="A112" s="77">
        <v>107</v>
      </c>
      <c r="B112" s="78"/>
      <c r="C112" s="79"/>
      <c r="D112" s="79"/>
      <c r="E112" s="79"/>
      <c r="F112" s="79"/>
      <c r="G112" s="79"/>
      <c r="H112" s="79"/>
      <c r="I112" s="79"/>
      <c r="J112" s="79"/>
      <c r="K112" s="79"/>
      <c r="L112" s="79"/>
      <c r="M112" s="79"/>
      <c r="N112" s="79"/>
      <c r="O112" s="79"/>
      <c r="P112" s="79"/>
      <c r="Q112" s="79"/>
      <c r="R112" s="79"/>
      <c r="S112" s="79"/>
      <c r="T112" s="79"/>
      <c r="U112" s="79"/>
      <c r="V112" s="79"/>
      <c r="W112" s="79"/>
      <c r="X112" s="79"/>
      <c r="Y112" s="79"/>
      <c r="Z112" s="79"/>
      <c r="AA112" s="79"/>
      <c r="AB112" s="79"/>
      <c r="AC112" s="79"/>
      <c r="AD112" s="79"/>
      <c r="AE112" s="79"/>
      <c r="AF112" s="79"/>
      <c r="AG112" s="79"/>
      <c r="AH112" s="83"/>
      <c r="AI112" s="83"/>
      <c r="AJ112" s="83"/>
      <c r="AK112" s="83"/>
      <c r="AL112" s="83"/>
      <c r="AM112" s="83"/>
      <c r="AN112" s="83"/>
      <c r="AO112" s="83"/>
      <c r="AP112" s="83"/>
      <c r="AQ112" s="83"/>
      <c r="AR112" s="83"/>
      <c r="AS112" s="83"/>
      <c r="AT112" s="83"/>
      <c r="AU112" s="83"/>
      <c r="AV112" s="71"/>
      <c r="AW112" s="71"/>
      <c r="AX112" s="71"/>
      <c r="AY112" s="71"/>
      <c r="AZ112" s="71"/>
      <c r="BA112" s="71"/>
      <c r="BB112" s="71"/>
      <c r="BC112" s="71"/>
    </row>
    <row r="113" spans="1:55" s="76" customFormat="1" ht="12.95" hidden="1" customHeight="1">
      <c r="A113" s="77">
        <v>108</v>
      </c>
      <c r="B113" s="78"/>
      <c r="C113" s="79"/>
      <c r="D113" s="79"/>
      <c r="E113" s="79"/>
      <c r="F113" s="79"/>
      <c r="G113" s="79"/>
      <c r="H113" s="79"/>
      <c r="I113" s="79"/>
      <c r="J113" s="79"/>
      <c r="K113" s="79"/>
      <c r="L113" s="79"/>
      <c r="M113" s="79"/>
      <c r="N113" s="79"/>
      <c r="O113" s="79"/>
      <c r="P113" s="79"/>
      <c r="Q113" s="79"/>
      <c r="R113" s="79"/>
      <c r="S113" s="79"/>
      <c r="T113" s="79"/>
      <c r="U113" s="79"/>
      <c r="V113" s="79"/>
      <c r="W113" s="79"/>
      <c r="X113" s="79"/>
      <c r="Y113" s="79"/>
      <c r="Z113" s="79"/>
      <c r="AA113" s="79"/>
      <c r="AB113" s="79"/>
      <c r="AC113" s="79"/>
      <c r="AD113" s="79"/>
      <c r="AE113" s="79"/>
      <c r="AF113" s="79"/>
      <c r="AG113" s="79"/>
      <c r="AH113" s="83"/>
      <c r="AI113" s="83"/>
      <c r="AJ113" s="83"/>
      <c r="AK113" s="83"/>
      <c r="AL113" s="83"/>
      <c r="AM113" s="83"/>
      <c r="AN113" s="83"/>
      <c r="AO113" s="83"/>
      <c r="AP113" s="83"/>
      <c r="AQ113" s="83"/>
      <c r="AR113" s="83"/>
      <c r="AS113" s="83"/>
      <c r="AT113" s="83"/>
      <c r="AU113" s="83"/>
      <c r="AV113" s="71"/>
      <c r="AW113" s="71"/>
      <c r="AX113" s="71"/>
      <c r="AY113" s="71"/>
      <c r="AZ113" s="71"/>
      <c r="BA113" s="71"/>
      <c r="BB113" s="71"/>
      <c r="BC113" s="71"/>
    </row>
    <row r="114" spans="1:55" s="76" customFormat="1" ht="12.95" hidden="1" customHeight="1">
      <c r="A114" s="77">
        <v>109</v>
      </c>
      <c r="B114" s="78"/>
      <c r="C114" s="79"/>
      <c r="D114" s="79"/>
      <c r="E114" s="79"/>
      <c r="F114" s="79"/>
      <c r="G114" s="79"/>
      <c r="H114" s="79"/>
      <c r="I114" s="79"/>
      <c r="J114" s="79"/>
      <c r="K114" s="79"/>
      <c r="L114" s="79"/>
      <c r="M114" s="79"/>
      <c r="N114" s="79"/>
      <c r="O114" s="79"/>
      <c r="P114" s="79"/>
      <c r="Q114" s="79"/>
      <c r="R114" s="79"/>
      <c r="S114" s="79"/>
      <c r="T114" s="79"/>
      <c r="U114" s="79"/>
      <c r="V114" s="79"/>
      <c r="W114" s="79"/>
      <c r="X114" s="79"/>
      <c r="Y114" s="79"/>
      <c r="Z114" s="79"/>
      <c r="AA114" s="79"/>
      <c r="AB114" s="79"/>
      <c r="AC114" s="79"/>
      <c r="AD114" s="79"/>
      <c r="AE114" s="79"/>
      <c r="AF114" s="79"/>
      <c r="AG114" s="79"/>
      <c r="AH114" s="83"/>
      <c r="AI114" s="83"/>
      <c r="AJ114" s="83"/>
      <c r="AK114" s="83"/>
      <c r="AL114" s="83"/>
      <c r="AM114" s="83"/>
      <c r="AN114" s="83"/>
      <c r="AO114" s="83"/>
      <c r="AP114" s="83"/>
      <c r="AQ114" s="83"/>
      <c r="AR114" s="83"/>
      <c r="AS114" s="83"/>
      <c r="AT114" s="83"/>
      <c r="AU114" s="83"/>
      <c r="AV114" s="71"/>
      <c r="AW114" s="71"/>
      <c r="AX114" s="71"/>
      <c r="AY114" s="71"/>
      <c r="AZ114" s="71"/>
      <c r="BA114" s="71"/>
      <c r="BB114" s="71"/>
      <c r="BC114" s="71"/>
    </row>
    <row r="115" spans="1:55" s="76" customFormat="1" ht="12.95" hidden="1" customHeight="1">
      <c r="A115" s="77">
        <v>110</v>
      </c>
      <c r="B115" s="78"/>
      <c r="C115" s="79"/>
      <c r="D115" s="79"/>
      <c r="E115" s="79"/>
      <c r="F115" s="79"/>
      <c r="G115" s="79"/>
      <c r="H115" s="79"/>
      <c r="I115" s="79"/>
      <c r="J115" s="79"/>
      <c r="K115" s="79"/>
      <c r="L115" s="79"/>
      <c r="M115" s="79"/>
      <c r="N115" s="79"/>
      <c r="O115" s="79"/>
      <c r="P115" s="79"/>
      <c r="Q115" s="79"/>
      <c r="R115" s="79"/>
      <c r="S115" s="79"/>
      <c r="T115" s="79"/>
      <c r="U115" s="79"/>
      <c r="V115" s="79"/>
      <c r="W115" s="79"/>
      <c r="X115" s="79"/>
      <c r="Y115" s="79"/>
      <c r="Z115" s="79"/>
      <c r="AA115" s="79"/>
      <c r="AB115" s="79"/>
      <c r="AC115" s="79"/>
      <c r="AD115" s="79"/>
      <c r="AE115" s="79"/>
      <c r="AF115" s="79"/>
      <c r="AG115" s="79"/>
      <c r="AH115" s="83"/>
      <c r="AI115" s="83"/>
      <c r="AJ115" s="83"/>
      <c r="AK115" s="83"/>
      <c r="AL115" s="83"/>
      <c r="AM115" s="83"/>
      <c r="AN115" s="83"/>
      <c r="AO115" s="83"/>
      <c r="AP115" s="83"/>
      <c r="AQ115" s="83"/>
      <c r="AR115" s="83"/>
      <c r="AS115" s="83"/>
      <c r="AT115" s="83"/>
      <c r="AU115" s="83"/>
      <c r="AV115" s="71"/>
      <c r="AW115" s="71"/>
      <c r="AX115" s="71"/>
      <c r="AY115" s="71"/>
      <c r="AZ115" s="71"/>
      <c r="BA115" s="71"/>
      <c r="BB115" s="71"/>
      <c r="BC115" s="71"/>
    </row>
    <row r="116" spans="1:55" s="76" customFormat="1" ht="12.95" hidden="1" customHeight="1">
      <c r="A116" s="77">
        <v>111</v>
      </c>
      <c r="B116" s="78"/>
      <c r="C116" s="79"/>
      <c r="D116" s="79"/>
      <c r="E116" s="79"/>
      <c r="F116" s="79"/>
      <c r="G116" s="79"/>
      <c r="H116" s="79"/>
      <c r="I116" s="79"/>
      <c r="J116" s="79"/>
      <c r="K116" s="79"/>
      <c r="L116" s="79"/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W116" s="79"/>
      <c r="X116" s="79"/>
      <c r="Y116" s="79"/>
      <c r="Z116" s="79"/>
      <c r="AA116" s="79"/>
      <c r="AB116" s="79"/>
      <c r="AC116" s="79"/>
      <c r="AD116" s="79"/>
      <c r="AE116" s="79"/>
      <c r="AF116" s="79"/>
      <c r="AG116" s="79"/>
      <c r="AH116" s="83"/>
      <c r="AI116" s="83"/>
      <c r="AJ116" s="83"/>
      <c r="AK116" s="83"/>
      <c r="AL116" s="83"/>
      <c r="AM116" s="83"/>
      <c r="AN116" s="83"/>
      <c r="AO116" s="83"/>
      <c r="AP116" s="83"/>
      <c r="AQ116" s="83"/>
      <c r="AR116" s="83"/>
      <c r="AS116" s="83"/>
      <c r="AT116" s="83"/>
      <c r="AU116" s="83"/>
      <c r="AV116" s="71"/>
      <c r="AW116" s="71"/>
      <c r="AX116" s="71"/>
      <c r="AY116" s="71"/>
      <c r="AZ116" s="71"/>
      <c r="BA116" s="71"/>
      <c r="BB116" s="71"/>
      <c r="BC116" s="71"/>
    </row>
    <row r="117" spans="1:55" s="76" customFormat="1" ht="12.95" hidden="1" customHeight="1">
      <c r="A117" s="77">
        <v>112</v>
      </c>
      <c r="B117" s="78"/>
      <c r="C117" s="79"/>
      <c r="D117" s="79"/>
      <c r="E117" s="79"/>
      <c r="F117" s="79"/>
      <c r="G117" s="79"/>
      <c r="H117" s="79"/>
      <c r="I117" s="79"/>
      <c r="J117" s="79"/>
      <c r="K117" s="79"/>
      <c r="L117" s="79"/>
      <c r="M117" s="79"/>
      <c r="N117" s="79"/>
      <c r="O117" s="79"/>
      <c r="P117" s="79"/>
      <c r="Q117" s="79"/>
      <c r="R117" s="79"/>
      <c r="S117" s="79"/>
      <c r="T117" s="79"/>
      <c r="U117" s="79"/>
      <c r="V117" s="79"/>
      <c r="W117" s="79"/>
      <c r="X117" s="79"/>
      <c r="Y117" s="79"/>
      <c r="Z117" s="79"/>
      <c r="AA117" s="79"/>
      <c r="AB117" s="79"/>
      <c r="AC117" s="79"/>
      <c r="AD117" s="79"/>
      <c r="AE117" s="79"/>
      <c r="AF117" s="79"/>
      <c r="AG117" s="79"/>
      <c r="AH117" s="83"/>
      <c r="AI117" s="83"/>
      <c r="AJ117" s="83"/>
      <c r="AK117" s="83"/>
      <c r="AL117" s="83"/>
      <c r="AM117" s="83"/>
      <c r="AN117" s="83"/>
      <c r="AO117" s="83"/>
      <c r="AP117" s="83"/>
      <c r="AQ117" s="83"/>
      <c r="AR117" s="83"/>
      <c r="AS117" s="83"/>
      <c r="AT117" s="83"/>
      <c r="AU117" s="83"/>
      <c r="AV117" s="71"/>
      <c r="AW117" s="71"/>
      <c r="AX117" s="71"/>
      <c r="AY117" s="71"/>
      <c r="AZ117" s="71"/>
      <c r="BA117" s="71"/>
      <c r="BB117" s="71"/>
      <c r="BC117" s="71"/>
    </row>
    <row r="118" spans="1:55" s="76" customFormat="1" ht="12.95" hidden="1" customHeight="1">
      <c r="A118" s="77">
        <v>113</v>
      </c>
      <c r="B118" s="78"/>
      <c r="C118" s="79"/>
      <c r="D118" s="79"/>
      <c r="E118" s="79"/>
      <c r="F118" s="79"/>
      <c r="G118" s="79"/>
      <c r="H118" s="79"/>
      <c r="I118" s="79"/>
      <c r="J118" s="79"/>
      <c r="K118" s="79"/>
      <c r="L118" s="79"/>
      <c r="M118" s="79"/>
      <c r="N118" s="79"/>
      <c r="O118" s="79"/>
      <c r="P118" s="79"/>
      <c r="Q118" s="79"/>
      <c r="R118" s="79"/>
      <c r="S118" s="79"/>
      <c r="T118" s="79"/>
      <c r="U118" s="79"/>
      <c r="V118" s="79"/>
      <c r="W118" s="79"/>
      <c r="X118" s="79"/>
      <c r="Y118" s="79"/>
      <c r="Z118" s="79"/>
      <c r="AA118" s="79"/>
      <c r="AB118" s="79"/>
      <c r="AC118" s="79"/>
      <c r="AD118" s="79"/>
      <c r="AE118" s="79"/>
      <c r="AF118" s="79"/>
      <c r="AG118" s="79"/>
      <c r="AH118" s="83"/>
      <c r="AI118" s="83"/>
      <c r="AJ118" s="83"/>
      <c r="AK118" s="83"/>
      <c r="AL118" s="83"/>
      <c r="AM118" s="83"/>
      <c r="AN118" s="83"/>
      <c r="AO118" s="83"/>
      <c r="AP118" s="83"/>
      <c r="AQ118" s="83"/>
      <c r="AR118" s="83"/>
      <c r="AS118" s="83"/>
      <c r="AT118" s="83"/>
      <c r="AU118" s="83"/>
      <c r="AV118" s="71"/>
      <c r="AW118" s="71"/>
      <c r="AX118" s="71"/>
      <c r="AY118" s="71"/>
      <c r="AZ118" s="71"/>
      <c r="BA118" s="71"/>
      <c r="BB118" s="71"/>
      <c r="BC118" s="71"/>
    </row>
    <row r="119" spans="1:55" s="76" customFormat="1" ht="12.95" hidden="1" customHeight="1">
      <c r="A119" s="77">
        <v>114</v>
      </c>
      <c r="B119" s="78"/>
      <c r="C119" s="79"/>
      <c r="D119" s="79"/>
      <c r="E119" s="79"/>
      <c r="F119" s="79"/>
      <c r="G119" s="79"/>
      <c r="H119" s="79"/>
      <c r="I119" s="79"/>
      <c r="J119" s="79"/>
      <c r="K119" s="79"/>
      <c r="L119" s="79"/>
      <c r="M119" s="79"/>
      <c r="N119" s="79"/>
      <c r="O119" s="79"/>
      <c r="P119" s="79"/>
      <c r="Q119" s="79"/>
      <c r="R119" s="79"/>
      <c r="S119" s="79"/>
      <c r="T119" s="79"/>
      <c r="U119" s="79"/>
      <c r="V119" s="79"/>
      <c r="W119" s="79"/>
      <c r="X119" s="79"/>
      <c r="Y119" s="79"/>
      <c r="Z119" s="79"/>
      <c r="AA119" s="79"/>
      <c r="AB119" s="79"/>
      <c r="AC119" s="79"/>
      <c r="AD119" s="79"/>
      <c r="AE119" s="79"/>
      <c r="AF119" s="79"/>
      <c r="AG119" s="79"/>
      <c r="AH119" s="83"/>
      <c r="AI119" s="83"/>
      <c r="AJ119" s="83"/>
      <c r="AK119" s="83"/>
      <c r="AL119" s="83"/>
      <c r="AM119" s="83"/>
      <c r="AN119" s="83"/>
      <c r="AO119" s="83"/>
      <c r="AP119" s="83"/>
      <c r="AQ119" s="83"/>
      <c r="AR119" s="83"/>
      <c r="AS119" s="83"/>
      <c r="AT119" s="83"/>
      <c r="AU119" s="83"/>
      <c r="AV119" s="71"/>
      <c r="AW119" s="71"/>
      <c r="AX119" s="71"/>
      <c r="AY119" s="71"/>
      <c r="AZ119" s="71"/>
      <c r="BA119" s="71"/>
      <c r="BB119" s="71"/>
      <c r="BC119" s="71"/>
    </row>
    <row r="120" spans="1:55" s="76" customFormat="1" ht="12.95" hidden="1" customHeight="1">
      <c r="A120" s="77">
        <v>115</v>
      </c>
      <c r="B120" s="78"/>
      <c r="C120" s="79"/>
      <c r="D120" s="79"/>
      <c r="E120" s="79"/>
      <c r="F120" s="79"/>
      <c r="G120" s="79"/>
      <c r="H120" s="79"/>
      <c r="I120" s="79"/>
      <c r="J120" s="79"/>
      <c r="K120" s="79"/>
      <c r="L120" s="79"/>
      <c r="M120" s="79"/>
      <c r="N120" s="79"/>
      <c r="O120" s="79"/>
      <c r="P120" s="79"/>
      <c r="Q120" s="79"/>
      <c r="R120" s="79"/>
      <c r="S120" s="79"/>
      <c r="T120" s="79"/>
      <c r="U120" s="79"/>
      <c r="V120" s="79"/>
      <c r="W120" s="79"/>
      <c r="X120" s="79"/>
      <c r="Y120" s="79"/>
      <c r="Z120" s="79"/>
      <c r="AA120" s="79"/>
      <c r="AB120" s="79"/>
      <c r="AC120" s="79"/>
      <c r="AD120" s="79"/>
      <c r="AE120" s="79"/>
      <c r="AF120" s="79"/>
      <c r="AG120" s="79"/>
      <c r="AH120" s="83"/>
      <c r="AI120" s="83"/>
      <c r="AJ120" s="83"/>
      <c r="AK120" s="83"/>
      <c r="AL120" s="83"/>
      <c r="AM120" s="83"/>
      <c r="AN120" s="83"/>
      <c r="AO120" s="83"/>
      <c r="AP120" s="83"/>
      <c r="AQ120" s="83"/>
      <c r="AR120" s="83"/>
      <c r="AS120" s="83"/>
      <c r="AT120" s="83"/>
      <c r="AU120" s="83"/>
      <c r="AV120" s="71"/>
      <c r="AW120" s="71"/>
      <c r="AX120" s="71"/>
      <c r="AY120" s="71"/>
      <c r="AZ120" s="71"/>
      <c r="BA120" s="71"/>
      <c r="BB120" s="71"/>
      <c r="BC120" s="71"/>
    </row>
    <row r="121" spans="1:55" s="76" customFormat="1" ht="12.95" hidden="1" customHeight="1">
      <c r="A121" s="77"/>
      <c r="B121" s="78"/>
      <c r="C121" s="79"/>
      <c r="D121" s="79"/>
      <c r="E121" s="79"/>
      <c r="F121" s="79"/>
      <c r="G121" s="79"/>
      <c r="H121" s="79"/>
      <c r="I121" s="79"/>
      <c r="J121" s="79"/>
      <c r="K121" s="79"/>
      <c r="L121" s="79"/>
      <c r="M121" s="79"/>
      <c r="N121" s="79"/>
      <c r="O121" s="79"/>
      <c r="P121" s="79"/>
      <c r="Q121" s="79"/>
      <c r="R121" s="79"/>
      <c r="S121" s="79"/>
      <c r="T121" s="79"/>
      <c r="U121" s="79"/>
      <c r="V121" s="79"/>
      <c r="W121" s="79"/>
      <c r="X121" s="79"/>
      <c r="Y121" s="79"/>
      <c r="Z121" s="79"/>
      <c r="AA121" s="79"/>
      <c r="AB121" s="79"/>
      <c r="AC121" s="79"/>
      <c r="AD121" s="79"/>
      <c r="AE121" s="79"/>
      <c r="AF121" s="79"/>
      <c r="AG121" s="79"/>
      <c r="AH121" s="83"/>
      <c r="AI121" s="83"/>
      <c r="AJ121" s="83"/>
      <c r="AK121" s="83"/>
      <c r="AL121" s="83"/>
      <c r="AM121" s="83"/>
      <c r="AN121" s="83"/>
      <c r="AO121" s="83"/>
      <c r="AP121" s="83"/>
      <c r="AQ121" s="83"/>
      <c r="AR121" s="83"/>
      <c r="AS121" s="83"/>
      <c r="AT121" s="83"/>
      <c r="AU121" s="83"/>
      <c r="AV121" s="71"/>
      <c r="AW121" s="71"/>
      <c r="AX121" s="71"/>
      <c r="AY121" s="71"/>
      <c r="AZ121" s="71"/>
      <c r="BA121" s="71"/>
      <c r="BB121" s="71"/>
      <c r="BC121" s="71"/>
    </row>
    <row r="122" spans="1:55" s="76" customFormat="1" ht="15" customHeight="1">
      <c r="A122" s="85"/>
      <c r="B122" s="86" t="s">
        <v>151</v>
      </c>
      <c r="C122" s="79">
        <f>COUNTA(C7:C121)</f>
        <v>0</v>
      </c>
      <c r="D122" s="79">
        <f>COUNTA(D7:D121)</f>
        <v>23</v>
      </c>
      <c r="E122" s="79">
        <f t="shared" ref="E122:AG122" si="0">COUNTA(E7:E121)</f>
        <v>11</v>
      </c>
      <c r="F122" s="79">
        <f t="shared" si="0"/>
        <v>0</v>
      </c>
      <c r="G122" s="79">
        <f t="shared" si="0"/>
        <v>36</v>
      </c>
      <c r="H122" s="79">
        <f t="shared" si="0"/>
        <v>27</v>
      </c>
      <c r="I122" s="79">
        <f t="shared" si="0"/>
        <v>21</v>
      </c>
      <c r="J122" s="79">
        <f t="shared" si="0"/>
        <v>16</v>
      </c>
      <c r="K122" s="79">
        <f t="shared" si="0"/>
        <v>14</v>
      </c>
      <c r="L122" s="79">
        <f t="shared" si="0"/>
        <v>14</v>
      </c>
      <c r="M122" s="79">
        <f t="shared" si="0"/>
        <v>0</v>
      </c>
      <c r="N122" s="79">
        <f t="shared" si="0"/>
        <v>6</v>
      </c>
      <c r="O122" s="79">
        <f t="shared" si="0"/>
        <v>18</v>
      </c>
      <c r="P122" s="79">
        <f t="shared" si="0"/>
        <v>18</v>
      </c>
      <c r="Q122" s="79">
        <f t="shared" si="0"/>
        <v>13</v>
      </c>
      <c r="R122" s="79">
        <f t="shared" si="0"/>
        <v>0</v>
      </c>
      <c r="S122" s="79">
        <f t="shared" si="0"/>
        <v>16</v>
      </c>
      <c r="T122" s="79">
        <f t="shared" si="0"/>
        <v>0</v>
      </c>
      <c r="U122" s="79">
        <f t="shared" si="0"/>
        <v>19</v>
      </c>
      <c r="V122" s="79">
        <f t="shared" si="0"/>
        <v>12</v>
      </c>
      <c r="W122" s="79">
        <f t="shared" si="0"/>
        <v>11</v>
      </c>
      <c r="X122" s="79">
        <f t="shared" si="0"/>
        <v>16</v>
      </c>
      <c r="Y122" s="79">
        <f t="shared" si="0"/>
        <v>10</v>
      </c>
      <c r="Z122" s="79">
        <f t="shared" si="0"/>
        <v>13</v>
      </c>
      <c r="AA122" s="79">
        <f t="shared" si="0"/>
        <v>0</v>
      </c>
      <c r="AB122" s="79">
        <f t="shared" si="0"/>
        <v>18</v>
      </c>
      <c r="AC122" s="79">
        <f t="shared" si="0"/>
        <v>12</v>
      </c>
      <c r="AD122" s="79">
        <f t="shared" si="0"/>
        <v>12</v>
      </c>
      <c r="AE122" s="79">
        <f t="shared" si="0"/>
        <v>15</v>
      </c>
      <c r="AF122" s="79">
        <f t="shared" si="0"/>
        <v>12</v>
      </c>
      <c r="AG122" s="79">
        <f t="shared" si="0"/>
        <v>9</v>
      </c>
      <c r="AH122" s="83"/>
      <c r="AI122" s="83"/>
      <c r="AJ122" s="83"/>
      <c r="AK122" s="83"/>
      <c r="AL122" s="83"/>
      <c r="AM122" s="83"/>
      <c r="AN122" s="83"/>
      <c r="AO122" s="83"/>
      <c r="AP122" s="83"/>
      <c r="AQ122" s="83"/>
      <c r="AR122" s="83"/>
      <c r="AS122" s="83"/>
      <c r="AT122" s="83"/>
      <c r="AU122" s="83"/>
      <c r="AV122" s="71"/>
      <c r="AW122" s="71"/>
      <c r="AX122" s="71"/>
      <c r="AY122" s="71"/>
      <c r="AZ122" s="71"/>
      <c r="BA122" s="71"/>
      <c r="BB122" s="71"/>
      <c r="BC122" s="71"/>
    </row>
    <row r="123" spans="1:55">
      <c r="A123" s="69"/>
      <c r="B123" s="69"/>
      <c r="C123" s="69"/>
      <c r="D123" s="69"/>
      <c r="E123" s="69"/>
      <c r="F123" s="69"/>
      <c r="G123" s="69"/>
      <c r="H123" s="69"/>
      <c r="I123" s="69"/>
      <c r="J123" s="69"/>
      <c r="K123" s="69"/>
      <c r="L123" s="69"/>
      <c r="M123" s="69"/>
      <c r="N123" s="69"/>
      <c r="O123" s="69"/>
      <c r="P123" s="69"/>
      <c r="Q123" s="69"/>
      <c r="R123" s="69"/>
      <c r="S123" s="69"/>
      <c r="T123" s="69"/>
      <c r="U123" s="69"/>
      <c r="V123" s="69"/>
      <c r="W123" s="69"/>
      <c r="X123" s="69"/>
      <c r="Y123" s="69"/>
      <c r="Z123" s="69"/>
      <c r="AA123" s="69"/>
      <c r="AB123" s="69"/>
      <c r="AC123" s="69"/>
      <c r="AD123" s="69"/>
      <c r="AE123" s="69"/>
      <c r="AF123" s="69"/>
      <c r="AG123" s="69"/>
      <c r="AH123" s="69"/>
      <c r="AI123" s="69"/>
      <c r="AJ123" s="69"/>
      <c r="AK123" s="69"/>
      <c r="AL123" s="69"/>
      <c r="AM123" s="69"/>
      <c r="AN123" s="69"/>
      <c r="AO123" s="69"/>
      <c r="AP123" s="69"/>
      <c r="AQ123" s="69"/>
      <c r="AR123" s="69"/>
      <c r="AS123" s="69"/>
      <c r="AT123" s="69"/>
      <c r="AU123" s="69"/>
      <c r="AV123" s="69"/>
      <c r="AW123" s="69"/>
      <c r="AX123" s="69"/>
      <c r="AY123" s="69"/>
      <c r="AZ123" s="69"/>
      <c r="BA123" s="69"/>
      <c r="BB123" s="69"/>
      <c r="BC123" s="69"/>
    </row>
    <row r="124" spans="1:55">
      <c r="A124" s="87" t="s">
        <v>64</v>
      </c>
      <c r="B124" s="88" t="s">
        <v>152</v>
      </c>
      <c r="C124" s="69"/>
      <c r="D124" s="69"/>
      <c r="E124" s="69"/>
      <c r="F124" s="69"/>
      <c r="G124" s="69"/>
      <c r="H124" s="69"/>
      <c r="I124" s="69"/>
      <c r="J124" s="69"/>
      <c r="K124" s="69"/>
      <c r="L124" s="69"/>
      <c r="M124" s="69"/>
      <c r="N124" s="69"/>
      <c r="O124" s="69"/>
      <c r="P124" s="69"/>
      <c r="Q124" s="69"/>
      <c r="R124" s="69"/>
      <c r="S124" s="69"/>
      <c r="T124" s="69"/>
      <c r="U124" s="69"/>
      <c r="V124" s="69"/>
      <c r="W124" s="69" t="s">
        <v>51</v>
      </c>
      <c r="X124" s="69"/>
      <c r="Y124" s="69"/>
      <c r="Z124" s="69" t="s">
        <v>51</v>
      </c>
      <c r="AA124" s="69"/>
      <c r="AB124" s="69"/>
      <c r="AC124" s="69"/>
      <c r="AD124" s="69"/>
      <c r="AE124" s="69"/>
      <c r="AF124" s="69"/>
      <c r="AG124" s="69"/>
      <c r="AH124" s="69"/>
      <c r="AI124" s="69"/>
      <c r="AJ124" s="69"/>
      <c r="AK124" s="69"/>
      <c r="AL124" s="69"/>
      <c r="AM124" s="69"/>
      <c r="AN124" s="69"/>
      <c r="AO124" s="69"/>
      <c r="AP124" s="69"/>
      <c r="AQ124" s="69"/>
      <c r="AR124" s="69"/>
      <c r="AS124" s="69"/>
      <c r="AT124" s="69"/>
      <c r="AU124" s="69"/>
      <c r="AV124" s="69"/>
      <c r="AW124" s="69"/>
      <c r="AX124" s="69"/>
      <c r="AY124" s="69"/>
      <c r="AZ124" s="69"/>
      <c r="BA124" s="69"/>
      <c r="BB124" s="69"/>
      <c r="BC124" s="69"/>
    </row>
    <row r="125" spans="1:55">
      <c r="A125" s="87" t="s">
        <v>62</v>
      </c>
      <c r="B125" s="88" t="s">
        <v>153</v>
      </c>
      <c r="C125" s="69"/>
      <c r="D125" s="69"/>
      <c r="E125" s="69"/>
      <c r="F125" s="69"/>
      <c r="G125" s="69"/>
      <c r="H125" s="69"/>
      <c r="I125" s="69"/>
      <c r="J125" s="69"/>
      <c r="K125" s="69"/>
      <c r="L125" s="69" t="s">
        <v>51</v>
      </c>
      <c r="M125" s="69"/>
      <c r="N125" s="69"/>
      <c r="O125" s="69" t="s">
        <v>51</v>
      </c>
      <c r="P125" s="69"/>
      <c r="Q125" s="69" t="s">
        <v>51</v>
      </c>
      <c r="R125" s="69"/>
      <c r="S125" s="69"/>
      <c r="T125" s="69"/>
      <c r="U125" s="69"/>
      <c r="V125" s="69"/>
      <c r="W125" s="69"/>
      <c r="X125" s="69" t="s">
        <v>51</v>
      </c>
      <c r="Y125" s="69"/>
      <c r="Z125" s="69"/>
      <c r="AA125" s="69" t="s">
        <v>51</v>
      </c>
      <c r="AB125" s="69"/>
      <c r="AC125" s="69"/>
      <c r="AD125" s="69"/>
      <c r="AE125" s="69"/>
      <c r="AF125" s="69"/>
      <c r="AG125" s="69"/>
      <c r="AH125" s="69"/>
      <c r="AI125" s="69" t="s">
        <v>51</v>
      </c>
      <c r="AJ125" s="69"/>
      <c r="AK125" s="69"/>
      <c r="AL125" s="69"/>
      <c r="AM125" s="69"/>
      <c r="AN125" s="69"/>
      <c r="AO125" s="69"/>
      <c r="AP125" s="69"/>
      <c r="AQ125" s="69"/>
      <c r="AR125" s="69"/>
      <c r="AS125" s="69"/>
      <c r="AT125" s="69"/>
      <c r="AU125" s="69"/>
      <c r="AV125" s="69"/>
      <c r="AW125" s="69"/>
      <c r="AX125" s="69"/>
      <c r="AY125" s="69"/>
      <c r="AZ125" s="69"/>
      <c r="BA125" s="69"/>
      <c r="BB125" s="69"/>
      <c r="BC125" s="69"/>
    </row>
    <row r="126" spans="1:55">
      <c r="A126" s="87" t="s">
        <v>63</v>
      </c>
      <c r="B126" s="88" t="s">
        <v>154</v>
      </c>
      <c r="C126" s="69"/>
      <c r="D126" s="69"/>
      <c r="E126" s="69"/>
      <c r="F126" s="69"/>
      <c r="G126" s="69"/>
      <c r="H126" s="69"/>
      <c r="I126" s="69"/>
      <c r="J126" s="69"/>
      <c r="K126" s="69"/>
      <c r="L126" s="69"/>
      <c r="M126" s="69"/>
      <c r="N126" s="69"/>
      <c r="O126" s="69"/>
      <c r="P126" s="69"/>
      <c r="Q126" s="69"/>
      <c r="R126" s="69"/>
      <c r="S126" s="69"/>
      <c r="T126" s="69"/>
      <c r="U126" s="69"/>
      <c r="V126" s="69"/>
      <c r="W126" s="69" t="s">
        <v>51</v>
      </c>
      <c r="X126" s="69"/>
      <c r="Y126" s="69"/>
      <c r="Z126" s="69"/>
      <c r="AA126" s="69"/>
      <c r="AB126" s="69"/>
      <c r="AC126" s="69"/>
      <c r="AD126" s="69"/>
      <c r="AE126" s="69"/>
      <c r="AF126" s="69"/>
      <c r="AG126" s="69"/>
      <c r="AH126" s="69"/>
      <c r="AI126" s="69"/>
      <c r="AJ126" s="69"/>
      <c r="AK126" s="69"/>
      <c r="AL126" s="69"/>
      <c r="AM126" s="69"/>
      <c r="AN126" s="69"/>
      <c r="AO126" s="69"/>
      <c r="AP126" s="69"/>
      <c r="AQ126" s="69"/>
      <c r="AR126" s="69"/>
      <c r="AS126" s="69"/>
      <c r="AT126" s="69"/>
      <c r="AU126" s="69"/>
      <c r="AV126" s="69"/>
      <c r="AW126" s="69"/>
      <c r="AX126" s="69"/>
      <c r="AY126" s="69"/>
      <c r="AZ126" s="69"/>
      <c r="BA126" s="69"/>
      <c r="BB126" s="69"/>
      <c r="BC126" s="69"/>
    </row>
    <row r="127" spans="1:55">
      <c r="A127" s="69"/>
      <c r="B127" s="69"/>
      <c r="C127" s="69"/>
      <c r="D127" s="69"/>
      <c r="E127" s="69"/>
      <c r="F127" s="69"/>
      <c r="G127" s="69"/>
      <c r="H127" s="69"/>
      <c r="I127" s="69"/>
      <c r="J127" s="69"/>
      <c r="K127" s="69"/>
      <c r="L127" s="69"/>
      <c r="M127" s="69"/>
      <c r="N127" s="69"/>
      <c r="O127" s="69" t="s">
        <v>51</v>
      </c>
      <c r="P127" s="69"/>
      <c r="Q127" s="69"/>
      <c r="R127" s="69"/>
      <c r="S127" s="69"/>
      <c r="T127" s="69"/>
      <c r="U127" s="69"/>
      <c r="V127" s="69"/>
      <c r="W127" s="69"/>
      <c r="X127" s="69"/>
      <c r="Y127" s="69"/>
      <c r="Z127" s="69"/>
      <c r="AA127" s="69"/>
      <c r="AB127" s="69"/>
      <c r="AC127" s="69" t="s">
        <v>51</v>
      </c>
      <c r="AD127" s="69"/>
      <c r="AE127" s="69"/>
      <c r="AF127" s="69"/>
      <c r="AG127" s="69"/>
      <c r="AH127" s="69"/>
      <c r="AI127" s="69"/>
      <c r="AJ127" s="69"/>
      <c r="AK127" s="69"/>
      <c r="AL127" s="69"/>
      <c r="AM127" s="69"/>
      <c r="AN127" s="69"/>
      <c r="AO127" s="69"/>
      <c r="AP127" s="69"/>
      <c r="AQ127" s="69"/>
      <c r="AR127" s="69"/>
      <c r="AS127" s="69"/>
      <c r="AT127" s="69"/>
      <c r="AU127" s="69"/>
      <c r="AV127" s="69"/>
      <c r="AW127" s="69"/>
      <c r="AX127" s="69"/>
      <c r="AY127" s="69"/>
      <c r="AZ127" s="69"/>
      <c r="BA127" s="69"/>
      <c r="BB127" s="69"/>
      <c r="BC127" s="69"/>
    </row>
    <row r="128" spans="1:55" ht="15.75">
      <c r="A128" s="68" t="s">
        <v>49</v>
      </c>
      <c r="B128" s="68"/>
      <c r="C128" s="68"/>
      <c r="D128" s="68"/>
      <c r="E128" s="68"/>
      <c r="F128" s="68"/>
      <c r="G128" s="68"/>
      <c r="H128" s="68"/>
      <c r="I128" s="68"/>
      <c r="J128" s="68"/>
      <c r="K128" s="68"/>
      <c r="L128" s="68"/>
      <c r="M128" s="68"/>
      <c r="N128" s="68"/>
      <c r="O128" s="68"/>
      <c r="P128" s="68"/>
      <c r="Q128" s="68"/>
      <c r="R128" s="68"/>
      <c r="S128" s="68"/>
      <c r="T128" s="68"/>
      <c r="U128" s="68"/>
      <c r="V128" s="68"/>
      <c r="W128" s="68"/>
      <c r="X128" s="68"/>
      <c r="Y128" s="68"/>
      <c r="Z128" s="68"/>
      <c r="AA128" s="68"/>
      <c r="AB128" s="68"/>
      <c r="AC128" s="68"/>
      <c r="AD128" s="68"/>
      <c r="AE128" s="68"/>
      <c r="AF128" s="68"/>
      <c r="AG128" s="68"/>
      <c r="AH128" s="69"/>
      <c r="AI128" s="69"/>
      <c r="AJ128" s="69"/>
      <c r="AK128" s="69"/>
      <c r="AL128" s="69"/>
      <c r="AM128" s="69"/>
      <c r="AN128" s="69"/>
      <c r="AO128" s="69"/>
      <c r="AP128" s="69"/>
      <c r="AQ128" s="69"/>
      <c r="AR128" s="69"/>
      <c r="AS128" s="69"/>
      <c r="AT128" s="69"/>
      <c r="AU128" s="69"/>
      <c r="AV128" s="69"/>
      <c r="AW128" s="69"/>
      <c r="AX128" s="69"/>
      <c r="AY128" s="69"/>
      <c r="AZ128" s="69"/>
      <c r="BA128" s="69"/>
      <c r="BB128" s="69"/>
      <c r="BC128" s="69"/>
    </row>
    <row r="129" spans="1:55">
      <c r="A129" s="70" t="s">
        <v>51</v>
      </c>
      <c r="B129" s="70"/>
      <c r="C129" s="70"/>
      <c r="D129" s="70"/>
      <c r="E129" s="70"/>
      <c r="F129" s="70"/>
      <c r="G129" s="70"/>
      <c r="H129" s="70"/>
      <c r="I129" s="70"/>
      <c r="J129" s="70"/>
      <c r="K129" s="70"/>
      <c r="L129" s="70"/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69"/>
      <c r="AI129" s="69"/>
      <c r="AJ129" s="69"/>
      <c r="AK129" s="69"/>
      <c r="AL129" s="69"/>
      <c r="AM129" s="69"/>
      <c r="AN129" s="69"/>
      <c r="AO129" s="69"/>
      <c r="AP129" s="69"/>
      <c r="AQ129" s="69"/>
      <c r="AR129" s="69"/>
      <c r="AS129" s="69"/>
      <c r="AT129" s="69"/>
      <c r="AU129" s="69"/>
      <c r="AV129" s="69"/>
      <c r="AW129" s="69"/>
      <c r="AX129" s="69"/>
      <c r="AY129" s="69"/>
      <c r="AZ129" s="69"/>
      <c r="BA129" s="69"/>
      <c r="BB129" s="69"/>
      <c r="BC129" s="69"/>
    </row>
    <row r="130" spans="1:55">
      <c r="A130" s="71"/>
      <c r="B130" s="72" t="s">
        <v>52</v>
      </c>
      <c r="C130" s="69" t="s">
        <v>53</v>
      </c>
      <c r="D130" s="73" t="s">
        <v>54</v>
      </c>
      <c r="E130" s="69"/>
      <c r="F130" s="69"/>
      <c r="G130" s="69"/>
      <c r="H130" s="69"/>
      <c r="I130" s="69"/>
      <c r="J130" s="69"/>
      <c r="K130" s="69"/>
      <c r="L130" s="69"/>
      <c r="M130" s="69"/>
      <c r="N130" s="69"/>
      <c r="O130" s="69"/>
      <c r="P130" s="69"/>
      <c r="Q130" s="69"/>
      <c r="R130" s="69"/>
      <c r="S130" s="69"/>
      <c r="T130" s="69"/>
      <c r="U130" s="69"/>
      <c r="V130" s="69"/>
      <c r="W130" s="69"/>
      <c r="X130" s="69"/>
      <c r="Y130" s="69"/>
      <c r="Z130" s="69"/>
      <c r="AA130" s="69"/>
      <c r="AB130" s="69"/>
      <c r="AC130" s="69"/>
      <c r="AD130" s="69"/>
      <c r="AE130" s="69"/>
      <c r="AF130" s="69"/>
      <c r="AG130" s="69"/>
      <c r="AH130" s="69"/>
      <c r="AI130" s="69"/>
      <c r="AJ130" s="69"/>
      <c r="AK130" s="69"/>
      <c r="AL130" s="69"/>
      <c r="AM130" s="69"/>
      <c r="AN130" s="69"/>
      <c r="AO130" s="69"/>
      <c r="AP130" s="69"/>
      <c r="AQ130" s="69"/>
      <c r="AR130" s="69"/>
      <c r="AS130" s="69"/>
      <c r="AT130" s="69"/>
      <c r="AU130" s="69"/>
      <c r="AV130" s="69"/>
      <c r="AW130" s="69"/>
      <c r="AX130" s="69"/>
      <c r="AY130" s="69"/>
      <c r="AZ130" s="69"/>
      <c r="BA130" s="69"/>
      <c r="BB130" s="69"/>
      <c r="BC130" s="69"/>
    </row>
    <row r="131" spans="1:55">
      <c r="A131" s="72"/>
      <c r="B131" s="72" t="s">
        <v>55</v>
      </c>
      <c r="C131" s="69" t="s">
        <v>53</v>
      </c>
      <c r="D131" s="73" t="s">
        <v>155</v>
      </c>
      <c r="E131" s="69"/>
      <c r="F131" s="69"/>
      <c r="G131" s="69"/>
      <c r="H131" s="69"/>
      <c r="I131" s="69"/>
      <c r="J131" s="69"/>
      <c r="K131" s="69"/>
      <c r="L131" s="69"/>
      <c r="M131" s="69"/>
      <c r="N131" s="69"/>
      <c r="O131" s="69"/>
      <c r="P131" s="69" t="s">
        <v>51</v>
      </c>
      <c r="Q131" s="69"/>
      <c r="R131" s="69"/>
      <c r="S131" s="69"/>
      <c r="T131" s="69"/>
      <c r="U131" s="69"/>
      <c r="V131" s="69"/>
      <c r="W131" s="69"/>
      <c r="X131" s="69"/>
      <c r="Y131" s="69"/>
      <c r="Z131" s="69"/>
      <c r="AA131" s="69"/>
      <c r="AB131" s="69"/>
      <c r="AC131" s="69"/>
      <c r="AD131" s="69"/>
      <c r="AE131" s="69"/>
      <c r="AF131" s="69"/>
      <c r="AG131" s="69"/>
      <c r="AH131" s="69"/>
      <c r="AI131" s="69"/>
      <c r="AJ131" s="69"/>
      <c r="AK131" s="69"/>
      <c r="AL131" s="69"/>
      <c r="AM131" s="69"/>
      <c r="AN131" s="69"/>
      <c r="AO131" s="69"/>
      <c r="AP131" s="69"/>
      <c r="AQ131" s="69"/>
      <c r="AR131" s="69"/>
      <c r="AS131" s="69"/>
      <c r="AT131" s="69"/>
      <c r="AU131" s="69"/>
      <c r="AV131" s="69"/>
      <c r="AW131" s="69"/>
      <c r="AX131" s="69"/>
      <c r="AY131" s="69"/>
      <c r="AZ131" s="69"/>
      <c r="BA131" s="69"/>
      <c r="BB131" s="69"/>
      <c r="BC131" s="69"/>
    </row>
    <row r="132" spans="1:55">
      <c r="A132" s="72"/>
      <c r="B132" s="72" t="s">
        <v>57</v>
      </c>
      <c r="C132" s="69" t="s">
        <v>53</v>
      </c>
      <c r="D132" s="73" t="s">
        <v>156</v>
      </c>
      <c r="E132" s="69"/>
      <c r="F132" s="69"/>
      <c r="G132" s="69"/>
      <c r="H132" s="69"/>
      <c r="I132" s="69"/>
      <c r="J132" s="69"/>
      <c r="K132" s="69"/>
      <c r="L132" s="69"/>
      <c r="M132" s="69"/>
      <c r="N132" s="69"/>
      <c r="O132" s="69"/>
      <c r="P132" s="69"/>
      <c r="Q132" s="69"/>
      <c r="R132" s="69"/>
      <c r="S132" s="69"/>
      <c r="T132" s="69"/>
      <c r="U132" s="69"/>
      <c r="V132" s="69"/>
      <c r="W132" s="69"/>
      <c r="X132" s="69"/>
      <c r="Y132" s="69"/>
      <c r="Z132" s="69"/>
      <c r="AA132" s="69"/>
      <c r="AB132" s="69"/>
      <c r="AC132" s="69"/>
      <c r="AD132" s="69"/>
      <c r="AE132" s="69"/>
      <c r="AF132" s="69"/>
      <c r="AG132" s="69"/>
      <c r="AH132" s="69"/>
      <c r="AI132" s="69"/>
      <c r="AJ132" s="69"/>
      <c r="AK132" s="69"/>
      <c r="AL132" s="69"/>
      <c r="AM132" s="69"/>
      <c r="AN132" s="69"/>
      <c r="AO132" s="69"/>
      <c r="AP132" s="69"/>
      <c r="AQ132" s="69"/>
      <c r="AR132" s="69"/>
      <c r="AS132" s="69"/>
      <c r="AT132" s="69"/>
      <c r="AU132" s="69"/>
      <c r="AV132" s="69"/>
      <c r="AW132" s="69"/>
      <c r="AX132" s="69"/>
      <c r="AY132" s="69"/>
      <c r="AZ132" s="69"/>
      <c r="BA132" s="69"/>
      <c r="BB132" s="69"/>
      <c r="BC132" s="69"/>
    </row>
    <row r="133" spans="1:55">
      <c r="A133" s="74" t="s">
        <v>59</v>
      </c>
      <c r="B133" s="74" t="s">
        <v>60</v>
      </c>
      <c r="C133" s="75">
        <v>1</v>
      </c>
      <c r="D133" s="74">
        <v>2</v>
      </c>
      <c r="E133" s="74">
        <v>3</v>
      </c>
      <c r="F133" s="75">
        <v>4</v>
      </c>
      <c r="G133" s="74">
        <v>5</v>
      </c>
      <c r="H133" s="74">
        <v>6</v>
      </c>
      <c r="I133" s="74">
        <v>7</v>
      </c>
      <c r="J133" s="74">
        <v>8</v>
      </c>
      <c r="K133" s="74">
        <v>9</v>
      </c>
      <c r="L133" s="74">
        <v>10</v>
      </c>
      <c r="M133" s="75">
        <v>11</v>
      </c>
      <c r="N133" s="74">
        <v>12</v>
      </c>
      <c r="O133" s="74">
        <v>13</v>
      </c>
      <c r="P133" s="74">
        <v>14</v>
      </c>
      <c r="Q133" s="74">
        <v>15</v>
      </c>
      <c r="R133" s="75">
        <v>16</v>
      </c>
      <c r="S133" s="74">
        <v>17</v>
      </c>
      <c r="T133" s="75">
        <v>18</v>
      </c>
      <c r="U133" s="74">
        <v>19</v>
      </c>
      <c r="V133" s="74">
        <v>20</v>
      </c>
      <c r="W133" s="74">
        <v>21</v>
      </c>
      <c r="X133" s="74">
        <v>22</v>
      </c>
      <c r="Y133" s="74">
        <v>23</v>
      </c>
      <c r="Z133" s="74">
        <v>24</v>
      </c>
      <c r="AA133" s="75">
        <v>25</v>
      </c>
      <c r="AB133" s="74">
        <v>26</v>
      </c>
      <c r="AC133" s="74">
        <v>27</v>
      </c>
      <c r="AD133" s="74">
        <v>28</v>
      </c>
      <c r="AE133" s="74">
        <v>29</v>
      </c>
      <c r="AF133" s="74">
        <v>30</v>
      </c>
      <c r="AG133" s="74">
        <v>31</v>
      </c>
      <c r="AH133" s="69"/>
      <c r="AI133" s="69"/>
      <c r="AJ133" s="69"/>
      <c r="AK133" s="69"/>
      <c r="AL133" s="69"/>
      <c r="AM133" s="69"/>
      <c r="AN133" s="69"/>
      <c r="AO133" s="69"/>
      <c r="AP133" s="69"/>
      <c r="AQ133" s="69"/>
      <c r="AR133" s="69"/>
      <c r="AS133" s="69"/>
      <c r="AT133" s="69"/>
      <c r="AU133" s="69"/>
      <c r="AV133" s="69"/>
      <c r="AW133" s="69"/>
      <c r="AX133" s="69"/>
      <c r="AY133" s="69"/>
      <c r="AZ133" s="69"/>
      <c r="BA133" s="69"/>
      <c r="BB133" s="69"/>
      <c r="BC133" s="69"/>
    </row>
    <row r="134" spans="1:55">
      <c r="A134" s="77">
        <v>1</v>
      </c>
      <c r="B134" s="89" t="s">
        <v>157</v>
      </c>
      <c r="C134" s="79"/>
      <c r="D134" s="79"/>
      <c r="E134" s="79"/>
      <c r="F134" s="79"/>
      <c r="G134" s="79"/>
      <c r="H134" s="79"/>
      <c r="I134" s="79"/>
      <c r="J134" s="79"/>
      <c r="K134" s="79"/>
      <c r="L134" s="79"/>
      <c r="M134" s="79"/>
      <c r="N134" s="79"/>
      <c r="O134" s="79"/>
      <c r="P134" s="79"/>
      <c r="Q134" s="79"/>
      <c r="R134" s="79"/>
      <c r="S134" s="79"/>
      <c r="T134" s="79"/>
      <c r="U134" s="79"/>
      <c r="V134" s="79" t="s">
        <v>62</v>
      </c>
      <c r="W134" s="79" t="s">
        <v>63</v>
      </c>
      <c r="X134" s="79"/>
      <c r="Y134" s="79"/>
      <c r="Z134" s="79"/>
      <c r="AA134" s="79"/>
      <c r="AB134" s="79"/>
      <c r="AC134" s="79"/>
      <c r="AD134" s="79"/>
      <c r="AE134" s="79"/>
      <c r="AF134" s="79"/>
      <c r="AG134" s="79"/>
      <c r="AH134" s="69"/>
      <c r="AI134" s="69"/>
      <c r="AJ134" s="69"/>
      <c r="AK134" s="69"/>
      <c r="AL134" s="69"/>
      <c r="AM134" s="69"/>
      <c r="AN134" s="69"/>
      <c r="AO134" s="69"/>
      <c r="AP134" s="69"/>
      <c r="AQ134" s="69"/>
      <c r="AR134" s="69"/>
      <c r="AS134" s="69"/>
      <c r="AT134" s="69"/>
      <c r="AU134" s="69"/>
      <c r="AV134" s="69"/>
      <c r="AW134" s="69"/>
      <c r="AX134" s="69"/>
      <c r="AY134" s="69"/>
      <c r="AZ134" s="69"/>
      <c r="BA134" s="69"/>
      <c r="BB134" s="69"/>
      <c r="BC134" s="69"/>
    </row>
    <row r="135" spans="1:55">
      <c r="A135" s="77">
        <v>2</v>
      </c>
      <c r="B135" s="89" t="s">
        <v>158</v>
      </c>
      <c r="C135" s="79"/>
      <c r="D135" s="79"/>
      <c r="E135" s="79"/>
      <c r="F135" s="79"/>
      <c r="G135" s="79"/>
      <c r="H135" s="79"/>
      <c r="I135" s="79"/>
      <c r="J135" s="79"/>
      <c r="K135" s="79"/>
      <c r="L135" s="79"/>
      <c r="M135" s="79"/>
      <c r="N135" s="79"/>
      <c r="O135" s="79"/>
      <c r="P135" s="79"/>
      <c r="Q135" s="79"/>
      <c r="R135" s="79"/>
      <c r="S135" s="79"/>
      <c r="T135" s="79"/>
      <c r="U135" s="79"/>
      <c r="V135" s="79" t="s">
        <v>62</v>
      </c>
      <c r="W135" s="79" t="s">
        <v>63</v>
      </c>
      <c r="X135" s="79"/>
      <c r="Y135" s="79"/>
      <c r="Z135" s="79"/>
      <c r="AA135" s="79"/>
      <c r="AB135" s="79"/>
      <c r="AC135" s="79"/>
      <c r="AD135" s="79"/>
      <c r="AE135" s="79"/>
      <c r="AF135" s="79"/>
      <c r="AG135" s="79"/>
      <c r="AH135" s="69"/>
      <c r="AI135" s="69"/>
      <c r="AJ135" s="69"/>
      <c r="AK135" s="69"/>
      <c r="AL135" s="69"/>
      <c r="AM135" s="69"/>
      <c r="AN135" s="69"/>
      <c r="AO135" s="69"/>
      <c r="AP135" s="69"/>
      <c r="AQ135" s="69"/>
      <c r="AR135" s="69"/>
      <c r="AS135" s="69"/>
      <c r="AT135" s="69"/>
      <c r="AU135" s="69"/>
      <c r="AV135" s="69"/>
      <c r="AW135" s="69"/>
      <c r="AX135" s="69"/>
      <c r="AY135" s="69"/>
      <c r="AZ135" s="69"/>
      <c r="BA135" s="69"/>
      <c r="BB135" s="69"/>
      <c r="BC135" s="69"/>
    </row>
    <row r="136" spans="1:55">
      <c r="A136" s="77">
        <v>3</v>
      </c>
      <c r="B136" s="89" t="s">
        <v>159</v>
      </c>
      <c r="C136" s="79"/>
      <c r="D136" s="79"/>
      <c r="E136" s="79"/>
      <c r="F136" s="79"/>
      <c r="G136" s="79"/>
      <c r="H136" s="79"/>
      <c r="I136" s="79"/>
      <c r="J136" s="79"/>
      <c r="K136" s="79"/>
      <c r="L136" s="79"/>
      <c r="M136" s="79"/>
      <c r="N136" s="79"/>
      <c r="O136" s="79"/>
      <c r="P136" s="79"/>
      <c r="Q136" s="79"/>
      <c r="R136" s="79"/>
      <c r="S136" s="79"/>
      <c r="T136" s="79"/>
      <c r="U136" s="79"/>
      <c r="V136" s="79" t="s">
        <v>62</v>
      </c>
      <c r="W136" s="79"/>
      <c r="X136" s="79" t="s">
        <v>63</v>
      </c>
      <c r="Y136" s="79"/>
      <c r="Z136" s="79"/>
      <c r="AA136" s="79"/>
      <c r="AB136" s="79"/>
      <c r="AC136" s="79" t="s">
        <v>62</v>
      </c>
      <c r="AD136" s="79"/>
      <c r="AE136" s="79" t="s">
        <v>63</v>
      </c>
      <c r="AF136" s="79"/>
      <c r="AG136" s="79"/>
      <c r="AH136" s="69"/>
      <c r="AI136" s="69" t="s">
        <v>51</v>
      </c>
      <c r="AJ136" s="69"/>
      <c r="AK136" s="69"/>
      <c r="AL136" s="69"/>
      <c r="AM136" s="69"/>
      <c r="AN136" s="69"/>
      <c r="AO136" s="69"/>
      <c r="AP136" s="69"/>
      <c r="AQ136" s="69"/>
      <c r="AR136" s="69"/>
      <c r="AS136" s="69"/>
      <c r="AT136" s="69"/>
      <c r="AU136" s="69"/>
      <c r="AV136" s="69"/>
      <c r="AW136" s="69"/>
      <c r="AX136" s="69"/>
      <c r="AY136" s="69"/>
      <c r="AZ136" s="69"/>
      <c r="BA136" s="69"/>
      <c r="BB136" s="69"/>
      <c r="BC136" s="69"/>
    </row>
    <row r="137" spans="1:55">
      <c r="A137" s="77">
        <v>4</v>
      </c>
      <c r="B137" s="78" t="s">
        <v>160</v>
      </c>
      <c r="C137" s="79"/>
      <c r="D137" s="79"/>
      <c r="E137" s="79"/>
      <c r="F137" s="79"/>
      <c r="G137" s="79"/>
      <c r="H137" s="79"/>
      <c r="I137" s="79"/>
      <c r="J137" s="79"/>
      <c r="K137" s="79"/>
      <c r="L137" s="79"/>
      <c r="M137" s="79"/>
      <c r="N137" s="79" t="s">
        <v>63</v>
      </c>
      <c r="O137" s="79"/>
      <c r="P137" s="79"/>
      <c r="Q137" s="79"/>
      <c r="R137" s="79"/>
      <c r="S137" s="79"/>
      <c r="T137" s="79"/>
      <c r="U137" s="79"/>
      <c r="V137" s="79"/>
      <c r="W137" s="79"/>
      <c r="X137" s="79"/>
      <c r="Y137" s="79"/>
      <c r="Z137" s="79"/>
      <c r="AA137" s="79"/>
      <c r="AB137" s="79"/>
      <c r="AC137" s="79"/>
      <c r="AD137" s="79"/>
      <c r="AE137" s="79"/>
      <c r="AF137" s="79"/>
      <c r="AG137" s="79"/>
      <c r="AH137" s="69"/>
      <c r="AI137" s="69"/>
      <c r="AJ137" s="69"/>
      <c r="AK137" s="69"/>
      <c r="AL137" s="69"/>
      <c r="AM137" s="69"/>
      <c r="AN137" s="69"/>
      <c r="AO137" s="69"/>
      <c r="AP137" s="69"/>
      <c r="AQ137" s="69"/>
      <c r="AR137" s="69"/>
      <c r="AS137" s="69"/>
      <c r="AT137" s="69"/>
      <c r="AU137" s="69"/>
      <c r="AV137" s="69"/>
      <c r="AW137" s="69"/>
      <c r="AX137" s="69"/>
      <c r="AY137" s="69"/>
      <c r="AZ137" s="69"/>
      <c r="BA137" s="69"/>
      <c r="BB137" s="69"/>
      <c r="BC137" s="69"/>
    </row>
    <row r="138" spans="1:55">
      <c r="A138" s="77">
        <v>5</v>
      </c>
      <c r="B138" s="78" t="s">
        <v>161</v>
      </c>
      <c r="C138" s="79"/>
      <c r="D138" s="79"/>
      <c r="E138" s="79"/>
      <c r="F138" s="79"/>
      <c r="G138" s="79"/>
      <c r="H138" s="79"/>
      <c r="I138" s="79"/>
      <c r="J138" s="79"/>
      <c r="K138" s="79"/>
      <c r="L138" s="79"/>
      <c r="M138" s="79"/>
      <c r="N138" s="79"/>
      <c r="O138" s="79"/>
      <c r="P138" s="79"/>
      <c r="Q138" s="79"/>
      <c r="R138" s="79"/>
      <c r="S138" s="79"/>
      <c r="T138" s="79"/>
      <c r="U138" s="79"/>
      <c r="V138" s="79" t="s">
        <v>64</v>
      </c>
      <c r="W138" s="79"/>
      <c r="X138" s="79"/>
      <c r="Y138" s="79"/>
      <c r="Z138" s="79"/>
      <c r="AA138" s="79"/>
      <c r="AB138" s="79"/>
      <c r="AC138" s="79"/>
      <c r="AD138" s="79"/>
      <c r="AE138" s="79" t="s">
        <v>62</v>
      </c>
      <c r="AF138" s="79"/>
      <c r="AG138" s="79"/>
      <c r="AH138" s="69"/>
      <c r="AI138" s="69"/>
      <c r="AJ138" s="69"/>
      <c r="AK138" s="69"/>
      <c r="AL138" s="69"/>
      <c r="AM138" s="69"/>
      <c r="AN138" s="69"/>
      <c r="AO138" s="69"/>
      <c r="AP138" s="69"/>
      <c r="AQ138" s="69"/>
      <c r="AR138" s="69"/>
      <c r="AS138" s="69"/>
      <c r="AT138" s="69"/>
      <c r="AU138" s="69"/>
      <c r="AV138" s="69"/>
      <c r="AW138" s="69"/>
      <c r="AX138" s="69"/>
      <c r="AY138" s="69"/>
      <c r="AZ138" s="69"/>
      <c r="BA138" s="69"/>
      <c r="BB138" s="69"/>
      <c r="BC138" s="69"/>
    </row>
    <row r="139" spans="1:55">
      <c r="A139" s="77">
        <v>6</v>
      </c>
      <c r="B139" s="89" t="s">
        <v>162</v>
      </c>
      <c r="C139" s="79"/>
      <c r="D139" s="79"/>
      <c r="E139" s="79"/>
      <c r="F139" s="79"/>
      <c r="G139" s="79"/>
      <c r="H139" s="79"/>
      <c r="I139" s="79"/>
      <c r="J139" s="79"/>
      <c r="K139" s="79"/>
      <c r="L139" s="79"/>
      <c r="M139" s="79"/>
      <c r="N139" s="79"/>
      <c r="O139" s="79"/>
      <c r="P139" s="79"/>
      <c r="Q139" s="79"/>
      <c r="R139" s="79"/>
      <c r="S139" s="79"/>
      <c r="T139" s="79"/>
      <c r="U139" s="79"/>
      <c r="V139" s="79"/>
      <c r="W139" s="79"/>
      <c r="X139" s="79"/>
      <c r="Y139" s="79" t="s">
        <v>62</v>
      </c>
      <c r="Z139" s="79"/>
      <c r="AA139" s="79"/>
      <c r="AB139" s="79"/>
      <c r="AC139" s="79" t="s">
        <v>63</v>
      </c>
      <c r="AD139" s="79"/>
      <c r="AE139" s="79"/>
      <c r="AF139" s="79"/>
      <c r="AG139" s="79"/>
      <c r="AH139" s="69"/>
      <c r="AI139" s="69"/>
      <c r="AJ139" s="69"/>
      <c r="AK139" s="69"/>
      <c r="AL139" s="69"/>
      <c r="AM139" s="69"/>
      <c r="AN139" s="69"/>
      <c r="AO139" s="69"/>
      <c r="AP139" s="69"/>
      <c r="AQ139" s="69"/>
      <c r="AR139" s="69"/>
      <c r="AS139" s="69"/>
      <c r="AT139" s="69"/>
      <c r="AU139" s="69"/>
      <c r="AV139" s="69"/>
      <c r="AW139" s="69"/>
      <c r="AX139" s="69"/>
      <c r="AY139" s="69"/>
      <c r="AZ139" s="69"/>
      <c r="BA139" s="69"/>
      <c r="BB139" s="69"/>
      <c r="BC139" s="69"/>
    </row>
    <row r="140" spans="1:55">
      <c r="A140" s="77">
        <v>7</v>
      </c>
      <c r="B140" s="78" t="s">
        <v>163</v>
      </c>
      <c r="C140" s="79"/>
      <c r="D140" s="79"/>
      <c r="E140" s="79"/>
      <c r="F140" s="79"/>
      <c r="G140" s="79"/>
      <c r="H140" s="79"/>
      <c r="I140" s="79"/>
      <c r="J140" s="79" t="s">
        <v>62</v>
      </c>
      <c r="K140" s="79" t="s">
        <v>63</v>
      </c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Z140" s="79"/>
      <c r="AA140" s="79"/>
      <c r="AB140" s="79"/>
      <c r="AC140" s="79"/>
      <c r="AD140" s="79"/>
      <c r="AE140" s="79"/>
      <c r="AF140" s="79"/>
      <c r="AG140" s="79"/>
      <c r="AH140" s="69"/>
      <c r="AI140" s="69"/>
      <c r="AJ140" s="69"/>
      <c r="AK140" s="69"/>
      <c r="AL140" s="69"/>
      <c r="AM140" s="69"/>
      <c r="AN140" s="69"/>
      <c r="AO140" s="69"/>
      <c r="AP140" s="69"/>
      <c r="AQ140" s="69"/>
      <c r="AR140" s="69"/>
      <c r="AS140" s="69"/>
      <c r="AT140" s="69"/>
      <c r="AU140" s="69"/>
      <c r="AV140" s="69"/>
      <c r="AW140" s="69"/>
      <c r="AX140" s="69"/>
      <c r="AY140" s="69"/>
      <c r="AZ140" s="69"/>
      <c r="BA140" s="69"/>
      <c r="BB140" s="69"/>
      <c r="BC140" s="69"/>
    </row>
    <row r="141" spans="1:55">
      <c r="A141" s="77">
        <v>8</v>
      </c>
      <c r="B141" s="78" t="s">
        <v>164</v>
      </c>
      <c r="C141" s="79"/>
      <c r="D141" s="79"/>
      <c r="E141" s="79"/>
      <c r="F141" s="79"/>
      <c r="G141" s="79"/>
      <c r="H141" s="79"/>
      <c r="I141" s="79"/>
      <c r="J141" s="79"/>
      <c r="K141" s="79"/>
      <c r="L141" s="79"/>
      <c r="M141" s="79"/>
      <c r="N141" s="79"/>
      <c r="O141" s="79"/>
      <c r="P141" s="79"/>
      <c r="Q141" s="79"/>
      <c r="R141" s="79"/>
      <c r="S141" s="79"/>
      <c r="T141" s="79"/>
      <c r="U141" s="79"/>
      <c r="V141" s="79"/>
      <c r="W141" s="79"/>
      <c r="X141" s="79"/>
      <c r="Y141" s="79"/>
      <c r="Z141" s="79" t="s">
        <v>63</v>
      </c>
      <c r="AA141" s="79"/>
      <c r="AB141" s="79"/>
      <c r="AC141" s="79"/>
      <c r="AD141" s="79"/>
      <c r="AE141" s="79"/>
      <c r="AF141" s="79"/>
      <c r="AG141" s="79"/>
      <c r="AH141" s="69"/>
      <c r="AI141" s="69"/>
      <c r="AJ141" s="69"/>
      <c r="AK141" s="69"/>
      <c r="AL141" s="69"/>
      <c r="AM141" s="69"/>
      <c r="AN141" s="69"/>
      <c r="AO141" s="69"/>
      <c r="AP141" s="69"/>
      <c r="AQ141" s="69"/>
      <c r="AR141" s="69"/>
      <c r="AS141" s="69"/>
      <c r="AT141" s="69"/>
      <c r="AU141" s="69"/>
      <c r="AV141" s="69"/>
      <c r="AW141" s="69"/>
      <c r="AX141" s="69"/>
      <c r="AY141" s="69"/>
      <c r="AZ141" s="69"/>
      <c r="BA141" s="69"/>
      <c r="BB141" s="69"/>
      <c r="BC141" s="69"/>
    </row>
    <row r="142" spans="1:55">
      <c r="A142" s="77">
        <v>9</v>
      </c>
      <c r="B142" s="78" t="s">
        <v>165</v>
      </c>
      <c r="C142" s="79"/>
      <c r="D142" s="79"/>
      <c r="E142" s="79"/>
      <c r="F142" s="79"/>
      <c r="G142" s="79" t="s">
        <v>64</v>
      </c>
      <c r="H142" s="79"/>
      <c r="I142" s="79"/>
      <c r="J142" s="79"/>
      <c r="K142" s="79"/>
      <c r="L142" s="79"/>
      <c r="M142" s="79"/>
      <c r="N142" s="79" t="s">
        <v>63</v>
      </c>
      <c r="O142" s="79"/>
      <c r="P142" s="79"/>
      <c r="Q142" s="79"/>
      <c r="R142" s="79"/>
      <c r="S142" s="79"/>
      <c r="T142" s="79"/>
      <c r="U142" s="79"/>
      <c r="V142" s="79"/>
      <c r="W142" s="79"/>
      <c r="X142" s="79"/>
      <c r="Y142" s="79"/>
      <c r="Z142" s="79"/>
      <c r="AA142" s="79"/>
      <c r="AB142" s="79"/>
      <c r="AC142" s="79"/>
      <c r="AD142" s="79"/>
      <c r="AE142" s="79"/>
      <c r="AF142" s="79"/>
      <c r="AG142" s="79"/>
      <c r="AH142" s="69"/>
      <c r="AI142" s="69"/>
      <c r="AJ142" s="69"/>
      <c r="AK142" s="69"/>
      <c r="AL142" s="69"/>
      <c r="AM142" s="69"/>
      <c r="AN142" s="69"/>
      <c r="AO142" s="69"/>
      <c r="AP142" s="69"/>
      <c r="AQ142" s="69"/>
      <c r="AR142" s="69"/>
      <c r="AS142" s="69"/>
      <c r="AT142" s="69"/>
      <c r="AU142" s="69"/>
      <c r="AV142" s="69"/>
      <c r="AW142" s="69"/>
      <c r="AX142" s="69"/>
      <c r="AY142" s="69"/>
      <c r="AZ142" s="69"/>
      <c r="BA142" s="69"/>
      <c r="BB142" s="69"/>
      <c r="BC142" s="69"/>
    </row>
    <row r="143" spans="1:55">
      <c r="A143" s="77">
        <v>10</v>
      </c>
      <c r="B143" s="78" t="s">
        <v>166</v>
      </c>
      <c r="C143" s="79"/>
      <c r="D143" s="79"/>
      <c r="E143" s="79"/>
      <c r="F143" s="79"/>
      <c r="G143" s="79"/>
      <c r="H143" s="79" t="s">
        <v>64</v>
      </c>
      <c r="I143" s="79"/>
      <c r="J143" s="79"/>
      <c r="K143" s="79"/>
      <c r="L143" s="79"/>
      <c r="M143" s="79"/>
      <c r="N143" s="79"/>
      <c r="O143" s="79" t="s">
        <v>63</v>
      </c>
      <c r="P143" s="79"/>
      <c r="Q143" s="79"/>
      <c r="R143" s="79"/>
      <c r="S143" s="79"/>
      <c r="T143" s="79"/>
      <c r="U143" s="79"/>
      <c r="V143" s="79"/>
      <c r="W143" s="79" t="s">
        <v>63</v>
      </c>
      <c r="X143" s="79"/>
      <c r="Y143" s="79"/>
      <c r="Z143" s="79"/>
      <c r="AA143" s="79"/>
      <c r="AB143" s="79"/>
      <c r="AC143" s="79"/>
      <c r="AD143" s="79" t="s">
        <v>63</v>
      </c>
      <c r="AE143" s="79"/>
      <c r="AF143" s="79"/>
      <c r="AG143" s="79"/>
      <c r="AH143" s="69"/>
      <c r="AI143" s="69"/>
      <c r="AJ143" s="69"/>
      <c r="AK143" s="69"/>
      <c r="AL143" s="69"/>
      <c r="AM143" s="69"/>
      <c r="AN143" s="69" t="s">
        <v>51</v>
      </c>
      <c r="AO143" s="69"/>
      <c r="AP143" s="69"/>
      <c r="AQ143" s="69"/>
      <c r="AR143" s="69"/>
      <c r="AS143" s="69"/>
      <c r="AT143" s="69"/>
      <c r="AU143" s="69"/>
      <c r="AV143" s="69"/>
      <c r="AW143" s="69"/>
      <c r="AX143" s="69"/>
      <c r="AY143" s="69"/>
      <c r="AZ143" s="69"/>
      <c r="BA143" s="69"/>
      <c r="BB143" s="69"/>
      <c r="BC143" s="69"/>
    </row>
    <row r="144" spans="1:55">
      <c r="A144" s="77">
        <v>11</v>
      </c>
      <c r="B144" s="78" t="s">
        <v>167</v>
      </c>
      <c r="C144" s="79"/>
      <c r="D144" s="79"/>
      <c r="E144" s="79"/>
      <c r="F144" s="79"/>
      <c r="G144" s="79"/>
      <c r="H144" s="79"/>
      <c r="I144" s="79"/>
      <c r="J144" s="79"/>
      <c r="K144" s="79"/>
      <c r="L144" s="79"/>
      <c r="M144" s="79"/>
      <c r="N144" s="79"/>
      <c r="O144" s="79"/>
      <c r="P144" s="79"/>
      <c r="Q144" s="79" t="s">
        <v>63</v>
      </c>
      <c r="R144" s="79"/>
      <c r="S144" s="79"/>
      <c r="T144" s="79"/>
      <c r="U144" s="79"/>
      <c r="V144" s="79"/>
      <c r="W144" s="79"/>
      <c r="X144" s="79"/>
      <c r="Y144" s="79"/>
      <c r="Z144" s="79"/>
      <c r="AA144" s="79"/>
      <c r="AB144" s="79"/>
      <c r="AC144" s="79"/>
      <c r="AD144" s="79"/>
      <c r="AE144" s="79"/>
      <c r="AF144" s="79"/>
      <c r="AG144" s="79"/>
      <c r="AH144" s="69"/>
      <c r="AI144" s="69"/>
      <c r="AJ144" s="69"/>
      <c r="AK144" s="69"/>
      <c r="AL144" s="69"/>
      <c r="AM144" s="69"/>
      <c r="AN144" s="69"/>
      <c r="AO144" s="69"/>
      <c r="AP144" s="69"/>
      <c r="AQ144" s="69"/>
      <c r="AR144" s="69"/>
      <c r="AS144" s="69"/>
      <c r="AT144" s="69"/>
      <c r="AU144" s="69"/>
      <c r="AV144" s="69"/>
      <c r="AW144" s="69"/>
      <c r="AX144" s="69"/>
      <c r="AY144" s="69"/>
      <c r="AZ144" s="69"/>
      <c r="BA144" s="69"/>
      <c r="BB144" s="69"/>
      <c r="BC144" s="69"/>
    </row>
    <row r="145" spans="1:55">
      <c r="A145" s="77">
        <v>12</v>
      </c>
      <c r="B145" s="78" t="s">
        <v>168</v>
      </c>
      <c r="C145" s="79"/>
      <c r="D145" s="79"/>
      <c r="E145" s="79"/>
      <c r="F145" s="79"/>
      <c r="G145" s="79"/>
      <c r="H145" s="79"/>
      <c r="I145" s="79"/>
      <c r="J145" s="79"/>
      <c r="K145" s="79"/>
      <c r="L145" s="79"/>
      <c r="M145" s="79"/>
      <c r="N145" s="79"/>
      <c r="O145" s="79"/>
      <c r="P145" s="79"/>
      <c r="Q145" s="79"/>
      <c r="R145" s="79"/>
      <c r="S145" s="79"/>
      <c r="T145" s="79"/>
      <c r="U145" s="79"/>
      <c r="V145" s="79"/>
      <c r="W145" s="79"/>
      <c r="X145" s="79"/>
      <c r="Y145" s="79" t="s">
        <v>62</v>
      </c>
      <c r="Z145" s="79"/>
      <c r="AA145" s="79"/>
      <c r="AB145" s="79"/>
      <c r="AC145" s="79" t="s">
        <v>62</v>
      </c>
      <c r="AD145" s="79"/>
      <c r="AE145" s="79"/>
      <c r="AF145" s="79"/>
      <c r="AG145" s="79"/>
      <c r="AH145" s="69"/>
      <c r="AI145" s="69"/>
      <c r="AJ145" s="69"/>
      <c r="AK145" s="69"/>
      <c r="AL145" s="69"/>
      <c r="AM145" s="69"/>
      <c r="AN145" s="69"/>
      <c r="AO145" s="69"/>
      <c r="AP145" s="69"/>
      <c r="AQ145" s="69"/>
      <c r="AR145" s="69"/>
      <c r="AS145" s="69"/>
      <c r="AT145" s="69"/>
      <c r="AU145" s="69"/>
      <c r="AV145" s="69"/>
      <c r="AW145" s="69"/>
      <c r="AX145" s="69"/>
      <c r="AY145" s="69"/>
      <c r="AZ145" s="69"/>
      <c r="BA145" s="69"/>
      <c r="BB145" s="69"/>
      <c r="BC145" s="69"/>
    </row>
    <row r="146" spans="1:55">
      <c r="A146" s="77">
        <v>13</v>
      </c>
      <c r="B146" s="78" t="s">
        <v>169</v>
      </c>
      <c r="C146" s="79"/>
      <c r="D146" s="79"/>
      <c r="E146" s="79"/>
      <c r="F146" s="79"/>
      <c r="G146" s="79"/>
      <c r="H146" s="79"/>
      <c r="I146" s="79"/>
      <c r="J146" s="79"/>
      <c r="K146" s="79"/>
      <c r="L146" s="79"/>
      <c r="M146" s="79"/>
      <c r="N146" s="79"/>
      <c r="O146" s="79"/>
      <c r="P146" s="79"/>
      <c r="Q146" s="79"/>
      <c r="R146" s="79"/>
      <c r="S146" s="79" t="s">
        <v>63</v>
      </c>
      <c r="T146" s="79"/>
      <c r="U146" s="79"/>
      <c r="V146" s="79"/>
      <c r="W146" s="79"/>
      <c r="X146" s="79"/>
      <c r="Y146" s="79"/>
      <c r="Z146" s="79"/>
      <c r="AA146" s="79"/>
      <c r="AB146" s="79"/>
      <c r="AC146" s="79"/>
      <c r="AD146" s="79"/>
      <c r="AE146" s="79"/>
      <c r="AF146" s="79"/>
      <c r="AG146" s="79"/>
      <c r="AH146" s="69"/>
      <c r="AI146" s="69"/>
      <c r="AJ146" s="69"/>
      <c r="AK146" s="69"/>
      <c r="AL146" s="69"/>
      <c r="AM146" s="69"/>
      <c r="AN146" s="69"/>
      <c r="AO146" s="69"/>
      <c r="AP146" s="69"/>
      <c r="AQ146" s="69"/>
      <c r="AR146" s="69"/>
      <c r="AS146" s="69"/>
      <c r="AT146" s="69"/>
      <c r="AU146" s="69"/>
      <c r="AV146" s="69"/>
      <c r="AW146" s="69"/>
      <c r="AX146" s="69"/>
      <c r="AY146" s="69"/>
      <c r="AZ146" s="69"/>
      <c r="BA146" s="69"/>
      <c r="BB146" s="69"/>
      <c r="BC146" s="69"/>
    </row>
    <row r="147" spans="1:55">
      <c r="A147" s="77">
        <v>14</v>
      </c>
      <c r="B147" s="78" t="s">
        <v>170</v>
      </c>
      <c r="C147" s="79"/>
      <c r="D147" s="79"/>
      <c r="E147" s="79"/>
      <c r="F147" s="79"/>
      <c r="G147" s="79"/>
      <c r="H147" s="79"/>
      <c r="I147" s="79"/>
      <c r="J147" s="79"/>
      <c r="K147" s="79"/>
      <c r="L147" s="79"/>
      <c r="M147" s="79"/>
      <c r="N147" s="79"/>
      <c r="O147" s="79"/>
      <c r="P147" s="79"/>
      <c r="Q147" s="79" t="s">
        <v>63</v>
      </c>
      <c r="R147" s="79"/>
      <c r="S147" s="79"/>
      <c r="T147" s="79"/>
      <c r="U147" s="79"/>
      <c r="V147" s="79"/>
      <c r="W147" s="79"/>
      <c r="X147" s="79"/>
      <c r="Y147" s="79"/>
      <c r="Z147" s="79"/>
      <c r="AA147" s="79"/>
      <c r="AB147" s="79"/>
      <c r="AC147" s="79"/>
      <c r="AD147" s="79"/>
      <c r="AE147" s="79"/>
      <c r="AF147" s="79"/>
      <c r="AG147" s="79"/>
      <c r="AH147" s="69"/>
      <c r="AI147" s="69"/>
      <c r="AJ147" s="69"/>
      <c r="AK147" s="69"/>
      <c r="AL147" s="69"/>
      <c r="AM147" s="69"/>
      <c r="AN147" s="69"/>
      <c r="AO147" s="69"/>
      <c r="AP147" s="69"/>
      <c r="AQ147" s="69"/>
      <c r="AR147" s="69"/>
      <c r="AS147" s="69"/>
      <c r="AT147" s="69"/>
      <c r="AU147" s="69"/>
      <c r="AV147" s="69"/>
      <c r="AW147" s="69"/>
      <c r="AX147" s="69"/>
      <c r="AY147" s="69"/>
      <c r="AZ147" s="69"/>
      <c r="BA147" s="69"/>
      <c r="BB147" s="69"/>
      <c r="BC147" s="69"/>
    </row>
    <row r="148" spans="1:55">
      <c r="A148" s="77">
        <v>15</v>
      </c>
      <c r="B148" s="78" t="s">
        <v>171</v>
      </c>
      <c r="C148" s="79"/>
      <c r="D148" s="79"/>
      <c r="E148" s="79"/>
      <c r="F148" s="79"/>
      <c r="G148" s="79"/>
      <c r="H148" s="79"/>
      <c r="I148" s="79"/>
      <c r="J148" s="79"/>
      <c r="K148" s="79"/>
      <c r="L148" s="79"/>
      <c r="M148" s="79"/>
      <c r="N148" s="79"/>
      <c r="O148" s="79"/>
      <c r="P148" s="79"/>
      <c r="Q148" s="79" t="s">
        <v>63</v>
      </c>
      <c r="R148" s="79"/>
      <c r="S148" s="79"/>
      <c r="T148" s="79"/>
      <c r="U148" s="79"/>
      <c r="V148" s="79"/>
      <c r="W148" s="79"/>
      <c r="X148" s="79"/>
      <c r="Y148" s="79"/>
      <c r="Z148" s="79"/>
      <c r="AA148" s="79"/>
      <c r="AB148" s="79"/>
      <c r="AC148" s="79"/>
      <c r="AD148" s="79"/>
      <c r="AE148" s="79" t="s">
        <v>63</v>
      </c>
      <c r="AF148" s="79"/>
      <c r="AG148" s="79"/>
      <c r="AH148" s="69"/>
      <c r="AI148" s="69"/>
      <c r="AJ148" s="69"/>
      <c r="AK148" s="69"/>
      <c r="AL148" s="69"/>
      <c r="AM148" s="69"/>
      <c r="AN148" s="69"/>
      <c r="AO148" s="69"/>
      <c r="AP148" s="69"/>
      <c r="AQ148" s="69"/>
      <c r="AR148" s="69"/>
      <c r="AS148" s="69"/>
      <c r="AT148" s="69"/>
      <c r="AU148" s="69"/>
      <c r="AV148" s="69"/>
      <c r="AW148" s="69"/>
      <c r="AX148" s="69"/>
      <c r="AY148" s="69"/>
      <c r="AZ148" s="69"/>
      <c r="BA148" s="69"/>
      <c r="BB148" s="69"/>
      <c r="BC148" s="69"/>
    </row>
    <row r="149" spans="1:55">
      <c r="A149" s="77">
        <v>16</v>
      </c>
      <c r="B149" s="78" t="s">
        <v>172</v>
      </c>
      <c r="C149" s="79"/>
      <c r="D149" s="79"/>
      <c r="E149" s="79"/>
      <c r="F149" s="79"/>
      <c r="G149" s="79"/>
      <c r="H149" s="79"/>
      <c r="I149" s="79"/>
      <c r="J149" s="79"/>
      <c r="K149" s="79"/>
      <c r="L149" s="79"/>
      <c r="M149" s="79"/>
      <c r="N149" s="79"/>
      <c r="O149" s="79"/>
      <c r="P149" s="79" t="s">
        <v>63</v>
      </c>
      <c r="Q149" s="79"/>
      <c r="R149" s="79"/>
      <c r="S149" s="79" t="s">
        <v>63</v>
      </c>
      <c r="T149" s="79"/>
      <c r="U149" s="79"/>
      <c r="V149" s="79"/>
      <c r="W149" s="79"/>
      <c r="X149" s="79"/>
      <c r="Y149" s="79"/>
      <c r="Z149" s="79"/>
      <c r="AA149" s="79"/>
      <c r="AB149" s="79"/>
      <c r="AC149" s="79" t="s">
        <v>63</v>
      </c>
      <c r="AD149" s="79"/>
      <c r="AE149" s="79"/>
      <c r="AF149" s="79" t="s">
        <v>63</v>
      </c>
      <c r="AG149" s="79"/>
      <c r="AH149" s="69"/>
      <c r="AI149" s="69"/>
      <c r="AJ149" s="69"/>
      <c r="AK149" s="69"/>
      <c r="AL149" s="69"/>
      <c r="AM149" s="69"/>
      <c r="AN149" s="69"/>
      <c r="AO149" s="69"/>
      <c r="AP149" s="69"/>
      <c r="AQ149" s="69"/>
      <c r="AR149" s="69"/>
      <c r="AS149" s="69"/>
      <c r="AT149" s="69"/>
      <c r="AU149" s="69"/>
      <c r="AV149" s="69"/>
      <c r="AW149" s="69"/>
      <c r="AX149" s="69"/>
      <c r="AY149" s="69"/>
      <c r="AZ149" s="69"/>
      <c r="BA149" s="69"/>
      <c r="BB149" s="69"/>
      <c r="BC149" s="69"/>
    </row>
    <row r="150" spans="1:55">
      <c r="A150" s="77">
        <v>17</v>
      </c>
      <c r="B150" s="78" t="s">
        <v>173</v>
      </c>
      <c r="C150" s="79"/>
      <c r="D150" s="79"/>
      <c r="E150" s="79"/>
      <c r="F150" s="79"/>
      <c r="G150" s="79"/>
      <c r="H150" s="79"/>
      <c r="I150" s="79"/>
      <c r="J150" s="79"/>
      <c r="K150" s="79"/>
      <c r="L150" s="79"/>
      <c r="M150" s="79"/>
      <c r="N150" s="79"/>
      <c r="O150" s="79"/>
      <c r="P150" s="79"/>
      <c r="Q150" s="79"/>
      <c r="R150" s="79"/>
      <c r="S150" s="79"/>
      <c r="T150" s="79"/>
      <c r="U150" s="79"/>
      <c r="V150" s="79"/>
      <c r="W150" s="79"/>
      <c r="X150" s="79"/>
      <c r="Y150" s="79"/>
      <c r="Z150" s="79"/>
      <c r="AA150" s="79"/>
      <c r="AB150" s="79"/>
      <c r="AC150" s="79"/>
      <c r="AD150" s="79"/>
      <c r="AE150" s="79" t="s">
        <v>64</v>
      </c>
      <c r="AF150" s="79"/>
      <c r="AG150" s="79"/>
      <c r="AH150" s="69"/>
      <c r="AI150" s="69"/>
      <c r="AJ150" s="69"/>
      <c r="AK150" s="69"/>
      <c r="AL150" s="69"/>
      <c r="AM150" s="69"/>
      <c r="AN150" s="69"/>
      <c r="AO150" s="69"/>
      <c r="AP150" s="69"/>
      <c r="AQ150" s="69"/>
      <c r="AR150" s="69"/>
      <c r="AS150" s="69"/>
      <c r="AT150" s="69"/>
      <c r="AU150" s="69"/>
      <c r="AV150" s="69"/>
      <c r="AW150" s="69"/>
      <c r="AX150" s="69"/>
      <c r="AY150" s="69"/>
      <c r="AZ150" s="69"/>
      <c r="BA150" s="69"/>
      <c r="BB150" s="69"/>
      <c r="BC150" s="69"/>
    </row>
    <row r="151" spans="1:55">
      <c r="A151" s="77">
        <v>18</v>
      </c>
      <c r="B151" s="78" t="s">
        <v>174</v>
      </c>
      <c r="C151" s="79"/>
      <c r="D151" s="79"/>
      <c r="E151" s="79" t="s">
        <v>64</v>
      </c>
      <c r="F151" s="79"/>
      <c r="G151" s="79"/>
      <c r="H151" s="79" t="s">
        <v>63</v>
      </c>
      <c r="I151" s="79"/>
      <c r="J151" s="79"/>
      <c r="K151" s="79"/>
      <c r="L151" s="79"/>
      <c r="M151" s="79"/>
      <c r="N151" s="79"/>
      <c r="O151" s="79"/>
      <c r="P151" s="79"/>
      <c r="Q151" s="79"/>
      <c r="R151" s="79"/>
      <c r="S151" s="79"/>
      <c r="T151" s="79"/>
      <c r="U151" s="79"/>
      <c r="V151" s="79"/>
      <c r="W151" s="79"/>
      <c r="X151" s="79"/>
      <c r="Y151" s="79" t="s">
        <v>63</v>
      </c>
      <c r="Z151" s="79"/>
      <c r="AA151" s="79"/>
      <c r="AB151" s="79"/>
      <c r="AC151" s="79"/>
      <c r="AD151" s="79"/>
      <c r="AE151" s="79"/>
      <c r="AF151" s="79" t="s">
        <v>63</v>
      </c>
      <c r="AG151" s="79"/>
      <c r="AH151" s="69"/>
      <c r="AI151" s="69"/>
      <c r="AJ151" s="69"/>
      <c r="AK151" s="69"/>
      <c r="AL151" s="69"/>
      <c r="AM151" s="69"/>
      <c r="AN151" s="69"/>
      <c r="AO151" s="69"/>
      <c r="AP151" s="69"/>
      <c r="AQ151" s="69"/>
      <c r="AR151" s="69"/>
      <c r="AS151" s="69"/>
      <c r="AT151" s="69"/>
      <c r="AU151" s="69"/>
      <c r="AV151" s="69"/>
      <c r="AW151" s="69"/>
      <c r="AX151" s="69"/>
      <c r="AY151" s="69"/>
      <c r="AZ151" s="69"/>
      <c r="BA151" s="69"/>
      <c r="BB151" s="69"/>
      <c r="BC151" s="69"/>
    </row>
    <row r="152" spans="1:55">
      <c r="A152" s="77">
        <v>19</v>
      </c>
      <c r="B152" s="78" t="s">
        <v>175</v>
      </c>
      <c r="C152" s="79"/>
      <c r="D152" s="79"/>
      <c r="E152" s="79"/>
      <c r="F152" s="79"/>
      <c r="G152" s="79"/>
      <c r="H152" s="79"/>
      <c r="I152" s="79"/>
      <c r="J152" s="79"/>
      <c r="K152" s="79"/>
      <c r="L152" s="79"/>
      <c r="M152" s="79"/>
      <c r="N152" s="79" t="s">
        <v>64</v>
      </c>
      <c r="O152" s="79" t="s">
        <v>63</v>
      </c>
      <c r="P152" s="79"/>
      <c r="Q152" s="79"/>
      <c r="R152" s="79"/>
      <c r="S152" s="79"/>
      <c r="T152" s="79"/>
      <c r="U152" s="79"/>
      <c r="V152" s="79"/>
      <c r="W152" s="79"/>
      <c r="X152" s="79"/>
      <c r="Y152" s="79"/>
      <c r="Z152" s="79"/>
      <c r="AA152" s="79"/>
      <c r="AB152" s="79"/>
      <c r="AC152" s="79"/>
      <c r="AD152" s="79"/>
      <c r="AE152" s="79"/>
      <c r="AF152" s="79"/>
      <c r="AG152" s="79"/>
      <c r="AH152" s="69"/>
      <c r="AI152" s="69"/>
      <c r="AJ152" s="69"/>
      <c r="AK152" s="69"/>
      <c r="AL152" s="69"/>
      <c r="AM152" s="69"/>
      <c r="AN152" s="69"/>
      <c r="AO152" s="69"/>
      <c r="AP152" s="69"/>
      <c r="AQ152" s="69"/>
      <c r="AR152" s="69"/>
      <c r="AS152" s="69"/>
      <c r="AT152" s="69"/>
      <c r="AU152" s="69"/>
      <c r="AV152" s="69"/>
      <c r="AW152" s="69"/>
      <c r="AX152" s="69"/>
      <c r="AY152" s="69"/>
      <c r="AZ152" s="69"/>
      <c r="BA152" s="69"/>
      <c r="BB152" s="69"/>
      <c r="BC152" s="69"/>
    </row>
    <row r="153" spans="1:55">
      <c r="A153" s="77">
        <v>20</v>
      </c>
      <c r="B153" s="78" t="s">
        <v>176</v>
      </c>
      <c r="C153" s="79"/>
      <c r="D153" s="79"/>
      <c r="E153" s="79"/>
      <c r="F153" s="79"/>
      <c r="G153" s="79"/>
      <c r="H153" s="79"/>
      <c r="I153" s="79"/>
      <c r="J153" s="79"/>
      <c r="K153" s="79"/>
      <c r="L153" s="79"/>
      <c r="M153" s="79"/>
      <c r="N153" s="79"/>
      <c r="O153" s="79"/>
      <c r="P153" s="79"/>
      <c r="Q153" s="79"/>
      <c r="R153" s="79"/>
      <c r="S153" s="79"/>
      <c r="T153" s="79"/>
      <c r="U153" s="79" t="s">
        <v>63</v>
      </c>
      <c r="V153" s="79"/>
      <c r="W153" s="79"/>
      <c r="X153" s="79"/>
      <c r="Y153" s="79"/>
      <c r="Z153" s="79"/>
      <c r="AA153" s="79"/>
      <c r="AB153" s="79"/>
      <c r="AC153" s="79"/>
      <c r="AD153" s="79"/>
      <c r="AE153" s="79"/>
      <c r="AF153" s="79"/>
      <c r="AG153" s="79"/>
      <c r="AH153" s="69"/>
      <c r="AI153" s="69"/>
      <c r="AJ153" s="69"/>
      <c r="AK153" s="69"/>
      <c r="AL153" s="69"/>
      <c r="AM153" s="69"/>
      <c r="AN153" s="69"/>
      <c r="AO153" s="69"/>
      <c r="AP153" s="69"/>
      <c r="AQ153" s="69"/>
      <c r="AR153" s="69"/>
      <c r="AS153" s="69"/>
      <c r="AT153" s="69"/>
      <c r="AU153" s="69"/>
      <c r="AV153" s="69"/>
      <c r="AW153" s="69"/>
      <c r="AX153" s="69"/>
      <c r="AY153" s="69"/>
      <c r="AZ153" s="69"/>
      <c r="BA153" s="69"/>
      <c r="BB153" s="69"/>
      <c r="BC153" s="69"/>
    </row>
    <row r="154" spans="1:55">
      <c r="A154" s="77">
        <v>21</v>
      </c>
      <c r="B154" s="78" t="s">
        <v>177</v>
      </c>
      <c r="C154" s="79"/>
      <c r="D154" s="79"/>
      <c r="E154" s="79"/>
      <c r="F154" s="79"/>
      <c r="G154" s="79"/>
      <c r="H154" s="79"/>
      <c r="I154" s="79"/>
      <c r="J154" s="79"/>
      <c r="K154" s="79"/>
      <c r="L154" s="79"/>
      <c r="M154" s="79"/>
      <c r="N154" s="79"/>
      <c r="O154" s="79"/>
      <c r="P154" s="79"/>
      <c r="Q154" s="79"/>
      <c r="R154" s="79"/>
      <c r="S154" s="79"/>
      <c r="T154" s="79"/>
      <c r="U154" s="79"/>
      <c r="V154" s="79"/>
      <c r="W154" s="79"/>
      <c r="X154" s="79"/>
      <c r="Y154" s="79"/>
      <c r="Z154" s="79"/>
      <c r="AA154" s="79"/>
      <c r="AB154" s="79"/>
      <c r="AC154" s="79"/>
      <c r="AD154" s="79" t="s">
        <v>64</v>
      </c>
      <c r="AE154" s="79"/>
      <c r="AF154" s="79"/>
      <c r="AG154" s="79"/>
      <c r="AH154" s="69"/>
      <c r="AI154" s="69"/>
      <c r="AJ154" s="69"/>
      <c r="AK154" s="69"/>
      <c r="AL154" s="69"/>
      <c r="AM154" s="69"/>
      <c r="AN154" s="69"/>
      <c r="AO154" s="69"/>
      <c r="AP154" s="69"/>
      <c r="AQ154" s="69"/>
      <c r="AR154" s="69"/>
      <c r="AS154" s="69"/>
      <c r="AT154" s="69"/>
      <c r="AU154" s="69"/>
      <c r="AV154" s="69"/>
      <c r="AW154" s="69"/>
      <c r="AX154" s="69"/>
      <c r="AY154" s="69"/>
      <c r="AZ154" s="69"/>
      <c r="BA154" s="69"/>
      <c r="BB154" s="69"/>
      <c r="BC154" s="69"/>
    </row>
    <row r="155" spans="1:55">
      <c r="A155" s="77">
        <v>22</v>
      </c>
      <c r="B155" s="78" t="s">
        <v>178</v>
      </c>
      <c r="C155" s="79"/>
      <c r="D155" s="79"/>
      <c r="E155" s="79"/>
      <c r="F155" s="79"/>
      <c r="G155" s="79"/>
      <c r="H155" s="79"/>
      <c r="I155" s="79"/>
      <c r="J155" s="79"/>
      <c r="K155" s="79"/>
      <c r="L155" s="79"/>
      <c r="M155" s="79"/>
      <c r="N155" s="79"/>
      <c r="O155" s="79"/>
      <c r="P155" s="79"/>
      <c r="Q155" s="79" t="s">
        <v>63</v>
      </c>
      <c r="R155" s="79"/>
      <c r="S155" s="79" t="s">
        <v>63</v>
      </c>
      <c r="T155" s="79"/>
      <c r="U155" s="79"/>
      <c r="V155" s="79"/>
      <c r="W155" s="79"/>
      <c r="X155" s="79"/>
      <c r="Y155" s="79"/>
      <c r="Z155" s="79"/>
      <c r="AA155" s="79"/>
      <c r="AB155" s="79"/>
      <c r="AC155" s="79"/>
      <c r="AD155" s="79"/>
      <c r="AE155" s="79"/>
      <c r="AF155" s="79" t="s">
        <v>63</v>
      </c>
      <c r="AG155" s="79"/>
      <c r="AH155" s="69"/>
      <c r="AI155" s="69"/>
      <c r="AJ155" s="69"/>
      <c r="AK155" s="69"/>
      <c r="AL155" s="69"/>
      <c r="AM155" s="69"/>
      <c r="AN155" s="69"/>
      <c r="AO155" s="69"/>
      <c r="AP155" s="69"/>
      <c r="AQ155" s="69"/>
      <c r="AR155" s="69"/>
      <c r="AS155" s="69"/>
      <c r="AT155" s="69"/>
      <c r="AU155" s="69"/>
      <c r="AV155" s="69"/>
      <c r="AW155" s="69"/>
      <c r="AX155" s="69"/>
      <c r="AY155" s="69"/>
      <c r="AZ155" s="69"/>
      <c r="BA155" s="69"/>
      <c r="BB155" s="69"/>
      <c r="BC155" s="69"/>
    </row>
    <row r="156" spans="1:55">
      <c r="A156" s="77">
        <v>23</v>
      </c>
      <c r="B156" s="78" t="s">
        <v>179</v>
      </c>
      <c r="C156" s="79"/>
      <c r="D156" s="79"/>
      <c r="E156" s="79"/>
      <c r="F156" s="79"/>
      <c r="G156" s="79"/>
      <c r="H156" s="79"/>
      <c r="I156" s="79"/>
      <c r="J156" s="79"/>
      <c r="K156" s="79"/>
      <c r="L156" s="79"/>
      <c r="M156" s="79"/>
      <c r="N156" s="79"/>
      <c r="O156" s="79"/>
      <c r="P156" s="79"/>
      <c r="Q156" s="79"/>
      <c r="R156" s="79"/>
      <c r="S156" s="79"/>
      <c r="T156" s="79"/>
      <c r="U156" s="79"/>
      <c r="V156" s="79"/>
      <c r="W156" s="79"/>
      <c r="X156" s="79" t="s">
        <v>63</v>
      </c>
      <c r="Y156" s="79" t="s">
        <v>63</v>
      </c>
      <c r="Z156" s="79"/>
      <c r="AA156" s="79"/>
      <c r="AB156" s="79"/>
      <c r="AC156" s="79"/>
      <c r="AD156" s="79"/>
      <c r="AE156" s="79"/>
      <c r="AF156" s="79"/>
      <c r="AG156" s="79"/>
      <c r="AH156" s="69"/>
      <c r="AI156" s="69"/>
      <c r="AJ156" s="69"/>
      <c r="AK156" s="69"/>
      <c r="AL156" s="69"/>
      <c r="AM156" s="69"/>
      <c r="AN156" s="69"/>
      <c r="AO156" s="69"/>
      <c r="AP156" s="69"/>
      <c r="AQ156" s="69"/>
      <c r="AR156" s="69"/>
      <c r="AS156" s="69"/>
      <c r="AT156" s="69"/>
      <c r="AU156" s="69"/>
      <c r="AV156" s="69"/>
      <c r="AW156" s="69"/>
      <c r="AX156" s="69"/>
      <c r="AY156" s="69"/>
      <c r="AZ156" s="69"/>
      <c r="BA156" s="69"/>
      <c r="BB156" s="69"/>
      <c r="BC156" s="69"/>
    </row>
    <row r="157" spans="1:55">
      <c r="A157" s="77">
        <v>24</v>
      </c>
      <c r="B157" s="78" t="s">
        <v>180</v>
      </c>
      <c r="C157" s="79"/>
      <c r="D157" s="79"/>
      <c r="E157" s="79" t="s">
        <v>63</v>
      </c>
      <c r="F157" s="79"/>
      <c r="G157" s="79"/>
      <c r="H157" s="79"/>
      <c r="I157" s="79"/>
      <c r="J157" s="79"/>
      <c r="K157" s="79" t="s">
        <v>71</v>
      </c>
      <c r="L157" s="79" t="s">
        <v>63</v>
      </c>
      <c r="M157" s="79"/>
      <c r="N157" s="79"/>
      <c r="O157" s="79"/>
      <c r="P157" s="79"/>
      <c r="Q157" s="79"/>
      <c r="R157" s="79"/>
      <c r="S157" s="79"/>
      <c r="T157" s="79"/>
      <c r="U157" s="79"/>
      <c r="V157" s="79"/>
      <c r="W157" s="79"/>
      <c r="X157" s="79"/>
      <c r="Y157" s="79"/>
      <c r="Z157" s="79"/>
      <c r="AA157" s="79"/>
      <c r="AB157" s="79"/>
      <c r="AC157" s="79"/>
      <c r="AD157" s="79"/>
      <c r="AE157" s="79"/>
      <c r="AF157" s="79"/>
      <c r="AG157" s="79"/>
      <c r="AH157" s="69"/>
      <c r="AI157" s="69"/>
      <c r="AJ157" s="69"/>
      <c r="AK157" s="69"/>
      <c r="AL157" s="69"/>
      <c r="AM157" s="69"/>
      <c r="AN157" s="69"/>
      <c r="AO157" s="69"/>
      <c r="AP157" s="69"/>
      <c r="AQ157" s="69"/>
      <c r="AR157" s="69"/>
      <c r="AS157" s="69"/>
      <c r="AT157" s="69"/>
      <c r="AU157" s="69"/>
      <c r="AV157" s="69"/>
      <c r="AW157" s="69"/>
      <c r="AX157" s="69"/>
      <c r="AY157" s="69"/>
      <c r="AZ157" s="69"/>
      <c r="BA157" s="69"/>
      <c r="BB157" s="69"/>
      <c r="BC157" s="69"/>
    </row>
    <row r="158" spans="1:55">
      <c r="A158" s="77">
        <v>25</v>
      </c>
      <c r="B158" s="78" t="s">
        <v>181</v>
      </c>
      <c r="C158" s="79"/>
      <c r="D158" s="79"/>
      <c r="E158" s="79"/>
      <c r="F158" s="79"/>
      <c r="G158" s="79"/>
      <c r="H158" s="79"/>
      <c r="I158" s="79"/>
      <c r="J158" s="79"/>
      <c r="K158" s="79"/>
      <c r="L158" s="79"/>
      <c r="M158" s="79"/>
      <c r="N158" s="79"/>
      <c r="O158" s="79"/>
      <c r="P158" s="79"/>
      <c r="Q158" s="79"/>
      <c r="R158" s="79"/>
      <c r="S158" s="79"/>
      <c r="T158" s="79"/>
      <c r="U158" s="79" t="s">
        <v>62</v>
      </c>
      <c r="V158" s="79"/>
      <c r="W158" s="79"/>
      <c r="X158" s="79"/>
      <c r="Y158" s="79"/>
      <c r="Z158" s="79"/>
      <c r="AA158" s="79"/>
      <c r="AB158" s="79"/>
      <c r="AC158" s="79" t="s">
        <v>62</v>
      </c>
      <c r="AD158" s="79"/>
      <c r="AE158" s="79"/>
      <c r="AF158" s="79" t="s">
        <v>63</v>
      </c>
      <c r="AG158" s="79"/>
      <c r="AH158" s="69"/>
      <c r="AI158" s="69"/>
      <c r="AJ158" s="69"/>
      <c r="AK158" s="69"/>
      <c r="AL158" s="69"/>
      <c r="AM158" s="69"/>
      <c r="AN158" s="69"/>
      <c r="AO158" s="69"/>
      <c r="AP158" s="69"/>
      <c r="AQ158" s="69"/>
      <c r="AR158" s="69"/>
      <c r="AS158" s="69"/>
      <c r="AT158" s="69"/>
      <c r="AU158" s="69"/>
      <c r="AV158" s="69"/>
      <c r="AW158" s="69"/>
      <c r="AX158" s="69"/>
      <c r="AY158" s="69"/>
      <c r="AZ158" s="69"/>
      <c r="BA158" s="69"/>
      <c r="BB158" s="69"/>
      <c r="BC158" s="69"/>
    </row>
    <row r="159" spans="1:55">
      <c r="A159" s="77">
        <v>26</v>
      </c>
      <c r="B159" s="78" t="s">
        <v>182</v>
      </c>
      <c r="C159" s="79"/>
      <c r="D159" s="79"/>
      <c r="E159" s="79"/>
      <c r="F159" s="79"/>
      <c r="G159" s="79"/>
      <c r="H159" s="79"/>
      <c r="I159" s="79"/>
      <c r="J159" s="79"/>
      <c r="K159" s="79" t="s">
        <v>64</v>
      </c>
      <c r="L159" s="79"/>
      <c r="M159" s="79"/>
      <c r="N159" s="79"/>
      <c r="O159" s="79"/>
      <c r="P159" s="79"/>
      <c r="Q159" s="79"/>
      <c r="R159" s="79"/>
      <c r="S159" s="79"/>
      <c r="T159" s="79"/>
      <c r="U159" s="79"/>
      <c r="V159" s="79"/>
      <c r="W159" s="79"/>
      <c r="X159" s="79"/>
      <c r="Y159" s="79"/>
      <c r="Z159" s="79"/>
      <c r="AA159" s="79"/>
      <c r="AB159" s="79"/>
      <c r="AC159" s="79"/>
      <c r="AD159" s="79"/>
      <c r="AE159" s="79"/>
      <c r="AF159" s="79"/>
      <c r="AG159" s="79"/>
      <c r="AH159" s="69"/>
      <c r="AI159" s="69"/>
      <c r="AJ159" s="69"/>
      <c r="AK159" s="69"/>
      <c r="AL159" s="69"/>
      <c r="AM159" s="69"/>
      <c r="AN159" s="69"/>
      <c r="AO159" s="69"/>
      <c r="AP159" s="69"/>
      <c r="AQ159" s="69"/>
      <c r="AR159" s="69"/>
      <c r="AS159" s="69"/>
      <c r="AT159" s="69"/>
      <c r="AU159" s="69"/>
      <c r="AV159" s="69"/>
      <c r="AW159" s="69"/>
      <c r="AX159" s="69"/>
      <c r="AY159" s="69"/>
      <c r="AZ159" s="69"/>
      <c r="BA159" s="69"/>
      <c r="BB159" s="69"/>
      <c r="BC159" s="69"/>
    </row>
    <row r="160" spans="1:55">
      <c r="A160" s="77">
        <v>27</v>
      </c>
      <c r="B160" s="78" t="s">
        <v>183</v>
      </c>
      <c r="C160" s="79"/>
      <c r="D160" s="79"/>
      <c r="E160" s="79"/>
      <c r="F160" s="79"/>
      <c r="G160" s="79"/>
      <c r="H160" s="79"/>
      <c r="I160" s="79"/>
      <c r="J160" s="79"/>
      <c r="K160" s="79"/>
      <c r="L160" s="79"/>
      <c r="M160" s="79"/>
      <c r="N160" s="79"/>
      <c r="O160" s="79"/>
      <c r="P160" s="79" t="s">
        <v>62</v>
      </c>
      <c r="Q160" s="79"/>
      <c r="R160" s="79"/>
      <c r="S160" s="79"/>
      <c r="T160" s="79"/>
      <c r="U160" s="79" t="s">
        <v>62</v>
      </c>
      <c r="V160" s="79"/>
      <c r="W160" s="79"/>
      <c r="X160" s="79"/>
      <c r="Y160" s="79"/>
      <c r="Z160" s="79"/>
      <c r="AA160" s="79"/>
      <c r="AB160" s="79"/>
      <c r="AC160" s="79" t="s">
        <v>63</v>
      </c>
      <c r="AD160" s="79"/>
      <c r="AE160" s="79"/>
      <c r="AF160" s="79"/>
      <c r="AG160" s="79"/>
      <c r="AH160" s="69"/>
      <c r="AI160" s="69"/>
      <c r="AJ160" s="69"/>
      <c r="AK160" s="69"/>
      <c r="AL160" s="69"/>
      <c r="AM160" s="69"/>
      <c r="AN160" s="69"/>
      <c r="AO160" s="69"/>
      <c r="AP160" s="69"/>
      <c r="AQ160" s="69"/>
      <c r="AR160" s="69"/>
      <c r="AS160" s="69"/>
      <c r="AT160" s="69"/>
      <c r="AU160" s="69"/>
      <c r="AV160" s="69"/>
      <c r="AW160" s="69"/>
      <c r="AX160" s="69"/>
      <c r="AY160" s="69"/>
      <c r="AZ160" s="69"/>
      <c r="BA160" s="69"/>
      <c r="BB160" s="69"/>
      <c r="BC160" s="69"/>
    </row>
    <row r="161" spans="1:55">
      <c r="A161" s="77">
        <v>28</v>
      </c>
      <c r="B161" s="78" t="s">
        <v>184</v>
      </c>
      <c r="C161" s="79"/>
      <c r="D161" s="79"/>
      <c r="E161" s="79"/>
      <c r="F161" s="79"/>
      <c r="G161" s="79"/>
      <c r="H161" s="79"/>
      <c r="I161" s="79"/>
      <c r="J161" s="79"/>
      <c r="K161" s="79"/>
      <c r="L161" s="79" t="s">
        <v>62</v>
      </c>
      <c r="M161" s="79"/>
      <c r="N161" s="79" t="s">
        <v>63</v>
      </c>
      <c r="O161" s="79"/>
      <c r="P161" s="79"/>
      <c r="Q161" s="79"/>
      <c r="R161" s="79"/>
      <c r="S161" s="79"/>
      <c r="T161" s="79"/>
      <c r="U161" s="79"/>
      <c r="V161" s="79"/>
      <c r="W161" s="79"/>
      <c r="X161" s="79"/>
      <c r="Y161" s="79"/>
      <c r="Z161" s="79"/>
      <c r="AA161" s="79"/>
      <c r="AB161" s="79" t="s">
        <v>63</v>
      </c>
      <c r="AC161" s="79"/>
      <c r="AD161" s="79"/>
      <c r="AE161" s="79"/>
      <c r="AF161" s="79"/>
      <c r="AG161" s="79"/>
      <c r="AH161" s="69"/>
      <c r="AI161" s="69"/>
      <c r="AJ161" s="69"/>
      <c r="AK161" s="69"/>
      <c r="AL161" s="69"/>
      <c r="AM161" s="69"/>
      <c r="AN161" s="69"/>
      <c r="AO161" s="69"/>
      <c r="AP161" s="69"/>
      <c r="AQ161" s="69"/>
      <c r="AR161" s="69"/>
      <c r="AS161" s="69"/>
      <c r="AT161" s="69"/>
      <c r="AU161" s="69"/>
      <c r="AV161" s="69"/>
      <c r="AW161" s="69"/>
      <c r="AX161" s="69"/>
      <c r="AY161" s="69"/>
      <c r="AZ161" s="69"/>
      <c r="BA161" s="69"/>
      <c r="BB161" s="69"/>
      <c r="BC161" s="69"/>
    </row>
    <row r="162" spans="1:55">
      <c r="A162" s="77">
        <v>29</v>
      </c>
      <c r="B162" s="78" t="s">
        <v>119</v>
      </c>
      <c r="C162" s="79"/>
      <c r="D162" s="79"/>
      <c r="E162" s="79"/>
      <c r="F162" s="79"/>
      <c r="G162" s="79"/>
      <c r="H162" s="79"/>
      <c r="I162" s="79"/>
      <c r="J162" s="79"/>
      <c r="K162" s="79"/>
      <c r="L162" s="79"/>
      <c r="M162" s="79"/>
      <c r="N162" s="79"/>
      <c r="O162" s="79"/>
      <c r="P162" s="79" t="s">
        <v>63</v>
      </c>
      <c r="Q162" s="79"/>
      <c r="R162" s="79"/>
      <c r="S162" s="79"/>
      <c r="T162" s="79"/>
      <c r="U162" s="79"/>
      <c r="V162" s="79"/>
      <c r="W162" s="79"/>
      <c r="X162" s="79"/>
      <c r="Y162" s="79"/>
      <c r="Z162" s="79"/>
      <c r="AA162" s="79"/>
      <c r="AB162" s="79"/>
      <c r="AC162" s="79"/>
      <c r="AD162" s="79"/>
      <c r="AE162" s="79"/>
      <c r="AF162" s="79"/>
      <c r="AG162" s="79"/>
      <c r="AH162" s="69"/>
      <c r="AI162" s="69"/>
      <c r="AJ162" s="69"/>
      <c r="AK162" s="69"/>
      <c r="AL162" s="69"/>
      <c r="AM162" s="69"/>
      <c r="AN162" s="69"/>
      <c r="AO162" s="69"/>
      <c r="AP162" s="69"/>
      <c r="AQ162" s="69"/>
      <c r="AR162" s="69"/>
      <c r="AS162" s="69"/>
      <c r="AT162" s="69"/>
      <c r="AU162" s="69"/>
      <c r="AV162" s="69"/>
      <c r="AW162" s="69"/>
      <c r="AX162" s="69"/>
      <c r="AY162" s="69"/>
      <c r="AZ162" s="69"/>
      <c r="BA162" s="69"/>
      <c r="BB162" s="69"/>
      <c r="BC162" s="69"/>
    </row>
    <row r="163" spans="1:55">
      <c r="A163" s="77">
        <v>30</v>
      </c>
      <c r="B163" s="78" t="s">
        <v>185</v>
      </c>
      <c r="C163" s="79"/>
      <c r="D163" s="79"/>
      <c r="E163" s="79"/>
      <c r="F163" s="79"/>
      <c r="G163" s="79"/>
      <c r="H163" s="79"/>
      <c r="I163" s="79"/>
      <c r="J163" s="79"/>
      <c r="K163" s="79"/>
      <c r="L163" s="79"/>
      <c r="M163" s="79"/>
      <c r="N163" s="79"/>
      <c r="O163" s="79"/>
      <c r="P163" s="79"/>
      <c r="Q163" s="79"/>
      <c r="R163" s="79"/>
      <c r="S163" s="79" t="s">
        <v>63</v>
      </c>
      <c r="T163" s="79"/>
      <c r="U163" s="79"/>
      <c r="V163" s="79"/>
      <c r="W163" s="79"/>
      <c r="X163" s="79"/>
      <c r="Y163" s="79"/>
      <c r="Z163" s="79"/>
      <c r="AA163" s="79"/>
      <c r="AB163" s="79"/>
      <c r="AC163" s="79"/>
      <c r="AD163" s="79" t="s">
        <v>63</v>
      </c>
      <c r="AE163" s="79"/>
      <c r="AF163" s="79"/>
      <c r="AG163" s="79"/>
      <c r="AH163" s="69"/>
      <c r="AI163" s="69"/>
      <c r="AJ163" s="69"/>
      <c r="AK163" s="69"/>
      <c r="AL163" s="69"/>
      <c r="AM163" s="69"/>
      <c r="AN163" s="69"/>
      <c r="AO163" s="69"/>
      <c r="AP163" s="69"/>
      <c r="AQ163" s="69"/>
      <c r="AR163" s="69"/>
      <c r="AS163" s="69"/>
      <c r="AT163" s="69"/>
      <c r="AU163" s="69"/>
      <c r="AV163" s="69"/>
      <c r="AW163" s="69"/>
      <c r="AX163" s="69"/>
      <c r="AY163" s="69"/>
      <c r="AZ163" s="69"/>
      <c r="BA163" s="69"/>
      <c r="BB163" s="69"/>
      <c r="BC163" s="69"/>
    </row>
    <row r="164" spans="1:55">
      <c r="A164" s="77">
        <v>31</v>
      </c>
      <c r="B164" s="78" t="s">
        <v>186</v>
      </c>
      <c r="C164" s="79"/>
      <c r="D164" s="79"/>
      <c r="E164" s="79"/>
      <c r="F164" s="79"/>
      <c r="G164" s="79"/>
      <c r="H164" s="79"/>
      <c r="I164" s="79"/>
      <c r="J164" s="79"/>
      <c r="K164" s="79"/>
      <c r="L164" s="79"/>
      <c r="M164" s="79"/>
      <c r="N164" s="79"/>
      <c r="O164" s="79" t="s">
        <v>64</v>
      </c>
      <c r="P164" s="79"/>
      <c r="Q164" s="79"/>
      <c r="R164" s="79"/>
      <c r="S164" s="79"/>
      <c r="T164" s="79"/>
      <c r="U164" s="79"/>
      <c r="V164" s="79"/>
      <c r="W164" s="79"/>
      <c r="X164" s="79"/>
      <c r="Y164" s="79"/>
      <c r="Z164" s="79"/>
      <c r="AA164" s="79"/>
      <c r="AB164" s="79"/>
      <c r="AC164" s="79"/>
      <c r="AD164" s="79"/>
      <c r="AE164" s="79"/>
      <c r="AF164" s="79"/>
      <c r="AG164" s="79"/>
      <c r="AH164" s="69"/>
      <c r="AI164" s="69"/>
      <c r="AJ164" s="69"/>
      <c r="AK164" s="69"/>
      <c r="AL164" s="69"/>
      <c r="AM164" s="69"/>
      <c r="AN164" s="69"/>
      <c r="AO164" s="69"/>
      <c r="AP164" s="69"/>
      <c r="AQ164" s="69"/>
      <c r="AR164" s="69"/>
      <c r="AS164" s="69"/>
      <c r="AT164" s="69"/>
      <c r="AU164" s="69"/>
      <c r="AV164" s="69"/>
      <c r="AW164" s="69"/>
      <c r="AX164" s="69"/>
      <c r="AY164" s="69"/>
      <c r="AZ164" s="69"/>
      <c r="BA164" s="69"/>
      <c r="BB164" s="69"/>
      <c r="BC164" s="69"/>
    </row>
    <row r="165" spans="1:55">
      <c r="A165" s="77">
        <v>32</v>
      </c>
      <c r="B165" s="78" t="s">
        <v>187</v>
      </c>
      <c r="C165" s="79"/>
      <c r="D165" s="79"/>
      <c r="E165" s="79"/>
      <c r="F165" s="79"/>
      <c r="G165" s="79"/>
      <c r="H165" s="79"/>
      <c r="I165" s="79"/>
      <c r="J165" s="79"/>
      <c r="K165" s="79"/>
      <c r="L165" s="79"/>
      <c r="M165" s="79"/>
      <c r="N165" s="79"/>
      <c r="O165" s="79"/>
      <c r="P165" s="79"/>
      <c r="Q165" s="79"/>
      <c r="R165" s="79"/>
      <c r="S165" s="79"/>
      <c r="T165" s="79"/>
      <c r="U165" s="79" t="s">
        <v>63</v>
      </c>
      <c r="V165" s="79"/>
      <c r="W165" s="79"/>
      <c r="X165" s="79"/>
      <c r="Y165" s="79"/>
      <c r="Z165" s="79"/>
      <c r="AA165" s="79"/>
      <c r="AB165" s="79"/>
      <c r="AC165" s="79"/>
      <c r="AD165" s="79"/>
      <c r="AE165" s="79" t="s">
        <v>63</v>
      </c>
      <c r="AF165" s="79"/>
      <c r="AG165" s="79"/>
      <c r="AH165" s="69"/>
      <c r="AI165" s="69"/>
      <c r="AJ165" s="69"/>
      <c r="AK165" s="69"/>
      <c r="AL165" s="69"/>
      <c r="AM165" s="69"/>
      <c r="AN165" s="69"/>
      <c r="AO165" s="69"/>
      <c r="AP165" s="69"/>
      <c r="AQ165" s="69"/>
      <c r="AR165" s="69"/>
      <c r="AS165" s="69"/>
      <c r="AT165" s="69"/>
      <c r="AU165" s="69"/>
      <c r="AV165" s="69"/>
      <c r="AW165" s="69"/>
      <c r="AX165" s="69"/>
      <c r="AY165" s="69"/>
      <c r="AZ165" s="69"/>
      <c r="BA165" s="69"/>
      <c r="BB165" s="69"/>
      <c r="BC165" s="69"/>
    </row>
    <row r="166" spans="1:55">
      <c r="A166" s="77">
        <v>33</v>
      </c>
      <c r="B166" s="78" t="s">
        <v>188</v>
      </c>
      <c r="C166" s="79"/>
      <c r="D166" s="79"/>
      <c r="E166" s="79"/>
      <c r="F166" s="79"/>
      <c r="G166" s="79"/>
      <c r="H166" s="79"/>
      <c r="I166" s="79"/>
      <c r="J166" s="79"/>
      <c r="K166" s="79"/>
      <c r="L166" s="79"/>
      <c r="M166" s="79"/>
      <c r="N166" s="79"/>
      <c r="O166" s="79"/>
      <c r="P166" s="79"/>
      <c r="Q166" s="79"/>
      <c r="R166" s="79"/>
      <c r="S166" s="79"/>
      <c r="T166" s="79"/>
      <c r="U166" s="79"/>
      <c r="V166" s="79"/>
      <c r="W166" s="79"/>
      <c r="X166" s="79"/>
      <c r="Y166" s="79" t="s">
        <v>63</v>
      </c>
      <c r="Z166" s="79"/>
      <c r="AA166" s="79"/>
      <c r="AB166" s="79"/>
      <c r="AC166" s="79"/>
      <c r="AD166" s="79"/>
      <c r="AE166" s="79"/>
      <c r="AF166" s="79"/>
      <c r="AG166" s="79"/>
      <c r="AH166" s="69"/>
      <c r="AI166" s="69"/>
      <c r="AJ166" s="69"/>
      <c r="AK166" s="69"/>
      <c r="AL166" s="69"/>
      <c r="AM166" s="69"/>
      <c r="AN166" s="69"/>
      <c r="AO166" s="69"/>
      <c r="AP166" s="69"/>
      <c r="AQ166" s="69"/>
      <c r="AR166" s="69"/>
      <c r="AS166" s="69"/>
      <c r="AT166" s="69"/>
      <c r="AU166" s="69"/>
      <c r="AV166" s="69"/>
      <c r="AW166" s="69"/>
      <c r="AX166" s="69"/>
      <c r="AY166" s="69"/>
      <c r="AZ166" s="69"/>
      <c r="BA166" s="69"/>
      <c r="BB166" s="69"/>
      <c r="BC166" s="69"/>
    </row>
    <row r="167" spans="1:55">
      <c r="A167" s="77">
        <v>34</v>
      </c>
      <c r="B167" s="78" t="s">
        <v>189</v>
      </c>
      <c r="C167" s="79"/>
      <c r="D167" s="79"/>
      <c r="E167" s="79"/>
      <c r="F167" s="79"/>
      <c r="G167" s="79"/>
      <c r="H167" s="79"/>
      <c r="I167" s="79"/>
      <c r="J167" s="79"/>
      <c r="K167" s="79"/>
      <c r="L167" s="79"/>
      <c r="M167" s="79"/>
      <c r="N167" s="79"/>
      <c r="O167" s="79"/>
      <c r="P167" s="79"/>
      <c r="Q167" s="79"/>
      <c r="R167" s="79"/>
      <c r="S167" s="79"/>
      <c r="T167" s="79"/>
      <c r="U167" s="79"/>
      <c r="V167" s="79"/>
      <c r="W167" s="79"/>
      <c r="X167" s="79"/>
      <c r="Y167" s="79"/>
      <c r="Z167" s="79"/>
      <c r="AA167" s="79"/>
      <c r="AB167" s="79"/>
      <c r="AC167" s="79"/>
      <c r="AD167" s="79"/>
      <c r="AE167" s="79"/>
      <c r="AF167" s="79" t="s">
        <v>64</v>
      </c>
      <c r="AG167" s="79"/>
      <c r="AH167" s="69"/>
      <c r="AI167" s="69"/>
      <c r="AJ167" s="69"/>
      <c r="AK167" s="69"/>
      <c r="AL167" s="69"/>
      <c r="AM167" s="69"/>
      <c r="AN167" s="69"/>
      <c r="AO167" s="69"/>
      <c r="AP167" s="69"/>
      <c r="AQ167" s="69"/>
      <c r="AR167" s="69"/>
      <c r="AS167" s="69"/>
      <c r="AT167" s="69"/>
      <c r="AU167" s="69"/>
      <c r="AV167" s="69"/>
      <c r="AW167" s="69"/>
      <c r="AX167" s="69"/>
      <c r="AY167" s="69"/>
      <c r="AZ167" s="69"/>
      <c r="BA167" s="69"/>
      <c r="BB167" s="69"/>
      <c r="BC167" s="69"/>
    </row>
    <row r="168" spans="1:55">
      <c r="A168" s="77">
        <v>35</v>
      </c>
      <c r="B168" s="78" t="s">
        <v>190</v>
      </c>
      <c r="C168" s="79"/>
      <c r="D168" s="79"/>
      <c r="E168" s="79"/>
      <c r="F168" s="79"/>
      <c r="G168" s="79"/>
      <c r="H168" s="79"/>
      <c r="I168" s="79"/>
      <c r="J168" s="79"/>
      <c r="K168" s="79"/>
      <c r="L168" s="79"/>
      <c r="M168" s="79"/>
      <c r="N168" s="79"/>
      <c r="O168" s="79"/>
      <c r="P168" s="79"/>
      <c r="Q168" s="79" t="s">
        <v>63</v>
      </c>
      <c r="R168" s="79"/>
      <c r="S168" s="79"/>
      <c r="T168" s="79"/>
      <c r="U168" s="79"/>
      <c r="V168" s="79"/>
      <c r="W168" s="79"/>
      <c r="X168" s="79"/>
      <c r="Y168" s="79"/>
      <c r="Z168" s="79" t="s">
        <v>63</v>
      </c>
      <c r="AA168" s="79"/>
      <c r="AB168" s="79"/>
      <c r="AC168" s="79"/>
      <c r="AD168" s="79"/>
      <c r="AE168" s="79" t="s">
        <v>63</v>
      </c>
      <c r="AF168" s="79"/>
      <c r="AG168" s="79"/>
      <c r="AH168" s="69"/>
      <c r="AI168" s="69"/>
      <c r="AJ168" s="69"/>
      <c r="AK168" s="69"/>
      <c r="AL168" s="69"/>
      <c r="AM168" s="69"/>
      <c r="AN168" s="69"/>
      <c r="AO168" s="69"/>
      <c r="AP168" s="69"/>
      <c r="AQ168" s="69"/>
      <c r="AR168" s="69"/>
      <c r="AS168" s="69"/>
      <c r="AT168" s="69"/>
      <c r="AU168" s="69"/>
      <c r="AV168" s="69"/>
      <c r="AW168" s="69"/>
      <c r="AX168" s="69"/>
      <c r="AY168" s="69"/>
      <c r="AZ168" s="69"/>
      <c r="BA168" s="69"/>
      <c r="BB168" s="69"/>
      <c r="BC168" s="69"/>
    </row>
    <row r="169" spans="1:55">
      <c r="A169" s="77">
        <v>36</v>
      </c>
      <c r="B169" s="78" t="s">
        <v>191</v>
      </c>
      <c r="C169" s="79"/>
      <c r="D169" s="79"/>
      <c r="E169" s="79"/>
      <c r="F169" s="79"/>
      <c r="G169" s="79"/>
      <c r="H169" s="79"/>
      <c r="I169" s="79"/>
      <c r="J169" s="79"/>
      <c r="K169" s="79"/>
      <c r="L169" s="79"/>
      <c r="M169" s="79"/>
      <c r="N169" s="79" t="s">
        <v>62</v>
      </c>
      <c r="O169" s="79"/>
      <c r="P169" s="79"/>
      <c r="Q169" s="79" t="s">
        <v>63</v>
      </c>
      <c r="R169" s="79"/>
      <c r="S169" s="79"/>
      <c r="T169" s="79"/>
      <c r="U169" s="79"/>
      <c r="V169" s="79"/>
      <c r="W169" s="79"/>
      <c r="X169" s="79" t="s">
        <v>63</v>
      </c>
      <c r="Y169" s="79"/>
      <c r="Z169" s="79"/>
      <c r="AA169" s="79"/>
      <c r="AB169" s="79" t="s">
        <v>63</v>
      </c>
      <c r="AC169" s="79"/>
      <c r="AD169" s="79"/>
      <c r="AE169" s="79"/>
      <c r="AF169" s="79"/>
      <c r="AG169" s="79"/>
      <c r="AH169" s="69"/>
      <c r="AI169" s="69"/>
      <c r="AJ169" s="69"/>
      <c r="AK169" s="69"/>
      <c r="AL169" s="69"/>
      <c r="AM169" s="69"/>
      <c r="AN169" s="69"/>
      <c r="AO169" s="69"/>
      <c r="AP169" s="69"/>
      <c r="AQ169" s="69"/>
      <c r="AR169" s="69"/>
      <c r="AS169" s="69"/>
      <c r="AT169" s="69"/>
      <c r="AU169" s="69"/>
      <c r="AV169" s="69"/>
      <c r="AW169" s="69"/>
      <c r="AX169" s="69"/>
      <c r="AY169" s="69"/>
      <c r="AZ169" s="69"/>
      <c r="BA169" s="69"/>
      <c r="BB169" s="69"/>
      <c r="BC169" s="69"/>
    </row>
    <row r="170" spans="1:55">
      <c r="A170" s="77">
        <v>37</v>
      </c>
      <c r="B170" s="78" t="s">
        <v>192</v>
      </c>
      <c r="C170" s="79"/>
      <c r="D170" s="79"/>
      <c r="E170" s="79"/>
      <c r="F170" s="79"/>
      <c r="G170" s="79" t="s">
        <v>63</v>
      </c>
      <c r="H170" s="79"/>
      <c r="I170" s="79"/>
      <c r="J170" s="79"/>
      <c r="K170" s="79"/>
      <c r="L170" s="79" t="s">
        <v>63</v>
      </c>
      <c r="M170" s="79"/>
      <c r="N170" s="79"/>
      <c r="O170" s="79"/>
      <c r="P170" s="79"/>
      <c r="Q170" s="79"/>
      <c r="R170" s="79"/>
      <c r="S170" s="79"/>
      <c r="T170" s="79"/>
      <c r="U170" s="79"/>
      <c r="V170" s="79"/>
      <c r="W170" s="79" t="s">
        <v>63</v>
      </c>
      <c r="X170" s="79"/>
      <c r="Y170" s="79"/>
      <c r="Z170" s="79"/>
      <c r="AA170" s="79"/>
      <c r="AB170" s="79"/>
      <c r="AC170" s="79"/>
      <c r="AD170" s="79" t="s">
        <v>63</v>
      </c>
      <c r="AE170" s="79"/>
      <c r="AF170" s="79"/>
      <c r="AG170" s="79" t="s">
        <v>63</v>
      </c>
      <c r="AH170" s="69"/>
      <c r="AI170" s="69"/>
      <c r="AJ170" s="69"/>
      <c r="AK170" s="69"/>
      <c r="AL170" s="69"/>
      <c r="AM170" s="69"/>
      <c r="AN170" s="69"/>
      <c r="AO170" s="69"/>
      <c r="AP170" s="69"/>
      <c r="AQ170" s="69"/>
      <c r="AR170" s="69"/>
      <c r="AS170" s="69"/>
      <c r="AT170" s="69"/>
      <c r="AU170" s="69"/>
      <c r="AV170" s="69"/>
      <c r="AW170" s="69"/>
      <c r="AX170" s="69"/>
      <c r="AY170" s="69"/>
      <c r="AZ170" s="69"/>
      <c r="BA170" s="69"/>
      <c r="BB170" s="69"/>
      <c r="BC170" s="69"/>
    </row>
    <row r="171" spans="1:55">
      <c r="A171" s="77">
        <v>38</v>
      </c>
      <c r="B171" s="78"/>
      <c r="C171" s="79"/>
      <c r="D171" s="79"/>
      <c r="E171" s="79"/>
      <c r="F171" s="79"/>
      <c r="G171" s="79"/>
      <c r="H171" s="79"/>
      <c r="I171" s="79"/>
      <c r="J171" s="79"/>
      <c r="K171" s="79"/>
      <c r="L171" s="79"/>
      <c r="M171" s="79"/>
      <c r="N171" s="79"/>
      <c r="O171" s="79"/>
      <c r="P171" s="79"/>
      <c r="Q171" s="79"/>
      <c r="R171" s="79"/>
      <c r="S171" s="79"/>
      <c r="T171" s="79"/>
      <c r="U171" s="79"/>
      <c r="V171" s="79"/>
      <c r="W171" s="79"/>
      <c r="X171" s="79"/>
      <c r="Y171" s="79"/>
      <c r="Z171" s="79"/>
      <c r="AA171" s="79"/>
      <c r="AB171" s="79"/>
      <c r="AC171" s="79"/>
      <c r="AD171" s="79"/>
      <c r="AE171" s="79"/>
      <c r="AF171" s="79"/>
      <c r="AG171" s="79"/>
      <c r="AH171" s="69"/>
      <c r="AI171" s="69"/>
      <c r="AJ171" s="69"/>
      <c r="AK171" s="69"/>
      <c r="AL171" s="69"/>
      <c r="AM171" s="69"/>
      <c r="AN171" s="69"/>
      <c r="AO171" s="69"/>
      <c r="AP171" s="69"/>
      <c r="AQ171" s="69"/>
      <c r="AR171" s="69"/>
      <c r="AS171" s="69"/>
      <c r="AT171" s="69"/>
      <c r="AU171" s="69"/>
      <c r="AV171" s="69"/>
      <c r="AW171" s="69"/>
      <c r="AX171" s="69"/>
      <c r="AY171" s="69"/>
      <c r="AZ171" s="69"/>
      <c r="BA171" s="69"/>
      <c r="BB171" s="69"/>
      <c r="BC171" s="69"/>
    </row>
    <row r="172" spans="1:55">
      <c r="A172" s="77">
        <v>39</v>
      </c>
      <c r="B172" s="78"/>
      <c r="C172" s="79"/>
      <c r="D172" s="79"/>
      <c r="E172" s="79"/>
      <c r="F172" s="79"/>
      <c r="G172" s="79"/>
      <c r="H172" s="79"/>
      <c r="I172" s="79"/>
      <c r="J172" s="79"/>
      <c r="K172" s="79"/>
      <c r="L172" s="79"/>
      <c r="M172" s="79"/>
      <c r="N172" s="79"/>
      <c r="O172" s="79"/>
      <c r="P172" s="79"/>
      <c r="Q172" s="79"/>
      <c r="R172" s="79"/>
      <c r="S172" s="79"/>
      <c r="T172" s="79"/>
      <c r="U172" s="79"/>
      <c r="V172" s="79"/>
      <c r="W172" s="79"/>
      <c r="X172" s="79"/>
      <c r="Y172" s="79"/>
      <c r="Z172" s="79"/>
      <c r="AA172" s="79"/>
      <c r="AB172" s="79"/>
      <c r="AC172" s="79"/>
      <c r="AD172" s="79"/>
      <c r="AE172" s="79"/>
      <c r="AF172" s="79"/>
      <c r="AG172" s="79"/>
      <c r="AH172" s="69"/>
      <c r="AI172" s="69"/>
      <c r="AJ172" s="69"/>
      <c r="AK172" s="69"/>
      <c r="AL172" s="69"/>
      <c r="AM172" s="69"/>
      <c r="AN172" s="69"/>
      <c r="AO172" s="69"/>
      <c r="AP172" s="69"/>
      <c r="AQ172" s="69"/>
      <c r="AR172" s="69"/>
      <c r="AS172" s="69"/>
      <c r="AT172" s="69"/>
      <c r="AU172" s="69"/>
      <c r="AV172" s="69"/>
      <c r="AW172" s="69"/>
      <c r="AX172" s="69"/>
      <c r="AY172" s="69"/>
      <c r="AZ172" s="69"/>
      <c r="BA172" s="69"/>
      <c r="BB172" s="69"/>
      <c r="BC172" s="69"/>
    </row>
    <row r="173" spans="1:55">
      <c r="A173" s="77">
        <v>40</v>
      </c>
      <c r="B173" s="78"/>
      <c r="C173" s="79"/>
      <c r="D173" s="79"/>
      <c r="E173" s="79"/>
      <c r="F173" s="79"/>
      <c r="G173" s="79"/>
      <c r="H173" s="79"/>
      <c r="I173" s="79"/>
      <c r="J173" s="79"/>
      <c r="K173" s="79"/>
      <c r="L173" s="79"/>
      <c r="M173" s="79"/>
      <c r="N173" s="79"/>
      <c r="O173" s="79"/>
      <c r="P173" s="79"/>
      <c r="Q173" s="79"/>
      <c r="R173" s="79"/>
      <c r="S173" s="79"/>
      <c r="T173" s="79"/>
      <c r="U173" s="79"/>
      <c r="V173" s="79"/>
      <c r="W173" s="79"/>
      <c r="X173" s="79"/>
      <c r="Y173" s="79"/>
      <c r="Z173" s="79"/>
      <c r="AA173" s="79"/>
      <c r="AB173" s="79"/>
      <c r="AC173" s="79"/>
      <c r="AD173" s="79"/>
      <c r="AE173" s="79"/>
      <c r="AF173" s="79"/>
      <c r="AG173" s="79"/>
      <c r="AH173" s="69"/>
      <c r="AI173" s="69"/>
      <c r="AJ173" s="69"/>
      <c r="AK173" s="69"/>
      <c r="AL173" s="69"/>
      <c r="AM173" s="69"/>
      <c r="AN173" s="69"/>
      <c r="AO173" s="69"/>
      <c r="AP173" s="69"/>
      <c r="AQ173" s="69"/>
      <c r="AR173" s="69"/>
      <c r="AS173" s="69"/>
      <c r="AT173" s="69"/>
      <c r="AU173" s="69"/>
      <c r="AV173" s="69"/>
      <c r="AW173" s="69"/>
      <c r="AX173" s="69"/>
      <c r="AY173" s="69"/>
      <c r="AZ173" s="69"/>
      <c r="BA173" s="69"/>
      <c r="BB173" s="69"/>
      <c r="BC173" s="69"/>
    </row>
    <row r="174" spans="1:55" hidden="1">
      <c r="A174" s="77">
        <v>41</v>
      </c>
      <c r="B174" s="78"/>
      <c r="C174" s="79"/>
      <c r="D174" s="79"/>
      <c r="E174" s="79"/>
      <c r="F174" s="79"/>
      <c r="G174" s="79"/>
      <c r="H174" s="79"/>
      <c r="I174" s="79"/>
      <c r="J174" s="79"/>
      <c r="K174" s="79"/>
      <c r="L174" s="79"/>
      <c r="M174" s="79"/>
      <c r="N174" s="79"/>
      <c r="O174" s="79"/>
      <c r="P174" s="79"/>
      <c r="Q174" s="79"/>
      <c r="R174" s="79"/>
      <c r="S174" s="79"/>
      <c r="T174" s="79"/>
      <c r="U174" s="79"/>
      <c r="V174" s="79"/>
      <c r="W174" s="79"/>
      <c r="X174" s="79"/>
      <c r="Y174" s="79"/>
      <c r="Z174" s="79"/>
      <c r="AA174" s="79"/>
      <c r="AB174" s="79"/>
      <c r="AC174" s="79"/>
      <c r="AD174" s="79"/>
      <c r="AE174" s="79"/>
      <c r="AF174" s="79"/>
      <c r="AG174" s="79"/>
      <c r="AH174" s="69"/>
      <c r="AI174" s="69"/>
      <c r="AJ174" s="69"/>
      <c r="AK174" s="69"/>
      <c r="AL174" s="69"/>
      <c r="AM174" s="69"/>
      <c r="AN174" s="69"/>
      <c r="AO174" s="69"/>
      <c r="AP174" s="69"/>
      <c r="AQ174" s="69"/>
      <c r="AR174" s="69"/>
      <c r="AS174" s="69"/>
      <c r="AT174" s="69"/>
      <c r="AU174" s="69"/>
      <c r="AV174" s="69"/>
      <c r="AW174" s="69"/>
      <c r="AX174" s="69"/>
      <c r="AY174" s="69"/>
      <c r="AZ174" s="69"/>
      <c r="BA174" s="69"/>
      <c r="BB174" s="69"/>
      <c r="BC174" s="69"/>
    </row>
    <row r="175" spans="1:55" hidden="1">
      <c r="A175" s="77">
        <v>42</v>
      </c>
      <c r="B175" s="78"/>
      <c r="C175" s="79"/>
      <c r="D175" s="79"/>
      <c r="E175" s="79"/>
      <c r="F175" s="79"/>
      <c r="G175" s="79"/>
      <c r="H175" s="79"/>
      <c r="I175" s="79"/>
      <c r="J175" s="79"/>
      <c r="K175" s="79"/>
      <c r="L175" s="79"/>
      <c r="M175" s="79"/>
      <c r="N175" s="79"/>
      <c r="O175" s="79"/>
      <c r="P175" s="79"/>
      <c r="Q175" s="79"/>
      <c r="R175" s="79"/>
      <c r="S175" s="79"/>
      <c r="T175" s="79"/>
      <c r="U175" s="79"/>
      <c r="V175" s="79"/>
      <c r="W175" s="79"/>
      <c r="X175" s="79"/>
      <c r="Y175" s="79"/>
      <c r="Z175" s="79"/>
      <c r="AA175" s="79"/>
      <c r="AB175" s="79"/>
      <c r="AC175" s="79"/>
      <c r="AD175" s="79"/>
      <c r="AE175" s="79"/>
      <c r="AF175" s="79"/>
      <c r="AG175" s="79"/>
      <c r="AH175" s="69"/>
      <c r="AI175" s="69"/>
      <c r="AJ175" s="69"/>
      <c r="AK175" s="69"/>
      <c r="AL175" s="69"/>
      <c r="AM175" s="69"/>
      <c r="AN175" s="69"/>
      <c r="AO175" s="69"/>
      <c r="AP175" s="69"/>
      <c r="AQ175" s="69"/>
      <c r="AR175" s="69"/>
      <c r="AS175" s="69"/>
      <c r="AT175" s="69"/>
      <c r="AU175" s="69"/>
      <c r="AV175" s="69"/>
      <c r="AW175" s="69"/>
      <c r="AX175" s="69"/>
      <c r="AY175" s="69"/>
      <c r="AZ175" s="69"/>
      <c r="BA175" s="69"/>
      <c r="BB175" s="69"/>
      <c r="BC175" s="69"/>
    </row>
    <row r="176" spans="1:55" hidden="1">
      <c r="A176" s="77">
        <v>43</v>
      </c>
      <c r="B176" s="78"/>
      <c r="C176" s="79"/>
      <c r="D176" s="79"/>
      <c r="E176" s="79"/>
      <c r="F176" s="79"/>
      <c r="G176" s="79"/>
      <c r="H176" s="79"/>
      <c r="I176" s="79"/>
      <c r="J176" s="79"/>
      <c r="K176" s="79"/>
      <c r="L176" s="79"/>
      <c r="M176" s="79"/>
      <c r="N176" s="79"/>
      <c r="O176" s="79"/>
      <c r="P176" s="79"/>
      <c r="Q176" s="79"/>
      <c r="R176" s="79"/>
      <c r="S176" s="79"/>
      <c r="T176" s="79"/>
      <c r="U176" s="79"/>
      <c r="V176" s="79"/>
      <c r="W176" s="79"/>
      <c r="X176" s="79"/>
      <c r="Y176" s="79"/>
      <c r="Z176" s="79"/>
      <c r="AA176" s="79"/>
      <c r="AB176" s="79"/>
      <c r="AC176" s="79"/>
      <c r="AD176" s="79"/>
      <c r="AE176" s="79"/>
      <c r="AF176" s="79"/>
      <c r="AG176" s="79"/>
      <c r="AH176" s="69"/>
      <c r="AI176" s="69"/>
      <c r="AJ176" s="69"/>
      <c r="AK176" s="69"/>
      <c r="AL176" s="69"/>
      <c r="AM176" s="69"/>
      <c r="AN176" s="69"/>
      <c r="AO176" s="69"/>
      <c r="AP176" s="69"/>
      <c r="AQ176" s="69"/>
      <c r="AR176" s="69"/>
      <c r="AS176" s="69"/>
      <c r="AT176" s="69"/>
      <c r="AU176" s="69"/>
      <c r="AV176" s="69"/>
      <c r="AW176" s="69"/>
      <c r="AX176" s="69"/>
      <c r="AY176" s="69"/>
      <c r="AZ176" s="69"/>
      <c r="BA176" s="69"/>
      <c r="BB176" s="69"/>
      <c r="BC176" s="69"/>
    </row>
    <row r="177" spans="1:55" hidden="1">
      <c r="A177" s="77">
        <v>44</v>
      </c>
      <c r="B177" s="78"/>
      <c r="C177" s="79"/>
      <c r="D177" s="79"/>
      <c r="E177" s="79"/>
      <c r="F177" s="79"/>
      <c r="G177" s="79"/>
      <c r="H177" s="79"/>
      <c r="I177" s="79"/>
      <c r="J177" s="79"/>
      <c r="K177" s="79"/>
      <c r="L177" s="79"/>
      <c r="M177" s="79"/>
      <c r="N177" s="79"/>
      <c r="O177" s="79"/>
      <c r="P177" s="79"/>
      <c r="Q177" s="79"/>
      <c r="R177" s="79"/>
      <c r="S177" s="79"/>
      <c r="T177" s="79"/>
      <c r="U177" s="79"/>
      <c r="V177" s="79"/>
      <c r="W177" s="79"/>
      <c r="X177" s="79"/>
      <c r="Y177" s="79"/>
      <c r="Z177" s="79"/>
      <c r="AA177" s="79"/>
      <c r="AB177" s="79"/>
      <c r="AC177" s="79"/>
      <c r="AD177" s="79"/>
      <c r="AE177" s="79"/>
      <c r="AF177" s="79"/>
      <c r="AG177" s="79"/>
      <c r="AH177" s="69"/>
      <c r="AI177" s="69"/>
      <c r="AJ177" s="69"/>
      <c r="AK177" s="69"/>
      <c r="AL177" s="69"/>
      <c r="AM177" s="69"/>
      <c r="AN177" s="69"/>
      <c r="AO177" s="69"/>
      <c r="AP177" s="69"/>
      <c r="AQ177" s="69"/>
      <c r="AR177" s="69"/>
      <c r="AS177" s="69"/>
      <c r="AT177" s="69"/>
      <c r="AU177" s="69"/>
      <c r="AV177" s="69"/>
      <c r="AW177" s="69"/>
      <c r="AX177" s="69"/>
      <c r="AY177" s="69"/>
      <c r="AZ177" s="69"/>
      <c r="BA177" s="69"/>
      <c r="BB177" s="69"/>
      <c r="BC177" s="69"/>
    </row>
    <row r="178" spans="1:55" hidden="1">
      <c r="A178" s="77">
        <v>45</v>
      </c>
      <c r="B178" s="78"/>
      <c r="C178" s="79"/>
      <c r="D178" s="79"/>
      <c r="E178" s="79"/>
      <c r="F178" s="79"/>
      <c r="G178" s="79"/>
      <c r="H178" s="79"/>
      <c r="I178" s="79"/>
      <c r="J178" s="79"/>
      <c r="K178" s="79"/>
      <c r="L178" s="79"/>
      <c r="M178" s="79"/>
      <c r="N178" s="79"/>
      <c r="O178" s="79"/>
      <c r="P178" s="79"/>
      <c r="Q178" s="79"/>
      <c r="R178" s="79"/>
      <c r="S178" s="79"/>
      <c r="T178" s="79"/>
      <c r="U178" s="79"/>
      <c r="V178" s="79"/>
      <c r="W178" s="79"/>
      <c r="X178" s="79"/>
      <c r="Y178" s="79"/>
      <c r="Z178" s="79"/>
      <c r="AA178" s="79"/>
      <c r="AB178" s="79"/>
      <c r="AC178" s="79"/>
      <c r="AD178" s="79"/>
      <c r="AE178" s="79"/>
      <c r="AF178" s="79"/>
      <c r="AG178" s="79"/>
      <c r="AH178" s="69"/>
      <c r="AI178" s="69"/>
      <c r="AJ178" s="69"/>
      <c r="AK178" s="69"/>
      <c r="AL178" s="69"/>
      <c r="AM178" s="69"/>
      <c r="AN178" s="69"/>
      <c r="AO178" s="69"/>
      <c r="AP178" s="69"/>
      <c r="AQ178" s="69"/>
      <c r="AR178" s="69"/>
      <c r="AS178" s="69"/>
      <c r="AT178" s="69"/>
      <c r="AU178" s="69"/>
      <c r="AV178" s="69"/>
      <c r="AW178" s="69"/>
      <c r="AX178" s="69"/>
      <c r="AY178" s="69"/>
      <c r="AZ178" s="69"/>
      <c r="BA178" s="69"/>
      <c r="BB178" s="69"/>
      <c r="BC178" s="69"/>
    </row>
    <row r="179" spans="1:55" hidden="1">
      <c r="A179" s="77">
        <v>46</v>
      </c>
      <c r="B179" s="78"/>
      <c r="C179" s="79"/>
      <c r="D179" s="79"/>
      <c r="E179" s="79"/>
      <c r="F179" s="79"/>
      <c r="G179" s="79"/>
      <c r="H179" s="79"/>
      <c r="I179" s="79"/>
      <c r="J179" s="79"/>
      <c r="K179" s="79"/>
      <c r="L179" s="79"/>
      <c r="M179" s="79"/>
      <c r="N179" s="79"/>
      <c r="O179" s="79"/>
      <c r="P179" s="79"/>
      <c r="Q179" s="79"/>
      <c r="R179" s="79"/>
      <c r="S179" s="79"/>
      <c r="T179" s="79"/>
      <c r="U179" s="79"/>
      <c r="V179" s="79"/>
      <c r="W179" s="79"/>
      <c r="X179" s="79"/>
      <c r="Y179" s="79"/>
      <c r="Z179" s="79"/>
      <c r="AA179" s="79"/>
      <c r="AB179" s="79"/>
      <c r="AC179" s="79"/>
      <c r="AD179" s="79"/>
      <c r="AE179" s="79"/>
      <c r="AF179" s="79"/>
      <c r="AG179" s="79"/>
      <c r="AH179" s="69"/>
      <c r="AI179" s="69"/>
      <c r="AJ179" s="69"/>
      <c r="AK179" s="69"/>
      <c r="AL179" s="69"/>
      <c r="AM179" s="69"/>
      <c r="AN179" s="69"/>
      <c r="AO179" s="69"/>
      <c r="AP179" s="69"/>
      <c r="AQ179" s="69"/>
      <c r="AR179" s="69"/>
      <c r="AS179" s="69"/>
      <c r="AT179" s="69"/>
      <c r="AU179" s="69"/>
      <c r="AV179" s="69"/>
      <c r="AW179" s="69"/>
      <c r="AX179" s="69"/>
      <c r="AY179" s="69"/>
      <c r="AZ179" s="69"/>
      <c r="BA179" s="69"/>
      <c r="BB179" s="69"/>
      <c r="BC179" s="69"/>
    </row>
    <row r="180" spans="1:55" hidden="1">
      <c r="A180" s="77">
        <v>47</v>
      </c>
      <c r="B180" s="78"/>
      <c r="C180" s="79"/>
      <c r="D180" s="79"/>
      <c r="E180" s="79"/>
      <c r="F180" s="79"/>
      <c r="G180" s="79"/>
      <c r="H180" s="79"/>
      <c r="I180" s="79"/>
      <c r="J180" s="79"/>
      <c r="K180" s="79"/>
      <c r="L180" s="79"/>
      <c r="M180" s="79"/>
      <c r="N180" s="79"/>
      <c r="O180" s="79"/>
      <c r="P180" s="79"/>
      <c r="Q180" s="79"/>
      <c r="R180" s="79"/>
      <c r="S180" s="79"/>
      <c r="T180" s="79"/>
      <c r="U180" s="79"/>
      <c r="V180" s="79"/>
      <c r="W180" s="79"/>
      <c r="X180" s="79"/>
      <c r="Y180" s="79"/>
      <c r="Z180" s="79"/>
      <c r="AA180" s="79"/>
      <c r="AB180" s="79"/>
      <c r="AC180" s="79"/>
      <c r="AD180" s="79"/>
      <c r="AE180" s="79"/>
      <c r="AF180" s="79"/>
      <c r="AG180" s="79"/>
      <c r="AH180" s="69"/>
      <c r="AI180" s="69"/>
      <c r="AJ180" s="69"/>
      <c r="AK180" s="69"/>
      <c r="AL180" s="69"/>
      <c r="AM180" s="69"/>
      <c r="AN180" s="69"/>
      <c r="AO180" s="69"/>
      <c r="AP180" s="69"/>
      <c r="AQ180" s="69"/>
      <c r="AR180" s="69"/>
      <c r="AS180" s="69"/>
      <c r="AT180" s="69"/>
      <c r="AU180" s="69"/>
      <c r="AV180" s="69"/>
      <c r="AW180" s="69"/>
      <c r="AX180" s="69"/>
      <c r="AY180" s="69"/>
      <c r="AZ180" s="69"/>
      <c r="BA180" s="69"/>
      <c r="BB180" s="69"/>
      <c r="BC180" s="69"/>
    </row>
    <row r="181" spans="1:55" hidden="1">
      <c r="A181" s="77">
        <v>48</v>
      </c>
      <c r="B181" s="78"/>
      <c r="C181" s="79"/>
      <c r="D181" s="79"/>
      <c r="E181" s="79"/>
      <c r="F181" s="79"/>
      <c r="G181" s="79"/>
      <c r="H181" s="79"/>
      <c r="I181" s="79"/>
      <c r="J181" s="79"/>
      <c r="K181" s="79"/>
      <c r="L181" s="79"/>
      <c r="M181" s="79"/>
      <c r="N181" s="79"/>
      <c r="O181" s="79"/>
      <c r="P181" s="79"/>
      <c r="Q181" s="79"/>
      <c r="R181" s="79"/>
      <c r="S181" s="79"/>
      <c r="T181" s="79"/>
      <c r="U181" s="79"/>
      <c r="V181" s="79"/>
      <c r="W181" s="79"/>
      <c r="X181" s="79"/>
      <c r="Y181" s="79"/>
      <c r="Z181" s="79"/>
      <c r="AA181" s="79"/>
      <c r="AB181" s="79"/>
      <c r="AC181" s="79"/>
      <c r="AD181" s="79"/>
      <c r="AE181" s="79"/>
      <c r="AF181" s="79"/>
      <c r="AG181" s="79"/>
      <c r="AH181" s="69"/>
      <c r="AI181" s="69"/>
      <c r="AJ181" s="69"/>
      <c r="AK181" s="69"/>
      <c r="AL181" s="69"/>
      <c r="AM181" s="69"/>
      <c r="AN181" s="69"/>
      <c r="AO181" s="69"/>
      <c r="AP181" s="69"/>
      <c r="AQ181" s="69"/>
      <c r="AR181" s="69"/>
      <c r="AS181" s="69"/>
      <c r="AT181" s="69"/>
      <c r="AU181" s="69"/>
      <c r="AV181" s="69"/>
      <c r="AW181" s="69"/>
      <c r="AX181" s="69"/>
      <c r="AY181" s="69"/>
      <c r="AZ181" s="69"/>
      <c r="BA181" s="69"/>
      <c r="BB181" s="69"/>
      <c r="BC181" s="69"/>
    </row>
    <row r="182" spans="1:55" hidden="1">
      <c r="A182" s="77">
        <v>49</v>
      </c>
      <c r="B182" s="78"/>
      <c r="C182" s="79"/>
      <c r="D182" s="79"/>
      <c r="E182" s="79"/>
      <c r="F182" s="79"/>
      <c r="G182" s="79"/>
      <c r="H182" s="79"/>
      <c r="I182" s="79"/>
      <c r="J182" s="79"/>
      <c r="K182" s="79"/>
      <c r="L182" s="79"/>
      <c r="M182" s="79"/>
      <c r="N182" s="79"/>
      <c r="O182" s="79"/>
      <c r="P182" s="79"/>
      <c r="Q182" s="79"/>
      <c r="R182" s="79"/>
      <c r="S182" s="79"/>
      <c r="T182" s="79"/>
      <c r="U182" s="79"/>
      <c r="V182" s="79"/>
      <c r="W182" s="79"/>
      <c r="X182" s="79"/>
      <c r="Y182" s="79"/>
      <c r="Z182" s="79"/>
      <c r="AA182" s="79"/>
      <c r="AB182" s="79"/>
      <c r="AC182" s="79"/>
      <c r="AD182" s="79"/>
      <c r="AE182" s="79"/>
      <c r="AF182" s="79"/>
      <c r="AG182" s="79"/>
      <c r="AH182" s="69"/>
      <c r="AI182" s="69"/>
      <c r="AJ182" s="69"/>
      <c r="AK182" s="69"/>
      <c r="AL182" s="69"/>
      <c r="AM182" s="69"/>
      <c r="AN182" s="69"/>
      <c r="AO182" s="69"/>
      <c r="AP182" s="69"/>
      <c r="AQ182" s="69"/>
      <c r="AR182" s="69"/>
      <c r="AS182" s="69"/>
      <c r="AT182" s="69"/>
      <c r="AU182" s="69"/>
      <c r="AV182" s="69"/>
      <c r="AW182" s="69"/>
      <c r="AX182" s="69"/>
      <c r="AY182" s="69"/>
      <c r="AZ182" s="69"/>
      <c r="BA182" s="69"/>
      <c r="BB182" s="69"/>
      <c r="BC182" s="69"/>
    </row>
    <row r="183" spans="1:55" hidden="1">
      <c r="A183" s="77">
        <v>50</v>
      </c>
      <c r="B183" s="78"/>
      <c r="C183" s="79"/>
      <c r="D183" s="79"/>
      <c r="E183" s="79"/>
      <c r="F183" s="79"/>
      <c r="G183" s="79"/>
      <c r="H183" s="79"/>
      <c r="I183" s="79"/>
      <c r="J183" s="79"/>
      <c r="K183" s="79"/>
      <c r="L183" s="79"/>
      <c r="M183" s="79"/>
      <c r="N183" s="79"/>
      <c r="O183" s="79"/>
      <c r="P183" s="79"/>
      <c r="Q183" s="79"/>
      <c r="R183" s="79"/>
      <c r="S183" s="79"/>
      <c r="T183" s="79"/>
      <c r="U183" s="79"/>
      <c r="V183" s="79"/>
      <c r="W183" s="79"/>
      <c r="X183" s="79"/>
      <c r="Y183" s="79"/>
      <c r="Z183" s="79"/>
      <c r="AA183" s="79"/>
      <c r="AB183" s="79"/>
      <c r="AC183" s="79"/>
      <c r="AD183" s="79"/>
      <c r="AE183" s="79"/>
      <c r="AF183" s="79"/>
      <c r="AG183" s="79"/>
      <c r="AH183" s="69"/>
      <c r="AI183" s="69"/>
      <c r="AJ183" s="69"/>
      <c r="AK183" s="69"/>
      <c r="AL183" s="69"/>
      <c r="AM183" s="69"/>
      <c r="AN183" s="69"/>
      <c r="AO183" s="69"/>
      <c r="AP183" s="69"/>
      <c r="AQ183" s="69"/>
      <c r="AR183" s="69"/>
      <c r="AS183" s="69"/>
      <c r="AT183" s="69"/>
      <c r="AU183" s="69"/>
      <c r="AV183" s="69"/>
      <c r="AW183" s="69"/>
      <c r="AX183" s="69"/>
      <c r="AY183" s="69"/>
      <c r="AZ183" s="69"/>
      <c r="BA183" s="69"/>
      <c r="BB183" s="69"/>
      <c r="BC183" s="69"/>
    </row>
    <row r="184" spans="1:55" hidden="1">
      <c r="A184" s="77">
        <v>51</v>
      </c>
      <c r="B184" s="78"/>
      <c r="C184" s="79"/>
      <c r="D184" s="79"/>
      <c r="E184" s="79"/>
      <c r="F184" s="79"/>
      <c r="G184" s="79"/>
      <c r="H184" s="79"/>
      <c r="I184" s="79"/>
      <c r="J184" s="79"/>
      <c r="K184" s="79"/>
      <c r="L184" s="79"/>
      <c r="M184" s="79"/>
      <c r="N184" s="79"/>
      <c r="O184" s="79"/>
      <c r="P184" s="79"/>
      <c r="Q184" s="79"/>
      <c r="R184" s="79"/>
      <c r="S184" s="79"/>
      <c r="T184" s="79"/>
      <c r="U184" s="79"/>
      <c r="V184" s="79"/>
      <c r="W184" s="79"/>
      <c r="X184" s="79"/>
      <c r="Y184" s="79"/>
      <c r="Z184" s="79"/>
      <c r="AA184" s="79"/>
      <c r="AB184" s="79"/>
      <c r="AC184" s="79"/>
      <c r="AD184" s="79"/>
      <c r="AE184" s="79"/>
      <c r="AF184" s="79"/>
      <c r="AG184" s="79"/>
      <c r="AH184" s="69"/>
      <c r="AI184" s="69"/>
      <c r="AJ184" s="69"/>
      <c r="AK184" s="69"/>
      <c r="AL184" s="69"/>
      <c r="AM184" s="69"/>
      <c r="AN184" s="69"/>
      <c r="AO184" s="69"/>
      <c r="AP184" s="69"/>
      <c r="AQ184" s="69"/>
      <c r="AR184" s="69"/>
      <c r="AS184" s="69"/>
      <c r="AT184" s="69"/>
      <c r="AU184" s="69"/>
      <c r="AV184" s="69"/>
      <c r="AW184" s="69"/>
      <c r="AX184" s="69"/>
      <c r="AY184" s="69"/>
      <c r="AZ184" s="69"/>
      <c r="BA184" s="69"/>
      <c r="BB184" s="69"/>
      <c r="BC184" s="69"/>
    </row>
    <row r="185" spans="1:55" hidden="1">
      <c r="A185" s="77">
        <v>52</v>
      </c>
      <c r="B185" s="78"/>
      <c r="C185" s="79"/>
      <c r="D185" s="79"/>
      <c r="E185" s="79"/>
      <c r="F185" s="79"/>
      <c r="G185" s="79"/>
      <c r="H185" s="79"/>
      <c r="I185" s="79"/>
      <c r="J185" s="79"/>
      <c r="K185" s="79"/>
      <c r="L185" s="79"/>
      <c r="M185" s="79"/>
      <c r="N185" s="79"/>
      <c r="O185" s="79"/>
      <c r="P185" s="79"/>
      <c r="Q185" s="79"/>
      <c r="R185" s="79"/>
      <c r="S185" s="79"/>
      <c r="T185" s="79"/>
      <c r="U185" s="79"/>
      <c r="V185" s="79"/>
      <c r="W185" s="79"/>
      <c r="X185" s="79"/>
      <c r="Y185" s="79"/>
      <c r="Z185" s="79"/>
      <c r="AA185" s="79"/>
      <c r="AB185" s="79"/>
      <c r="AC185" s="79"/>
      <c r="AD185" s="79"/>
      <c r="AE185" s="79"/>
      <c r="AF185" s="79"/>
      <c r="AG185" s="79"/>
      <c r="AH185" s="69"/>
      <c r="AI185" s="69"/>
      <c r="AJ185" s="69"/>
      <c r="AK185" s="69"/>
      <c r="AL185" s="69"/>
      <c r="AM185" s="69"/>
      <c r="AN185" s="69"/>
      <c r="AO185" s="69"/>
      <c r="AP185" s="69"/>
      <c r="AQ185" s="69"/>
      <c r="AR185" s="69"/>
      <c r="AS185" s="69"/>
      <c r="AT185" s="69"/>
      <c r="AU185" s="69"/>
      <c r="AV185" s="69"/>
      <c r="AW185" s="69"/>
      <c r="AX185" s="69"/>
      <c r="AY185" s="69"/>
      <c r="AZ185" s="69"/>
      <c r="BA185" s="69"/>
      <c r="BB185" s="69"/>
      <c r="BC185" s="69"/>
    </row>
    <row r="186" spans="1:55" hidden="1">
      <c r="A186" s="77">
        <v>53</v>
      </c>
      <c r="B186" s="78"/>
      <c r="C186" s="79"/>
      <c r="D186" s="79"/>
      <c r="E186" s="79"/>
      <c r="F186" s="79"/>
      <c r="G186" s="79"/>
      <c r="H186" s="79"/>
      <c r="I186" s="79"/>
      <c r="J186" s="79"/>
      <c r="K186" s="79"/>
      <c r="L186" s="79"/>
      <c r="M186" s="79"/>
      <c r="N186" s="79"/>
      <c r="O186" s="79"/>
      <c r="P186" s="79"/>
      <c r="Q186" s="79"/>
      <c r="R186" s="79"/>
      <c r="S186" s="79"/>
      <c r="T186" s="79"/>
      <c r="U186" s="79"/>
      <c r="V186" s="79"/>
      <c r="W186" s="79"/>
      <c r="X186" s="79"/>
      <c r="Y186" s="79"/>
      <c r="Z186" s="79"/>
      <c r="AA186" s="79"/>
      <c r="AB186" s="79"/>
      <c r="AC186" s="79"/>
      <c r="AD186" s="79"/>
      <c r="AE186" s="79"/>
      <c r="AF186" s="79"/>
      <c r="AG186" s="79"/>
      <c r="AH186" s="69"/>
      <c r="AI186" s="69"/>
      <c r="AJ186" s="69"/>
      <c r="AK186" s="69"/>
      <c r="AL186" s="69"/>
      <c r="AM186" s="69"/>
      <c r="AN186" s="69"/>
      <c r="AO186" s="69"/>
      <c r="AP186" s="69"/>
      <c r="AQ186" s="69"/>
      <c r="AR186" s="69"/>
      <c r="AS186" s="69"/>
      <c r="AT186" s="69"/>
      <c r="AU186" s="69"/>
      <c r="AV186" s="69"/>
      <c r="AW186" s="69"/>
      <c r="AX186" s="69"/>
      <c r="AY186" s="69"/>
      <c r="AZ186" s="69"/>
      <c r="BA186" s="69"/>
      <c r="BB186" s="69"/>
      <c r="BC186" s="69"/>
    </row>
    <row r="187" spans="1:55" hidden="1">
      <c r="A187" s="77">
        <v>54</v>
      </c>
      <c r="B187" s="78"/>
      <c r="C187" s="79"/>
      <c r="D187" s="79"/>
      <c r="E187" s="79"/>
      <c r="F187" s="79"/>
      <c r="G187" s="79"/>
      <c r="H187" s="79"/>
      <c r="I187" s="79"/>
      <c r="J187" s="79"/>
      <c r="K187" s="79"/>
      <c r="L187" s="79"/>
      <c r="M187" s="79"/>
      <c r="N187" s="79"/>
      <c r="O187" s="79"/>
      <c r="P187" s="79"/>
      <c r="Q187" s="79"/>
      <c r="R187" s="79"/>
      <c r="S187" s="79"/>
      <c r="T187" s="79"/>
      <c r="U187" s="79"/>
      <c r="V187" s="79"/>
      <c r="W187" s="79"/>
      <c r="X187" s="79"/>
      <c r="Y187" s="79"/>
      <c r="Z187" s="79"/>
      <c r="AA187" s="79"/>
      <c r="AB187" s="79"/>
      <c r="AC187" s="79"/>
      <c r="AD187" s="79"/>
      <c r="AE187" s="79"/>
      <c r="AF187" s="79"/>
      <c r="AG187" s="79"/>
      <c r="AH187" s="69"/>
      <c r="AI187" s="69"/>
      <c r="AJ187" s="69"/>
      <c r="AK187" s="69"/>
      <c r="AL187" s="69"/>
      <c r="AM187" s="69"/>
      <c r="AN187" s="69"/>
      <c r="AO187" s="69"/>
      <c r="AP187" s="69"/>
      <c r="AQ187" s="69"/>
      <c r="AR187" s="69"/>
      <c r="AS187" s="69"/>
      <c r="AT187" s="69"/>
      <c r="AU187" s="69"/>
      <c r="AV187" s="69"/>
      <c r="AW187" s="69"/>
      <c r="AX187" s="69"/>
      <c r="AY187" s="69"/>
      <c r="AZ187" s="69"/>
      <c r="BA187" s="69"/>
      <c r="BB187" s="69"/>
      <c r="BC187" s="69"/>
    </row>
    <row r="188" spans="1:55" hidden="1">
      <c r="A188" s="77">
        <v>55</v>
      </c>
      <c r="B188" s="78"/>
      <c r="C188" s="79"/>
      <c r="D188" s="79"/>
      <c r="E188" s="79"/>
      <c r="F188" s="79"/>
      <c r="G188" s="79"/>
      <c r="H188" s="79"/>
      <c r="I188" s="79"/>
      <c r="J188" s="79"/>
      <c r="K188" s="79"/>
      <c r="L188" s="79"/>
      <c r="M188" s="79"/>
      <c r="N188" s="79"/>
      <c r="O188" s="79"/>
      <c r="P188" s="79"/>
      <c r="Q188" s="79"/>
      <c r="R188" s="79"/>
      <c r="S188" s="79"/>
      <c r="T188" s="79"/>
      <c r="U188" s="79"/>
      <c r="V188" s="79"/>
      <c r="W188" s="79"/>
      <c r="X188" s="79"/>
      <c r="Y188" s="79"/>
      <c r="Z188" s="79"/>
      <c r="AA188" s="79"/>
      <c r="AB188" s="79"/>
      <c r="AC188" s="79"/>
      <c r="AD188" s="79"/>
      <c r="AE188" s="79"/>
      <c r="AF188" s="79"/>
      <c r="AG188" s="79"/>
      <c r="AH188" s="69"/>
      <c r="AI188" s="69"/>
      <c r="AJ188" s="69"/>
      <c r="AK188" s="69"/>
      <c r="AL188" s="69"/>
      <c r="AM188" s="69"/>
      <c r="AN188" s="69"/>
      <c r="AO188" s="69"/>
      <c r="AP188" s="69"/>
      <c r="AQ188" s="69"/>
      <c r="AR188" s="69"/>
      <c r="AS188" s="69"/>
      <c r="AT188" s="69"/>
      <c r="AU188" s="69"/>
      <c r="AV188" s="69"/>
      <c r="AW188" s="69"/>
      <c r="AX188" s="69"/>
      <c r="AY188" s="69"/>
      <c r="AZ188" s="69"/>
      <c r="BA188" s="69"/>
      <c r="BB188" s="69"/>
      <c r="BC188" s="69"/>
    </row>
    <row r="189" spans="1:55" hidden="1">
      <c r="A189" s="77">
        <v>56</v>
      </c>
      <c r="B189" s="78"/>
      <c r="C189" s="79"/>
      <c r="D189" s="79"/>
      <c r="E189" s="79"/>
      <c r="F189" s="79"/>
      <c r="G189" s="79"/>
      <c r="H189" s="79"/>
      <c r="I189" s="79"/>
      <c r="J189" s="79"/>
      <c r="K189" s="79"/>
      <c r="L189" s="79"/>
      <c r="M189" s="79"/>
      <c r="N189" s="79"/>
      <c r="O189" s="79"/>
      <c r="P189" s="79"/>
      <c r="Q189" s="79"/>
      <c r="R189" s="79"/>
      <c r="S189" s="79"/>
      <c r="T189" s="79"/>
      <c r="U189" s="79"/>
      <c r="V189" s="79"/>
      <c r="W189" s="79"/>
      <c r="X189" s="79"/>
      <c r="Y189" s="79"/>
      <c r="Z189" s="79"/>
      <c r="AA189" s="79"/>
      <c r="AB189" s="79"/>
      <c r="AC189" s="79"/>
      <c r="AD189" s="79"/>
      <c r="AE189" s="79"/>
      <c r="AF189" s="79"/>
      <c r="AG189" s="79"/>
      <c r="AH189" s="69"/>
      <c r="AI189" s="69"/>
      <c r="AJ189" s="69"/>
      <c r="AK189" s="69"/>
      <c r="AL189" s="69"/>
      <c r="AM189" s="69"/>
      <c r="AN189" s="69"/>
      <c r="AO189" s="69"/>
      <c r="AP189" s="69"/>
      <c r="AQ189" s="69"/>
      <c r="AR189" s="69"/>
      <c r="AS189" s="69"/>
      <c r="AT189" s="69"/>
      <c r="AU189" s="69"/>
      <c r="AV189" s="69"/>
      <c r="AW189" s="69"/>
      <c r="AX189" s="69"/>
      <c r="AY189" s="69"/>
      <c r="AZ189" s="69"/>
      <c r="BA189" s="69"/>
      <c r="BB189" s="69"/>
      <c r="BC189" s="69"/>
    </row>
    <row r="190" spans="1:55" hidden="1">
      <c r="A190" s="77">
        <v>57</v>
      </c>
      <c r="B190" s="78"/>
      <c r="C190" s="79"/>
      <c r="D190" s="79"/>
      <c r="E190" s="79"/>
      <c r="F190" s="79"/>
      <c r="G190" s="79"/>
      <c r="H190" s="79"/>
      <c r="I190" s="79"/>
      <c r="J190" s="79"/>
      <c r="K190" s="79"/>
      <c r="L190" s="79"/>
      <c r="M190" s="79"/>
      <c r="N190" s="79"/>
      <c r="O190" s="79"/>
      <c r="P190" s="79"/>
      <c r="Q190" s="79"/>
      <c r="R190" s="79"/>
      <c r="S190" s="79"/>
      <c r="T190" s="79"/>
      <c r="U190" s="79"/>
      <c r="V190" s="79"/>
      <c r="W190" s="79"/>
      <c r="X190" s="79"/>
      <c r="Y190" s="79"/>
      <c r="Z190" s="79"/>
      <c r="AA190" s="79"/>
      <c r="AB190" s="79"/>
      <c r="AC190" s="79"/>
      <c r="AD190" s="79"/>
      <c r="AE190" s="79"/>
      <c r="AF190" s="79"/>
      <c r="AG190" s="79"/>
      <c r="AH190" s="69"/>
      <c r="AI190" s="69"/>
      <c r="AJ190" s="69"/>
      <c r="AK190" s="69"/>
      <c r="AL190" s="69"/>
      <c r="AM190" s="69"/>
      <c r="AN190" s="69"/>
      <c r="AO190" s="69"/>
      <c r="AP190" s="69"/>
      <c r="AQ190" s="69"/>
      <c r="AR190" s="69"/>
      <c r="AS190" s="69"/>
      <c r="AT190" s="69"/>
      <c r="AU190" s="69"/>
      <c r="AV190" s="69"/>
      <c r="AW190" s="69"/>
      <c r="AX190" s="69"/>
      <c r="AY190" s="69"/>
      <c r="AZ190" s="69"/>
      <c r="BA190" s="69"/>
      <c r="BB190" s="69"/>
      <c r="BC190" s="69"/>
    </row>
    <row r="191" spans="1:55" hidden="1">
      <c r="A191" s="77">
        <v>58</v>
      </c>
      <c r="B191" s="78"/>
      <c r="C191" s="79"/>
      <c r="D191" s="79"/>
      <c r="E191" s="79"/>
      <c r="F191" s="79"/>
      <c r="G191" s="79"/>
      <c r="H191" s="79"/>
      <c r="I191" s="79"/>
      <c r="J191" s="79"/>
      <c r="K191" s="79"/>
      <c r="L191" s="79"/>
      <c r="M191" s="79"/>
      <c r="N191" s="79"/>
      <c r="O191" s="79"/>
      <c r="P191" s="79"/>
      <c r="Q191" s="79"/>
      <c r="R191" s="79"/>
      <c r="S191" s="79"/>
      <c r="T191" s="79"/>
      <c r="U191" s="79"/>
      <c r="V191" s="79"/>
      <c r="W191" s="79"/>
      <c r="X191" s="79"/>
      <c r="Y191" s="79"/>
      <c r="Z191" s="79"/>
      <c r="AA191" s="79"/>
      <c r="AB191" s="79"/>
      <c r="AC191" s="79"/>
      <c r="AD191" s="79"/>
      <c r="AE191" s="79"/>
      <c r="AF191" s="79"/>
      <c r="AG191" s="79"/>
      <c r="AH191" s="69"/>
      <c r="AI191" s="69"/>
      <c r="AJ191" s="69"/>
      <c r="AK191" s="69"/>
      <c r="AL191" s="69"/>
      <c r="AM191" s="69"/>
      <c r="AN191" s="69"/>
      <c r="AO191" s="69"/>
      <c r="AP191" s="69"/>
      <c r="AQ191" s="69"/>
      <c r="AR191" s="69"/>
      <c r="AS191" s="69"/>
      <c r="AT191" s="69"/>
      <c r="AU191" s="69"/>
      <c r="AV191" s="69"/>
      <c r="AW191" s="69"/>
      <c r="AX191" s="69"/>
      <c r="AY191" s="69"/>
      <c r="AZ191" s="69"/>
      <c r="BA191" s="69"/>
      <c r="BB191" s="69"/>
      <c r="BC191" s="69"/>
    </row>
    <row r="192" spans="1:55" hidden="1">
      <c r="A192" s="77">
        <v>59</v>
      </c>
      <c r="B192" s="78"/>
      <c r="C192" s="79"/>
      <c r="D192" s="79"/>
      <c r="E192" s="79"/>
      <c r="F192" s="79"/>
      <c r="G192" s="79"/>
      <c r="H192" s="79"/>
      <c r="I192" s="79"/>
      <c r="J192" s="79"/>
      <c r="K192" s="79"/>
      <c r="L192" s="79"/>
      <c r="M192" s="79"/>
      <c r="N192" s="79"/>
      <c r="O192" s="79"/>
      <c r="P192" s="79"/>
      <c r="Q192" s="79"/>
      <c r="R192" s="79"/>
      <c r="S192" s="79"/>
      <c r="T192" s="79"/>
      <c r="U192" s="79"/>
      <c r="V192" s="79"/>
      <c r="W192" s="79"/>
      <c r="X192" s="79"/>
      <c r="Y192" s="79"/>
      <c r="Z192" s="79"/>
      <c r="AA192" s="79"/>
      <c r="AB192" s="79"/>
      <c r="AC192" s="79"/>
      <c r="AD192" s="79"/>
      <c r="AE192" s="79"/>
      <c r="AF192" s="79"/>
      <c r="AG192" s="79"/>
      <c r="AH192" s="69"/>
      <c r="AI192" s="69"/>
      <c r="AJ192" s="69"/>
      <c r="AK192" s="69"/>
      <c r="AL192" s="69"/>
      <c r="AM192" s="69"/>
      <c r="AN192" s="69"/>
      <c r="AO192" s="69"/>
      <c r="AP192" s="69"/>
      <c r="AQ192" s="69"/>
      <c r="AR192" s="69"/>
      <c r="AS192" s="69"/>
      <c r="AT192" s="69"/>
      <c r="AU192" s="69"/>
      <c r="AV192" s="69"/>
      <c r="AW192" s="69"/>
      <c r="AX192" s="69"/>
      <c r="AY192" s="69"/>
      <c r="AZ192" s="69"/>
      <c r="BA192" s="69"/>
      <c r="BB192" s="69"/>
      <c r="BC192" s="69"/>
    </row>
    <row r="193" spans="1:55" hidden="1">
      <c r="A193" s="77">
        <v>60</v>
      </c>
      <c r="B193" s="78"/>
      <c r="C193" s="79"/>
      <c r="D193" s="79"/>
      <c r="E193" s="79"/>
      <c r="F193" s="79"/>
      <c r="G193" s="79"/>
      <c r="H193" s="79"/>
      <c r="I193" s="79"/>
      <c r="J193" s="79"/>
      <c r="K193" s="79"/>
      <c r="L193" s="79"/>
      <c r="M193" s="79"/>
      <c r="N193" s="79"/>
      <c r="O193" s="79"/>
      <c r="P193" s="79"/>
      <c r="Q193" s="79"/>
      <c r="R193" s="79"/>
      <c r="S193" s="79"/>
      <c r="T193" s="79"/>
      <c r="U193" s="79"/>
      <c r="V193" s="79"/>
      <c r="W193" s="79"/>
      <c r="X193" s="79"/>
      <c r="Y193" s="79"/>
      <c r="Z193" s="79"/>
      <c r="AA193" s="79"/>
      <c r="AB193" s="79"/>
      <c r="AC193" s="79"/>
      <c r="AD193" s="79"/>
      <c r="AE193" s="79"/>
      <c r="AF193" s="79"/>
      <c r="AG193" s="79"/>
      <c r="AH193" s="69"/>
      <c r="AI193" s="69"/>
      <c r="AJ193" s="69"/>
      <c r="AK193" s="69"/>
      <c r="AL193" s="69"/>
      <c r="AM193" s="69"/>
      <c r="AN193" s="69"/>
      <c r="AO193" s="69"/>
      <c r="AP193" s="69"/>
      <c r="AQ193" s="69"/>
      <c r="AR193" s="69"/>
      <c r="AS193" s="69"/>
      <c r="AT193" s="69"/>
      <c r="AU193" s="69"/>
      <c r="AV193" s="69"/>
      <c r="AW193" s="69"/>
      <c r="AX193" s="69"/>
      <c r="AY193" s="69"/>
      <c r="AZ193" s="69"/>
      <c r="BA193" s="69"/>
      <c r="BB193" s="69"/>
      <c r="BC193" s="69"/>
    </row>
    <row r="194" spans="1:55" hidden="1">
      <c r="A194" s="77">
        <v>61</v>
      </c>
      <c r="B194" s="78"/>
      <c r="C194" s="79"/>
      <c r="D194" s="79"/>
      <c r="E194" s="79"/>
      <c r="F194" s="79"/>
      <c r="G194" s="79"/>
      <c r="H194" s="79"/>
      <c r="I194" s="79"/>
      <c r="J194" s="79"/>
      <c r="K194" s="79"/>
      <c r="L194" s="79"/>
      <c r="M194" s="79"/>
      <c r="N194" s="79"/>
      <c r="O194" s="79"/>
      <c r="P194" s="79"/>
      <c r="Q194" s="79"/>
      <c r="R194" s="79"/>
      <c r="S194" s="79"/>
      <c r="T194" s="79"/>
      <c r="U194" s="79"/>
      <c r="V194" s="79"/>
      <c r="W194" s="79"/>
      <c r="X194" s="79"/>
      <c r="Y194" s="79"/>
      <c r="Z194" s="79"/>
      <c r="AA194" s="79"/>
      <c r="AB194" s="79"/>
      <c r="AC194" s="79"/>
      <c r="AD194" s="79"/>
      <c r="AE194" s="79"/>
      <c r="AF194" s="79"/>
      <c r="AG194" s="79"/>
      <c r="AH194" s="69"/>
      <c r="AI194" s="69"/>
      <c r="AJ194" s="69"/>
      <c r="AK194" s="69"/>
      <c r="AL194" s="69"/>
      <c r="AM194" s="69"/>
      <c r="AN194" s="69"/>
      <c r="AO194" s="69"/>
      <c r="AP194" s="69"/>
      <c r="AQ194" s="69"/>
      <c r="AR194" s="69"/>
      <c r="AS194" s="69"/>
      <c r="AT194" s="69"/>
      <c r="AU194" s="69"/>
      <c r="AV194" s="69"/>
      <c r="AW194" s="69"/>
      <c r="AX194" s="69"/>
      <c r="AY194" s="69"/>
      <c r="AZ194" s="69"/>
      <c r="BA194" s="69"/>
      <c r="BB194" s="69"/>
      <c r="BC194" s="69"/>
    </row>
    <row r="195" spans="1:55" hidden="1">
      <c r="A195" s="77">
        <v>62</v>
      </c>
      <c r="B195" s="78"/>
      <c r="C195" s="79"/>
      <c r="D195" s="79"/>
      <c r="E195" s="79"/>
      <c r="F195" s="79"/>
      <c r="G195" s="79"/>
      <c r="H195" s="79"/>
      <c r="I195" s="79"/>
      <c r="J195" s="79"/>
      <c r="K195" s="79"/>
      <c r="L195" s="79"/>
      <c r="M195" s="79"/>
      <c r="N195" s="79"/>
      <c r="O195" s="79"/>
      <c r="P195" s="79"/>
      <c r="Q195" s="79"/>
      <c r="R195" s="79"/>
      <c r="S195" s="79"/>
      <c r="T195" s="79"/>
      <c r="U195" s="79"/>
      <c r="V195" s="79"/>
      <c r="W195" s="79"/>
      <c r="X195" s="79"/>
      <c r="Y195" s="79"/>
      <c r="Z195" s="79"/>
      <c r="AA195" s="79"/>
      <c r="AB195" s="79"/>
      <c r="AC195" s="79"/>
      <c r="AD195" s="79"/>
      <c r="AE195" s="79"/>
      <c r="AF195" s="79"/>
      <c r="AG195" s="79"/>
      <c r="AH195" s="69"/>
      <c r="AI195" s="69"/>
      <c r="AJ195" s="69"/>
      <c r="AK195" s="69"/>
      <c r="AL195" s="69"/>
      <c r="AM195" s="69"/>
      <c r="AN195" s="69"/>
      <c r="AO195" s="69"/>
      <c r="AP195" s="69"/>
      <c r="AQ195" s="69"/>
      <c r="AR195" s="69"/>
      <c r="AS195" s="69"/>
      <c r="AT195" s="69"/>
      <c r="AU195" s="69"/>
      <c r="AV195" s="69"/>
      <c r="AW195" s="69"/>
      <c r="AX195" s="69"/>
      <c r="AY195" s="69"/>
      <c r="AZ195" s="69"/>
      <c r="BA195" s="69"/>
      <c r="BB195" s="69"/>
      <c r="BC195" s="69"/>
    </row>
    <row r="196" spans="1:55" hidden="1">
      <c r="A196" s="77">
        <v>63</v>
      </c>
      <c r="B196" s="78"/>
      <c r="C196" s="79"/>
      <c r="D196" s="79"/>
      <c r="E196" s="79"/>
      <c r="F196" s="79"/>
      <c r="G196" s="79"/>
      <c r="H196" s="79"/>
      <c r="I196" s="79"/>
      <c r="J196" s="79"/>
      <c r="K196" s="79"/>
      <c r="L196" s="79"/>
      <c r="M196" s="79"/>
      <c r="N196" s="79"/>
      <c r="O196" s="79"/>
      <c r="P196" s="79"/>
      <c r="Q196" s="79"/>
      <c r="R196" s="79"/>
      <c r="S196" s="79"/>
      <c r="T196" s="79"/>
      <c r="U196" s="79"/>
      <c r="V196" s="79"/>
      <c r="W196" s="79"/>
      <c r="X196" s="79"/>
      <c r="Y196" s="79"/>
      <c r="Z196" s="79"/>
      <c r="AA196" s="79"/>
      <c r="AB196" s="79"/>
      <c r="AC196" s="79"/>
      <c r="AD196" s="79"/>
      <c r="AE196" s="79"/>
      <c r="AF196" s="79"/>
      <c r="AG196" s="79"/>
      <c r="AH196" s="69"/>
      <c r="AI196" s="69"/>
      <c r="AJ196" s="69"/>
      <c r="AK196" s="69"/>
      <c r="AL196" s="69"/>
      <c r="AM196" s="69"/>
      <c r="AN196" s="69"/>
      <c r="AO196" s="69"/>
      <c r="AP196" s="69"/>
      <c r="AQ196" s="69"/>
      <c r="AR196" s="69"/>
      <c r="AS196" s="69"/>
      <c r="AT196" s="69"/>
      <c r="AU196" s="69"/>
      <c r="AV196" s="69"/>
      <c r="AW196" s="69"/>
      <c r="AX196" s="69"/>
      <c r="AY196" s="69"/>
      <c r="AZ196" s="69"/>
      <c r="BA196" s="69"/>
      <c r="BB196" s="69"/>
      <c r="BC196" s="69"/>
    </row>
    <row r="197" spans="1:55" hidden="1">
      <c r="A197" s="77">
        <v>64</v>
      </c>
      <c r="B197" s="78"/>
      <c r="C197" s="79"/>
      <c r="D197" s="79"/>
      <c r="E197" s="79"/>
      <c r="F197" s="79"/>
      <c r="G197" s="79"/>
      <c r="H197" s="79"/>
      <c r="I197" s="79"/>
      <c r="J197" s="79"/>
      <c r="K197" s="79"/>
      <c r="L197" s="79"/>
      <c r="M197" s="79"/>
      <c r="N197" s="79"/>
      <c r="O197" s="79"/>
      <c r="P197" s="79"/>
      <c r="Q197" s="79"/>
      <c r="R197" s="79"/>
      <c r="S197" s="79"/>
      <c r="T197" s="79"/>
      <c r="U197" s="79"/>
      <c r="V197" s="79"/>
      <c r="W197" s="79"/>
      <c r="X197" s="79"/>
      <c r="Y197" s="79"/>
      <c r="Z197" s="79"/>
      <c r="AA197" s="79"/>
      <c r="AB197" s="79"/>
      <c r="AC197" s="79"/>
      <c r="AD197" s="79"/>
      <c r="AE197" s="79"/>
      <c r="AF197" s="79"/>
      <c r="AG197" s="79"/>
      <c r="AH197" s="69"/>
      <c r="AI197" s="69"/>
      <c r="AJ197" s="69"/>
      <c r="AK197" s="69"/>
      <c r="AL197" s="69"/>
      <c r="AM197" s="69"/>
      <c r="AN197" s="69"/>
      <c r="AO197" s="69"/>
      <c r="AP197" s="69"/>
      <c r="AQ197" s="69"/>
      <c r="AR197" s="69"/>
      <c r="AS197" s="69"/>
      <c r="AT197" s="69"/>
      <c r="AU197" s="69"/>
      <c r="AV197" s="69"/>
      <c r="AW197" s="69"/>
      <c r="AX197" s="69"/>
      <c r="AY197" s="69"/>
      <c r="AZ197" s="69"/>
      <c r="BA197" s="69"/>
      <c r="BB197" s="69"/>
      <c r="BC197" s="69"/>
    </row>
    <row r="198" spans="1:55" hidden="1">
      <c r="A198" s="77">
        <v>65</v>
      </c>
      <c r="B198" s="78"/>
      <c r="C198" s="79"/>
      <c r="D198" s="79"/>
      <c r="E198" s="79"/>
      <c r="F198" s="79"/>
      <c r="G198" s="79"/>
      <c r="H198" s="79"/>
      <c r="I198" s="79"/>
      <c r="J198" s="79"/>
      <c r="K198" s="79"/>
      <c r="L198" s="79"/>
      <c r="M198" s="79"/>
      <c r="N198" s="79"/>
      <c r="O198" s="79"/>
      <c r="P198" s="79"/>
      <c r="Q198" s="79"/>
      <c r="R198" s="79"/>
      <c r="S198" s="79"/>
      <c r="T198" s="79"/>
      <c r="U198" s="79"/>
      <c r="V198" s="79"/>
      <c r="W198" s="79"/>
      <c r="X198" s="79"/>
      <c r="Y198" s="79"/>
      <c r="Z198" s="79"/>
      <c r="AA198" s="79"/>
      <c r="AB198" s="79"/>
      <c r="AC198" s="79"/>
      <c r="AD198" s="79"/>
      <c r="AE198" s="79"/>
      <c r="AF198" s="79"/>
      <c r="AG198" s="79"/>
      <c r="AH198" s="69"/>
      <c r="AI198" s="69"/>
      <c r="AJ198" s="69"/>
      <c r="AK198" s="69"/>
      <c r="AL198" s="69"/>
      <c r="AM198" s="69"/>
      <c r="AN198" s="69"/>
      <c r="AO198" s="69"/>
      <c r="AP198" s="69"/>
      <c r="AQ198" s="69"/>
      <c r="AR198" s="69"/>
      <c r="AS198" s="69"/>
      <c r="AT198" s="69"/>
      <c r="AU198" s="69"/>
      <c r="AV198" s="69"/>
      <c r="AW198" s="69"/>
      <c r="AX198" s="69"/>
      <c r="AY198" s="69"/>
      <c r="AZ198" s="69"/>
      <c r="BA198" s="69"/>
      <c r="BB198" s="69"/>
      <c r="BC198" s="69"/>
    </row>
    <row r="199" spans="1:55" hidden="1">
      <c r="A199" s="77">
        <v>66</v>
      </c>
      <c r="B199" s="78"/>
      <c r="C199" s="79"/>
      <c r="D199" s="79"/>
      <c r="E199" s="79"/>
      <c r="F199" s="79"/>
      <c r="G199" s="79"/>
      <c r="H199" s="79"/>
      <c r="I199" s="79"/>
      <c r="J199" s="79"/>
      <c r="K199" s="79"/>
      <c r="L199" s="79"/>
      <c r="M199" s="79"/>
      <c r="N199" s="79"/>
      <c r="O199" s="79"/>
      <c r="P199" s="79"/>
      <c r="Q199" s="79"/>
      <c r="R199" s="79"/>
      <c r="S199" s="79"/>
      <c r="T199" s="79"/>
      <c r="U199" s="79"/>
      <c r="V199" s="79"/>
      <c r="W199" s="79"/>
      <c r="X199" s="79"/>
      <c r="Y199" s="79"/>
      <c r="Z199" s="79"/>
      <c r="AA199" s="79"/>
      <c r="AB199" s="79"/>
      <c r="AC199" s="79"/>
      <c r="AD199" s="79"/>
      <c r="AE199" s="79"/>
      <c r="AF199" s="79"/>
      <c r="AG199" s="79"/>
      <c r="AH199" s="69"/>
      <c r="AI199" s="69"/>
      <c r="AJ199" s="69"/>
      <c r="AK199" s="69"/>
      <c r="AL199" s="69"/>
      <c r="AM199" s="69"/>
      <c r="AN199" s="69"/>
      <c r="AO199" s="69"/>
      <c r="AP199" s="69"/>
      <c r="AQ199" s="69"/>
      <c r="AR199" s="69"/>
      <c r="AS199" s="69"/>
      <c r="AT199" s="69"/>
      <c r="AU199" s="69"/>
      <c r="AV199" s="69"/>
      <c r="AW199" s="69"/>
      <c r="AX199" s="69"/>
      <c r="AY199" s="69"/>
      <c r="AZ199" s="69"/>
      <c r="BA199" s="69"/>
      <c r="BB199" s="69"/>
      <c r="BC199" s="69"/>
    </row>
    <row r="200" spans="1:55" hidden="1">
      <c r="A200" s="77">
        <v>67</v>
      </c>
      <c r="B200" s="78"/>
      <c r="C200" s="79"/>
      <c r="D200" s="79"/>
      <c r="E200" s="79"/>
      <c r="F200" s="79"/>
      <c r="G200" s="79"/>
      <c r="H200" s="79"/>
      <c r="I200" s="79"/>
      <c r="J200" s="79"/>
      <c r="K200" s="79"/>
      <c r="L200" s="79"/>
      <c r="M200" s="79"/>
      <c r="N200" s="79"/>
      <c r="O200" s="79"/>
      <c r="P200" s="79"/>
      <c r="Q200" s="79"/>
      <c r="R200" s="79"/>
      <c r="S200" s="79"/>
      <c r="T200" s="79"/>
      <c r="U200" s="79"/>
      <c r="V200" s="79"/>
      <c r="W200" s="79"/>
      <c r="X200" s="79"/>
      <c r="Y200" s="79"/>
      <c r="Z200" s="79"/>
      <c r="AA200" s="79"/>
      <c r="AB200" s="79"/>
      <c r="AC200" s="79"/>
      <c r="AD200" s="79"/>
      <c r="AE200" s="79"/>
      <c r="AF200" s="79"/>
      <c r="AG200" s="79"/>
      <c r="AH200" s="69"/>
      <c r="AI200" s="69"/>
      <c r="AJ200" s="69"/>
      <c r="AK200" s="69"/>
      <c r="AL200" s="69"/>
      <c r="AM200" s="69"/>
      <c r="AN200" s="69"/>
      <c r="AO200" s="69"/>
      <c r="AP200" s="69"/>
      <c r="AQ200" s="69"/>
      <c r="AR200" s="69"/>
      <c r="AS200" s="69"/>
      <c r="AT200" s="69"/>
      <c r="AU200" s="69"/>
      <c r="AV200" s="69"/>
      <c r="AW200" s="69"/>
      <c r="AX200" s="69"/>
      <c r="AY200" s="69"/>
      <c r="AZ200" s="69"/>
      <c r="BA200" s="69"/>
      <c r="BB200" s="69"/>
      <c r="BC200" s="69"/>
    </row>
    <row r="201" spans="1:55" hidden="1">
      <c r="A201" s="77">
        <v>68</v>
      </c>
      <c r="B201" s="78"/>
      <c r="C201" s="79"/>
      <c r="D201" s="79"/>
      <c r="E201" s="79"/>
      <c r="F201" s="79"/>
      <c r="G201" s="79"/>
      <c r="H201" s="79"/>
      <c r="I201" s="79"/>
      <c r="J201" s="79"/>
      <c r="K201" s="79"/>
      <c r="L201" s="79"/>
      <c r="M201" s="79"/>
      <c r="N201" s="79"/>
      <c r="O201" s="79"/>
      <c r="P201" s="79"/>
      <c r="Q201" s="79"/>
      <c r="R201" s="79"/>
      <c r="S201" s="79"/>
      <c r="T201" s="79"/>
      <c r="U201" s="79"/>
      <c r="V201" s="79"/>
      <c r="W201" s="79"/>
      <c r="X201" s="79"/>
      <c r="Y201" s="79"/>
      <c r="Z201" s="79"/>
      <c r="AA201" s="79"/>
      <c r="AB201" s="79"/>
      <c r="AC201" s="79"/>
      <c r="AD201" s="79"/>
      <c r="AE201" s="79"/>
      <c r="AF201" s="79"/>
      <c r="AG201" s="79"/>
      <c r="AH201" s="69"/>
      <c r="AI201" s="69"/>
      <c r="AJ201" s="69"/>
      <c r="AK201" s="69"/>
      <c r="AL201" s="69"/>
      <c r="AM201" s="69"/>
      <c r="AN201" s="69"/>
      <c r="AO201" s="69"/>
      <c r="AP201" s="69"/>
      <c r="AQ201" s="69"/>
      <c r="AR201" s="69"/>
      <c r="AS201" s="69"/>
      <c r="AT201" s="69"/>
      <c r="AU201" s="69"/>
      <c r="AV201" s="69"/>
      <c r="AW201" s="69"/>
      <c r="AX201" s="69"/>
      <c r="AY201" s="69"/>
      <c r="AZ201" s="69"/>
      <c r="BA201" s="69"/>
      <c r="BB201" s="69"/>
      <c r="BC201" s="69"/>
    </row>
    <row r="202" spans="1:55" hidden="1">
      <c r="A202" s="77">
        <v>69</v>
      </c>
      <c r="B202" s="78"/>
      <c r="C202" s="79"/>
      <c r="D202" s="79"/>
      <c r="E202" s="79"/>
      <c r="F202" s="79"/>
      <c r="G202" s="79"/>
      <c r="H202" s="79"/>
      <c r="I202" s="79"/>
      <c r="J202" s="79"/>
      <c r="K202" s="79"/>
      <c r="L202" s="79"/>
      <c r="M202" s="79"/>
      <c r="N202" s="79"/>
      <c r="O202" s="79"/>
      <c r="P202" s="79"/>
      <c r="Q202" s="79"/>
      <c r="R202" s="79"/>
      <c r="S202" s="79"/>
      <c r="T202" s="79"/>
      <c r="U202" s="79"/>
      <c r="V202" s="79"/>
      <c r="W202" s="79"/>
      <c r="X202" s="79"/>
      <c r="Y202" s="79"/>
      <c r="Z202" s="79"/>
      <c r="AA202" s="79"/>
      <c r="AB202" s="79"/>
      <c r="AC202" s="79"/>
      <c r="AD202" s="79"/>
      <c r="AE202" s="79"/>
      <c r="AF202" s="79"/>
      <c r="AG202" s="79"/>
      <c r="AH202" s="69"/>
      <c r="AI202" s="69"/>
      <c r="AJ202" s="69"/>
      <c r="AK202" s="69"/>
      <c r="AL202" s="69"/>
      <c r="AM202" s="69"/>
      <c r="AN202" s="69"/>
      <c r="AO202" s="69"/>
      <c r="AP202" s="69"/>
      <c r="AQ202" s="69"/>
      <c r="AR202" s="69"/>
      <c r="AS202" s="69"/>
      <c r="AT202" s="69"/>
      <c r="AU202" s="69"/>
      <c r="AV202" s="69"/>
      <c r="AW202" s="69"/>
      <c r="AX202" s="69"/>
      <c r="AY202" s="69"/>
      <c r="AZ202" s="69"/>
      <c r="BA202" s="69"/>
      <c r="BB202" s="69"/>
      <c r="BC202" s="69"/>
    </row>
    <row r="203" spans="1:55" hidden="1">
      <c r="A203" s="77">
        <v>70</v>
      </c>
      <c r="B203" s="78"/>
      <c r="C203" s="79"/>
      <c r="D203" s="79"/>
      <c r="E203" s="79"/>
      <c r="F203" s="79"/>
      <c r="G203" s="79"/>
      <c r="H203" s="79"/>
      <c r="I203" s="79"/>
      <c r="J203" s="79"/>
      <c r="K203" s="79"/>
      <c r="L203" s="79"/>
      <c r="M203" s="79"/>
      <c r="N203" s="79"/>
      <c r="O203" s="79"/>
      <c r="P203" s="79"/>
      <c r="Q203" s="79"/>
      <c r="R203" s="79"/>
      <c r="S203" s="79"/>
      <c r="T203" s="79"/>
      <c r="U203" s="79"/>
      <c r="V203" s="79"/>
      <c r="W203" s="79"/>
      <c r="X203" s="79"/>
      <c r="Y203" s="79"/>
      <c r="Z203" s="79"/>
      <c r="AA203" s="79"/>
      <c r="AB203" s="79"/>
      <c r="AC203" s="79"/>
      <c r="AD203" s="79"/>
      <c r="AE203" s="79"/>
      <c r="AF203" s="79"/>
      <c r="AG203" s="79"/>
      <c r="AH203" s="69"/>
      <c r="AI203" s="69"/>
      <c r="AJ203" s="69"/>
      <c r="AK203" s="69"/>
      <c r="AL203" s="69"/>
      <c r="AM203" s="69"/>
      <c r="AN203" s="69"/>
      <c r="AO203" s="69"/>
      <c r="AP203" s="69"/>
      <c r="AQ203" s="69"/>
      <c r="AR203" s="69"/>
      <c r="AS203" s="69"/>
      <c r="AT203" s="69"/>
      <c r="AU203" s="69"/>
      <c r="AV203" s="69"/>
      <c r="AW203" s="69"/>
      <c r="AX203" s="69"/>
      <c r="AY203" s="69"/>
      <c r="AZ203" s="69"/>
      <c r="BA203" s="69"/>
      <c r="BB203" s="69"/>
      <c r="BC203" s="69"/>
    </row>
    <row r="204" spans="1:55" hidden="1">
      <c r="A204" s="77">
        <v>71</v>
      </c>
      <c r="B204" s="78"/>
      <c r="C204" s="79"/>
      <c r="D204" s="79"/>
      <c r="E204" s="79"/>
      <c r="F204" s="79"/>
      <c r="G204" s="79"/>
      <c r="H204" s="79"/>
      <c r="I204" s="79"/>
      <c r="J204" s="79"/>
      <c r="K204" s="79"/>
      <c r="L204" s="79"/>
      <c r="M204" s="79"/>
      <c r="N204" s="79"/>
      <c r="O204" s="79"/>
      <c r="P204" s="79"/>
      <c r="Q204" s="79"/>
      <c r="R204" s="79"/>
      <c r="S204" s="79"/>
      <c r="T204" s="79"/>
      <c r="U204" s="79"/>
      <c r="V204" s="79"/>
      <c r="W204" s="79"/>
      <c r="X204" s="79"/>
      <c r="Y204" s="79"/>
      <c r="Z204" s="79"/>
      <c r="AA204" s="79"/>
      <c r="AB204" s="79"/>
      <c r="AC204" s="79"/>
      <c r="AD204" s="79"/>
      <c r="AE204" s="79"/>
      <c r="AF204" s="79"/>
      <c r="AG204" s="79"/>
      <c r="AH204" s="69"/>
      <c r="AI204" s="69"/>
      <c r="AJ204" s="69"/>
      <c r="AK204" s="69"/>
      <c r="AL204" s="69"/>
      <c r="AM204" s="69"/>
      <c r="AN204" s="69"/>
      <c r="AO204" s="69"/>
      <c r="AP204" s="69"/>
      <c r="AQ204" s="69"/>
      <c r="AR204" s="69"/>
      <c r="AS204" s="69"/>
      <c r="AT204" s="69"/>
      <c r="AU204" s="69"/>
      <c r="AV204" s="69"/>
      <c r="AW204" s="69"/>
      <c r="AX204" s="69"/>
      <c r="AY204" s="69"/>
      <c r="AZ204" s="69"/>
      <c r="BA204" s="69"/>
      <c r="BB204" s="69"/>
      <c r="BC204" s="69"/>
    </row>
    <row r="205" spans="1:55" hidden="1">
      <c r="A205" s="77">
        <v>72</v>
      </c>
      <c r="B205" s="78"/>
      <c r="C205" s="79"/>
      <c r="D205" s="79"/>
      <c r="E205" s="79"/>
      <c r="F205" s="79"/>
      <c r="G205" s="79"/>
      <c r="H205" s="79"/>
      <c r="I205" s="79"/>
      <c r="J205" s="79"/>
      <c r="K205" s="79"/>
      <c r="L205" s="79"/>
      <c r="M205" s="79"/>
      <c r="N205" s="79"/>
      <c r="O205" s="79"/>
      <c r="P205" s="79"/>
      <c r="Q205" s="79"/>
      <c r="R205" s="79"/>
      <c r="S205" s="79"/>
      <c r="T205" s="79"/>
      <c r="U205" s="79"/>
      <c r="V205" s="79"/>
      <c r="W205" s="79"/>
      <c r="X205" s="79"/>
      <c r="Y205" s="79"/>
      <c r="Z205" s="79"/>
      <c r="AA205" s="79"/>
      <c r="AB205" s="79"/>
      <c r="AC205" s="79"/>
      <c r="AD205" s="79"/>
      <c r="AE205" s="79"/>
      <c r="AF205" s="79"/>
      <c r="AG205" s="79"/>
      <c r="AH205" s="69"/>
      <c r="AI205" s="69"/>
      <c r="AJ205" s="69"/>
      <c r="AK205" s="69"/>
      <c r="AL205" s="69"/>
      <c r="AM205" s="69"/>
      <c r="AN205" s="69"/>
      <c r="AO205" s="69"/>
      <c r="AP205" s="69"/>
      <c r="AQ205" s="69"/>
      <c r="AR205" s="69"/>
      <c r="AS205" s="69"/>
      <c r="AT205" s="69"/>
      <c r="AU205" s="69"/>
      <c r="AV205" s="69"/>
      <c r="AW205" s="69"/>
      <c r="AX205" s="69"/>
      <c r="AY205" s="69"/>
      <c r="AZ205" s="69"/>
      <c r="BA205" s="69"/>
      <c r="BB205" s="69"/>
      <c r="BC205" s="69"/>
    </row>
    <row r="206" spans="1:55" hidden="1">
      <c r="A206" s="77">
        <v>73</v>
      </c>
      <c r="B206" s="78"/>
      <c r="C206" s="79"/>
      <c r="D206" s="79"/>
      <c r="E206" s="79"/>
      <c r="F206" s="79"/>
      <c r="G206" s="79"/>
      <c r="H206" s="79"/>
      <c r="I206" s="79"/>
      <c r="J206" s="79"/>
      <c r="K206" s="79"/>
      <c r="L206" s="79"/>
      <c r="M206" s="79"/>
      <c r="N206" s="79"/>
      <c r="O206" s="79"/>
      <c r="P206" s="79"/>
      <c r="Q206" s="79"/>
      <c r="R206" s="79"/>
      <c r="S206" s="79"/>
      <c r="T206" s="79"/>
      <c r="U206" s="79"/>
      <c r="V206" s="79"/>
      <c r="W206" s="79"/>
      <c r="X206" s="79"/>
      <c r="Y206" s="79"/>
      <c r="Z206" s="79"/>
      <c r="AA206" s="79"/>
      <c r="AB206" s="79"/>
      <c r="AC206" s="79"/>
      <c r="AD206" s="79"/>
      <c r="AE206" s="79"/>
      <c r="AF206" s="79"/>
      <c r="AG206" s="79"/>
      <c r="AH206" s="69"/>
      <c r="AI206" s="69"/>
      <c r="AJ206" s="69"/>
      <c r="AK206" s="69"/>
      <c r="AL206" s="69"/>
      <c r="AM206" s="69"/>
      <c r="AN206" s="69"/>
      <c r="AO206" s="69"/>
      <c r="AP206" s="69"/>
      <c r="AQ206" s="69"/>
      <c r="AR206" s="69"/>
      <c r="AS206" s="69"/>
      <c r="AT206" s="69"/>
      <c r="AU206" s="69"/>
      <c r="AV206" s="69"/>
      <c r="AW206" s="69"/>
      <c r="AX206" s="69"/>
      <c r="AY206" s="69"/>
      <c r="AZ206" s="69"/>
      <c r="BA206" s="69"/>
      <c r="BB206" s="69"/>
      <c r="BC206" s="69"/>
    </row>
    <row r="207" spans="1:55" hidden="1">
      <c r="A207" s="77">
        <v>74</v>
      </c>
      <c r="B207" s="78"/>
      <c r="C207" s="79"/>
      <c r="D207" s="79"/>
      <c r="E207" s="79"/>
      <c r="F207" s="79"/>
      <c r="G207" s="79"/>
      <c r="H207" s="79"/>
      <c r="I207" s="79"/>
      <c r="J207" s="79"/>
      <c r="K207" s="79"/>
      <c r="L207" s="79"/>
      <c r="M207" s="79"/>
      <c r="N207" s="79"/>
      <c r="O207" s="79"/>
      <c r="P207" s="79"/>
      <c r="Q207" s="79"/>
      <c r="R207" s="79"/>
      <c r="S207" s="79"/>
      <c r="T207" s="79"/>
      <c r="U207" s="79"/>
      <c r="V207" s="79"/>
      <c r="W207" s="79"/>
      <c r="X207" s="79"/>
      <c r="Y207" s="79"/>
      <c r="Z207" s="79"/>
      <c r="AA207" s="79"/>
      <c r="AB207" s="79"/>
      <c r="AC207" s="79"/>
      <c r="AD207" s="79"/>
      <c r="AE207" s="79"/>
      <c r="AF207" s="79"/>
      <c r="AG207" s="79"/>
      <c r="AH207" s="69"/>
      <c r="AI207" s="69"/>
      <c r="AJ207" s="69"/>
      <c r="AK207" s="69"/>
      <c r="AL207" s="69"/>
      <c r="AM207" s="69"/>
      <c r="AN207" s="69"/>
      <c r="AO207" s="69"/>
      <c r="AP207" s="69"/>
      <c r="AQ207" s="69"/>
      <c r="AR207" s="69"/>
      <c r="AS207" s="69"/>
      <c r="AT207" s="69"/>
      <c r="AU207" s="69"/>
      <c r="AV207" s="69"/>
      <c r="AW207" s="69"/>
      <c r="AX207" s="69"/>
      <c r="AY207" s="69"/>
      <c r="AZ207" s="69"/>
      <c r="BA207" s="69"/>
      <c r="BB207" s="69"/>
      <c r="BC207" s="69"/>
    </row>
    <row r="208" spans="1:55" hidden="1">
      <c r="A208" s="77">
        <v>75</v>
      </c>
      <c r="B208" s="78"/>
      <c r="C208" s="79"/>
      <c r="D208" s="79"/>
      <c r="E208" s="79"/>
      <c r="F208" s="79"/>
      <c r="G208" s="79"/>
      <c r="H208" s="79"/>
      <c r="I208" s="79"/>
      <c r="J208" s="79"/>
      <c r="K208" s="79"/>
      <c r="L208" s="79"/>
      <c r="M208" s="79"/>
      <c r="N208" s="79"/>
      <c r="O208" s="79"/>
      <c r="P208" s="79"/>
      <c r="Q208" s="79"/>
      <c r="R208" s="79"/>
      <c r="S208" s="79"/>
      <c r="T208" s="79"/>
      <c r="U208" s="79"/>
      <c r="V208" s="79"/>
      <c r="W208" s="79"/>
      <c r="X208" s="79"/>
      <c r="Y208" s="79"/>
      <c r="Z208" s="79"/>
      <c r="AA208" s="79"/>
      <c r="AB208" s="79"/>
      <c r="AC208" s="79"/>
      <c r="AD208" s="79"/>
      <c r="AE208" s="79"/>
      <c r="AF208" s="79"/>
      <c r="AG208" s="79"/>
      <c r="AH208" s="69"/>
      <c r="AI208" s="69"/>
      <c r="AJ208" s="69"/>
      <c r="AK208" s="69"/>
      <c r="AL208" s="69"/>
      <c r="AM208" s="69"/>
      <c r="AN208" s="69"/>
      <c r="AO208" s="69"/>
      <c r="AP208" s="69"/>
      <c r="AQ208" s="69"/>
      <c r="AR208" s="69"/>
      <c r="AS208" s="69"/>
      <c r="AT208" s="69"/>
      <c r="AU208" s="69"/>
      <c r="AV208" s="69"/>
      <c r="AW208" s="69"/>
      <c r="AX208" s="69"/>
      <c r="AY208" s="69"/>
      <c r="AZ208" s="69"/>
      <c r="BA208" s="69"/>
      <c r="BB208" s="69"/>
      <c r="BC208" s="69"/>
    </row>
    <row r="209" spans="1:55" hidden="1">
      <c r="A209" s="77">
        <v>76</v>
      </c>
      <c r="B209" s="78"/>
      <c r="C209" s="79"/>
      <c r="D209" s="79"/>
      <c r="E209" s="79"/>
      <c r="F209" s="79"/>
      <c r="G209" s="79"/>
      <c r="H209" s="79"/>
      <c r="I209" s="79"/>
      <c r="J209" s="79"/>
      <c r="K209" s="79"/>
      <c r="L209" s="79"/>
      <c r="M209" s="79"/>
      <c r="N209" s="79"/>
      <c r="O209" s="79"/>
      <c r="P209" s="79"/>
      <c r="Q209" s="79"/>
      <c r="R209" s="79"/>
      <c r="S209" s="79"/>
      <c r="T209" s="79"/>
      <c r="U209" s="79"/>
      <c r="V209" s="79"/>
      <c r="W209" s="79"/>
      <c r="X209" s="79"/>
      <c r="Y209" s="79"/>
      <c r="Z209" s="79"/>
      <c r="AA209" s="79"/>
      <c r="AB209" s="79"/>
      <c r="AC209" s="79"/>
      <c r="AD209" s="79"/>
      <c r="AE209" s="79"/>
      <c r="AF209" s="79"/>
      <c r="AG209" s="79"/>
      <c r="AH209" s="69"/>
      <c r="AI209" s="69"/>
      <c r="AJ209" s="69"/>
      <c r="AK209" s="69"/>
      <c r="AL209" s="69"/>
      <c r="AM209" s="69"/>
      <c r="AN209" s="69"/>
      <c r="AO209" s="69"/>
      <c r="AP209" s="69"/>
      <c r="AQ209" s="69"/>
      <c r="AR209" s="69"/>
      <c r="AS209" s="69"/>
      <c r="AT209" s="69"/>
      <c r="AU209" s="69"/>
      <c r="AV209" s="69"/>
      <c r="AW209" s="69"/>
      <c r="AX209" s="69"/>
      <c r="AY209" s="69"/>
      <c r="AZ209" s="69"/>
      <c r="BA209" s="69"/>
      <c r="BB209" s="69"/>
      <c r="BC209" s="69"/>
    </row>
    <row r="210" spans="1:55" hidden="1">
      <c r="A210" s="77">
        <v>77</v>
      </c>
      <c r="B210" s="78"/>
      <c r="C210" s="79"/>
      <c r="D210" s="79"/>
      <c r="E210" s="79"/>
      <c r="F210" s="79"/>
      <c r="G210" s="79"/>
      <c r="H210" s="79"/>
      <c r="I210" s="79"/>
      <c r="J210" s="79"/>
      <c r="K210" s="79"/>
      <c r="L210" s="79"/>
      <c r="M210" s="79"/>
      <c r="N210" s="79"/>
      <c r="O210" s="79"/>
      <c r="P210" s="79"/>
      <c r="Q210" s="79"/>
      <c r="R210" s="79"/>
      <c r="S210" s="79"/>
      <c r="T210" s="79"/>
      <c r="U210" s="79"/>
      <c r="V210" s="79"/>
      <c r="W210" s="79"/>
      <c r="X210" s="79"/>
      <c r="Y210" s="79"/>
      <c r="Z210" s="79"/>
      <c r="AA210" s="79"/>
      <c r="AB210" s="79"/>
      <c r="AC210" s="79"/>
      <c r="AD210" s="79"/>
      <c r="AE210" s="79"/>
      <c r="AF210" s="79"/>
      <c r="AG210" s="79"/>
      <c r="AH210" s="69"/>
      <c r="AI210" s="69"/>
      <c r="AJ210" s="69"/>
      <c r="AK210" s="69"/>
      <c r="AL210" s="69"/>
      <c r="AM210" s="69"/>
      <c r="AN210" s="69"/>
      <c r="AO210" s="69"/>
      <c r="AP210" s="69"/>
      <c r="AQ210" s="69"/>
      <c r="AR210" s="69"/>
      <c r="AS210" s="69"/>
      <c r="AT210" s="69"/>
      <c r="AU210" s="69"/>
      <c r="AV210" s="69"/>
      <c r="AW210" s="69"/>
      <c r="AX210" s="69"/>
      <c r="AY210" s="69"/>
      <c r="AZ210" s="69"/>
      <c r="BA210" s="69"/>
      <c r="BB210" s="69"/>
      <c r="BC210" s="69"/>
    </row>
    <row r="211" spans="1:55" hidden="1">
      <c r="A211" s="77">
        <v>78</v>
      </c>
      <c r="B211" s="78"/>
      <c r="C211" s="79"/>
      <c r="D211" s="79"/>
      <c r="E211" s="79"/>
      <c r="F211" s="79"/>
      <c r="G211" s="79"/>
      <c r="H211" s="79"/>
      <c r="I211" s="79"/>
      <c r="J211" s="79"/>
      <c r="K211" s="79"/>
      <c r="L211" s="79"/>
      <c r="M211" s="79"/>
      <c r="N211" s="79"/>
      <c r="O211" s="79"/>
      <c r="P211" s="79"/>
      <c r="Q211" s="79"/>
      <c r="R211" s="79"/>
      <c r="S211" s="79"/>
      <c r="T211" s="79"/>
      <c r="U211" s="79"/>
      <c r="V211" s="79"/>
      <c r="W211" s="79"/>
      <c r="X211" s="79"/>
      <c r="Y211" s="79"/>
      <c r="Z211" s="79"/>
      <c r="AA211" s="79"/>
      <c r="AB211" s="79"/>
      <c r="AC211" s="79"/>
      <c r="AD211" s="79"/>
      <c r="AE211" s="79"/>
      <c r="AF211" s="79"/>
      <c r="AG211" s="79"/>
      <c r="AH211" s="69"/>
      <c r="AI211" s="69"/>
      <c r="AJ211" s="69"/>
      <c r="AK211" s="69"/>
      <c r="AL211" s="69"/>
      <c r="AM211" s="69"/>
      <c r="AN211" s="69"/>
      <c r="AO211" s="69"/>
      <c r="AP211" s="69"/>
      <c r="AQ211" s="69"/>
      <c r="AR211" s="69"/>
      <c r="AS211" s="69"/>
      <c r="AT211" s="69"/>
      <c r="AU211" s="69"/>
      <c r="AV211" s="69"/>
      <c r="AW211" s="69"/>
      <c r="AX211" s="69"/>
      <c r="AY211" s="69"/>
      <c r="AZ211" s="69"/>
      <c r="BA211" s="69"/>
      <c r="BB211" s="69"/>
      <c r="BC211" s="69"/>
    </row>
    <row r="212" spans="1:55" hidden="1">
      <c r="A212" s="77">
        <v>80</v>
      </c>
      <c r="B212" s="78"/>
      <c r="C212" s="79"/>
      <c r="D212" s="79"/>
      <c r="E212" s="79"/>
      <c r="F212" s="79"/>
      <c r="G212" s="79"/>
      <c r="H212" s="79"/>
      <c r="I212" s="79"/>
      <c r="J212" s="79"/>
      <c r="K212" s="79"/>
      <c r="L212" s="79"/>
      <c r="M212" s="79"/>
      <c r="N212" s="79"/>
      <c r="O212" s="79"/>
      <c r="P212" s="79"/>
      <c r="Q212" s="79"/>
      <c r="R212" s="79"/>
      <c r="S212" s="79"/>
      <c r="T212" s="79"/>
      <c r="U212" s="79"/>
      <c r="V212" s="79"/>
      <c r="W212" s="79"/>
      <c r="X212" s="79"/>
      <c r="Y212" s="79"/>
      <c r="Z212" s="79"/>
      <c r="AA212" s="79"/>
      <c r="AB212" s="79"/>
      <c r="AC212" s="79"/>
      <c r="AD212" s="79"/>
      <c r="AE212" s="79"/>
      <c r="AF212" s="79"/>
      <c r="AG212" s="79"/>
      <c r="AH212" s="69"/>
      <c r="AI212" s="69"/>
      <c r="AJ212" s="69"/>
      <c r="AK212" s="69"/>
      <c r="AL212" s="69"/>
      <c r="AM212" s="69"/>
      <c r="AN212" s="69"/>
      <c r="AO212" s="69"/>
      <c r="AP212" s="69"/>
      <c r="AQ212" s="69"/>
      <c r="AR212" s="69"/>
      <c r="AS212" s="69"/>
      <c r="AT212" s="69"/>
      <c r="AU212" s="69"/>
      <c r="AV212" s="69"/>
      <c r="AW212" s="69"/>
      <c r="AX212" s="69"/>
      <c r="AY212" s="69"/>
      <c r="AZ212" s="69"/>
      <c r="BA212" s="69"/>
      <c r="BB212" s="69"/>
      <c r="BC212" s="69"/>
    </row>
    <row r="213" spans="1:55" hidden="1">
      <c r="A213" s="77">
        <v>81</v>
      </c>
      <c r="B213" s="78"/>
      <c r="C213" s="79"/>
      <c r="D213" s="79"/>
      <c r="E213" s="79"/>
      <c r="F213" s="79"/>
      <c r="G213" s="79"/>
      <c r="H213" s="79"/>
      <c r="I213" s="79"/>
      <c r="J213" s="79"/>
      <c r="K213" s="79"/>
      <c r="L213" s="79"/>
      <c r="M213" s="79"/>
      <c r="N213" s="79"/>
      <c r="O213" s="79"/>
      <c r="P213" s="79"/>
      <c r="Q213" s="79"/>
      <c r="R213" s="79"/>
      <c r="S213" s="79"/>
      <c r="T213" s="79"/>
      <c r="U213" s="79"/>
      <c r="V213" s="79"/>
      <c r="W213" s="79"/>
      <c r="X213" s="79"/>
      <c r="Y213" s="79"/>
      <c r="Z213" s="79"/>
      <c r="AA213" s="79"/>
      <c r="AB213" s="79"/>
      <c r="AC213" s="79"/>
      <c r="AD213" s="79"/>
      <c r="AE213" s="79"/>
      <c r="AF213" s="79"/>
      <c r="AG213" s="79"/>
      <c r="AH213" s="69"/>
      <c r="AI213" s="69"/>
      <c r="AJ213" s="69"/>
      <c r="AK213" s="69"/>
      <c r="AL213" s="69"/>
      <c r="AM213" s="69"/>
      <c r="AN213" s="69"/>
      <c r="AO213" s="69"/>
      <c r="AP213" s="69"/>
      <c r="AQ213" s="69"/>
      <c r="AR213" s="69"/>
      <c r="AS213" s="69"/>
      <c r="AT213" s="69"/>
      <c r="AU213" s="69"/>
      <c r="AV213" s="69"/>
      <c r="AW213" s="69"/>
      <c r="AX213" s="69"/>
      <c r="AY213" s="69"/>
      <c r="AZ213" s="69"/>
      <c r="BA213" s="69"/>
      <c r="BB213" s="69"/>
      <c r="BC213" s="69"/>
    </row>
    <row r="214" spans="1:55" hidden="1">
      <c r="A214" s="77">
        <v>82</v>
      </c>
      <c r="B214" s="78"/>
      <c r="C214" s="79"/>
      <c r="D214" s="79"/>
      <c r="E214" s="79"/>
      <c r="F214" s="79"/>
      <c r="G214" s="79"/>
      <c r="H214" s="79"/>
      <c r="I214" s="79"/>
      <c r="J214" s="79"/>
      <c r="K214" s="79"/>
      <c r="L214" s="79"/>
      <c r="M214" s="79"/>
      <c r="N214" s="79"/>
      <c r="O214" s="79"/>
      <c r="P214" s="79"/>
      <c r="Q214" s="79"/>
      <c r="R214" s="79"/>
      <c r="S214" s="79"/>
      <c r="T214" s="79"/>
      <c r="U214" s="79"/>
      <c r="V214" s="79"/>
      <c r="W214" s="79"/>
      <c r="X214" s="79"/>
      <c r="Y214" s="79"/>
      <c r="Z214" s="79"/>
      <c r="AA214" s="79"/>
      <c r="AB214" s="79"/>
      <c r="AC214" s="79"/>
      <c r="AD214" s="79"/>
      <c r="AE214" s="79"/>
      <c r="AF214" s="79"/>
      <c r="AG214" s="79"/>
      <c r="AH214" s="69"/>
      <c r="AI214" s="69"/>
      <c r="AJ214" s="69"/>
      <c r="AK214" s="69"/>
      <c r="AL214" s="69"/>
      <c r="AM214" s="69"/>
      <c r="AN214" s="69"/>
      <c r="AO214" s="69"/>
      <c r="AP214" s="69"/>
      <c r="AQ214" s="69"/>
      <c r="AR214" s="69"/>
      <c r="AS214" s="69"/>
      <c r="AT214" s="69"/>
      <c r="AU214" s="69"/>
      <c r="AV214" s="69"/>
      <c r="AW214" s="69"/>
      <c r="AX214" s="69"/>
      <c r="AY214" s="69"/>
      <c r="AZ214" s="69"/>
      <c r="BA214" s="69"/>
      <c r="BB214" s="69"/>
      <c r="BC214" s="69"/>
    </row>
    <row r="215" spans="1:55" hidden="1">
      <c r="A215" s="77">
        <v>83</v>
      </c>
      <c r="B215" s="78"/>
      <c r="C215" s="79"/>
      <c r="D215" s="79"/>
      <c r="E215" s="79"/>
      <c r="F215" s="79"/>
      <c r="G215" s="79"/>
      <c r="H215" s="79"/>
      <c r="I215" s="79"/>
      <c r="J215" s="79"/>
      <c r="K215" s="79"/>
      <c r="L215" s="79"/>
      <c r="M215" s="79"/>
      <c r="N215" s="79"/>
      <c r="O215" s="79"/>
      <c r="P215" s="79"/>
      <c r="Q215" s="79"/>
      <c r="R215" s="79"/>
      <c r="S215" s="79"/>
      <c r="T215" s="79"/>
      <c r="U215" s="79"/>
      <c r="V215" s="79"/>
      <c r="W215" s="79"/>
      <c r="X215" s="79"/>
      <c r="Y215" s="79"/>
      <c r="Z215" s="79"/>
      <c r="AA215" s="79"/>
      <c r="AB215" s="79"/>
      <c r="AC215" s="79"/>
      <c r="AD215" s="79"/>
      <c r="AE215" s="79"/>
      <c r="AF215" s="79"/>
      <c r="AG215" s="79"/>
      <c r="AH215" s="69"/>
      <c r="AI215" s="69"/>
      <c r="AJ215" s="69"/>
      <c r="AK215" s="69"/>
      <c r="AL215" s="69"/>
      <c r="AM215" s="69"/>
      <c r="AN215" s="69"/>
      <c r="AO215" s="69"/>
      <c r="AP215" s="69"/>
      <c r="AQ215" s="69"/>
      <c r="AR215" s="69"/>
      <c r="AS215" s="69"/>
      <c r="AT215" s="69"/>
      <c r="AU215" s="69"/>
      <c r="AV215" s="69"/>
      <c r="AW215" s="69"/>
      <c r="AX215" s="69"/>
      <c r="AY215" s="69"/>
      <c r="AZ215" s="69"/>
      <c r="BA215" s="69"/>
      <c r="BB215" s="69"/>
      <c r="BC215" s="69"/>
    </row>
    <row r="216" spans="1:55" hidden="1">
      <c r="A216" s="77">
        <v>84</v>
      </c>
      <c r="B216" s="78"/>
      <c r="C216" s="79"/>
      <c r="D216" s="79"/>
      <c r="E216" s="79"/>
      <c r="F216" s="79"/>
      <c r="G216" s="79"/>
      <c r="H216" s="79"/>
      <c r="I216" s="79"/>
      <c r="J216" s="79"/>
      <c r="K216" s="79"/>
      <c r="L216" s="79"/>
      <c r="M216" s="79"/>
      <c r="N216" s="79"/>
      <c r="O216" s="79"/>
      <c r="P216" s="79"/>
      <c r="Q216" s="79"/>
      <c r="R216" s="79"/>
      <c r="S216" s="79"/>
      <c r="T216" s="79"/>
      <c r="U216" s="79"/>
      <c r="V216" s="79"/>
      <c r="W216" s="79"/>
      <c r="X216" s="79"/>
      <c r="Y216" s="79"/>
      <c r="Z216" s="79"/>
      <c r="AA216" s="79"/>
      <c r="AB216" s="79"/>
      <c r="AC216" s="79"/>
      <c r="AD216" s="79"/>
      <c r="AE216" s="79"/>
      <c r="AF216" s="79"/>
      <c r="AG216" s="79"/>
      <c r="AH216" s="69"/>
      <c r="AI216" s="69"/>
      <c r="AJ216" s="69"/>
      <c r="AK216" s="69"/>
      <c r="AL216" s="69"/>
      <c r="AM216" s="69"/>
      <c r="AN216" s="69"/>
      <c r="AO216" s="69"/>
      <c r="AP216" s="69"/>
      <c r="AQ216" s="69"/>
      <c r="AR216" s="69"/>
      <c r="AS216" s="69"/>
      <c r="AT216" s="69"/>
      <c r="AU216" s="69"/>
      <c r="AV216" s="69"/>
      <c r="AW216" s="69"/>
      <c r="AX216" s="69"/>
      <c r="AY216" s="69"/>
      <c r="AZ216" s="69"/>
      <c r="BA216" s="69"/>
      <c r="BB216" s="69"/>
      <c r="BC216" s="69"/>
    </row>
    <row r="217" spans="1:55" hidden="1">
      <c r="A217" s="77">
        <v>85</v>
      </c>
      <c r="B217" s="78"/>
      <c r="C217" s="79"/>
      <c r="D217" s="79"/>
      <c r="E217" s="79"/>
      <c r="F217" s="79"/>
      <c r="G217" s="79"/>
      <c r="H217" s="79"/>
      <c r="I217" s="79"/>
      <c r="J217" s="79"/>
      <c r="K217" s="79"/>
      <c r="L217" s="79"/>
      <c r="M217" s="79"/>
      <c r="N217" s="79"/>
      <c r="O217" s="79"/>
      <c r="P217" s="79"/>
      <c r="Q217" s="79"/>
      <c r="R217" s="79"/>
      <c r="S217" s="79"/>
      <c r="T217" s="79"/>
      <c r="U217" s="79"/>
      <c r="V217" s="79"/>
      <c r="W217" s="79"/>
      <c r="X217" s="79"/>
      <c r="Y217" s="79"/>
      <c r="Z217" s="79"/>
      <c r="AA217" s="79"/>
      <c r="AB217" s="79"/>
      <c r="AC217" s="79"/>
      <c r="AD217" s="79"/>
      <c r="AE217" s="79"/>
      <c r="AF217" s="79"/>
      <c r="AG217" s="79"/>
      <c r="AH217" s="69"/>
      <c r="AI217" s="69"/>
      <c r="AJ217" s="69"/>
      <c r="AK217" s="69"/>
      <c r="AL217" s="69"/>
      <c r="AM217" s="69"/>
      <c r="AN217" s="69"/>
      <c r="AO217" s="69"/>
      <c r="AP217" s="69"/>
      <c r="AQ217" s="69"/>
      <c r="AR217" s="69"/>
      <c r="AS217" s="69"/>
      <c r="AT217" s="69"/>
      <c r="AU217" s="69"/>
      <c r="AV217" s="69"/>
      <c r="AW217" s="69"/>
      <c r="AX217" s="69"/>
      <c r="AY217" s="69"/>
      <c r="AZ217" s="69"/>
      <c r="BA217" s="69"/>
      <c r="BB217" s="69"/>
      <c r="BC217" s="69"/>
    </row>
    <row r="218" spans="1:55" hidden="1">
      <c r="A218" s="77">
        <v>86</v>
      </c>
      <c r="B218" s="78"/>
      <c r="C218" s="79"/>
      <c r="D218" s="79"/>
      <c r="E218" s="79"/>
      <c r="F218" s="79"/>
      <c r="G218" s="79"/>
      <c r="H218" s="79"/>
      <c r="I218" s="79"/>
      <c r="J218" s="79"/>
      <c r="K218" s="79"/>
      <c r="L218" s="79"/>
      <c r="M218" s="79"/>
      <c r="N218" s="79"/>
      <c r="O218" s="79"/>
      <c r="P218" s="79"/>
      <c r="Q218" s="79"/>
      <c r="R218" s="79"/>
      <c r="S218" s="79"/>
      <c r="T218" s="79"/>
      <c r="U218" s="79"/>
      <c r="V218" s="79"/>
      <c r="W218" s="79"/>
      <c r="X218" s="79"/>
      <c r="Y218" s="79"/>
      <c r="Z218" s="79"/>
      <c r="AA218" s="79"/>
      <c r="AB218" s="79"/>
      <c r="AC218" s="79"/>
      <c r="AD218" s="79"/>
      <c r="AE218" s="79"/>
      <c r="AF218" s="79"/>
      <c r="AG218" s="79"/>
      <c r="AH218" s="69"/>
      <c r="AI218" s="69"/>
      <c r="AJ218" s="69"/>
      <c r="AK218" s="69"/>
      <c r="AL218" s="69"/>
      <c r="AM218" s="69"/>
      <c r="AN218" s="69"/>
      <c r="AO218" s="69"/>
      <c r="AP218" s="69"/>
      <c r="AQ218" s="69"/>
      <c r="AR218" s="69"/>
      <c r="AS218" s="69"/>
      <c r="AT218" s="69"/>
      <c r="AU218" s="69"/>
      <c r="AV218" s="69"/>
      <c r="AW218" s="69"/>
      <c r="AX218" s="69"/>
      <c r="AY218" s="69"/>
      <c r="AZ218" s="69"/>
      <c r="BA218" s="69"/>
      <c r="BB218" s="69"/>
      <c r="BC218" s="69"/>
    </row>
    <row r="219" spans="1:55" hidden="1">
      <c r="A219" s="77">
        <v>87</v>
      </c>
      <c r="B219" s="78"/>
      <c r="C219" s="79"/>
      <c r="D219" s="79"/>
      <c r="E219" s="79"/>
      <c r="F219" s="79"/>
      <c r="G219" s="79"/>
      <c r="H219" s="79"/>
      <c r="I219" s="79"/>
      <c r="J219" s="79"/>
      <c r="K219" s="79"/>
      <c r="L219" s="79"/>
      <c r="M219" s="79"/>
      <c r="N219" s="79"/>
      <c r="O219" s="79"/>
      <c r="P219" s="79"/>
      <c r="Q219" s="79"/>
      <c r="R219" s="79"/>
      <c r="S219" s="79"/>
      <c r="T219" s="79"/>
      <c r="U219" s="79"/>
      <c r="V219" s="79"/>
      <c r="W219" s="79"/>
      <c r="X219" s="79"/>
      <c r="Y219" s="79"/>
      <c r="Z219" s="79"/>
      <c r="AA219" s="79"/>
      <c r="AB219" s="79"/>
      <c r="AC219" s="79"/>
      <c r="AD219" s="79"/>
      <c r="AE219" s="79"/>
      <c r="AF219" s="79"/>
      <c r="AG219" s="79"/>
      <c r="AH219" s="69"/>
      <c r="AI219" s="69"/>
      <c r="AJ219" s="69"/>
      <c r="AK219" s="69"/>
      <c r="AL219" s="69"/>
      <c r="AM219" s="69"/>
      <c r="AN219" s="69"/>
      <c r="AO219" s="69"/>
      <c r="AP219" s="69"/>
      <c r="AQ219" s="69"/>
      <c r="AR219" s="69"/>
      <c r="AS219" s="69"/>
      <c r="AT219" s="69"/>
      <c r="AU219" s="69"/>
      <c r="AV219" s="69"/>
      <c r="AW219" s="69"/>
      <c r="AX219" s="69"/>
      <c r="AY219" s="69"/>
      <c r="AZ219" s="69"/>
      <c r="BA219" s="69"/>
      <c r="BB219" s="69"/>
      <c r="BC219" s="69"/>
    </row>
    <row r="220" spans="1:55" hidden="1">
      <c r="A220" s="77">
        <v>88</v>
      </c>
      <c r="B220" s="78"/>
      <c r="C220" s="79"/>
      <c r="D220" s="79"/>
      <c r="E220" s="79"/>
      <c r="F220" s="79"/>
      <c r="G220" s="79"/>
      <c r="H220" s="79"/>
      <c r="I220" s="79"/>
      <c r="J220" s="79"/>
      <c r="K220" s="79"/>
      <c r="L220" s="79"/>
      <c r="M220" s="79"/>
      <c r="N220" s="79"/>
      <c r="O220" s="79"/>
      <c r="P220" s="79"/>
      <c r="Q220" s="79"/>
      <c r="R220" s="79"/>
      <c r="S220" s="79"/>
      <c r="T220" s="79"/>
      <c r="U220" s="79"/>
      <c r="V220" s="79"/>
      <c r="W220" s="79"/>
      <c r="X220" s="79"/>
      <c r="Y220" s="79"/>
      <c r="Z220" s="79"/>
      <c r="AA220" s="79"/>
      <c r="AB220" s="79"/>
      <c r="AC220" s="79"/>
      <c r="AD220" s="79"/>
      <c r="AE220" s="79"/>
      <c r="AF220" s="79"/>
      <c r="AG220" s="79"/>
      <c r="AH220" s="69"/>
      <c r="AI220" s="69"/>
      <c r="AJ220" s="69"/>
      <c r="AK220" s="69"/>
      <c r="AL220" s="69"/>
      <c r="AM220" s="69"/>
      <c r="AN220" s="69"/>
      <c r="AO220" s="69"/>
      <c r="AP220" s="69"/>
      <c r="AQ220" s="69"/>
      <c r="AR220" s="69"/>
      <c r="AS220" s="69"/>
      <c r="AT220" s="69"/>
      <c r="AU220" s="69"/>
      <c r="AV220" s="69"/>
      <c r="AW220" s="69"/>
      <c r="AX220" s="69"/>
      <c r="AY220" s="69"/>
      <c r="AZ220" s="69"/>
      <c r="BA220" s="69"/>
      <c r="BB220" s="69"/>
      <c r="BC220" s="69"/>
    </row>
    <row r="221" spans="1:55" hidden="1">
      <c r="A221" s="77">
        <v>89</v>
      </c>
      <c r="B221" s="78"/>
      <c r="C221" s="79"/>
      <c r="D221" s="79"/>
      <c r="E221" s="79"/>
      <c r="F221" s="79"/>
      <c r="G221" s="79"/>
      <c r="H221" s="79"/>
      <c r="I221" s="79"/>
      <c r="J221" s="79"/>
      <c r="K221" s="79"/>
      <c r="L221" s="79"/>
      <c r="M221" s="79"/>
      <c r="N221" s="79"/>
      <c r="O221" s="79"/>
      <c r="P221" s="79"/>
      <c r="Q221" s="79"/>
      <c r="R221" s="79"/>
      <c r="S221" s="79"/>
      <c r="T221" s="79"/>
      <c r="U221" s="79"/>
      <c r="V221" s="79"/>
      <c r="W221" s="79"/>
      <c r="X221" s="79"/>
      <c r="Y221" s="79"/>
      <c r="Z221" s="79"/>
      <c r="AA221" s="79"/>
      <c r="AB221" s="79"/>
      <c r="AC221" s="79"/>
      <c r="AD221" s="79"/>
      <c r="AE221" s="79"/>
      <c r="AF221" s="79"/>
      <c r="AG221" s="79"/>
      <c r="AH221" s="69"/>
      <c r="AI221" s="69"/>
      <c r="AJ221" s="69"/>
      <c r="AK221" s="69"/>
      <c r="AL221" s="69"/>
      <c r="AM221" s="69"/>
      <c r="AN221" s="69"/>
      <c r="AO221" s="69"/>
      <c r="AP221" s="69"/>
      <c r="AQ221" s="69"/>
      <c r="AR221" s="69"/>
      <c r="AS221" s="69"/>
      <c r="AT221" s="69"/>
      <c r="AU221" s="69"/>
      <c r="AV221" s="69"/>
      <c r="AW221" s="69"/>
      <c r="AX221" s="69"/>
      <c r="AY221" s="69"/>
      <c r="AZ221" s="69"/>
      <c r="BA221" s="69"/>
      <c r="BB221" s="69"/>
      <c r="BC221" s="69"/>
    </row>
    <row r="222" spans="1:55" hidden="1">
      <c r="A222" s="77">
        <v>90</v>
      </c>
      <c r="B222" s="78"/>
      <c r="C222" s="79"/>
      <c r="D222" s="79"/>
      <c r="E222" s="79"/>
      <c r="F222" s="79"/>
      <c r="G222" s="79"/>
      <c r="H222" s="79"/>
      <c r="I222" s="79"/>
      <c r="J222" s="79"/>
      <c r="K222" s="79"/>
      <c r="L222" s="79"/>
      <c r="M222" s="79"/>
      <c r="N222" s="79"/>
      <c r="O222" s="79"/>
      <c r="P222" s="79"/>
      <c r="Q222" s="79"/>
      <c r="R222" s="79"/>
      <c r="S222" s="79"/>
      <c r="T222" s="79"/>
      <c r="U222" s="79"/>
      <c r="V222" s="79"/>
      <c r="W222" s="79"/>
      <c r="X222" s="79"/>
      <c r="Y222" s="79"/>
      <c r="Z222" s="79"/>
      <c r="AA222" s="79"/>
      <c r="AB222" s="79"/>
      <c r="AC222" s="79"/>
      <c r="AD222" s="79"/>
      <c r="AE222" s="79"/>
      <c r="AF222" s="79"/>
      <c r="AG222" s="79"/>
      <c r="AH222" s="69"/>
      <c r="AI222" s="69"/>
      <c r="AJ222" s="69"/>
      <c r="AK222" s="69"/>
      <c r="AL222" s="69"/>
      <c r="AM222" s="69"/>
      <c r="AN222" s="69"/>
      <c r="AO222" s="69"/>
      <c r="AP222" s="69"/>
      <c r="AQ222" s="69"/>
      <c r="AR222" s="69"/>
      <c r="AS222" s="69"/>
      <c r="AT222" s="69"/>
      <c r="AU222" s="69"/>
      <c r="AV222" s="69"/>
      <c r="AW222" s="69"/>
      <c r="AX222" s="69"/>
      <c r="AY222" s="69"/>
      <c r="AZ222" s="69"/>
      <c r="BA222" s="69"/>
      <c r="BB222" s="69"/>
      <c r="BC222" s="69"/>
    </row>
    <row r="223" spans="1:55" hidden="1">
      <c r="A223" s="77">
        <v>91</v>
      </c>
      <c r="B223" s="78"/>
      <c r="C223" s="79"/>
      <c r="D223" s="79"/>
      <c r="E223" s="79"/>
      <c r="F223" s="79"/>
      <c r="G223" s="79"/>
      <c r="H223" s="79"/>
      <c r="I223" s="79"/>
      <c r="J223" s="79"/>
      <c r="K223" s="79"/>
      <c r="L223" s="79"/>
      <c r="M223" s="79"/>
      <c r="N223" s="79"/>
      <c r="O223" s="79"/>
      <c r="P223" s="79"/>
      <c r="Q223" s="79"/>
      <c r="R223" s="79"/>
      <c r="S223" s="79"/>
      <c r="T223" s="79"/>
      <c r="U223" s="79"/>
      <c r="V223" s="79"/>
      <c r="W223" s="79"/>
      <c r="X223" s="79"/>
      <c r="Y223" s="79"/>
      <c r="Z223" s="79"/>
      <c r="AA223" s="79"/>
      <c r="AB223" s="79"/>
      <c r="AC223" s="79"/>
      <c r="AD223" s="79"/>
      <c r="AE223" s="79"/>
      <c r="AF223" s="79"/>
      <c r="AG223" s="79"/>
      <c r="AH223" s="69"/>
      <c r="AI223" s="69"/>
      <c r="AJ223" s="69"/>
      <c r="AK223" s="69"/>
      <c r="AL223" s="69"/>
      <c r="AM223" s="69"/>
      <c r="AN223" s="69"/>
      <c r="AO223" s="69"/>
      <c r="AP223" s="69"/>
      <c r="AQ223" s="69"/>
      <c r="AR223" s="69"/>
      <c r="AS223" s="69"/>
      <c r="AT223" s="69"/>
      <c r="AU223" s="69"/>
      <c r="AV223" s="69"/>
      <c r="AW223" s="69"/>
      <c r="AX223" s="69"/>
      <c r="AY223" s="69"/>
      <c r="AZ223" s="69"/>
      <c r="BA223" s="69"/>
      <c r="BB223" s="69"/>
      <c r="BC223" s="69"/>
    </row>
    <row r="224" spans="1:55" hidden="1">
      <c r="A224" s="77">
        <v>92</v>
      </c>
      <c r="B224" s="78"/>
      <c r="C224" s="79"/>
      <c r="D224" s="79"/>
      <c r="E224" s="79"/>
      <c r="F224" s="79"/>
      <c r="G224" s="79"/>
      <c r="H224" s="79"/>
      <c r="I224" s="79"/>
      <c r="J224" s="79"/>
      <c r="K224" s="79"/>
      <c r="L224" s="79"/>
      <c r="M224" s="79"/>
      <c r="N224" s="79"/>
      <c r="O224" s="79"/>
      <c r="P224" s="79"/>
      <c r="Q224" s="79"/>
      <c r="R224" s="79"/>
      <c r="S224" s="79"/>
      <c r="T224" s="79"/>
      <c r="U224" s="79"/>
      <c r="V224" s="79"/>
      <c r="W224" s="79"/>
      <c r="X224" s="79"/>
      <c r="Y224" s="79"/>
      <c r="Z224" s="79"/>
      <c r="AA224" s="79"/>
      <c r="AB224" s="79"/>
      <c r="AC224" s="79"/>
      <c r="AD224" s="79"/>
      <c r="AE224" s="79"/>
      <c r="AF224" s="79"/>
      <c r="AG224" s="79"/>
      <c r="AH224" s="69"/>
      <c r="AI224" s="69"/>
      <c r="AJ224" s="69"/>
      <c r="AK224" s="69"/>
      <c r="AL224" s="69"/>
      <c r="AM224" s="69"/>
      <c r="AN224" s="69"/>
      <c r="AO224" s="69"/>
      <c r="AP224" s="69"/>
      <c r="AQ224" s="69"/>
      <c r="AR224" s="69"/>
      <c r="AS224" s="69"/>
      <c r="AT224" s="69"/>
      <c r="AU224" s="69"/>
      <c r="AV224" s="69"/>
      <c r="AW224" s="69"/>
      <c r="AX224" s="69"/>
      <c r="AY224" s="69"/>
      <c r="AZ224" s="69"/>
      <c r="BA224" s="69"/>
      <c r="BB224" s="69"/>
      <c r="BC224" s="69"/>
    </row>
    <row r="225" spans="1:55">
      <c r="A225" s="77"/>
      <c r="B225" s="90" t="s">
        <v>193</v>
      </c>
      <c r="C225" s="79">
        <f>COUNTA(C134:C224)</f>
        <v>0</v>
      </c>
      <c r="D225" s="79">
        <f>COUNTA(D134:D224)</f>
        <v>0</v>
      </c>
      <c r="E225" s="79">
        <f>COUNTA(E134:E224)</f>
        <v>2</v>
      </c>
      <c r="F225" s="79">
        <f t="shared" ref="F225:AG225" si="1">COUNTA(F134:F224)</f>
        <v>0</v>
      </c>
      <c r="G225" s="79">
        <f t="shared" si="1"/>
        <v>2</v>
      </c>
      <c r="H225" s="79">
        <f t="shared" si="1"/>
        <v>2</v>
      </c>
      <c r="I225" s="79">
        <f t="shared" si="1"/>
        <v>0</v>
      </c>
      <c r="J225" s="79">
        <f t="shared" si="1"/>
        <v>1</v>
      </c>
      <c r="K225" s="79">
        <f t="shared" si="1"/>
        <v>3</v>
      </c>
      <c r="L225" s="79">
        <f t="shared" si="1"/>
        <v>3</v>
      </c>
      <c r="M225" s="79">
        <f t="shared" si="1"/>
        <v>0</v>
      </c>
      <c r="N225" s="79">
        <f t="shared" si="1"/>
        <v>5</v>
      </c>
      <c r="O225" s="79">
        <f t="shared" si="1"/>
        <v>3</v>
      </c>
      <c r="P225" s="79">
        <f t="shared" si="1"/>
        <v>3</v>
      </c>
      <c r="Q225" s="79">
        <f>COUNTA(Q134:Q224)</f>
        <v>6</v>
      </c>
      <c r="R225" s="79">
        <f t="shared" si="1"/>
        <v>0</v>
      </c>
      <c r="S225" s="79">
        <f t="shared" si="1"/>
        <v>4</v>
      </c>
      <c r="T225" s="79">
        <f t="shared" si="1"/>
        <v>0</v>
      </c>
      <c r="U225" s="79">
        <f t="shared" si="1"/>
        <v>4</v>
      </c>
      <c r="V225" s="79">
        <f t="shared" si="1"/>
        <v>4</v>
      </c>
      <c r="W225" s="79">
        <f t="shared" si="1"/>
        <v>4</v>
      </c>
      <c r="X225" s="79">
        <f t="shared" si="1"/>
        <v>3</v>
      </c>
      <c r="Y225" s="79">
        <f t="shared" si="1"/>
        <v>5</v>
      </c>
      <c r="Z225" s="79">
        <f t="shared" si="1"/>
        <v>2</v>
      </c>
      <c r="AA225" s="79">
        <f t="shared" si="1"/>
        <v>0</v>
      </c>
      <c r="AB225" s="79">
        <f t="shared" si="1"/>
        <v>2</v>
      </c>
      <c r="AC225" s="79">
        <f t="shared" si="1"/>
        <v>6</v>
      </c>
      <c r="AD225" s="79">
        <f t="shared" si="1"/>
        <v>4</v>
      </c>
      <c r="AE225" s="79">
        <f t="shared" si="1"/>
        <v>6</v>
      </c>
      <c r="AF225" s="79">
        <f t="shared" si="1"/>
        <v>5</v>
      </c>
      <c r="AG225" s="79">
        <f t="shared" si="1"/>
        <v>1</v>
      </c>
      <c r="AH225" s="69"/>
      <c r="AI225" s="69"/>
      <c r="AJ225" s="69"/>
      <c r="AK225" s="69"/>
      <c r="AL225" s="69"/>
      <c r="AM225" s="69"/>
      <c r="AN225" s="69"/>
      <c r="AO225" s="69"/>
      <c r="AP225" s="69"/>
      <c r="AQ225" s="69"/>
      <c r="AR225" s="69"/>
      <c r="AS225" s="69"/>
      <c r="AT225" s="69"/>
      <c r="AU225" s="69"/>
      <c r="AV225" s="69"/>
      <c r="AW225" s="69"/>
      <c r="AX225" s="69"/>
      <c r="AY225" s="69"/>
      <c r="AZ225" s="69"/>
      <c r="BA225" s="69"/>
      <c r="BB225" s="69"/>
      <c r="BC225" s="69"/>
    </row>
    <row r="226" spans="1:55">
      <c r="A226" s="69"/>
      <c r="B226" s="69"/>
      <c r="C226" s="69"/>
      <c r="D226" s="69"/>
      <c r="E226" s="69"/>
      <c r="F226" s="69"/>
      <c r="G226" s="69"/>
      <c r="H226" s="69"/>
      <c r="I226" s="69"/>
      <c r="J226" s="69"/>
      <c r="K226" s="69"/>
      <c r="L226" s="69"/>
      <c r="M226" s="69"/>
      <c r="N226" s="69"/>
      <c r="O226" s="69"/>
      <c r="P226" s="69"/>
      <c r="Q226" s="69"/>
      <c r="R226" s="69"/>
      <c r="S226" s="69"/>
      <c r="T226" s="69"/>
      <c r="U226" s="69"/>
      <c r="V226" s="69"/>
      <c r="W226" s="69"/>
      <c r="X226" s="69"/>
      <c r="Y226" s="69"/>
      <c r="Z226" s="69"/>
      <c r="AA226" s="69"/>
      <c r="AB226" s="69"/>
      <c r="AC226" s="69"/>
      <c r="AD226" s="69"/>
      <c r="AE226" s="69"/>
      <c r="AF226" s="69"/>
      <c r="AG226" s="69"/>
      <c r="AH226" s="69"/>
      <c r="AI226" s="69"/>
      <c r="AJ226" s="69"/>
      <c r="AK226" s="69"/>
      <c r="AL226" s="69"/>
      <c r="AM226" s="69"/>
      <c r="AN226" s="69"/>
      <c r="AO226" s="69"/>
      <c r="AP226" s="69"/>
      <c r="AQ226" s="69"/>
      <c r="AR226" s="69"/>
      <c r="AS226" s="69"/>
      <c r="AT226" s="69"/>
      <c r="AU226" s="69"/>
      <c r="AV226" s="69"/>
      <c r="AW226" s="69"/>
      <c r="AX226" s="69"/>
      <c r="AY226" s="69"/>
      <c r="AZ226" s="69"/>
      <c r="BA226" s="69"/>
      <c r="BB226" s="69"/>
      <c r="BC226" s="69"/>
    </row>
    <row r="227" spans="1:55">
      <c r="A227" s="87" t="s">
        <v>64</v>
      </c>
      <c r="B227" s="88" t="s">
        <v>152</v>
      </c>
      <c r="C227" s="69"/>
      <c r="D227" s="69"/>
      <c r="E227" s="69"/>
      <c r="F227" s="69"/>
      <c r="G227" s="69"/>
      <c r="H227" s="69"/>
      <c r="I227" s="69"/>
      <c r="J227" s="69"/>
      <c r="K227" s="69"/>
      <c r="L227" s="69"/>
      <c r="M227" s="69" t="s">
        <v>51</v>
      </c>
      <c r="N227" s="69"/>
      <c r="O227" s="69"/>
      <c r="P227" s="69"/>
      <c r="Q227" s="69"/>
      <c r="R227" s="69"/>
      <c r="S227" s="69"/>
      <c r="T227" s="69"/>
      <c r="U227" s="69"/>
      <c r="V227" s="69" t="s">
        <v>51</v>
      </c>
      <c r="W227" s="69"/>
      <c r="X227" s="69"/>
      <c r="Y227" s="69" t="s">
        <v>51</v>
      </c>
      <c r="Z227" s="69"/>
      <c r="AA227" s="69"/>
      <c r="AB227" s="69"/>
      <c r="AC227" s="69"/>
      <c r="AD227" s="69"/>
      <c r="AE227" s="69"/>
      <c r="AF227" s="69"/>
      <c r="AG227" s="69"/>
      <c r="AH227" s="69"/>
      <c r="AI227" s="69"/>
      <c r="AJ227" s="69"/>
      <c r="AK227" s="69"/>
      <c r="AL227" s="69"/>
      <c r="AM227" s="69"/>
      <c r="AN227" s="69"/>
      <c r="AO227" s="69"/>
      <c r="AP227" s="69"/>
      <c r="AQ227" s="69"/>
      <c r="AR227" s="69"/>
      <c r="AS227" s="69"/>
      <c r="AT227" s="69"/>
      <c r="AU227" s="69"/>
      <c r="AV227" s="69"/>
      <c r="AW227" s="69"/>
      <c r="AX227" s="69"/>
      <c r="AY227" s="69"/>
      <c r="AZ227" s="69"/>
      <c r="BA227" s="69"/>
      <c r="BB227" s="69"/>
      <c r="BC227" s="69"/>
    </row>
    <row r="228" spans="1:55">
      <c r="A228" s="87" t="s">
        <v>62</v>
      </c>
      <c r="B228" s="88" t="s">
        <v>153</v>
      </c>
      <c r="C228" s="69"/>
      <c r="D228" s="69"/>
      <c r="E228" s="69"/>
      <c r="F228" s="69"/>
      <c r="G228" s="69"/>
      <c r="H228" s="69"/>
      <c r="I228" s="69"/>
      <c r="J228" s="69"/>
      <c r="K228" s="69"/>
      <c r="L228" s="69"/>
      <c r="M228" s="69"/>
      <c r="N228" s="69"/>
      <c r="O228" s="69"/>
      <c r="P228" s="69" t="s">
        <v>51</v>
      </c>
      <c r="Q228" s="69"/>
      <c r="R228" s="69"/>
      <c r="S228" s="69"/>
      <c r="T228" s="69"/>
      <c r="U228" s="69"/>
      <c r="V228" s="69"/>
      <c r="W228" s="69"/>
      <c r="X228" s="69" t="s">
        <v>51</v>
      </c>
      <c r="Y228" s="69"/>
      <c r="Z228" s="69"/>
      <c r="AA228" s="69"/>
      <c r="AB228" s="69"/>
      <c r="AC228" s="69"/>
      <c r="AD228" s="69"/>
      <c r="AE228" s="69"/>
      <c r="AF228" s="69"/>
      <c r="AG228" s="69"/>
      <c r="AH228" s="69"/>
      <c r="AI228" s="69"/>
      <c r="AJ228" s="69"/>
      <c r="AK228" s="69"/>
      <c r="AL228" s="69"/>
      <c r="AM228" s="69"/>
      <c r="AN228" s="69"/>
      <c r="AO228" s="69"/>
      <c r="AP228" s="69"/>
      <c r="AQ228" s="69"/>
      <c r="AR228" s="69"/>
      <c r="AS228" s="69"/>
      <c r="AT228" s="69"/>
      <c r="AU228" s="69"/>
      <c r="AV228" s="69"/>
      <c r="AW228" s="69"/>
      <c r="AX228" s="69"/>
      <c r="AY228" s="69"/>
      <c r="AZ228" s="69"/>
      <c r="BA228" s="69"/>
      <c r="BB228" s="69"/>
      <c r="BC228" s="69"/>
    </row>
    <row r="229" spans="1:55">
      <c r="A229" s="87" t="s">
        <v>63</v>
      </c>
      <c r="B229" s="88" t="s">
        <v>154</v>
      </c>
      <c r="C229" s="69"/>
      <c r="D229" s="69"/>
      <c r="E229" s="69"/>
      <c r="F229" s="69"/>
      <c r="G229" s="69"/>
      <c r="H229" s="69"/>
      <c r="I229" s="69"/>
      <c r="J229" s="69"/>
      <c r="K229" s="69"/>
      <c r="L229" s="69"/>
      <c r="M229" s="69"/>
      <c r="N229" s="69"/>
      <c r="O229" s="69" t="s">
        <v>51</v>
      </c>
      <c r="P229" s="69"/>
      <c r="Q229" s="69"/>
      <c r="R229" s="69" t="s">
        <v>51</v>
      </c>
      <c r="S229" s="69"/>
      <c r="T229" s="69"/>
      <c r="U229" s="69"/>
      <c r="V229" s="69"/>
      <c r="W229" s="69"/>
      <c r="X229" s="69"/>
      <c r="Y229" s="69"/>
      <c r="Z229" s="69"/>
      <c r="AA229" s="69"/>
      <c r="AB229" s="69"/>
      <c r="AC229" s="69"/>
      <c r="AD229" s="69"/>
      <c r="AE229" s="69"/>
      <c r="AF229" s="69"/>
      <c r="AG229" s="69"/>
      <c r="AH229" s="69"/>
      <c r="AI229" s="69"/>
      <c r="AJ229" s="69"/>
      <c r="AK229" s="69"/>
      <c r="AL229" s="69"/>
      <c r="AM229" s="69"/>
      <c r="AN229" s="69"/>
      <c r="AO229" s="69"/>
      <c r="AP229" s="69"/>
      <c r="AQ229" s="69"/>
      <c r="AR229" s="69"/>
      <c r="AS229" s="69"/>
      <c r="AT229" s="69"/>
      <c r="AU229" s="69"/>
      <c r="AV229" s="69"/>
      <c r="AW229" s="69"/>
      <c r="AX229" s="69"/>
      <c r="AY229" s="69"/>
      <c r="AZ229" s="69"/>
      <c r="BA229" s="69"/>
      <c r="BB229" s="69"/>
      <c r="BC229" s="69"/>
    </row>
    <row r="230" spans="1:55">
      <c r="A230" s="69"/>
      <c r="B230" s="69"/>
      <c r="C230" s="69"/>
      <c r="D230" s="69"/>
      <c r="E230" s="69"/>
      <c r="F230" s="69"/>
      <c r="G230" s="69"/>
      <c r="H230" s="69"/>
      <c r="I230" s="69"/>
      <c r="J230" s="69"/>
      <c r="K230" s="69"/>
      <c r="L230" s="69"/>
      <c r="M230" s="69"/>
      <c r="N230" s="69" t="s">
        <v>51</v>
      </c>
      <c r="O230" s="69"/>
      <c r="P230" s="69" t="s">
        <v>51</v>
      </c>
      <c r="Q230" s="69"/>
      <c r="R230" s="69"/>
      <c r="S230" s="69"/>
      <c r="T230" s="69"/>
      <c r="U230" s="69"/>
      <c r="V230" s="69"/>
      <c r="W230" s="69"/>
      <c r="X230" s="69"/>
      <c r="Y230" s="69"/>
      <c r="Z230" s="69"/>
      <c r="AA230" s="69"/>
      <c r="AB230" s="69"/>
      <c r="AC230" s="69"/>
      <c r="AD230" s="69"/>
      <c r="AE230" s="69"/>
      <c r="AF230" s="69"/>
      <c r="AG230" s="69"/>
      <c r="AH230" s="69"/>
      <c r="AI230" s="69"/>
      <c r="AJ230" s="69"/>
      <c r="AK230" s="69"/>
      <c r="AL230" s="69"/>
      <c r="AM230" s="69"/>
      <c r="AN230" s="69"/>
      <c r="AO230" s="69"/>
      <c r="AP230" s="69"/>
      <c r="AQ230" s="69"/>
      <c r="AR230" s="69"/>
      <c r="AS230" s="69"/>
      <c r="AT230" s="69"/>
      <c r="AU230" s="69"/>
      <c r="AV230" s="69"/>
      <c r="AW230" s="69"/>
      <c r="AX230" s="69"/>
      <c r="AY230" s="69"/>
      <c r="AZ230" s="69"/>
      <c r="BA230" s="69"/>
      <c r="BB230" s="69"/>
      <c r="BC230" s="69"/>
    </row>
    <row r="231" spans="1:55">
      <c r="A231" s="69"/>
      <c r="B231" s="69"/>
      <c r="C231" s="69"/>
      <c r="D231" s="69"/>
      <c r="E231" s="69"/>
      <c r="F231" s="69"/>
      <c r="G231" s="69"/>
      <c r="H231" s="69"/>
      <c r="I231" s="69"/>
      <c r="J231" s="69"/>
      <c r="K231" s="69"/>
      <c r="L231" s="69"/>
      <c r="M231" s="69"/>
      <c r="N231" s="69"/>
      <c r="O231" s="69"/>
      <c r="P231" s="69"/>
      <c r="Q231" s="69"/>
      <c r="R231" s="69"/>
      <c r="S231" s="69"/>
      <c r="T231" s="69" t="s">
        <v>51</v>
      </c>
      <c r="U231" s="69"/>
      <c r="V231" s="69"/>
      <c r="W231" s="69"/>
      <c r="X231" s="69" t="s">
        <v>51</v>
      </c>
      <c r="Y231" s="69"/>
      <c r="Z231" s="69"/>
      <c r="AA231" s="69"/>
      <c r="AB231" s="69"/>
      <c r="AC231" s="69"/>
      <c r="AD231" s="69"/>
      <c r="AE231" s="69"/>
      <c r="AF231" s="69"/>
      <c r="AG231" s="69"/>
      <c r="AH231" s="69"/>
      <c r="AI231" s="69"/>
      <c r="AJ231" s="69"/>
      <c r="AK231" s="69"/>
      <c r="AL231" s="69"/>
      <c r="AM231" s="69"/>
      <c r="AN231" s="69"/>
      <c r="AO231" s="69"/>
      <c r="AP231" s="69"/>
      <c r="AQ231" s="69"/>
      <c r="AR231" s="69"/>
      <c r="AS231" s="69"/>
      <c r="AT231" s="69"/>
      <c r="AU231" s="69"/>
      <c r="AV231" s="69"/>
      <c r="AW231" s="69"/>
      <c r="AX231" s="69"/>
      <c r="AY231" s="69"/>
      <c r="AZ231" s="69"/>
      <c r="BA231" s="69"/>
      <c r="BB231" s="69"/>
      <c r="BC231" s="69"/>
    </row>
    <row r="232" spans="1:55">
      <c r="A232" s="69"/>
      <c r="B232" s="69"/>
      <c r="C232" s="69"/>
      <c r="D232" s="69"/>
      <c r="E232" s="69"/>
      <c r="F232" s="69"/>
      <c r="G232" s="69"/>
      <c r="H232" s="69"/>
      <c r="I232" s="69"/>
      <c r="J232" s="69"/>
      <c r="K232" s="69"/>
      <c r="L232" s="69"/>
      <c r="M232" s="69"/>
      <c r="N232" s="69"/>
      <c r="O232" s="69"/>
      <c r="P232" s="69"/>
      <c r="Q232" s="69"/>
      <c r="R232" s="69"/>
      <c r="S232" s="69" t="s">
        <v>51</v>
      </c>
      <c r="T232" s="69"/>
      <c r="U232" s="69"/>
      <c r="V232" s="69"/>
      <c r="W232" s="69" t="s">
        <v>51</v>
      </c>
      <c r="X232" s="69"/>
      <c r="Y232" s="69"/>
      <c r="Z232" s="69"/>
      <c r="AA232" s="69"/>
      <c r="AB232" s="69"/>
      <c r="AC232" s="69"/>
      <c r="AD232" s="69"/>
      <c r="AE232" s="69"/>
      <c r="AF232" s="69"/>
      <c r="AG232" s="69"/>
      <c r="AH232" s="69"/>
      <c r="AI232" s="69"/>
      <c r="AJ232" s="69"/>
      <c r="AK232" s="69"/>
      <c r="AL232" s="69"/>
      <c r="AM232" s="69"/>
      <c r="AN232" s="69"/>
      <c r="AO232" s="69"/>
      <c r="AP232" s="69"/>
      <c r="AQ232" s="69"/>
      <c r="AR232" s="69"/>
      <c r="AS232" s="69"/>
      <c r="AT232" s="69"/>
      <c r="AU232" s="69"/>
      <c r="AV232" s="69"/>
      <c r="AW232" s="69"/>
      <c r="AX232" s="69"/>
      <c r="AY232" s="69"/>
      <c r="AZ232" s="69"/>
      <c r="BA232" s="69"/>
      <c r="BB232" s="69"/>
      <c r="BC232" s="69"/>
    </row>
    <row r="233" spans="1:55">
      <c r="A233" s="69"/>
      <c r="B233" s="69"/>
      <c r="C233" s="69"/>
      <c r="D233" s="69"/>
      <c r="E233" s="69"/>
      <c r="F233" s="69"/>
      <c r="G233" s="69"/>
      <c r="H233" s="69"/>
      <c r="I233" s="69"/>
      <c r="J233" s="69"/>
      <c r="K233" s="69"/>
      <c r="L233" s="69"/>
      <c r="M233" s="69"/>
      <c r="N233" s="69"/>
      <c r="O233" s="69"/>
      <c r="P233" s="69"/>
      <c r="Q233" s="69"/>
      <c r="R233" s="69"/>
      <c r="S233" s="69"/>
      <c r="T233" s="69"/>
      <c r="U233" s="69"/>
      <c r="V233" s="69"/>
      <c r="W233" s="69"/>
      <c r="X233" s="69" t="s">
        <v>51</v>
      </c>
      <c r="Y233" s="69"/>
      <c r="Z233" s="69"/>
      <c r="AA233" s="69"/>
      <c r="AB233" s="69"/>
      <c r="AC233" s="69"/>
      <c r="AD233" s="69"/>
      <c r="AE233" s="69"/>
      <c r="AF233" s="69"/>
      <c r="AG233" s="69"/>
      <c r="AH233" s="69"/>
      <c r="AI233" s="69"/>
      <c r="AJ233" s="69"/>
      <c r="AK233" s="69"/>
      <c r="AL233" s="69"/>
      <c r="AM233" s="69"/>
      <c r="AN233" s="69"/>
      <c r="AO233" s="69"/>
      <c r="AP233" s="69"/>
      <c r="AQ233" s="69"/>
      <c r="AR233" s="69"/>
      <c r="AS233" s="69"/>
      <c r="AT233" s="69"/>
      <c r="AU233" s="69"/>
      <c r="AV233" s="69"/>
      <c r="AW233" s="69"/>
      <c r="AX233" s="69"/>
      <c r="AY233" s="69"/>
      <c r="AZ233" s="69"/>
      <c r="BA233" s="69"/>
      <c r="BB233" s="69"/>
      <c r="BC233" s="69"/>
    </row>
    <row r="234" spans="1:55">
      <c r="A234" s="69"/>
      <c r="B234" s="69"/>
      <c r="C234" s="69"/>
      <c r="D234" s="69"/>
      <c r="E234" s="69"/>
      <c r="F234" s="69"/>
      <c r="G234" s="69"/>
      <c r="H234" s="69"/>
      <c r="I234" s="69"/>
      <c r="J234" s="69"/>
      <c r="K234" s="69"/>
      <c r="L234" s="69"/>
      <c r="M234" s="69"/>
      <c r="N234" s="69"/>
      <c r="O234" s="69"/>
      <c r="P234" s="69"/>
      <c r="Q234" s="69" t="s">
        <v>51</v>
      </c>
      <c r="R234" s="69"/>
      <c r="S234" s="69"/>
      <c r="T234" s="69"/>
      <c r="U234" s="69"/>
      <c r="V234" s="69"/>
      <c r="W234" s="69"/>
      <c r="X234" s="69"/>
      <c r="Y234" s="69"/>
      <c r="Z234" s="69"/>
      <c r="AA234" s="69"/>
      <c r="AB234" s="69"/>
      <c r="AC234" s="69"/>
      <c r="AD234" s="69"/>
      <c r="AE234" s="69"/>
      <c r="AF234" s="69"/>
      <c r="AG234" s="69"/>
      <c r="AH234" s="69"/>
      <c r="AI234" s="69"/>
      <c r="AJ234" s="69"/>
      <c r="AK234" s="69"/>
      <c r="AL234" s="69"/>
      <c r="AM234" s="69"/>
      <c r="AN234" s="69"/>
      <c r="AO234" s="69"/>
      <c r="AP234" s="69"/>
      <c r="AQ234" s="69"/>
      <c r="AR234" s="69"/>
      <c r="AS234" s="69"/>
      <c r="AT234" s="69"/>
      <c r="AU234" s="69"/>
      <c r="AV234" s="69"/>
      <c r="AW234" s="69"/>
      <c r="AX234" s="69"/>
      <c r="AY234" s="69"/>
      <c r="AZ234" s="69"/>
      <c r="BA234" s="69"/>
      <c r="BB234" s="69"/>
      <c r="BC234" s="69"/>
    </row>
    <row r="235" spans="1:55">
      <c r="A235" s="69"/>
      <c r="B235" s="69"/>
      <c r="C235" s="69"/>
      <c r="D235" s="69"/>
      <c r="E235" s="69"/>
      <c r="F235" s="69"/>
      <c r="G235" s="69"/>
      <c r="H235" s="69"/>
      <c r="I235" s="69"/>
      <c r="J235" s="69"/>
      <c r="K235" s="69"/>
      <c r="L235" s="69"/>
      <c r="M235" s="69"/>
      <c r="N235" s="69"/>
      <c r="O235" s="69"/>
      <c r="P235" s="69" t="s">
        <v>51</v>
      </c>
      <c r="Q235" s="69"/>
      <c r="R235" s="69"/>
      <c r="S235" s="69"/>
      <c r="T235" s="69"/>
      <c r="U235" s="69"/>
      <c r="V235" s="69"/>
      <c r="W235" s="69"/>
      <c r="X235" s="69"/>
      <c r="Y235" s="69"/>
      <c r="Z235" s="69"/>
      <c r="AA235" s="69"/>
      <c r="AB235" s="69"/>
      <c r="AC235" s="69"/>
      <c r="AD235" s="69"/>
      <c r="AE235" s="69"/>
      <c r="AF235" s="69"/>
      <c r="AG235" s="69"/>
      <c r="AH235" s="69"/>
      <c r="AI235" s="69"/>
      <c r="AJ235" s="69"/>
      <c r="AK235" s="69"/>
      <c r="AL235" s="69"/>
      <c r="AM235" s="69"/>
      <c r="AN235" s="69"/>
      <c r="AO235" s="69"/>
      <c r="AP235" s="69"/>
      <c r="AQ235" s="69"/>
      <c r="AR235" s="69"/>
      <c r="AS235" s="69"/>
      <c r="AT235" s="69"/>
      <c r="AU235" s="69"/>
      <c r="AV235" s="69"/>
      <c r="AW235" s="69"/>
      <c r="AX235" s="69"/>
      <c r="AY235" s="69"/>
      <c r="AZ235" s="69"/>
      <c r="BA235" s="69"/>
      <c r="BB235" s="69"/>
      <c r="BC235" s="69"/>
    </row>
    <row r="236" spans="1:55">
      <c r="A236" s="69"/>
      <c r="B236" s="69"/>
      <c r="C236" s="69"/>
      <c r="D236" s="69"/>
      <c r="E236" s="69"/>
      <c r="F236" s="69"/>
      <c r="G236" s="69"/>
      <c r="H236" s="69"/>
      <c r="I236" s="69"/>
      <c r="J236" s="69"/>
      <c r="K236" s="69"/>
      <c r="L236" s="69"/>
      <c r="M236" s="69" t="s">
        <v>51</v>
      </c>
      <c r="N236" s="69"/>
      <c r="O236" s="69"/>
      <c r="P236" s="69"/>
      <c r="Q236" s="69"/>
      <c r="R236" s="69"/>
      <c r="S236" s="69"/>
      <c r="T236" s="69"/>
      <c r="U236" s="69"/>
      <c r="V236" s="69"/>
      <c r="W236" s="69"/>
      <c r="X236" s="69"/>
      <c r="Y236" s="69"/>
      <c r="Z236" s="69"/>
      <c r="AA236" s="69"/>
      <c r="AB236" s="69"/>
      <c r="AC236" s="69"/>
      <c r="AD236" s="69"/>
      <c r="AE236" s="69"/>
      <c r="AF236" s="69"/>
      <c r="AG236" s="69"/>
      <c r="AH236" s="69"/>
      <c r="AI236" s="69"/>
      <c r="AJ236" s="69"/>
      <c r="AK236" s="69"/>
      <c r="AL236" s="69"/>
      <c r="AM236" s="69"/>
      <c r="AN236" s="69"/>
      <c r="AO236" s="69"/>
      <c r="AP236" s="69"/>
      <c r="AQ236" s="69"/>
      <c r="AR236" s="69"/>
      <c r="AS236" s="69"/>
      <c r="AT236" s="69"/>
      <c r="AU236" s="69"/>
      <c r="AV236" s="69"/>
      <c r="AW236" s="69"/>
      <c r="AX236" s="69"/>
      <c r="AY236" s="69"/>
      <c r="AZ236" s="69"/>
      <c r="BA236" s="69"/>
      <c r="BB236" s="69"/>
      <c r="BC236" s="69"/>
    </row>
    <row r="237" spans="1:55">
      <c r="A237" s="69"/>
      <c r="B237" s="69"/>
      <c r="C237" s="69"/>
      <c r="D237" s="69"/>
      <c r="E237" s="69"/>
      <c r="F237" s="69"/>
      <c r="G237" s="69"/>
      <c r="H237" s="69"/>
      <c r="I237" s="69"/>
      <c r="J237" s="69"/>
      <c r="K237" s="69"/>
      <c r="L237" s="69"/>
      <c r="M237" s="69"/>
      <c r="N237" s="69" t="s">
        <v>51</v>
      </c>
      <c r="O237" s="69"/>
      <c r="P237" s="69"/>
      <c r="Q237" s="69"/>
      <c r="R237" s="69"/>
      <c r="S237" s="69"/>
      <c r="T237" s="69"/>
      <c r="U237" s="69"/>
      <c r="V237" s="69"/>
      <c r="W237" s="69"/>
      <c r="X237" s="69"/>
      <c r="Y237" s="69"/>
      <c r="Z237" s="69"/>
      <c r="AA237" s="69"/>
      <c r="AB237" s="69"/>
      <c r="AC237" s="69"/>
      <c r="AD237" s="69"/>
      <c r="AE237" s="69"/>
      <c r="AF237" s="69"/>
      <c r="AG237" s="69"/>
      <c r="AH237" s="69"/>
      <c r="AI237" s="69"/>
      <c r="AJ237" s="69"/>
      <c r="AK237" s="69"/>
      <c r="AL237" s="69"/>
      <c r="AM237" s="69"/>
      <c r="AN237" s="69"/>
      <c r="AO237" s="69"/>
      <c r="AP237" s="69"/>
      <c r="AQ237" s="69"/>
      <c r="AR237" s="69"/>
      <c r="AS237" s="69"/>
      <c r="AT237" s="69"/>
      <c r="AU237" s="69"/>
      <c r="AV237" s="69"/>
      <c r="AW237" s="69"/>
      <c r="AX237" s="69"/>
      <c r="AY237" s="69"/>
      <c r="AZ237" s="69"/>
      <c r="BA237" s="69"/>
      <c r="BB237" s="69"/>
      <c r="BC237" s="69"/>
    </row>
    <row r="238" spans="1:55">
      <c r="A238" s="69"/>
      <c r="B238" s="69"/>
      <c r="C238" s="69"/>
      <c r="D238" s="69"/>
      <c r="E238" s="69"/>
      <c r="F238" s="69"/>
      <c r="G238" s="69"/>
      <c r="H238" s="69"/>
      <c r="I238" s="69"/>
      <c r="J238" s="69"/>
      <c r="K238" s="69"/>
      <c r="L238" s="69"/>
      <c r="M238" s="69"/>
      <c r="N238" s="69"/>
      <c r="O238" s="69"/>
      <c r="P238" s="69"/>
      <c r="Q238" s="69"/>
      <c r="R238" s="69"/>
      <c r="S238" s="69"/>
      <c r="T238" s="69"/>
      <c r="U238" s="69"/>
      <c r="V238" s="69"/>
      <c r="W238" s="69"/>
      <c r="X238" s="69"/>
      <c r="Y238" s="69"/>
      <c r="Z238" s="69"/>
      <c r="AA238" s="69"/>
      <c r="AB238" s="69"/>
      <c r="AC238" s="69"/>
      <c r="AD238" s="69"/>
      <c r="AE238" s="69"/>
      <c r="AF238" s="69"/>
      <c r="AG238" s="69"/>
      <c r="AH238" s="69"/>
      <c r="AI238" s="69"/>
      <c r="AJ238" s="69"/>
      <c r="AK238" s="69"/>
      <c r="AL238" s="69"/>
      <c r="AM238" s="69"/>
      <c r="AN238" s="69"/>
      <c r="AO238" s="69"/>
      <c r="AP238" s="69"/>
      <c r="AQ238" s="69"/>
      <c r="AR238" s="69"/>
      <c r="AS238" s="69"/>
      <c r="AT238" s="69"/>
      <c r="AU238" s="69"/>
      <c r="AV238" s="69"/>
      <c r="AW238" s="69"/>
      <c r="AX238" s="69"/>
      <c r="AY238" s="69"/>
      <c r="AZ238" s="69"/>
      <c r="BA238" s="69"/>
      <c r="BB238" s="69"/>
      <c r="BC238" s="69"/>
    </row>
    <row r="239" spans="1:55">
      <c r="A239" s="69"/>
      <c r="B239" s="69"/>
      <c r="C239" s="69"/>
      <c r="D239" s="69"/>
      <c r="E239" s="69"/>
      <c r="F239" s="69"/>
      <c r="G239" s="69"/>
      <c r="H239" s="69"/>
      <c r="I239" s="69"/>
      <c r="J239" s="69"/>
      <c r="K239" s="69"/>
      <c r="L239" s="69"/>
      <c r="M239" s="69"/>
      <c r="N239" s="69"/>
      <c r="O239" s="69"/>
      <c r="P239" s="69"/>
      <c r="Q239" s="69"/>
      <c r="R239" s="69"/>
      <c r="S239" s="69"/>
      <c r="T239" s="69"/>
      <c r="U239" s="69"/>
      <c r="V239" s="69"/>
      <c r="W239" s="69"/>
      <c r="X239" s="69"/>
      <c r="Y239" s="69"/>
      <c r="Z239" s="69"/>
      <c r="AA239" s="69"/>
      <c r="AB239" s="69"/>
      <c r="AC239" s="69"/>
      <c r="AD239" s="69"/>
      <c r="AE239" s="69"/>
      <c r="AF239" s="69"/>
      <c r="AG239" s="69"/>
      <c r="AH239" s="69"/>
      <c r="AI239" s="69"/>
      <c r="AJ239" s="69"/>
      <c r="AK239" s="69"/>
      <c r="AL239" s="69"/>
      <c r="AM239" s="69"/>
      <c r="AN239" s="69"/>
      <c r="AO239" s="69"/>
      <c r="AP239" s="69"/>
      <c r="AQ239" s="69"/>
      <c r="AR239" s="69"/>
      <c r="AS239" s="69"/>
      <c r="AT239" s="69"/>
      <c r="AU239" s="69"/>
      <c r="AV239" s="69"/>
      <c r="AW239" s="69"/>
      <c r="AX239" s="69"/>
      <c r="AY239" s="69"/>
      <c r="AZ239" s="69"/>
      <c r="BA239" s="69"/>
      <c r="BB239" s="69"/>
      <c r="BC239" s="69"/>
    </row>
    <row r="240" spans="1:55">
      <c r="A240" s="69"/>
      <c r="B240" s="69"/>
      <c r="C240" s="69"/>
      <c r="D240" s="69"/>
      <c r="E240" s="69"/>
      <c r="F240" s="69"/>
      <c r="G240" s="69"/>
      <c r="H240" s="69"/>
      <c r="I240" s="69"/>
      <c r="J240" s="69"/>
      <c r="K240" s="69"/>
      <c r="L240" s="69"/>
      <c r="M240" s="69"/>
      <c r="N240" s="69"/>
      <c r="O240" s="69"/>
      <c r="P240" s="69"/>
      <c r="Q240" s="69"/>
      <c r="R240" s="69"/>
      <c r="S240" s="69"/>
      <c r="T240" s="69"/>
      <c r="U240" s="69"/>
      <c r="V240" s="69"/>
      <c r="W240" s="69"/>
      <c r="X240" s="69"/>
      <c r="Y240" s="69"/>
      <c r="Z240" s="69"/>
      <c r="AA240" s="69"/>
      <c r="AB240" s="69"/>
      <c r="AC240" s="69"/>
      <c r="AD240" s="69"/>
      <c r="AE240" s="69"/>
      <c r="AF240" s="69"/>
      <c r="AG240" s="69"/>
      <c r="AH240" s="69"/>
      <c r="AI240" s="69"/>
      <c r="AJ240" s="69"/>
      <c r="AK240" s="69"/>
      <c r="AL240" s="69"/>
      <c r="AM240" s="69"/>
      <c r="AN240" s="69"/>
      <c r="AO240" s="69"/>
      <c r="AP240" s="69"/>
      <c r="AQ240" s="69"/>
      <c r="AR240" s="69"/>
      <c r="AS240" s="69"/>
      <c r="AT240" s="69"/>
      <c r="AU240" s="69"/>
      <c r="AV240" s="69"/>
      <c r="AW240" s="69"/>
      <c r="AX240" s="69"/>
      <c r="AY240" s="69"/>
      <c r="AZ240" s="69"/>
      <c r="BA240" s="69"/>
      <c r="BB240" s="69"/>
      <c r="BC240" s="69"/>
    </row>
    <row r="241" spans="1:55">
      <c r="A241" s="69"/>
      <c r="B241" s="69"/>
      <c r="C241" s="69"/>
      <c r="D241" s="69"/>
      <c r="E241" s="69"/>
      <c r="F241" s="69"/>
      <c r="G241" s="69"/>
      <c r="H241" s="69"/>
      <c r="I241" s="69"/>
      <c r="J241" s="69"/>
      <c r="K241" s="69"/>
      <c r="L241" s="69"/>
      <c r="M241" s="69"/>
      <c r="N241" s="69" t="s">
        <v>51</v>
      </c>
      <c r="O241" s="69"/>
      <c r="P241" s="69"/>
      <c r="Q241" s="69"/>
      <c r="R241" s="69"/>
      <c r="S241" s="69"/>
      <c r="T241" s="69"/>
      <c r="U241" s="69"/>
      <c r="V241" s="69"/>
      <c r="W241" s="69"/>
      <c r="X241" s="69"/>
      <c r="Y241" s="69"/>
      <c r="Z241" s="69"/>
      <c r="AA241" s="69"/>
      <c r="AB241" s="69"/>
      <c r="AC241" s="69"/>
      <c r="AD241" s="69"/>
      <c r="AE241" s="69"/>
      <c r="AF241" s="69"/>
      <c r="AG241" s="69"/>
      <c r="AH241" s="69"/>
      <c r="AI241" s="69"/>
      <c r="AJ241" s="69"/>
      <c r="AK241" s="69"/>
      <c r="AL241" s="69"/>
      <c r="AM241" s="69"/>
      <c r="AN241" s="69"/>
      <c r="AO241" s="69"/>
      <c r="AP241" s="69"/>
      <c r="AQ241" s="69"/>
      <c r="AR241" s="69"/>
      <c r="AS241" s="69"/>
      <c r="AT241" s="69"/>
      <c r="AU241" s="69"/>
      <c r="AV241" s="69"/>
      <c r="AW241" s="69"/>
      <c r="AX241" s="69"/>
      <c r="AY241" s="69"/>
      <c r="AZ241" s="69"/>
      <c r="BA241" s="69"/>
      <c r="BB241" s="69"/>
      <c r="BC241" s="69"/>
    </row>
    <row r="242" spans="1:55">
      <c r="A242" s="69"/>
      <c r="B242" s="69"/>
      <c r="C242" s="69"/>
      <c r="D242" s="69"/>
      <c r="E242" s="69"/>
      <c r="F242" s="69"/>
      <c r="G242" s="69"/>
      <c r="H242" s="69"/>
      <c r="I242" s="69"/>
      <c r="J242" s="69"/>
      <c r="K242" s="69"/>
      <c r="L242" s="69"/>
      <c r="M242" s="69"/>
      <c r="N242" s="69"/>
      <c r="O242" s="69"/>
      <c r="P242" s="69"/>
      <c r="Q242" s="69"/>
      <c r="R242" s="69"/>
      <c r="S242" s="69"/>
      <c r="T242" s="69"/>
      <c r="U242" s="69"/>
      <c r="V242" s="69"/>
      <c r="W242" s="69"/>
      <c r="X242" s="69"/>
      <c r="Y242" s="69"/>
      <c r="Z242" s="69"/>
      <c r="AA242" s="69"/>
      <c r="AB242" s="69"/>
      <c r="AC242" s="69"/>
      <c r="AD242" s="69"/>
      <c r="AE242" s="69"/>
      <c r="AF242" s="69"/>
      <c r="AG242" s="69"/>
      <c r="AH242" s="69"/>
      <c r="AI242" s="69"/>
      <c r="AJ242" s="69"/>
      <c r="AK242" s="69"/>
      <c r="AL242" s="69"/>
      <c r="AM242" s="69"/>
      <c r="AN242" s="69"/>
      <c r="AO242" s="69"/>
      <c r="AP242" s="69"/>
      <c r="AQ242" s="69"/>
      <c r="AR242" s="69"/>
      <c r="AS242" s="69"/>
      <c r="AT242" s="69"/>
      <c r="AU242" s="69"/>
      <c r="AV242" s="69"/>
      <c r="AW242" s="69"/>
      <c r="AX242" s="69"/>
      <c r="AY242" s="69"/>
      <c r="AZ242" s="69"/>
      <c r="BA242" s="69"/>
      <c r="BB242" s="69"/>
      <c r="BC242" s="69"/>
    </row>
    <row r="243" spans="1:55">
      <c r="A243" s="69"/>
      <c r="B243" s="69"/>
      <c r="C243" s="69"/>
      <c r="D243" s="69"/>
      <c r="E243" s="69"/>
      <c r="F243" s="69"/>
      <c r="G243" s="69"/>
      <c r="H243" s="69"/>
      <c r="I243" s="69"/>
      <c r="J243" s="69"/>
      <c r="K243" s="69"/>
      <c r="L243" s="69"/>
      <c r="M243" s="69"/>
      <c r="N243" s="69"/>
      <c r="O243" s="69"/>
      <c r="P243" s="69"/>
      <c r="Q243" s="69"/>
      <c r="R243" s="69"/>
      <c r="S243" s="69"/>
      <c r="T243" s="69"/>
      <c r="U243" s="69"/>
      <c r="V243" s="69"/>
      <c r="W243" s="69"/>
      <c r="X243" s="69"/>
      <c r="Y243" s="69"/>
      <c r="Z243" s="69"/>
      <c r="AA243" s="69"/>
      <c r="AB243" s="69"/>
      <c r="AC243" s="69"/>
      <c r="AD243" s="69"/>
      <c r="AE243" s="69"/>
      <c r="AF243" s="69"/>
      <c r="AG243" s="69"/>
      <c r="AH243" s="69"/>
      <c r="AI243" s="69"/>
      <c r="AJ243" s="69"/>
      <c r="AK243" s="69"/>
      <c r="AL243" s="69"/>
      <c r="AM243" s="69"/>
      <c r="AN243" s="69"/>
      <c r="AO243" s="69"/>
      <c r="AP243" s="69"/>
      <c r="AQ243" s="69"/>
      <c r="AR243" s="69"/>
      <c r="AS243" s="69"/>
      <c r="AT243" s="69"/>
      <c r="AU243" s="69"/>
      <c r="AV243" s="69"/>
      <c r="AW243" s="69"/>
      <c r="AX243" s="69"/>
      <c r="AY243" s="69"/>
      <c r="AZ243" s="69"/>
      <c r="BA243" s="69"/>
      <c r="BB243" s="69"/>
      <c r="BC243" s="69"/>
    </row>
    <row r="244" spans="1:55">
      <c r="A244" s="69"/>
      <c r="B244" s="69"/>
      <c r="C244" s="69"/>
      <c r="D244" s="69"/>
      <c r="E244" s="69"/>
      <c r="F244" s="69"/>
      <c r="G244" s="69"/>
      <c r="H244" s="69"/>
      <c r="I244" s="69"/>
      <c r="J244" s="69"/>
      <c r="K244" s="69"/>
      <c r="L244" s="69"/>
      <c r="M244" s="69"/>
      <c r="N244" s="69"/>
      <c r="O244" s="69"/>
      <c r="P244" s="69"/>
      <c r="Q244" s="69"/>
      <c r="R244" s="69"/>
      <c r="S244" s="69"/>
      <c r="T244" s="69"/>
      <c r="U244" s="69"/>
      <c r="V244" s="69"/>
      <c r="W244" s="69"/>
      <c r="X244" s="69"/>
      <c r="Y244" s="69"/>
      <c r="Z244" s="69"/>
      <c r="AA244" s="69"/>
      <c r="AB244" s="69"/>
      <c r="AC244" s="69"/>
      <c r="AD244" s="69"/>
      <c r="AE244" s="69"/>
      <c r="AF244" s="69"/>
      <c r="AG244" s="69"/>
      <c r="AH244" s="69"/>
      <c r="AI244" s="69"/>
      <c r="AJ244" s="69"/>
      <c r="AK244" s="69"/>
      <c r="AL244" s="69"/>
      <c r="AM244" s="69"/>
      <c r="AN244" s="69"/>
      <c r="AO244" s="69"/>
      <c r="AP244" s="69"/>
      <c r="AQ244" s="69"/>
      <c r="AR244" s="69"/>
      <c r="AS244" s="69"/>
      <c r="AT244" s="69"/>
      <c r="AU244" s="69"/>
      <c r="AV244" s="69"/>
      <c r="AW244" s="69"/>
      <c r="AX244" s="69"/>
      <c r="AY244" s="69"/>
      <c r="AZ244" s="69"/>
      <c r="BA244" s="69"/>
      <c r="BB244" s="69"/>
      <c r="BC244" s="69"/>
    </row>
    <row r="245" spans="1:55">
      <c r="A245" s="69"/>
      <c r="B245" s="69"/>
      <c r="C245" s="69"/>
      <c r="D245" s="69"/>
      <c r="E245" s="69"/>
      <c r="F245" s="69"/>
      <c r="G245" s="69"/>
      <c r="H245" s="69"/>
      <c r="I245" s="69"/>
      <c r="J245" s="69"/>
      <c r="K245" s="69"/>
      <c r="L245" s="69"/>
      <c r="M245" s="69"/>
      <c r="N245" s="69"/>
      <c r="O245" s="69"/>
      <c r="P245" s="69"/>
      <c r="Q245" s="69"/>
      <c r="R245" s="69"/>
      <c r="S245" s="69"/>
      <c r="T245" s="69"/>
      <c r="U245" s="69"/>
      <c r="V245" s="69"/>
      <c r="W245" s="69"/>
      <c r="X245" s="69"/>
      <c r="Y245" s="69"/>
      <c r="Z245" s="69"/>
      <c r="AA245" s="69"/>
      <c r="AB245" s="69"/>
      <c r="AC245" s="69"/>
      <c r="AD245" s="69"/>
      <c r="AE245" s="69"/>
      <c r="AF245" s="69"/>
      <c r="AG245" s="69"/>
      <c r="AH245" s="69"/>
      <c r="AI245" s="69"/>
      <c r="AJ245" s="69"/>
      <c r="AK245" s="69"/>
      <c r="AL245" s="69"/>
      <c r="AM245" s="69"/>
      <c r="AN245" s="69"/>
      <c r="AO245" s="69"/>
      <c r="AP245" s="69"/>
      <c r="AQ245" s="69"/>
      <c r="AR245" s="69"/>
      <c r="AS245" s="69"/>
      <c r="AT245" s="69"/>
      <c r="AU245" s="69"/>
      <c r="AV245" s="69"/>
      <c r="AW245" s="69"/>
      <c r="AX245" s="69"/>
      <c r="AY245" s="69"/>
      <c r="AZ245" s="69"/>
      <c r="BA245" s="69"/>
      <c r="BB245" s="69"/>
      <c r="BC245" s="69"/>
    </row>
    <row r="246" spans="1:55">
      <c r="A246" s="69"/>
      <c r="B246" s="69"/>
      <c r="C246" s="69"/>
      <c r="D246" s="69"/>
      <c r="E246" s="69"/>
      <c r="F246" s="69"/>
      <c r="G246" s="69"/>
      <c r="H246" s="69"/>
      <c r="I246" s="69"/>
      <c r="J246" s="69"/>
      <c r="K246" s="69"/>
      <c r="L246" s="69"/>
      <c r="M246" s="69"/>
      <c r="N246" s="69"/>
      <c r="O246" s="69"/>
      <c r="P246" s="69"/>
      <c r="Q246" s="69"/>
      <c r="R246" s="69"/>
      <c r="S246" s="69"/>
      <c r="T246" s="69"/>
      <c r="U246" s="69"/>
      <c r="V246" s="69"/>
      <c r="W246" s="69"/>
      <c r="X246" s="69"/>
      <c r="Y246" s="69"/>
      <c r="Z246" s="69"/>
      <c r="AA246" s="69"/>
      <c r="AB246" s="69"/>
      <c r="AC246" s="69"/>
      <c r="AD246" s="69"/>
      <c r="AE246" s="69"/>
      <c r="AF246" s="69"/>
      <c r="AG246" s="69"/>
      <c r="AH246" s="69"/>
      <c r="AI246" s="69"/>
      <c r="AJ246" s="69"/>
      <c r="AK246" s="69"/>
      <c r="AL246" s="69"/>
      <c r="AM246" s="69"/>
      <c r="AN246" s="69"/>
      <c r="AO246" s="69"/>
      <c r="AP246" s="69"/>
      <c r="AQ246" s="69"/>
      <c r="AR246" s="69"/>
      <c r="AS246" s="69"/>
      <c r="AT246" s="69"/>
      <c r="AU246" s="69"/>
      <c r="AV246" s="69"/>
      <c r="AW246" s="69"/>
      <c r="AX246" s="69"/>
      <c r="AY246" s="69"/>
      <c r="AZ246" s="69"/>
      <c r="BA246" s="69"/>
      <c r="BB246" s="69"/>
      <c r="BC246" s="69"/>
    </row>
    <row r="247" spans="1:55">
      <c r="A247" s="69"/>
      <c r="B247" s="69"/>
      <c r="C247" s="69"/>
      <c r="D247" s="69"/>
      <c r="E247" s="69"/>
      <c r="F247" s="69"/>
      <c r="G247" s="69"/>
      <c r="H247" s="69"/>
      <c r="I247" s="69"/>
      <c r="J247" s="69"/>
      <c r="K247" s="69"/>
      <c r="L247" s="69"/>
      <c r="M247" s="69"/>
      <c r="N247" s="69"/>
      <c r="O247" s="69"/>
      <c r="P247" s="69"/>
      <c r="Q247" s="69"/>
      <c r="R247" s="69"/>
      <c r="S247" s="69"/>
      <c r="T247" s="69"/>
      <c r="U247" s="69"/>
      <c r="V247" s="69"/>
      <c r="W247" s="69"/>
      <c r="X247" s="69"/>
      <c r="Y247" s="69"/>
      <c r="Z247" s="69"/>
      <c r="AA247" s="69"/>
      <c r="AB247" s="69"/>
      <c r="AC247" s="69"/>
      <c r="AD247" s="69"/>
      <c r="AE247" s="69"/>
      <c r="AF247" s="69"/>
      <c r="AG247" s="69"/>
      <c r="AH247" s="69"/>
      <c r="AI247" s="69"/>
      <c r="AJ247" s="69"/>
      <c r="AK247" s="69"/>
      <c r="AL247" s="69"/>
      <c r="AM247" s="69"/>
      <c r="AN247" s="69"/>
      <c r="AO247" s="69"/>
      <c r="AP247" s="69"/>
      <c r="AQ247" s="69"/>
      <c r="AR247" s="69"/>
      <c r="AS247" s="69"/>
      <c r="AT247" s="69"/>
      <c r="AU247" s="69"/>
      <c r="AV247" s="69"/>
      <c r="AW247" s="69"/>
      <c r="AX247" s="69"/>
      <c r="AY247" s="69"/>
      <c r="AZ247" s="69"/>
      <c r="BA247" s="69"/>
      <c r="BB247" s="69"/>
      <c r="BC247" s="69"/>
    </row>
    <row r="248" spans="1:55">
      <c r="A248" s="69"/>
      <c r="B248" s="69"/>
      <c r="C248" s="69"/>
      <c r="D248" s="69"/>
      <c r="E248" s="69"/>
      <c r="F248" s="69"/>
      <c r="G248" s="69"/>
      <c r="H248" s="69"/>
      <c r="I248" s="69"/>
      <c r="J248" s="69"/>
      <c r="K248" s="69"/>
      <c r="L248" s="69"/>
      <c r="M248" s="69"/>
      <c r="N248" s="69"/>
      <c r="O248" s="69"/>
      <c r="P248" s="69"/>
      <c r="Q248" s="69"/>
      <c r="R248" s="69"/>
      <c r="S248" s="69"/>
      <c r="T248" s="69"/>
      <c r="U248" s="69"/>
      <c r="V248" s="69"/>
      <c r="W248" s="69"/>
      <c r="X248" s="69"/>
      <c r="Y248" s="69"/>
      <c r="Z248" s="69"/>
      <c r="AA248" s="69"/>
      <c r="AB248" s="69"/>
      <c r="AC248" s="69"/>
      <c r="AD248" s="69"/>
      <c r="AE248" s="69"/>
      <c r="AF248" s="69"/>
      <c r="AG248" s="69"/>
      <c r="AH248" s="69"/>
      <c r="AI248" s="69"/>
      <c r="AJ248" s="69"/>
      <c r="AK248" s="69"/>
      <c r="AL248" s="69"/>
      <c r="AM248" s="69"/>
      <c r="AN248" s="69"/>
      <c r="AO248" s="69"/>
      <c r="AP248" s="69"/>
      <c r="AQ248" s="69"/>
      <c r="AR248" s="69"/>
      <c r="AS248" s="69"/>
      <c r="AT248" s="69"/>
      <c r="AU248" s="69"/>
      <c r="AV248" s="69"/>
      <c r="AW248" s="69"/>
      <c r="AX248" s="69"/>
      <c r="AY248" s="69"/>
      <c r="AZ248" s="69"/>
      <c r="BA248" s="69"/>
      <c r="BB248" s="69"/>
      <c r="BC248" s="69"/>
    </row>
    <row r="249" spans="1:55">
      <c r="A249" s="69"/>
      <c r="B249" s="69"/>
      <c r="C249" s="69"/>
      <c r="D249" s="69"/>
      <c r="E249" s="69"/>
      <c r="F249" s="69"/>
      <c r="G249" s="69"/>
      <c r="H249" s="69"/>
      <c r="I249" s="69"/>
      <c r="J249" s="69"/>
      <c r="K249" s="69"/>
      <c r="L249" s="69"/>
      <c r="M249" s="69"/>
      <c r="N249" s="69"/>
      <c r="O249" s="69"/>
      <c r="P249" s="69"/>
      <c r="Q249" s="69"/>
      <c r="R249" s="69"/>
      <c r="S249" s="69"/>
      <c r="T249" s="69"/>
      <c r="U249" s="69"/>
      <c r="V249" s="69"/>
      <c r="W249" s="69"/>
      <c r="X249" s="69"/>
      <c r="Y249" s="69"/>
      <c r="Z249" s="69"/>
      <c r="AA249" s="69"/>
      <c r="AB249" s="69"/>
      <c r="AC249" s="69"/>
      <c r="AD249" s="69"/>
      <c r="AE249" s="69"/>
      <c r="AF249" s="69"/>
      <c r="AG249" s="69"/>
      <c r="AH249" s="69"/>
      <c r="AI249" s="69"/>
      <c r="AJ249" s="69"/>
      <c r="AK249" s="69"/>
      <c r="AL249" s="69"/>
      <c r="AM249" s="69"/>
      <c r="AN249" s="69"/>
      <c r="AO249" s="69"/>
      <c r="AP249" s="69"/>
      <c r="AQ249" s="69"/>
      <c r="AR249" s="69"/>
      <c r="AS249" s="69"/>
      <c r="AT249" s="69"/>
      <c r="AU249" s="69"/>
      <c r="AV249" s="69"/>
      <c r="AW249" s="69"/>
      <c r="AX249" s="69"/>
      <c r="AY249" s="69"/>
      <c r="AZ249" s="69"/>
      <c r="BA249" s="69"/>
      <c r="BB249" s="69"/>
      <c r="BC249" s="69"/>
    </row>
    <row r="250" spans="1:55">
      <c r="A250" s="69"/>
      <c r="B250" s="69"/>
      <c r="C250" s="69"/>
      <c r="D250" s="69"/>
      <c r="E250" s="69"/>
      <c r="F250" s="69"/>
      <c r="G250" s="69"/>
      <c r="H250" s="69"/>
      <c r="I250" s="69"/>
      <c r="J250" s="69"/>
      <c r="K250" s="69"/>
      <c r="L250" s="69"/>
      <c r="M250" s="69"/>
      <c r="N250" s="69"/>
      <c r="O250" s="69"/>
      <c r="P250" s="69"/>
      <c r="Q250" s="69"/>
      <c r="R250" s="69"/>
      <c r="S250" s="69"/>
      <c r="T250" s="69"/>
      <c r="U250" s="69"/>
      <c r="V250" s="69"/>
      <c r="W250" s="69"/>
      <c r="X250" s="69"/>
      <c r="Y250" s="69"/>
      <c r="Z250" s="69"/>
      <c r="AA250" s="69"/>
      <c r="AB250" s="69"/>
      <c r="AC250" s="69"/>
      <c r="AD250" s="69"/>
      <c r="AE250" s="69"/>
      <c r="AF250" s="69"/>
      <c r="AG250" s="69"/>
      <c r="AH250" s="69"/>
      <c r="AI250" s="69"/>
      <c r="AJ250" s="69"/>
      <c r="AK250" s="69"/>
      <c r="AL250" s="69"/>
      <c r="AM250" s="69"/>
      <c r="AN250" s="69"/>
      <c r="AO250" s="69"/>
      <c r="AP250" s="69"/>
      <c r="AQ250" s="69"/>
      <c r="AR250" s="69"/>
      <c r="AS250" s="69"/>
      <c r="AT250" s="69"/>
      <c r="AU250" s="69"/>
      <c r="AV250" s="69"/>
      <c r="AW250" s="69"/>
      <c r="AX250" s="69"/>
      <c r="AY250" s="69"/>
      <c r="AZ250" s="69"/>
      <c r="BA250" s="69"/>
      <c r="BB250" s="69"/>
      <c r="BC250" s="69"/>
    </row>
    <row r="251" spans="1:55">
      <c r="A251" s="69"/>
      <c r="B251" s="69"/>
      <c r="C251" s="69"/>
      <c r="D251" s="69"/>
      <c r="E251" s="69"/>
      <c r="F251" s="69"/>
      <c r="G251" s="69"/>
      <c r="H251" s="69"/>
      <c r="I251" s="69"/>
      <c r="J251" s="69"/>
      <c r="K251" s="69"/>
      <c r="L251" s="69"/>
      <c r="M251" s="69"/>
      <c r="N251" s="69"/>
      <c r="O251" s="69"/>
      <c r="P251" s="69"/>
      <c r="Q251" s="69"/>
      <c r="R251" s="69"/>
      <c r="S251" s="69"/>
      <c r="T251" s="69"/>
      <c r="U251" s="69"/>
      <c r="V251" s="69"/>
      <c r="W251" s="69"/>
      <c r="X251" s="69"/>
      <c r="Y251" s="69"/>
      <c r="Z251" s="69"/>
      <c r="AA251" s="69"/>
      <c r="AB251" s="69"/>
      <c r="AC251" s="69"/>
      <c r="AD251" s="69"/>
      <c r="AE251" s="69"/>
      <c r="AF251" s="69"/>
      <c r="AG251" s="69"/>
      <c r="AH251" s="69"/>
      <c r="AI251" s="69"/>
      <c r="AJ251" s="69"/>
      <c r="AK251" s="69"/>
      <c r="AL251" s="69"/>
      <c r="AM251" s="69"/>
      <c r="AN251" s="69"/>
      <c r="AO251" s="69"/>
      <c r="AP251" s="69"/>
      <c r="AQ251" s="69"/>
      <c r="AR251" s="69"/>
      <c r="AS251" s="69"/>
      <c r="AT251" s="69"/>
      <c r="AU251" s="69"/>
      <c r="AV251" s="69"/>
      <c r="AW251" s="69"/>
      <c r="AX251" s="69"/>
      <c r="AY251" s="69"/>
      <c r="AZ251" s="69"/>
      <c r="BA251" s="69"/>
      <c r="BB251" s="69"/>
      <c r="BC251" s="69"/>
    </row>
    <row r="252" spans="1:55">
      <c r="A252" s="69"/>
      <c r="B252" s="69"/>
      <c r="C252" s="69"/>
      <c r="D252" s="69"/>
      <c r="E252" s="69"/>
      <c r="F252" s="69"/>
      <c r="G252" s="69"/>
      <c r="H252" s="69"/>
      <c r="I252" s="69"/>
      <c r="J252" s="69"/>
      <c r="K252" s="69"/>
      <c r="L252" s="69"/>
      <c r="M252" s="69"/>
      <c r="N252" s="69"/>
      <c r="O252" s="69"/>
      <c r="P252" s="69"/>
      <c r="Q252" s="69"/>
      <c r="R252" s="69"/>
      <c r="S252" s="69"/>
      <c r="T252" s="69"/>
      <c r="U252" s="69"/>
      <c r="V252" s="69"/>
      <c r="W252" s="69"/>
      <c r="X252" s="69"/>
      <c r="Y252" s="69"/>
      <c r="Z252" s="69"/>
      <c r="AA252" s="69"/>
      <c r="AB252" s="69"/>
      <c r="AC252" s="69"/>
      <c r="AD252" s="69"/>
      <c r="AE252" s="69"/>
      <c r="AF252" s="69"/>
      <c r="AG252" s="69"/>
      <c r="AH252" s="69"/>
      <c r="AI252" s="69"/>
      <c r="AJ252" s="69"/>
      <c r="AK252" s="69"/>
      <c r="AL252" s="69"/>
      <c r="AM252" s="69"/>
      <c r="AN252" s="69"/>
      <c r="AO252" s="69"/>
      <c r="AP252" s="69"/>
      <c r="AQ252" s="69"/>
      <c r="AR252" s="69"/>
      <c r="AS252" s="69"/>
      <c r="AT252" s="69"/>
      <c r="AU252" s="69"/>
      <c r="AV252" s="69"/>
      <c r="AW252" s="69"/>
      <c r="AX252" s="69"/>
      <c r="AY252" s="69"/>
      <c r="AZ252" s="69"/>
      <c r="BA252" s="69"/>
      <c r="BB252" s="69"/>
      <c r="BC252" s="69"/>
    </row>
    <row r="253" spans="1:55">
      <c r="A253" s="69"/>
      <c r="B253" s="69"/>
      <c r="C253" s="69"/>
      <c r="D253" s="69"/>
      <c r="E253" s="69"/>
      <c r="F253" s="69"/>
      <c r="G253" s="69"/>
      <c r="H253" s="69"/>
      <c r="I253" s="69"/>
      <c r="J253" s="69"/>
      <c r="K253" s="69"/>
      <c r="L253" s="69"/>
      <c r="M253" s="69"/>
      <c r="N253" s="69"/>
      <c r="O253" s="69"/>
      <c r="P253" s="69"/>
      <c r="Q253" s="69"/>
      <c r="R253" s="69"/>
      <c r="S253" s="69"/>
      <c r="T253" s="69"/>
      <c r="U253" s="69"/>
      <c r="V253" s="69"/>
      <c r="W253" s="69"/>
      <c r="X253" s="69"/>
      <c r="Y253" s="69"/>
      <c r="Z253" s="69"/>
      <c r="AA253" s="69"/>
      <c r="AB253" s="69"/>
      <c r="AC253" s="69"/>
      <c r="AD253" s="69"/>
      <c r="AE253" s="69"/>
      <c r="AF253" s="69"/>
      <c r="AG253" s="69"/>
      <c r="AH253" s="69"/>
      <c r="AI253" s="69"/>
      <c r="AJ253" s="69"/>
      <c r="AK253" s="69"/>
      <c r="AL253" s="69"/>
      <c r="AM253" s="69"/>
      <c r="AN253" s="69"/>
      <c r="AO253" s="69"/>
      <c r="AP253" s="69"/>
      <c r="AQ253" s="69"/>
      <c r="AR253" s="69"/>
      <c r="AS253" s="69"/>
      <c r="AT253" s="69"/>
      <c r="AU253" s="69"/>
      <c r="AV253" s="69"/>
      <c r="AW253" s="69"/>
      <c r="AX253" s="69"/>
      <c r="AY253" s="69"/>
      <c r="AZ253" s="69"/>
      <c r="BA253" s="69"/>
      <c r="BB253" s="69"/>
      <c r="BC253" s="69"/>
    </row>
    <row r="254" spans="1:55">
      <c r="A254" s="69"/>
      <c r="B254" s="69"/>
      <c r="C254" s="69"/>
      <c r="D254" s="69"/>
      <c r="E254" s="69"/>
      <c r="F254" s="69"/>
      <c r="G254" s="69"/>
      <c r="H254" s="69"/>
      <c r="I254" s="69"/>
      <c r="J254" s="69"/>
      <c r="K254" s="69"/>
      <c r="L254" s="69"/>
      <c r="M254" s="69"/>
      <c r="N254" s="69"/>
      <c r="O254" s="69"/>
      <c r="P254" s="69"/>
      <c r="Q254" s="69"/>
      <c r="R254" s="69"/>
      <c r="S254" s="69"/>
      <c r="T254" s="69"/>
      <c r="U254" s="69"/>
      <c r="V254" s="69"/>
      <c r="W254" s="69"/>
      <c r="X254" s="69"/>
      <c r="Y254" s="69"/>
      <c r="Z254" s="69"/>
      <c r="AA254" s="69"/>
      <c r="AB254" s="69"/>
      <c r="AC254" s="69"/>
      <c r="AD254" s="69"/>
      <c r="AE254" s="69"/>
      <c r="AF254" s="69"/>
      <c r="AG254" s="69"/>
      <c r="AH254" s="69"/>
      <c r="AI254" s="69"/>
      <c r="AJ254" s="69"/>
      <c r="AK254" s="69"/>
      <c r="AL254" s="69"/>
      <c r="AM254" s="69"/>
      <c r="AN254" s="69"/>
      <c r="AO254" s="69"/>
      <c r="AP254" s="69"/>
      <c r="AQ254" s="69"/>
      <c r="AR254" s="69"/>
      <c r="AS254" s="69"/>
      <c r="AT254" s="69"/>
      <c r="AU254" s="69"/>
      <c r="AV254" s="69"/>
      <c r="AW254" s="69"/>
      <c r="AX254" s="69"/>
      <c r="AY254" s="69"/>
      <c r="AZ254" s="69"/>
      <c r="BA254" s="69"/>
      <c r="BB254" s="69"/>
      <c r="BC254" s="69"/>
    </row>
    <row r="255" spans="1:55">
      <c r="A255" s="69"/>
      <c r="B255" s="69"/>
      <c r="C255" s="69"/>
      <c r="D255" s="69"/>
      <c r="E255" s="69"/>
      <c r="F255" s="69"/>
      <c r="G255" s="69"/>
      <c r="H255" s="69"/>
      <c r="I255" s="69"/>
      <c r="J255" s="69"/>
      <c r="K255" s="69"/>
      <c r="L255" s="69"/>
      <c r="M255" s="69"/>
      <c r="N255" s="69"/>
      <c r="O255" s="69"/>
      <c r="P255" s="69"/>
      <c r="Q255" s="69"/>
      <c r="R255" s="69"/>
      <c r="S255" s="69"/>
      <c r="T255" s="69"/>
      <c r="U255" s="69"/>
      <c r="V255" s="69"/>
      <c r="W255" s="69"/>
      <c r="X255" s="69"/>
      <c r="Y255" s="69"/>
      <c r="Z255" s="69"/>
      <c r="AA255" s="69"/>
      <c r="AB255" s="69"/>
      <c r="AC255" s="69"/>
      <c r="AD255" s="69"/>
      <c r="AE255" s="69"/>
      <c r="AF255" s="69"/>
      <c r="AG255" s="69"/>
      <c r="AH255" s="69"/>
      <c r="AI255" s="69"/>
      <c r="AJ255" s="69"/>
      <c r="AK255" s="69"/>
      <c r="AL255" s="69"/>
      <c r="AM255" s="69"/>
      <c r="AN255" s="69"/>
      <c r="AO255" s="69"/>
      <c r="AP255" s="69"/>
      <c r="AQ255" s="69"/>
      <c r="AR255" s="69"/>
      <c r="AS255" s="69"/>
      <c r="AT255" s="69"/>
      <c r="AU255" s="69"/>
      <c r="AV255" s="69"/>
      <c r="AW255" s="69"/>
      <c r="AX255" s="69"/>
      <c r="AY255" s="69"/>
      <c r="AZ255" s="69"/>
      <c r="BA255" s="69"/>
      <c r="BB255" s="69"/>
      <c r="BC255" s="69"/>
    </row>
    <row r="256" spans="1:55">
      <c r="A256" s="69"/>
      <c r="B256" s="69"/>
      <c r="C256" s="69"/>
      <c r="D256" s="69"/>
      <c r="E256" s="69"/>
      <c r="F256" s="69"/>
      <c r="G256" s="69"/>
      <c r="H256" s="69"/>
      <c r="I256" s="69"/>
      <c r="J256" s="69"/>
      <c r="K256" s="69"/>
      <c r="L256" s="69"/>
      <c r="M256" s="69"/>
      <c r="N256" s="69"/>
      <c r="O256" s="69"/>
      <c r="P256" s="69"/>
      <c r="Q256" s="69"/>
      <c r="R256" s="69"/>
      <c r="S256" s="69"/>
      <c r="T256" s="69"/>
      <c r="U256" s="69"/>
      <c r="V256" s="69"/>
      <c r="W256" s="69"/>
      <c r="X256" s="69"/>
      <c r="Y256" s="69"/>
      <c r="Z256" s="69"/>
      <c r="AA256" s="69"/>
      <c r="AB256" s="69"/>
      <c r="AC256" s="69"/>
      <c r="AD256" s="69"/>
      <c r="AE256" s="69"/>
      <c r="AF256" s="69"/>
      <c r="AG256" s="69"/>
      <c r="AH256" s="69"/>
      <c r="AI256" s="69"/>
      <c r="AJ256" s="69"/>
      <c r="AK256" s="69"/>
      <c r="AL256" s="69"/>
      <c r="AM256" s="69"/>
      <c r="AN256" s="69"/>
      <c r="AO256" s="69"/>
      <c r="AP256" s="69"/>
      <c r="AQ256" s="69"/>
      <c r="AR256" s="69"/>
      <c r="AS256" s="69"/>
      <c r="AT256" s="69"/>
      <c r="AU256" s="69"/>
      <c r="AV256" s="69"/>
      <c r="AW256" s="69"/>
      <c r="AX256" s="69"/>
      <c r="AY256" s="69"/>
      <c r="AZ256" s="69"/>
      <c r="BA256" s="69"/>
      <c r="BB256" s="69"/>
      <c r="BC256" s="69"/>
    </row>
    <row r="257" spans="1:55">
      <c r="A257" s="69"/>
      <c r="B257" s="69"/>
      <c r="C257" s="69"/>
      <c r="D257" s="69"/>
      <c r="E257" s="69"/>
      <c r="F257" s="69"/>
      <c r="G257" s="69"/>
      <c r="H257" s="69"/>
      <c r="I257" s="69"/>
      <c r="J257" s="69"/>
      <c r="K257" s="69"/>
      <c r="L257" s="69"/>
      <c r="M257" s="69"/>
      <c r="N257" s="69"/>
      <c r="O257" s="69"/>
      <c r="P257" s="69"/>
      <c r="Q257" s="69"/>
      <c r="R257" s="69"/>
      <c r="S257" s="69"/>
      <c r="T257" s="69"/>
      <c r="U257" s="69"/>
      <c r="V257" s="69"/>
      <c r="W257" s="69"/>
      <c r="X257" s="69"/>
      <c r="Y257" s="69"/>
      <c r="Z257" s="69"/>
      <c r="AA257" s="69"/>
      <c r="AB257" s="69"/>
      <c r="AC257" s="69"/>
      <c r="AD257" s="69"/>
      <c r="AE257" s="69"/>
      <c r="AF257" s="69"/>
      <c r="AG257" s="69"/>
      <c r="AH257" s="69"/>
      <c r="AI257" s="69"/>
      <c r="AJ257" s="69"/>
      <c r="AK257" s="69"/>
      <c r="AL257" s="69"/>
      <c r="AM257" s="69"/>
      <c r="AN257" s="69"/>
      <c r="AO257" s="69"/>
      <c r="AP257" s="69"/>
      <c r="AQ257" s="69"/>
      <c r="AR257" s="69"/>
      <c r="AS257" s="69"/>
      <c r="AT257" s="69"/>
      <c r="AU257" s="69"/>
      <c r="AV257" s="69"/>
      <c r="AW257" s="69"/>
      <c r="AX257" s="69"/>
      <c r="AY257" s="69"/>
      <c r="AZ257" s="69"/>
      <c r="BA257" s="69"/>
      <c r="BB257" s="69"/>
      <c r="BC257" s="69"/>
    </row>
    <row r="258" spans="1:55">
      <c r="A258" s="69"/>
      <c r="B258" s="69"/>
      <c r="C258" s="69"/>
      <c r="D258" s="69"/>
      <c r="E258" s="69"/>
      <c r="F258" s="69"/>
      <c r="G258" s="69"/>
      <c r="H258" s="69"/>
      <c r="I258" s="69"/>
      <c r="J258" s="69"/>
      <c r="K258" s="69"/>
      <c r="L258" s="69"/>
      <c r="M258" s="69"/>
      <c r="N258" s="69"/>
      <c r="O258" s="69"/>
      <c r="P258" s="69"/>
      <c r="Q258" s="69"/>
      <c r="R258" s="69"/>
      <c r="S258" s="69"/>
      <c r="T258" s="69"/>
      <c r="U258" s="69"/>
      <c r="V258" s="69"/>
      <c r="W258" s="69"/>
      <c r="X258" s="69"/>
      <c r="Y258" s="69"/>
      <c r="Z258" s="69"/>
      <c r="AA258" s="69"/>
      <c r="AB258" s="69"/>
      <c r="AC258" s="69"/>
      <c r="AD258" s="69"/>
      <c r="AE258" s="69"/>
      <c r="AF258" s="69"/>
      <c r="AG258" s="69"/>
      <c r="AH258" s="69"/>
      <c r="AI258" s="69"/>
      <c r="AJ258" s="69"/>
      <c r="AK258" s="69"/>
      <c r="AL258" s="69"/>
      <c r="AM258" s="69"/>
      <c r="AN258" s="69"/>
      <c r="AO258" s="69"/>
      <c r="AP258" s="69"/>
      <c r="AQ258" s="69"/>
      <c r="AR258" s="69"/>
      <c r="AS258" s="69"/>
      <c r="AT258" s="69"/>
      <c r="AU258" s="69"/>
      <c r="AV258" s="69"/>
      <c r="AW258" s="69"/>
      <c r="AX258" s="69"/>
      <c r="AY258" s="69"/>
      <c r="AZ258" s="69"/>
      <c r="BA258" s="69"/>
      <c r="BB258" s="69"/>
      <c r="BC258" s="69"/>
    </row>
    <row r="259" spans="1:55">
      <c r="A259" s="69"/>
      <c r="B259" s="69"/>
      <c r="C259" s="69"/>
      <c r="D259" s="69"/>
      <c r="E259" s="69"/>
      <c r="F259" s="69"/>
      <c r="G259" s="69"/>
      <c r="H259" s="69"/>
      <c r="I259" s="69"/>
      <c r="J259" s="69"/>
      <c r="K259" s="69"/>
      <c r="L259" s="69"/>
      <c r="M259" s="69"/>
      <c r="N259" s="69"/>
      <c r="O259" s="69"/>
      <c r="P259" s="69"/>
      <c r="Q259" s="69"/>
      <c r="R259" s="69"/>
      <c r="S259" s="69"/>
      <c r="T259" s="69"/>
      <c r="U259" s="69"/>
      <c r="V259" s="69"/>
      <c r="W259" s="69"/>
      <c r="X259" s="69"/>
      <c r="Y259" s="69"/>
      <c r="Z259" s="69"/>
      <c r="AA259" s="69"/>
      <c r="AB259" s="69"/>
      <c r="AC259" s="69"/>
      <c r="AD259" s="69"/>
      <c r="AE259" s="69"/>
      <c r="AF259" s="69"/>
      <c r="AG259" s="69"/>
      <c r="AH259" s="69"/>
      <c r="AI259" s="69"/>
      <c r="AJ259" s="69"/>
      <c r="AK259" s="69"/>
      <c r="AL259" s="69"/>
      <c r="AM259" s="69"/>
      <c r="AN259" s="69"/>
      <c r="AO259" s="69"/>
      <c r="AP259" s="69"/>
      <c r="AQ259" s="69"/>
      <c r="AR259" s="69"/>
      <c r="AS259" s="69"/>
      <c r="AT259" s="69"/>
      <c r="AU259" s="69"/>
      <c r="AV259" s="69"/>
      <c r="AW259" s="69"/>
      <c r="AX259" s="69"/>
      <c r="AY259" s="69"/>
      <c r="AZ259" s="69"/>
      <c r="BA259" s="69"/>
      <c r="BB259" s="69"/>
      <c r="BC259" s="69"/>
    </row>
    <row r="260" spans="1:55">
      <c r="A260" s="69"/>
      <c r="B260" s="69"/>
      <c r="C260" s="69"/>
      <c r="D260" s="69"/>
      <c r="E260" s="69"/>
      <c r="F260" s="69"/>
      <c r="G260" s="69"/>
      <c r="H260" s="69"/>
      <c r="I260" s="69"/>
      <c r="J260" s="69"/>
      <c r="K260" s="69"/>
      <c r="L260" s="69"/>
      <c r="M260" s="69"/>
      <c r="N260" s="69"/>
      <c r="O260" s="69"/>
      <c r="P260" s="69"/>
      <c r="Q260" s="69"/>
      <c r="R260" s="69"/>
      <c r="S260" s="69"/>
      <c r="T260" s="69"/>
      <c r="U260" s="69"/>
      <c r="V260" s="69"/>
      <c r="W260" s="69"/>
      <c r="X260" s="69"/>
      <c r="Y260" s="69"/>
      <c r="Z260" s="69"/>
      <c r="AA260" s="69"/>
      <c r="AB260" s="69"/>
      <c r="AC260" s="69"/>
      <c r="AD260" s="69"/>
      <c r="AE260" s="69"/>
      <c r="AF260" s="69"/>
      <c r="AG260" s="69"/>
      <c r="AH260" s="69"/>
      <c r="AI260" s="69"/>
      <c r="AJ260" s="69"/>
      <c r="AK260" s="69"/>
      <c r="AL260" s="69"/>
      <c r="AM260" s="69"/>
      <c r="AN260" s="69"/>
      <c r="AO260" s="69"/>
      <c r="AP260" s="69"/>
      <c r="AQ260" s="69"/>
      <c r="AR260" s="69"/>
      <c r="AS260" s="69"/>
      <c r="AT260" s="69"/>
      <c r="AU260" s="69"/>
      <c r="AV260" s="69"/>
      <c r="AW260" s="69"/>
      <c r="AX260" s="69"/>
      <c r="AY260" s="69"/>
      <c r="AZ260" s="69"/>
      <c r="BA260" s="69"/>
      <c r="BB260" s="69"/>
      <c r="BC260" s="69"/>
    </row>
    <row r="261" spans="1:55">
      <c r="A261" s="69"/>
      <c r="B261" s="69"/>
      <c r="C261" s="69"/>
      <c r="D261" s="69"/>
      <c r="E261" s="69"/>
      <c r="F261" s="69"/>
      <c r="G261" s="69"/>
      <c r="H261" s="69"/>
      <c r="I261" s="69"/>
      <c r="J261" s="69"/>
      <c r="K261" s="69"/>
      <c r="L261" s="69"/>
      <c r="M261" s="69"/>
      <c r="N261" s="69"/>
      <c r="O261" s="69"/>
      <c r="P261" s="69"/>
      <c r="Q261" s="69"/>
      <c r="R261" s="69"/>
      <c r="S261" s="69"/>
      <c r="T261" s="69"/>
      <c r="U261" s="69"/>
      <c r="V261" s="69"/>
      <c r="W261" s="69"/>
      <c r="X261" s="69"/>
      <c r="Y261" s="69"/>
      <c r="Z261" s="69"/>
      <c r="AA261" s="69"/>
      <c r="AB261" s="69"/>
      <c r="AC261" s="69"/>
      <c r="AD261" s="69"/>
      <c r="AE261" s="69"/>
      <c r="AF261" s="69"/>
      <c r="AG261" s="69"/>
      <c r="AH261" s="69"/>
      <c r="AI261" s="69"/>
      <c r="AJ261" s="69"/>
      <c r="AK261" s="69"/>
      <c r="AL261" s="69"/>
      <c r="AM261" s="69"/>
      <c r="AN261" s="69"/>
      <c r="AO261" s="69"/>
      <c r="AP261" s="69"/>
      <c r="AQ261" s="69"/>
      <c r="AR261" s="69"/>
      <c r="AS261" s="69"/>
      <c r="AT261" s="69"/>
      <c r="AU261" s="69"/>
      <c r="AV261" s="69"/>
      <c r="AW261" s="69"/>
      <c r="AX261" s="69"/>
      <c r="AY261" s="69"/>
      <c r="AZ261" s="69"/>
      <c r="BA261" s="69"/>
      <c r="BB261" s="69"/>
      <c r="BC261" s="69"/>
    </row>
    <row r="262" spans="1:55">
      <c r="A262" s="69"/>
      <c r="B262" s="69"/>
      <c r="C262" s="69"/>
      <c r="D262" s="69"/>
      <c r="E262" s="69"/>
      <c r="F262" s="69"/>
      <c r="G262" s="69"/>
      <c r="H262" s="69"/>
      <c r="I262" s="69"/>
      <c r="J262" s="69"/>
      <c r="K262" s="69"/>
      <c r="L262" s="69"/>
      <c r="M262" s="69"/>
      <c r="N262" s="69"/>
      <c r="O262" s="69"/>
      <c r="P262" s="69"/>
      <c r="Q262" s="69"/>
      <c r="R262" s="69"/>
      <c r="S262" s="69"/>
      <c r="T262" s="69"/>
      <c r="U262" s="69"/>
      <c r="V262" s="69"/>
      <c r="W262" s="69"/>
      <c r="X262" s="69"/>
      <c r="Y262" s="69"/>
      <c r="Z262" s="69"/>
      <c r="AA262" s="69"/>
      <c r="AB262" s="69"/>
      <c r="AC262" s="69"/>
      <c r="AD262" s="69"/>
      <c r="AE262" s="69"/>
      <c r="AF262" s="69"/>
      <c r="AG262" s="69"/>
      <c r="AH262" s="69"/>
      <c r="AI262" s="69"/>
      <c r="AJ262" s="69"/>
      <c r="AK262" s="69"/>
      <c r="AL262" s="69"/>
      <c r="AM262" s="69"/>
      <c r="AN262" s="69"/>
      <c r="AO262" s="69"/>
      <c r="AP262" s="69"/>
      <c r="AQ262" s="69"/>
      <c r="AR262" s="69"/>
      <c r="AS262" s="69"/>
      <c r="AT262" s="69"/>
      <c r="AU262" s="69"/>
      <c r="AV262" s="69"/>
      <c r="AW262" s="69"/>
      <c r="AX262" s="69"/>
      <c r="AY262" s="69"/>
      <c r="AZ262" s="69"/>
      <c r="BA262" s="69"/>
      <c r="BB262" s="69"/>
      <c r="BC262" s="69"/>
    </row>
    <row r="263" spans="1:55">
      <c r="A263" s="69"/>
      <c r="B263" s="69"/>
      <c r="C263" s="69"/>
      <c r="D263" s="69"/>
      <c r="E263" s="69"/>
      <c r="F263" s="69"/>
      <c r="G263" s="69"/>
      <c r="H263" s="69"/>
      <c r="I263" s="69"/>
      <c r="J263" s="69"/>
      <c r="K263" s="69"/>
      <c r="L263" s="69"/>
      <c r="M263" s="69"/>
      <c r="N263" s="69"/>
      <c r="O263" s="69"/>
      <c r="P263" s="69"/>
      <c r="Q263" s="69"/>
      <c r="R263" s="69"/>
      <c r="S263" s="69"/>
      <c r="T263" s="69"/>
      <c r="U263" s="69"/>
      <c r="V263" s="69"/>
      <c r="W263" s="69"/>
      <c r="X263" s="69"/>
      <c r="Y263" s="69"/>
      <c r="Z263" s="69"/>
      <c r="AA263" s="69"/>
      <c r="AB263" s="69"/>
      <c r="AC263" s="69"/>
      <c r="AD263" s="69"/>
      <c r="AE263" s="69"/>
      <c r="AF263" s="69"/>
      <c r="AG263" s="69"/>
      <c r="AH263" s="69"/>
      <c r="AI263" s="69"/>
      <c r="AJ263" s="69"/>
      <c r="AK263" s="69"/>
      <c r="AL263" s="69"/>
      <c r="AM263" s="69"/>
      <c r="AN263" s="69"/>
      <c r="AO263" s="69"/>
      <c r="AP263" s="69"/>
      <c r="AQ263" s="69"/>
      <c r="AR263" s="69"/>
      <c r="AS263" s="69"/>
      <c r="AT263" s="69"/>
      <c r="AU263" s="69"/>
      <c r="AV263" s="69"/>
      <c r="AW263" s="69"/>
      <c r="AX263" s="69"/>
      <c r="AY263" s="69"/>
      <c r="AZ263" s="69"/>
      <c r="BA263" s="69"/>
      <c r="BB263" s="69"/>
      <c r="BC263" s="69"/>
    </row>
    <row r="264" spans="1:55">
      <c r="A264" s="69"/>
      <c r="B264" s="69"/>
      <c r="C264" s="69"/>
      <c r="D264" s="69"/>
      <c r="E264" s="69"/>
      <c r="F264" s="69"/>
      <c r="G264" s="69"/>
      <c r="H264" s="69"/>
      <c r="I264" s="69"/>
      <c r="J264" s="69"/>
      <c r="K264" s="69"/>
      <c r="L264" s="69"/>
      <c r="M264" s="69"/>
      <c r="N264" s="69"/>
      <c r="O264" s="69"/>
      <c r="P264" s="69"/>
      <c r="Q264" s="69"/>
      <c r="R264" s="69"/>
      <c r="S264" s="69"/>
      <c r="T264" s="69"/>
      <c r="U264" s="69"/>
      <c r="V264" s="69"/>
      <c r="W264" s="69"/>
      <c r="X264" s="69"/>
      <c r="Y264" s="69"/>
      <c r="Z264" s="69"/>
      <c r="AA264" s="69"/>
      <c r="AB264" s="69"/>
      <c r="AC264" s="69"/>
      <c r="AD264" s="69"/>
      <c r="AE264" s="69"/>
      <c r="AF264" s="69"/>
      <c r="AG264" s="69"/>
      <c r="AH264" s="69"/>
      <c r="AI264" s="69"/>
      <c r="AJ264" s="69"/>
      <c r="AK264" s="69"/>
      <c r="AL264" s="69"/>
      <c r="AM264" s="69"/>
      <c r="AN264" s="69"/>
      <c r="AO264" s="69"/>
      <c r="AP264" s="69"/>
      <c r="AQ264" s="69"/>
      <c r="AR264" s="69"/>
      <c r="AS264" s="69"/>
      <c r="AT264" s="69"/>
      <c r="AU264" s="69"/>
      <c r="AV264" s="69"/>
      <c r="AW264" s="69"/>
      <c r="AX264" s="69"/>
      <c r="AY264" s="69"/>
      <c r="AZ264" s="69"/>
      <c r="BA264" s="69"/>
      <c r="BB264" s="69"/>
      <c r="BC264" s="69"/>
    </row>
    <row r="265" spans="1:55">
      <c r="A265" s="69"/>
      <c r="B265" s="69"/>
      <c r="C265" s="69"/>
      <c r="D265" s="69"/>
      <c r="E265" s="69"/>
      <c r="F265" s="69"/>
      <c r="G265" s="69"/>
      <c r="H265" s="69"/>
      <c r="I265" s="69"/>
      <c r="J265" s="69"/>
      <c r="K265" s="69"/>
      <c r="L265" s="69"/>
      <c r="M265" s="69"/>
      <c r="N265" s="69"/>
      <c r="O265" s="69"/>
      <c r="P265" s="69"/>
      <c r="Q265" s="69"/>
      <c r="R265" s="69"/>
      <c r="S265" s="69"/>
      <c r="T265" s="69"/>
      <c r="U265" s="69"/>
      <c r="V265" s="69"/>
      <c r="W265" s="69"/>
      <c r="X265" s="69"/>
      <c r="Y265" s="69"/>
      <c r="Z265" s="69"/>
      <c r="AA265" s="69"/>
      <c r="AB265" s="69"/>
      <c r="AC265" s="69"/>
      <c r="AD265" s="69"/>
      <c r="AE265" s="69"/>
      <c r="AF265" s="69"/>
      <c r="AG265" s="69"/>
      <c r="AH265" s="69"/>
      <c r="AI265" s="69"/>
      <c r="AJ265" s="69"/>
      <c r="AK265" s="69"/>
      <c r="AL265" s="69"/>
      <c r="AM265" s="69"/>
      <c r="AN265" s="69"/>
      <c r="AO265" s="69"/>
      <c r="AP265" s="69"/>
      <c r="AQ265" s="69"/>
      <c r="AR265" s="69"/>
      <c r="AS265" s="69"/>
      <c r="AT265" s="69"/>
      <c r="AU265" s="69"/>
      <c r="AV265" s="69"/>
      <c r="AW265" s="69"/>
      <c r="AX265" s="69"/>
      <c r="AY265" s="69"/>
      <c r="AZ265" s="69"/>
      <c r="BA265" s="69"/>
      <c r="BB265" s="69"/>
      <c r="BC265" s="69"/>
    </row>
    <row r="266" spans="1:55">
      <c r="A266" s="69"/>
      <c r="B266" s="69"/>
      <c r="C266" s="69"/>
      <c r="D266" s="69"/>
      <c r="E266" s="69"/>
      <c r="F266" s="69"/>
      <c r="G266" s="69"/>
      <c r="H266" s="69"/>
      <c r="I266" s="69"/>
      <c r="J266" s="69"/>
      <c r="K266" s="69"/>
      <c r="L266" s="69"/>
      <c r="M266" s="69"/>
      <c r="N266" s="69"/>
      <c r="O266" s="69"/>
      <c r="P266" s="69"/>
      <c r="Q266" s="69"/>
      <c r="R266" s="69"/>
      <c r="S266" s="69"/>
      <c r="T266" s="69"/>
      <c r="U266" s="69"/>
      <c r="V266" s="69"/>
      <c r="W266" s="69"/>
      <c r="X266" s="69"/>
      <c r="Y266" s="69"/>
      <c r="Z266" s="69"/>
      <c r="AA266" s="69"/>
      <c r="AB266" s="69"/>
      <c r="AC266" s="69"/>
      <c r="AD266" s="69"/>
      <c r="AE266" s="69"/>
      <c r="AF266" s="69"/>
      <c r="AG266" s="69"/>
      <c r="AH266" s="69"/>
      <c r="AI266" s="69"/>
      <c r="AJ266" s="69"/>
      <c r="AK266" s="69"/>
      <c r="AL266" s="69"/>
      <c r="AM266" s="69"/>
      <c r="AN266" s="69"/>
      <c r="AO266" s="69"/>
      <c r="AP266" s="69"/>
      <c r="AQ266" s="69"/>
      <c r="AR266" s="69"/>
      <c r="AS266" s="69"/>
      <c r="AT266" s="69"/>
      <c r="AU266" s="69"/>
      <c r="AV266" s="69"/>
      <c r="AW266" s="69"/>
      <c r="AX266" s="69"/>
      <c r="AY266" s="69"/>
      <c r="AZ266" s="69"/>
      <c r="BA266" s="69"/>
      <c r="BB266" s="69"/>
      <c r="BC266" s="69"/>
    </row>
    <row r="267" spans="1:55">
      <c r="A267" s="69"/>
      <c r="B267" s="69"/>
      <c r="C267" s="69"/>
      <c r="D267" s="69"/>
      <c r="E267" s="69"/>
      <c r="F267" s="69"/>
      <c r="G267" s="69"/>
      <c r="H267" s="69"/>
      <c r="I267" s="69"/>
      <c r="J267" s="69"/>
      <c r="K267" s="69"/>
      <c r="L267" s="69"/>
      <c r="M267" s="69"/>
      <c r="N267" s="69"/>
      <c r="O267" s="69"/>
      <c r="P267" s="69"/>
      <c r="Q267" s="69"/>
      <c r="R267" s="69"/>
      <c r="S267" s="69"/>
      <c r="T267" s="69"/>
      <c r="U267" s="69"/>
      <c r="V267" s="69"/>
      <c r="W267" s="69"/>
      <c r="X267" s="69"/>
      <c r="Y267" s="69"/>
      <c r="Z267" s="69"/>
      <c r="AA267" s="69"/>
      <c r="AB267" s="69"/>
      <c r="AC267" s="69"/>
      <c r="AD267" s="69"/>
      <c r="AE267" s="69"/>
      <c r="AF267" s="69"/>
      <c r="AG267" s="69"/>
      <c r="AH267" s="69"/>
      <c r="AI267" s="69"/>
      <c r="AJ267" s="69"/>
      <c r="AK267" s="69"/>
      <c r="AL267" s="69"/>
      <c r="AM267" s="69"/>
      <c r="AN267" s="69"/>
      <c r="AO267" s="69"/>
      <c r="AP267" s="69"/>
      <c r="AQ267" s="69"/>
      <c r="AR267" s="69"/>
      <c r="AS267" s="69"/>
      <c r="AT267" s="69"/>
      <c r="AU267" s="69"/>
      <c r="AV267" s="69"/>
      <c r="AW267" s="69"/>
      <c r="AX267" s="69"/>
      <c r="AY267" s="69"/>
      <c r="AZ267" s="69"/>
      <c r="BA267" s="69"/>
      <c r="BB267" s="69"/>
      <c r="BC267" s="69"/>
    </row>
    <row r="268" spans="1:55">
      <c r="A268" s="69"/>
      <c r="B268" s="69"/>
      <c r="C268" s="69"/>
      <c r="D268" s="69"/>
      <c r="E268" s="69"/>
      <c r="F268" s="69"/>
      <c r="G268" s="69"/>
      <c r="H268" s="69"/>
      <c r="I268" s="69"/>
      <c r="J268" s="69"/>
      <c r="K268" s="69"/>
      <c r="L268" s="69"/>
      <c r="M268" s="69"/>
      <c r="N268" s="69"/>
      <c r="O268" s="69"/>
      <c r="P268" s="69"/>
      <c r="Q268" s="69"/>
      <c r="R268" s="69"/>
      <c r="S268" s="69"/>
      <c r="T268" s="69"/>
      <c r="U268" s="69"/>
      <c r="V268" s="69"/>
      <c r="W268" s="69"/>
      <c r="X268" s="69"/>
      <c r="Y268" s="69"/>
      <c r="Z268" s="69"/>
      <c r="AA268" s="69"/>
      <c r="AB268" s="69"/>
      <c r="AC268" s="69"/>
      <c r="AD268" s="69"/>
      <c r="AE268" s="69"/>
      <c r="AF268" s="69"/>
      <c r="AG268" s="69"/>
      <c r="AH268" s="69"/>
      <c r="AI268" s="69"/>
      <c r="AJ268" s="69"/>
      <c r="AK268" s="69"/>
      <c r="AL268" s="69"/>
      <c r="AM268" s="69"/>
      <c r="AN268" s="69"/>
      <c r="AO268" s="69"/>
      <c r="AP268" s="69"/>
      <c r="AQ268" s="69"/>
      <c r="AR268" s="69"/>
      <c r="AS268" s="69"/>
      <c r="AT268" s="69"/>
      <c r="AU268" s="69"/>
      <c r="AV268" s="69"/>
      <c r="AW268" s="69"/>
      <c r="AX268" s="69"/>
      <c r="AY268" s="69"/>
      <c r="AZ268" s="69"/>
      <c r="BA268" s="69"/>
      <c r="BB268" s="69"/>
      <c r="BC268" s="69"/>
    </row>
    <row r="269" spans="1:55">
      <c r="A269" s="69"/>
      <c r="B269" s="69"/>
      <c r="C269" s="69"/>
      <c r="D269" s="69"/>
      <c r="E269" s="69"/>
      <c r="F269" s="69"/>
      <c r="G269" s="69"/>
      <c r="H269" s="69"/>
      <c r="I269" s="69"/>
      <c r="J269" s="69"/>
      <c r="K269" s="69"/>
      <c r="L269" s="69"/>
      <c r="M269" s="69"/>
      <c r="N269" s="69"/>
      <c r="O269" s="69"/>
      <c r="P269" s="69"/>
      <c r="Q269" s="69"/>
      <c r="R269" s="69"/>
      <c r="S269" s="69"/>
      <c r="T269" s="69"/>
      <c r="U269" s="69"/>
      <c r="V269" s="69"/>
      <c r="W269" s="69"/>
      <c r="X269" s="69"/>
      <c r="Y269" s="69"/>
      <c r="Z269" s="69"/>
      <c r="AA269" s="69"/>
      <c r="AB269" s="69"/>
      <c r="AC269" s="69"/>
      <c r="AD269" s="69"/>
      <c r="AE269" s="69"/>
      <c r="AF269" s="69"/>
      <c r="AG269" s="69"/>
      <c r="AH269" s="69"/>
      <c r="AI269" s="69"/>
      <c r="AJ269" s="69"/>
      <c r="AK269" s="69"/>
      <c r="AL269" s="69"/>
      <c r="AM269" s="69"/>
      <c r="AN269" s="69"/>
      <c r="AO269" s="69"/>
      <c r="AP269" s="69"/>
      <c r="AQ269" s="69"/>
      <c r="AR269" s="69"/>
      <c r="AS269" s="69"/>
      <c r="AT269" s="69"/>
      <c r="AU269" s="69"/>
      <c r="AV269" s="69"/>
      <c r="AW269" s="69"/>
      <c r="AX269" s="69"/>
      <c r="AY269" s="69"/>
      <c r="AZ269" s="69"/>
      <c r="BA269" s="69"/>
      <c r="BB269" s="69"/>
      <c r="BC269" s="69"/>
    </row>
    <row r="270" spans="1:55">
      <c r="A270" s="69"/>
      <c r="B270" s="69"/>
      <c r="C270" s="69"/>
      <c r="D270" s="69"/>
      <c r="E270" s="69"/>
      <c r="F270" s="69"/>
      <c r="G270" s="69"/>
      <c r="H270" s="69"/>
      <c r="I270" s="69"/>
      <c r="J270" s="69"/>
      <c r="K270" s="69"/>
      <c r="L270" s="69"/>
      <c r="M270" s="69"/>
      <c r="N270" s="69"/>
      <c r="O270" s="69"/>
      <c r="P270" s="69"/>
      <c r="Q270" s="69"/>
      <c r="R270" s="69"/>
      <c r="S270" s="69"/>
      <c r="T270" s="69"/>
      <c r="U270" s="69"/>
      <c r="V270" s="69"/>
      <c r="W270" s="69"/>
      <c r="X270" s="69"/>
      <c r="Y270" s="69"/>
      <c r="Z270" s="69"/>
      <c r="AA270" s="69"/>
      <c r="AB270" s="69"/>
      <c r="AC270" s="69"/>
      <c r="AD270" s="69"/>
      <c r="AE270" s="69"/>
      <c r="AF270" s="69"/>
      <c r="AG270" s="69"/>
      <c r="AH270" s="69"/>
      <c r="AI270" s="69"/>
      <c r="AJ270" s="69"/>
      <c r="AK270" s="69"/>
      <c r="AL270" s="69"/>
      <c r="AM270" s="69"/>
      <c r="AN270" s="69"/>
      <c r="AO270" s="69"/>
      <c r="AP270" s="69"/>
      <c r="AQ270" s="69"/>
      <c r="AR270" s="69"/>
      <c r="AS270" s="69"/>
      <c r="AT270" s="69"/>
      <c r="AU270" s="69"/>
      <c r="AV270" s="69"/>
      <c r="AW270" s="69"/>
      <c r="AX270" s="69"/>
      <c r="AY270" s="69"/>
      <c r="AZ270" s="69"/>
      <c r="BA270" s="69"/>
      <c r="BB270" s="69"/>
      <c r="BC270" s="69"/>
    </row>
    <row r="271" spans="1:55">
      <c r="A271" s="69"/>
      <c r="B271" s="69"/>
      <c r="C271" s="69"/>
      <c r="D271" s="69"/>
      <c r="E271" s="69"/>
      <c r="F271" s="69"/>
      <c r="G271" s="69"/>
      <c r="H271" s="69"/>
      <c r="I271" s="69"/>
      <c r="J271" s="69"/>
      <c r="K271" s="69"/>
      <c r="L271" s="69"/>
      <c r="M271" s="69"/>
      <c r="N271" s="69"/>
      <c r="O271" s="69"/>
      <c r="P271" s="69"/>
      <c r="Q271" s="69"/>
      <c r="R271" s="69"/>
      <c r="S271" s="69"/>
      <c r="T271" s="69"/>
      <c r="U271" s="69"/>
      <c r="V271" s="69"/>
      <c r="W271" s="69"/>
      <c r="X271" s="69"/>
      <c r="Y271" s="69"/>
      <c r="Z271" s="69"/>
      <c r="AA271" s="69"/>
      <c r="AB271" s="69"/>
      <c r="AC271" s="69"/>
      <c r="AD271" s="69"/>
      <c r="AE271" s="69"/>
      <c r="AF271" s="69"/>
      <c r="AG271" s="69"/>
      <c r="AH271" s="69"/>
      <c r="AI271" s="69"/>
      <c r="AJ271" s="69"/>
      <c r="AK271" s="69"/>
      <c r="AL271" s="69"/>
      <c r="AM271" s="69"/>
      <c r="AN271" s="69"/>
      <c r="AO271" s="69"/>
      <c r="AP271" s="69"/>
      <c r="AQ271" s="69"/>
      <c r="AR271" s="69"/>
      <c r="AS271" s="69"/>
      <c r="AT271" s="69"/>
      <c r="AU271" s="69"/>
      <c r="AV271" s="69"/>
      <c r="AW271" s="69"/>
      <c r="AX271" s="69"/>
      <c r="AY271" s="69"/>
      <c r="AZ271" s="69"/>
      <c r="BA271" s="69"/>
      <c r="BB271" s="69"/>
      <c r="BC271" s="69"/>
    </row>
    <row r="272" spans="1:55">
      <c r="A272" s="69"/>
      <c r="B272" s="69"/>
      <c r="C272" s="69"/>
      <c r="D272" s="69"/>
      <c r="E272" s="69"/>
      <c r="F272" s="69"/>
      <c r="G272" s="69"/>
      <c r="H272" s="69"/>
      <c r="I272" s="69"/>
      <c r="J272" s="69"/>
      <c r="K272" s="69"/>
      <c r="L272" s="69"/>
      <c r="M272" s="69"/>
      <c r="N272" s="69"/>
      <c r="O272" s="69"/>
      <c r="P272" s="69"/>
      <c r="Q272" s="69"/>
      <c r="R272" s="69"/>
      <c r="S272" s="69"/>
      <c r="T272" s="69"/>
      <c r="U272" s="69"/>
      <c r="V272" s="69"/>
      <c r="W272" s="69"/>
      <c r="X272" s="69"/>
      <c r="Y272" s="69"/>
      <c r="Z272" s="69"/>
      <c r="AA272" s="69"/>
      <c r="AB272" s="69"/>
      <c r="AC272" s="69"/>
      <c r="AD272" s="69"/>
      <c r="AE272" s="69"/>
      <c r="AF272" s="69"/>
      <c r="AG272" s="69"/>
      <c r="AH272" s="69"/>
      <c r="AI272" s="69"/>
      <c r="AJ272" s="69"/>
      <c r="AK272" s="69"/>
      <c r="AL272" s="69"/>
      <c r="AM272" s="69"/>
      <c r="AN272" s="69"/>
      <c r="AO272" s="69"/>
      <c r="AP272" s="69"/>
      <c r="AQ272" s="69"/>
      <c r="AR272" s="69"/>
      <c r="AS272" s="69"/>
      <c r="AT272" s="69"/>
      <c r="AU272" s="69"/>
      <c r="AV272" s="69"/>
      <c r="AW272" s="69"/>
      <c r="AX272" s="69"/>
      <c r="AY272" s="69"/>
      <c r="AZ272" s="69"/>
      <c r="BA272" s="69"/>
      <c r="BB272" s="69"/>
      <c r="BC272" s="69"/>
    </row>
    <row r="273" spans="1:55">
      <c r="A273" s="69"/>
      <c r="B273" s="69"/>
      <c r="C273" s="69"/>
      <c r="D273" s="69"/>
      <c r="E273" s="69"/>
      <c r="F273" s="69"/>
      <c r="G273" s="69"/>
      <c r="H273" s="69"/>
      <c r="I273" s="69"/>
      <c r="J273" s="69"/>
      <c r="K273" s="69"/>
      <c r="L273" s="69"/>
      <c r="M273" s="69"/>
      <c r="N273" s="69"/>
      <c r="O273" s="69"/>
      <c r="P273" s="69"/>
      <c r="Q273" s="69"/>
      <c r="R273" s="69"/>
      <c r="S273" s="69"/>
      <c r="T273" s="69"/>
      <c r="U273" s="69"/>
      <c r="V273" s="69"/>
      <c r="W273" s="69"/>
      <c r="X273" s="69"/>
      <c r="Y273" s="69"/>
      <c r="Z273" s="69"/>
      <c r="AA273" s="69"/>
      <c r="AB273" s="69"/>
      <c r="AC273" s="69"/>
      <c r="AD273" s="69"/>
      <c r="AE273" s="69"/>
      <c r="AF273" s="69"/>
      <c r="AG273" s="69"/>
      <c r="AH273" s="69"/>
      <c r="AI273" s="69"/>
      <c r="AJ273" s="69"/>
      <c r="AK273" s="69"/>
      <c r="AL273" s="69"/>
      <c r="AM273" s="69"/>
      <c r="AN273" s="69"/>
      <c r="AO273" s="69"/>
      <c r="AP273" s="69"/>
      <c r="AQ273" s="69"/>
      <c r="AR273" s="69"/>
      <c r="AS273" s="69"/>
      <c r="AT273" s="69"/>
      <c r="AU273" s="69"/>
      <c r="AV273" s="69"/>
      <c r="AW273" s="69"/>
      <c r="AX273" s="69"/>
      <c r="AY273" s="69"/>
      <c r="AZ273" s="69"/>
      <c r="BA273" s="69"/>
      <c r="BB273" s="69"/>
      <c r="BC273" s="69"/>
    </row>
    <row r="274" spans="1:55">
      <c r="A274" s="69"/>
      <c r="B274" s="69"/>
      <c r="C274" s="69"/>
      <c r="D274" s="69"/>
      <c r="E274" s="69"/>
      <c r="F274" s="69"/>
      <c r="G274" s="69"/>
      <c r="H274" s="69"/>
      <c r="I274" s="69"/>
      <c r="J274" s="69"/>
      <c r="K274" s="69"/>
      <c r="L274" s="69"/>
      <c r="M274" s="69"/>
      <c r="N274" s="69"/>
      <c r="O274" s="69"/>
      <c r="P274" s="69"/>
      <c r="Q274" s="69"/>
      <c r="R274" s="69"/>
      <c r="S274" s="69"/>
      <c r="T274" s="69"/>
      <c r="U274" s="69"/>
      <c r="V274" s="69"/>
      <c r="W274" s="69"/>
      <c r="X274" s="69"/>
      <c r="Y274" s="69"/>
      <c r="Z274" s="69"/>
      <c r="AA274" s="69"/>
      <c r="AB274" s="69"/>
      <c r="AC274" s="69"/>
      <c r="AD274" s="69"/>
      <c r="AE274" s="69"/>
      <c r="AF274" s="69"/>
      <c r="AG274" s="69"/>
      <c r="AH274" s="69"/>
      <c r="AI274" s="69"/>
      <c r="AJ274" s="69"/>
      <c r="AK274" s="69"/>
      <c r="AL274" s="69"/>
      <c r="AM274" s="69"/>
      <c r="AN274" s="69"/>
      <c r="AO274" s="69"/>
      <c r="AP274" s="69"/>
      <c r="AQ274" s="69"/>
      <c r="AR274" s="69"/>
      <c r="AS274" s="69"/>
      <c r="AT274" s="69"/>
      <c r="AU274" s="69"/>
      <c r="AV274" s="69"/>
      <c r="AW274" s="69"/>
      <c r="AX274" s="69"/>
      <c r="AY274" s="69"/>
      <c r="AZ274" s="69"/>
      <c r="BA274" s="69"/>
      <c r="BB274" s="69"/>
      <c r="BC274" s="69"/>
    </row>
    <row r="275" spans="1:55">
      <c r="A275" s="69"/>
      <c r="B275" s="69"/>
      <c r="C275" s="69"/>
      <c r="D275" s="69"/>
      <c r="E275" s="69"/>
      <c r="F275" s="69"/>
      <c r="G275" s="69"/>
      <c r="H275" s="69"/>
      <c r="I275" s="69"/>
      <c r="J275" s="69"/>
      <c r="K275" s="69"/>
      <c r="L275" s="69"/>
      <c r="M275" s="69"/>
      <c r="N275" s="69"/>
      <c r="O275" s="69"/>
      <c r="P275" s="69"/>
      <c r="Q275" s="69"/>
      <c r="R275" s="69"/>
      <c r="S275" s="69"/>
      <c r="T275" s="69"/>
      <c r="U275" s="69"/>
      <c r="V275" s="69"/>
      <c r="W275" s="69"/>
      <c r="X275" s="69"/>
      <c r="Y275" s="69"/>
      <c r="Z275" s="69"/>
      <c r="AA275" s="69"/>
      <c r="AB275" s="69"/>
      <c r="AC275" s="69"/>
      <c r="AD275" s="69"/>
      <c r="AE275" s="69"/>
      <c r="AF275" s="69"/>
      <c r="AG275" s="69"/>
      <c r="AH275" s="69"/>
      <c r="AI275" s="69"/>
      <c r="AJ275" s="69"/>
      <c r="AK275" s="69"/>
      <c r="AL275" s="69"/>
      <c r="AM275" s="69"/>
      <c r="AN275" s="69"/>
      <c r="AO275" s="69"/>
      <c r="AP275" s="69"/>
      <c r="AQ275" s="69"/>
      <c r="AR275" s="69"/>
      <c r="AS275" s="69"/>
      <c r="AT275" s="69"/>
      <c r="AU275" s="69"/>
      <c r="AV275" s="69"/>
      <c r="AW275" s="69"/>
      <c r="AX275" s="69"/>
      <c r="AY275" s="69"/>
      <c r="AZ275" s="69"/>
      <c r="BA275" s="69"/>
      <c r="BB275" s="69"/>
      <c r="BC275" s="69"/>
    </row>
    <row r="276" spans="1:55">
      <c r="A276" s="69"/>
      <c r="B276" s="69"/>
      <c r="C276" s="69"/>
      <c r="D276" s="69"/>
      <c r="E276" s="69"/>
      <c r="F276" s="69"/>
      <c r="G276" s="69"/>
      <c r="H276" s="69"/>
      <c r="I276" s="69"/>
      <c r="J276" s="69"/>
      <c r="K276" s="69"/>
      <c r="L276" s="69"/>
      <c r="M276" s="69"/>
      <c r="N276" s="69"/>
      <c r="O276" s="69"/>
      <c r="P276" s="69"/>
      <c r="Q276" s="69"/>
      <c r="R276" s="69"/>
      <c r="S276" s="69"/>
      <c r="T276" s="69"/>
      <c r="U276" s="69"/>
      <c r="V276" s="69"/>
      <c r="W276" s="69"/>
      <c r="X276" s="69"/>
      <c r="Y276" s="69"/>
      <c r="Z276" s="69"/>
      <c r="AA276" s="69"/>
      <c r="AB276" s="69"/>
      <c r="AC276" s="69"/>
      <c r="AD276" s="69"/>
      <c r="AE276" s="69"/>
      <c r="AF276" s="69"/>
      <c r="AG276" s="69"/>
      <c r="AH276" s="69"/>
      <c r="AI276" s="69"/>
      <c r="AJ276" s="69"/>
      <c r="AK276" s="69"/>
      <c r="AL276" s="69"/>
      <c r="AM276" s="69"/>
      <c r="AN276" s="69"/>
      <c r="AO276" s="69"/>
      <c r="AP276" s="69"/>
      <c r="AQ276" s="69"/>
      <c r="AR276" s="69"/>
      <c r="AS276" s="69"/>
      <c r="AT276" s="69"/>
      <c r="AU276" s="69"/>
      <c r="AV276" s="69"/>
      <c r="AW276" s="69"/>
      <c r="AX276" s="69"/>
      <c r="AY276" s="69"/>
      <c r="AZ276" s="69"/>
      <c r="BA276" s="69"/>
      <c r="BB276" s="69"/>
      <c r="BC276" s="69"/>
    </row>
    <row r="277" spans="1:55">
      <c r="A277" s="69"/>
      <c r="B277" s="69"/>
      <c r="C277" s="69"/>
      <c r="D277" s="69"/>
      <c r="E277" s="69"/>
      <c r="F277" s="69"/>
      <c r="G277" s="69"/>
      <c r="H277" s="69"/>
      <c r="I277" s="69"/>
      <c r="J277" s="69"/>
      <c r="K277" s="69"/>
      <c r="L277" s="69"/>
      <c r="M277" s="69"/>
      <c r="N277" s="69"/>
      <c r="O277" s="69"/>
      <c r="P277" s="69"/>
      <c r="Q277" s="69"/>
      <c r="R277" s="69"/>
      <c r="S277" s="69"/>
      <c r="T277" s="69"/>
      <c r="U277" s="69"/>
      <c r="V277" s="69"/>
      <c r="W277" s="69"/>
      <c r="X277" s="69"/>
      <c r="Y277" s="69"/>
      <c r="Z277" s="69"/>
      <c r="AA277" s="69"/>
      <c r="AB277" s="69"/>
      <c r="AC277" s="69"/>
      <c r="AD277" s="69"/>
      <c r="AE277" s="69"/>
      <c r="AF277" s="69"/>
      <c r="AG277" s="69"/>
      <c r="AH277" s="69"/>
      <c r="AI277" s="69"/>
      <c r="AJ277" s="69"/>
      <c r="AK277" s="69"/>
      <c r="AL277" s="69"/>
      <c r="AM277" s="69"/>
      <c r="AN277" s="69"/>
      <c r="AO277" s="69"/>
      <c r="AP277" s="69"/>
      <c r="AQ277" s="69"/>
      <c r="AR277" s="69"/>
      <c r="AS277" s="69"/>
      <c r="AT277" s="69"/>
      <c r="AU277" s="69"/>
      <c r="AV277" s="69"/>
      <c r="AW277" s="69"/>
      <c r="AX277" s="69"/>
      <c r="AY277" s="69"/>
      <c r="AZ277" s="69"/>
      <c r="BA277" s="69"/>
      <c r="BB277" s="69"/>
      <c r="BC277" s="69"/>
    </row>
    <row r="278" spans="1:55">
      <c r="A278" s="69"/>
      <c r="B278" s="69"/>
      <c r="C278" s="69"/>
      <c r="D278" s="69"/>
      <c r="E278" s="69"/>
      <c r="F278" s="69"/>
      <c r="G278" s="69"/>
      <c r="H278" s="69"/>
      <c r="I278" s="69"/>
      <c r="J278" s="69"/>
      <c r="K278" s="69"/>
      <c r="L278" s="69"/>
      <c r="M278" s="69"/>
      <c r="N278" s="69"/>
      <c r="O278" s="69"/>
      <c r="P278" s="69"/>
      <c r="Q278" s="69"/>
      <c r="R278" s="69"/>
      <c r="S278" s="69"/>
      <c r="T278" s="69"/>
      <c r="U278" s="69"/>
      <c r="V278" s="69"/>
      <c r="W278" s="69"/>
      <c r="X278" s="69"/>
      <c r="Y278" s="69"/>
      <c r="Z278" s="69"/>
      <c r="AA278" s="69"/>
      <c r="AB278" s="69"/>
      <c r="AC278" s="69"/>
      <c r="AD278" s="69"/>
      <c r="AE278" s="69"/>
      <c r="AF278" s="69"/>
      <c r="AG278" s="69"/>
      <c r="AH278" s="69"/>
      <c r="AI278" s="69"/>
      <c r="AJ278" s="69"/>
      <c r="AK278" s="69"/>
      <c r="AL278" s="69"/>
      <c r="AM278" s="69"/>
      <c r="AN278" s="69"/>
      <c r="AO278" s="69"/>
      <c r="AP278" s="69"/>
      <c r="AQ278" s="69"/>
      <c r="AR278" s="69"/>
      <c r="AS278" s="69"/>
      <c r="AT278" s="69"/>
      <c r="AU278" s="69"/>
      <c r="AV278" s="69"/>
      <c r="AW278" s="69"/>
      <c r="AX278" s="69"/>
      <c r="AY278" s="69"/>
      <c r="AZ278" s="69"/>
      <c r="BA278" s="69"/>
      <c r="BB278" s="69"/>
      <c r="BC278" s="69"/>
    </row>
    <row r="279" spans="1:55">
      <c r="A279" s="69"/>
      <c r="B279" s="69"/>
      <c r="C279" s="69"/>
      <c r="D279" s="69"/>
      <c r="E279" s="69"/>
      <c r="F279" s="69"/>
      <c r="G279" s="69"/>
      <c r="H279" s="69"/>
      <c r="I279" s="69"/>
      <c r="J279" s="69"/>
      <c r="K279" s="69"/>
      <c r="L279" s="69"/>
      <c r="M279" s="69"/>
      <c r="N279" s="69"/>
      <c r="O279" s="69"/>
      <c r="P279" s="69"/>
      <c r="Q279" s="69"/>
      <c r="R279" s="69"/>
      <c r="S279" s="69"/>
      <c r="T279" s="69"/>
      <c r="U279" s="69"/>
      <c r="V279" s="69"/>
      <c r="W279" s="69"/>
      <c r="X279" s="69"/>
      <c r="Y279" s="69"/>
      <c r="Z279" s="69"/>
      <c r="AA279" s="69"/>
      <c r="AB279" s="69"/>
      <c r="AC279" s="69"/>
      <c r="AD279" s="69"/>
      <c r="AE279" s="69"/>
      <c r="AF279" s="69"/>
      <c r="AG279" s="69"/>
      <c r="AH279" s="69"/>
      <c r="AI279" s="69"/>
      <c r="AJ279" s="69"/>
      <c r="AK279" s="69"/>
      <c r="AL279" s="69"/>
      <c r="AM279" s="69"/>
      <c r="AN279" s="69"/>
      <c r="AO279" s="69"/>
      <c r="AP279" s="69"/>
      <c r="AQ279" s="69"/>
      <c r="AR279" s="69"/>
      <c r="AS279" s="69"/>
      <c r="AT279" s="69"/>
      <c r="AU279" s="69"/>
      <c r="AV279" s="69"/>
      <c r="AW279" s="69"/>
      <c r="AX279" s="69"/>
      <c r="AY279" s="69"/>
      <c r="AZ279" s="69"/>
      <c r="BA279" s="69"/>
      <c r="BB279" s="69"/>
      <c r="BC279" s="69"/>
    </row>
    <row r="280" spans="1:55">
      <c r="A280" s="69"/>
      <c r="B280" s="69"/>
      <c r="C280" s="69"/>
      <c r="D280" s="69"/>
      <c r="E280" s="69"/>
      <c r="F280" s="69"/>
      <c r="G280" s="69"/>
      <c r="H280" s="69"/>
      <c r="I280" s="69"/>
      <c r="J280" s="69"/>
      <c r="K280" s="69"/>
      <c r="L280" s="69"/>
      <c r="M280" s="69"/>
      <c r="N280" s="69"/>
      <c r="O280" s="69"/>
      <c r="P280" s="69"/>
      <c r="Q280" s="69"/>
      <c r="R280" s="69"/>
      <c r="S280" s="69"/>
      <c r="T280" s="69"/>
      <c r="U280" s="69"/>
      <c r="V280" s="69"/>
      <c r="W280" s="69"/>
      <c r="X280" s="69"/>
      <c r="Y280" s="69"/>
      <c r="Z280" s="69"/>
      <c r="AA280" s="69"/>
      <c r="AB280" s="69"/>
      <c r="AC280" s="69"/>
      <c r="AD280" s="69"/>
      <c r="AE280" s="69"/>
      <c r="AF280" s="69"/>
      <c r="AG280" s="69"/>
      <c r="AH280" s="69"/>
      <c r="AI280" s="69"/>
      <c r="AJ280" s="69"/>
      <c r="AK280" s="69"/>
      <c r="AL280" s="69"/>
      <c r="AM280" s="69"/>
      <c r="AN280" s="69"/>
      <c r="AO280" s="69"/>
      <c r="AP280" s="69"/>
      <c r="AQ280" s="69"/>
      <c r="AR280" s="69"/>
      <c r="AS280" s="69"/>
      <c r="AT280" s="69"/>
      <c r="AU280" s="69"/>
      <c r="AV280" s="69"/>
      <c r="AW280" s="69"/>
      <c r="AX280" s="69"/>
      <c r="AY280" s="69"/>
      <c r="AZ280" s="69"/>
      <c r="BA280" s="69"/>
      <c r="BB280" s="69"/>
      <c r="BC280" s="69"/>
    </row>
    <row r="281" spans="1:55">
      <c r="A281" s="69"/>
      <c r="B281" s="69"/>
      <c r="C281" s="69"/>
      <c r="D281" s="69"/>
      <c r="E281" s="69"/>
      <c r="F281" s="69"/>
      <c r="G281" s="69"/>
      <c r="H281" s="69"/>
      <c r="I281" s="69"/>
      <c r="J281" s="69"/>
      <c r="K281" s="69"/>
      <c r="L281" s="69"/>
      <c r="M281" s="69"/>
      <c r="N281" s="69"/>
      <c r="O281" s="69"/>
      <c r="P281" s="69"/>
      <c r="Q281" s="69"/>
      <c r="R281" s="69"/>
      <c r="S281" s="69"/>
      <c r="T281" s="69"/>
      <c r="U281" s="69"/>
      <c r="V281" s="69"/>
      <c r="W281" s="69"/>
      <c r="X281" s="69"/>
      <c r="Y281" s="69"/>
      <c r="Z281" s="69"/>
      <c r="AA281" s="69"/>
      <c r="AB281" s="69"/>
      <c r="AC281" s="69"/>
      <c r="AD281" s="69"/>
      <c r="AE281" s="69"/>
      <c r="AF281" s="69"/>
      <c r="AG281" s="69"/>
      <c r="AH281" s="69"/>
      <c r="AI281" s="69"/>
      <c r="AJ281" s="69"/>
      <c r="AK281" s="69"/>
      <c r="AL281" s="69"/>
      <c r="AM281" s="69"/>
      <c r="AN281" s="69"/>
      <c r="AO281" s="69"/>
      <c r="AP281" s="69"/>
      <c r="AQ281" s="69"/>
      <c r="AR281" s="69"/>
      <c r="AS281" s="69"/>
      <c r="AT281" s="69"/>
      <c r="AU281" s="69"/>
      <c r="AV281" s="69"/>
      <c r="AW281" s="69"/>
      <c r="AX281" s="69"/>
      <c r="AY281" s="69"/>
      <c r="AZ281" s="69"/>
      <c r="BA281" s="69"/>
      <c r="BB281" s="69"/>
      <c r="BC281" s="69"/>
    </row>
    <row r="282" spans="1:55">
      <c r="A282" s="69"/>
      <c r="B282" s="69"/>
      <c r="C282" s="69"/>
      <c r="D282" s="69"/>
      <c r="E282" s="69"/>
      <c r="F282" s="69"/>
      <c r="G282" s="69"/>
      <c r="H282" s="69"/>
      <c r="I282" s="69"/>
      <c r="J282" s="69"/>
      <c r="K282" s="69"/>
      <c r="L282" s="69"/>
      <c r="M282" s="69"/>
      <c r="N282" s="69"/>
      <c r="O282" s="69"/>
      <c r="P282" s="69"/>
      <c r="Q282" s="69"/>
      <c r="R282" s="69"/>
      <c r="S282" s="69"/>
      <c r="T282" s="69"/>
      <c r="U282" s="69"/>
      <c r="V282" s="69"/>
      <c r="W282" s="69"/>
      <c r="X282" s="69"/>
      <c r="Y282" s="69"/>
      <c r="Z282" s="69"/>
      <c r="AA282" s="69"/>
      <c r="AB282" s="69"/>
      <c r="AC282" s="69"/>
      <c r="AD282" s="69"/>
      <c r="AE282" s="69"/>
      <c r="AF282" s="69"/>
      <c r="AG282" s="69"/>
      <c r="AH282" s="69"/>
      <c r="AI282" s="69"/>
      <c r="AJ282" s="69"/>
      <c r="AK282" s="69"/>
      <c r="AL282" s="69"/>
      <c r="AM282" s="69"/>
      <c r="AN282" s="69"/>
      <c r="AO282" s="69"/>
      <c r="AP282" s="69"/>
      <c r="AQ282" s="69"/>
      <c r="AR282" s="69"/>
      <c r="AS282" s="69"/>
      <c r="AT282" s="69"/>
      <c r="AU282" s="69"/>
      <c r="AV282" s="69"/>
      <c r="AW282" s="69"/>
      <c r="AX282" s="69"/>
      <c r="AY282" s="69"/>
      <c r="AZ282" s="69"/>
      <c r="BA282" s="69"/>
      <c r="BB282" s="69"/>
      <c r="BC282" s="69"/>
    </row>
    <row r="283" spans="1:55">
      <c r="A283" s="69"/>
      <c r="B283" s="69"/>
      <c r="C283" s="69"/>
      <c r="D283" s="69"/>
      <c r="E283" s="69"/>
      <c r="F283" s="69"/>
      <c r="G283" s="69"/>
      <c r="H283" s="69"/>
      <c r="I283" s="69"/>
      <c r="J283" s="69"/>
      <c r="K283" s="69"/>
      <c r="L283" s="69"/>
      <c r="M283" s="69"/>
      <c r="N283" s="69"/>
      <c r="O283" s="69"/>
      <c r="P283" s="69"/>
      <c r="Q283" s="69"/>
      <c r="R283" s="69"/>
      <c r="S283" s="69"/>
      <c r="T283" s="69"/>
      <c r="U283" s="69"/>
      <c r="V283" s="69"/>
      <c r="W283" s="69"/>
      <c r="X283" s="69"/>
      <c r="Y283" s="69"/>
      <c r="Z283" s="69"/>
      <c r="AA283" s="69"/>
      <c r="AB283" s="69"/>
      <c r="AC283" s="69"/>
      <c r="AD283" s="69"/>
      <c r="AE283" s="69"/>
      <c r="AF283" s="69"/>
      <c r="AG283" s="69"/>
      <c r="AH283" s="69"/>
      <c r="AI283" s="69"/>
      <c r="AJ283" s="69"/>
      <c r="AK283" s="69"/>
      <c r="AL283" s="69"/>
      <c r="AM283" s="69"/>
      <c r="AN283" s="69"/>
      <c r="AO283" s="69"/>
      <c r="AP283" s="69"/>
      <c r="AQ283" s="69"/>
      <c r="AR283" s="69"/>
      <c r="AS283" s="69"/>
      <c r="AT283" s="69"/>
      <c r="AU283" s="69"/>
      <c r="AV283" s="69"/>
      <c r="AW283" s="69"/>
      <c r="AX283" s="69"/>
      <c r="AY283" s="69"/>
      <c r="AZ283" s="69"/>
      <c r="BA283" s="69"/>
      <c r="BB283" s="69"/>
      <c r="BC283" s="69"/>
    </row>
    <row r="284" spans="1:55">
      <c r="A284" s="69"/>
      <c r="B284" s="69"/>
      <c r="C284" s="69"/>
      <c r="D284" s="69"/>
      <c r="E284" s="69"/>
      <c r="F284" s="69"/>
      <c r="G284" s="69"/>
      <c r="H284" s="69"/>
      <c r="I284" s="69"/>
      <c r="J284" s="69"/>
      <c r="K284" s="69"/>
      <c r="L284" s="69"/>
      <c r="M284" s="69"/>
      <c r="N284" s="69"/>
      <c r="O284" s="69"/>
      <c r="P284" s="69"/>
      <c r="Q284" s="69"/>
      <c r="R284" s="69"/>
      <c r="S284" s="69"/>
      <c r="T284" s="69"/>
      <c r="U284" s="69"/>
      <c r="V284" s="69"/>
      <c r="W284" s="69"/>
      <c r="X284" s="69"/>
      <c r="Y284" s="69"/>
      <c r="Z284" s="69"/>
      <c r="AA284" s="69"/>
      <c r="AB284" s="69"/>
      <c r="AC284" s="69"/>
      <c r="AD284" s="69"/>
      <c r="AE284" s="69"/>
      <c r="AF284" s="69"/>
      <c r="AG284" s="69"/>
      <c r="AH284" s="69"/>
      <c r="AI284" s="69"/>
      <c r="AJ284" s="69"/>
      <c r="AK284" s="69"/>
      <c r="AL284" s="69"/>
      <c r="AM284" s="69"/>
      <c r="AN284" s="69"/>
      <c r="AO284" s="69"/>
      <c r="AP284" s="69"/>
      <c r="AQ284" s="69"/>
      <c r="AR284" s="69"/>
      <c r="AS284" s="69"/>
      <c r="AT284" s="69"/>
      <c r="AU284" s="69"/>
      <c r="AV284" s="69"/>
      <c r="AW284" s="69"/>
      <c r="AX284" s="69"/>
      <c r="AY284" s="69"/>
      <c r="AZ284" s="69"/>
      <c r="BA284" s="69"/>
      <c r="BB284" s="69"/>
      <c r="BC284" s="69"/>
    </row>
    <row r="285" spans="1:55">
      <c r="A285" s="69"/>
      <c r="B285" s="69"/>
      <c r="C285" s="69"/>
      <c r="D285" s="69"/>
      <c r="E285" s="69"/>
      <c r="F285" s="69"/>
      <c r="G285" s="69"/>
      <c r="H285" s="69"/>
      <c r="I285" s="69"/>
      <c r="J285" s="69"/>
      <c r="K285" s="69"/>
      <c r="L285" s="69"/>
      <c r="M285" s="69"/>
      <c r="N285" s="69"/>
      <c r="O285" s="69"/>
      <c r="P285" s="69"/>
      <c r="Q285" s="69"/>
      <c r="R285" s="69"/>
      <c r="S285" s="69"/>
      <c r="T285" s="69"/>
      <c r="U285" s="69"/>
      <c r="V285" s="69"/>
      <c r="W285" s="69"/>
      <c r="X285" s="69"/>
      <c r="Y285" s="69"/>
      <c r="Z285" s="69"/>
      <c r="AA285" s="69"/>
      <c r="AB285" s="69"/>
      <c r="AC285" s="69"/>
      <c r="AD285" s="69"/>
      <c r="AE285" s="69"/>
      <c r="AF285" s="69"/>
      <c r="AG285" s="69"/>
      <c r="AH285" s="69"/>
      <c r="AI285" s="69"/>
      <c r="AJ285" s="69"/>
      <c r="AK285" s="69"/>
      <c r="AL285" s="69"/>
      <c r="AM285" s="69"/>
      <c r="AN285" s="69"/>
      <c r="AO285" s="69"/>
      <c r="AP285" s="69"/>
      <c r="AQ285" s="69"/>
      <c r="AR285" s="69"/>
      <c r="AS285" s="69"/>
      <c r="AT285" s="69"/>
      <c r="AU285" s="69"/>
      <c r="AV285" s="69"/>
      <c r="AW285" s="69"/>
      <c r="AX285" s="69"/>
      <c r="AY285" s="69"/>
      <c r="AZ285" s="69"/>
      <c r="BA285" s="69"/>
      <c r="BB285" s="69"/>
      <c r="BC285" s="69"/>
    </row>
    <row r="286" spans="1:55">
      <c r="A286" s="69"/>
      <c r="B286" s="69"/>
      <c r="C286" s="69"/>
      <c r="D286" s="69"/>
      <c r="E286" s="69"/>
      <c r="F286" s="69"/>
      <c r="G286" s="69"/>
      <c r="H286" s="69"/>
      <c r="I286" s="69"/>
      <c r="J286" s="69"/>
      <c r="K286" s="69"/>
      <c r="L286" s="69"/>
      <c r="M286" s="69"/>
      <c r="N286" s="69"/>
      <c r="O286" s="69"/>
      <c r="P286" s="69"/>
      <c r="Q286" s="69"/>
      <c r="R286" s="69"/>
      <c r="S286" s="69"/>
      <c r="T286" s="69"/>
      <c r="U286" s="69"/>
      <c r="V286" s="69"/>
      <c r="W286" s="69"/>
      <c r="X286" s="69"/>
      <c r="Y286" s="69"/>
      <c r="Z286" s="69"/>
      <c r="AA286" s="69"/>
      <c r="AB286" s="69"/>
      <c r="AC286" s="69"/>
      <c r="AD286" s="69"/>
      <c r="AE286" s="69"/>
      <c r="AF286" s="69"/>
      <c r="AG286" s="69"/>
      <c r="AH286" s="69"/>
      <c r="AI286" s="69"/>
      <c r="AJ286" s="69"/>
      <c r="AK286" s="69"/>
      <c r="AL286" s="69"/>
      <c r="AM286" s="69"/>
      <c r="AN286" s="69"/>
      <c r="AO286" s="69"/>
      <c r="AP286" s="69"/>
      <c r="AQ286" s="69"/>
      <c r="AR286" s="69"/>
      <c r="AS286" s="69"/>
      <c r="AT286" s="69"/>
      <c r="AU286" s="69"/>
      <c r="AV286" s="69"/>
      <c r="AW286" s="69"/>
      <c r="AX286" s="69"/>
      <c r="AY286" s="69"/>
      <c r="AZ286" s="69"/>
      <c r="BA286" s="69"/>
      <c r="BB286" s="69"/>
      <c r="BC286" s="69"/>
    </row>
    <row r="287" spans="1:55">
      <c r="A287" s="69"/>
      <c r="B287" s="69"/>
      <c r="C287" s="69"/>
      <c r="D287" s="69"/>
      <c r="E287" s="69"/>
      <c r="F287" s="69"/>
      <c r="G287" s="69"/>
      <c r="H287" s="69"/>
      <c r="I287" s="69"/>
      <c r="J287" s="69"/>
      <c r="K287" s="69"/>
      <c r="L287" s="69"/>
      <c r="M287" s="69"/>
      <c r="N287" s="69"/>
      <c r="O287" s="69"/>
      <c r="P287" s="69"/>
      <c r="Q287" s="69"/>
      <c r="R287" s="69"/>
      <c r="S287" s="69"/>
      <c r="T287" s="69"/>
      <c r="U287" s="69"/>
      <c r="V287" s="69"/>
      <c r="W287" s="69"/>
      <c r="X287" s="69"/>
      <c r="Y287" s="69"/>
      <c r="Z287" s="69"/>
      <c r="AA287" s="69"/>
      <c r="AB287" s="69"/>
      <c r="AC287" s="69"/>
      <c r="AD287" s="69"/>
      <c r="AE287" s="69"/>
      <c r="AF287" s="69"/>
      <c r="AG287" s="69"/>
      <c r="AH287" s="69"/>
      <c r="AI287" s="69"/>
      <c r="AJ287" s="69"/>
      <c r="AK287" s="69"/>
      <c r="AL287" s="69"/>
      <c r="AM287" s="69"/>
      <c r="AN287" s="69"/>
      <c r="AO287" s="69"/>
      <c r="AP287" s="69"/>
      <c r="AQ287" s="69"/>
      <c r="AR287" s="69"/>
      <c r="AS287" s="69"/>
      <c r="AT287" s="69"/>
      <c r="AU287" s="69"/>
      <c r="AV287" s="69"/>
      <c r="AW287" s="69"/>
      <c r="AX287" s="69"/>
      <c r="AY287" s="69"/>
      <c r="AZ287" s="69"/>
      <c r="BA287" s="69"/>
      <c r="BB287" s="69"/>
      <c r="BC287" s="69"/>
    </row>
    <row r="288" spans="1:55">
      <c r="A288" s="69"/>
      <c r="B288" s="69"/>
      <c r="C288" s="69"/>
      <c r="D288" s="69"/>
      <c r="E288" s="69"/>
      <c r="F288" s="69"/>
      <c r="G288" s="69"/>
      <c r="H288" s="69"/>
      <c r="I288" s="69"/>
      <c r="J288" s="69"/>
      <c r="K288" s="69"/>
      <c r="L288" s="69"/>
      <c r="M288" s="69"/>
      <c r="N288" s="69"/>
      <c r="O288" s="69"/>
      <c r="P288" s="69"/>
      <c r="Q288" s="69"/>
      <c r="R288" s="69"/>
      <c r="S288" s="69"/>
      <c r="T288" s="69"/>
      <c r="U288" s="69"/>
      <c r="V288" s="69"/>
      <c r="W288" s="69"/>
      <c r="X288" s="69"/>
      <c r="Y288" s="69"/>
      <c r="Z288" s="69"/>
      <c r="AA288" s="69"/>
      <c r="AB288" s="69"/>
      <c r="AC288" s="69"/>
      <c r="AD288" s="69"/>
      <c r="AE288" s="69"/>
      <c r="AF288" s="69"/>
      <c r="AG288" s="69"/>
      <c r="AH288" s="69"/>
      <c r="AI288" s="69"/>
      <c r="AJ288" s="69"/>
      <c r="AK288" s="69"/>
      <c r="AL288" s="69"/>
      <c r="AM288" s="69"/>
      <c r="AN288" s="69"/>
      <c r="AO288" s="69"/>
      <c r="AP288" s="69"/>
      <c r="AQ288" s="69"/>
      <c r="AR288" s="69"/>
      <c r="AS288" s="69"/>
      <c r="AT288" s="69"/>
      <c r="AU288" s="69"/>
      <c r="AV288" s="69"/>
      <c r="AW288" s="69"/>
      <c r="AX288" s="69"/>
      <c r="AY288" s="69"/>
      <c r="AZ288" s="69"/>
      <c r="BA288" s="69"/>
      <c r="BB288" s="69"/>
      <c r="BC288" s="69"/>
    </row>
    <row r="289" spans="1:55">
      <c r="A289" s="69"/>
      <c r="B289" s="69"/>
      <c r="C289" s="69"/>
      <c r="D289" s="69"/>
      <c r="E289" s="69"/>
      <c r="F289" s="69"/>
      <c r="G289" s="69"/>
      <c r="H289" s="69"/>
      <c r="I289" s="69"/>
      <c r="J289" s="69"/>
      <c r="K289" s="69"/>
      <c r="L289" s="69"/>
      <c r="M289" s="69"/>
      <c r="N289" s="69"/>
      <c r="O289" s="69"/>
      <c r="P289" s="69"/>
      <c r="Q289" s="69"/>
      <c r="R289" s="69"/>
      <c r="S289" s="69"/>
      <c r="T289" s="69"/>
      <c r="U289" s="69"/>
      <c r="V289" s="69"/>
      <c r="W289" s="69"/>
      <c r="X289" s="69"/>
      <c r="Y289" s="69"/>
      <c r="Z289" s="69"/>
      <c r="AA289" s="69"/>
      <c r="AB289" s="69"/>
      <c r="AC289" s="69"/>
      <c r="AD289" s="69"/>
      <c r="AE289" s="69"/>
      <c r="AF289" s="69"/>
      <c r="AG289" s="69"/>
      <c r="AH289" s="69"/>
      <c r="AI289" s="69"/>
      <c r="AJ289" s="69"/>
      <c r="AK289" s="69"/>
      <c r="AL289" s="69"/>
      <c r="AM289" s="69"/>
      <c r="AN289" s="69"/>
      <c r="AO289" s="69"/>
      <c r="AP289" s="69"/>
      <c r="AQ289" s="69"/>
      <c r="AR289" s="69"/>
      <c r="AS289" s="69"/>
      <c r="AT289" s="69"/>
      <c r="AU289" s="69"/>
      <c r="AV289" s="69"/>
      <c r="AW289" s="69"/>
      <c r="AX289" s="69"/>
      <c r="AY289" s="69"/>
      <c r="AZ289" s="69"/>
      <c r="BA289" s="69"/>
      <c r="BB289" s="69"/>
      <c r="BC289" s="69"/>
    </row>
    <row r="290" spans="1:55">
      <c r="A290" s="69"/>
      <c r="B290" s="69"/>
      <c r="C290" s="69"/>
      <c r="D290" s="69"/>
      <c r="E290" s="69"/>
      <c r="F290" s="69"/>
      <c r="G290" s="69"/>
      <c r="H290" s="69"/>
      <c r="I290" s="69"/>
      <c r="J290" s="69"/>
      <c r="K290" s="69"/>
      <c r="L290" s="69"/>
      <c r="M290" s="69"/>
      <c r="N290" s="69"/>
      <c r="O290" s="69"/>
      <c r="P290" s="69"/>
      <c r="Q290" s="69"/>
      <c r="R290" s="69"/>
      <c r="S290" s="69"/>
      <c r="T290" s="69"/>
      <c r="U290" s="69"/>
      <c r="V290" s="69"/>
      <c r="W290" s="69"/>
      <c r="X290" s="69"/>
      <c r="Y290" s="69"/>
      <c r="Z290" s="69"/>
      <c r="AA290" s="69"/>
      <c r="AB290" s="69"/>
      <c r="AC290" s="69"/>
      <c r="AD290" s="69"/>
      <c r="AE290" s="69"/>
      <c r="AF290" s="69"/>
      <c r="AG290" s="69"/>
      <c r="AH290" s="69"/>
      <c r="AI290" s="69"/>
      <c r="AJ290" s="69"/>
      <c r="AK290" s="69"/>
      <c r="AL290" s="69"/>
      <c r="AM290" s="69"/>
      <c r="AN290" s="69"/>
      <c r="AO290" s="69"/>
      <c r="AP290" s="69"/>
      <c r="AQ290" s="69"/>
      <c r="AR290" s="69"/>
      <c r="AS290" s="69"/>
      <c r="AT290" s="69"/>
      <c r="AU290" s="69"/>
      <c r="AV290" s="69"/>
      <c r="AW290" s="69"/>
      <c r="AX290" s="69"/>
      <c r="AY290" s="69"/>
      <c r="AZ290" s="69"/>
      <c r="BA290" s="69"/>
      <c r="BB290" s="69"/>
      <c r="BC290" s="69"/>
    </row>
    <row r="291" spans="1:55">
      <c r="A291" s="69"/>
      <c r="B291" s="69"/>
      <c r="C291" s="69"/>
      <c r="D291" s="69"/>
      <c r="E291" s="69"/>
      <c r="F291" s="69"/>
      <c r="G291" s="69"/>
      <c r="H291" s="69"/>
      <c r="I291" s="69"/>
      <c r="J291" s="69"/>
      <c r="K291" s="69"/>
      <c r="L291" s="69"/>
      <c r="M291" s="69"/>
      <c r="N291" s="69"/>
      <c r="O291" s="69"/>
      <c r="P291" s="69"/>
      <c r="Q291" s="69"/>
      <c r="R291" s="69"/>
      <c r="S291" s="69"/>
      <c r="T291" s="69"/>
      <c r="U291" s="69"/>
      <c r="V291" s="69"/>
      <c r="W291" s="69"/>
      <c r="X291" s="69"/>
      <c r="Y291" s="69"/>
      <c r="Z291" s="69"/>
      <c r="AA291" s="69"/>
      <c r="AB291" s="69"/>
      <c r="AC291" s="69"/>
      <c r="AD291" s="69"/>
      <c r="AE291" s="69"/>
      <c r="AF291" s="69"/>
      <c r="AG291" s="69"/>
      <c r="AH291" s="69"/>
      <c r="AI291" s="69"/>
      <c r="AJ291" s="69"/>
      <c r="AK291" s="69"/>
      <c r="AL291" s="69"/>
      <c r="AM291" s="69"/>
      <c r="AN291" s="69"/>
      <c r="AO291" s="69"/>
      <c r="AP291" s="69"/>
      <c r="AQ291" s="69"/>
      <c r="AR291" s="69"/>
      <c r="AS291" s="69"/>
      <c r="AT291" s="69"/>
      <c r="AU291" s="69"/>
      <c r="AV291" s="69"/>
      <c r="AW291" s="69"/>
      <c r="AX291" s="69"/>
      <c r="AY291" s="69"/>
      <c r="AZ291" s="69"/>
      <c r="BA291" s="69"/>
      <c r="BB291" s="69"/>
      <c r="BC291" s="69"/>
    </row>
    <row r="292" spans="1:55">
      <c r="A292" s="69"/>
      <c r="B292" s="69"/>
      <c r="C292" s="69"/>
      <c r="D292" s="69"/>
      <c r="E292" s="69"/>
      <c r="F292" s="69"/>
      <c r="G292" s="69"/>
      <c r="H292" s="69"/>
      <c r="I292" s="69"/>
      <c r="J292" s="69"/>
      <c r="K292" s="69"/>
      <c r="L292" s="69"/>
      <c r="M292" s="69"/>
      <c r="N292" s="69"/>
      <c r="O292" s="69"/>
      <c r="P292" s="69"/>
      <c r="Q292" s="69"/>
      <c r="R292" s="69"/>
      <c r="S292" s="69"/>
      <c r="T292" s="69"/>
      <c r="U292" s="69"/>
      <c r="V292" s="69"/>
      <c r="W292" s="69"/>
      <c r="X292" s="69"/>
      <c r="Y292" s="69"/>
      <c r="Z292" s="69"/>
      <c r="AA292" s="69"/>
      <c r="AB292" s="69"/>
      <c r="AC292" s="69"/>
      <c r="AD292" s="69"/>
      <c r="AE292" s="69"/>
      <c r="AF292" s="69"/>
      <c r="AG292" s="69"/>
      <c r="AH292" s="69"/>
      <c r="AI292" s="69"/>
      <c r="AJ292" s="69"/>
      <c r="AK292" s="69"/>
      <c r="AL292" s="69"/>
      <c r="AM292" s="69"/>
      <c r="AN292" s="69"/>
      <c r="AO292" s="69"/>
      <c r="AP292" s="69"/>
      <c r="AQ292" s="69"/>
      <c r="AR292" s="69"/>
      <c r="AS292" s="69"/>
      <c r="AT292" s="69"/>
      <c r="AU292" s="69"/>
      <c r="AV292" s="69"/>
      <c r="AW292" s="69"/>
      <c r="AX292" s="69"/>
      <c r="AY292" s="69"/>
      <c r="AZ292" s="69"/>
      <c r="BA292" s="69"/>
      <c r="BB292" s="69"/>
      <c r="BC292" s="69"/>
    </row>
    <row r="293" spans="1:55">
      <c r="A293" s="69"/>
      <c r="B293" s="69"/>
      <c r="C293" s="69"/>
      <c r="D293" s="69"/>
      <c r="E293" s="69"/>
      <c r="F293" s="69"/>
      <c r="G293" s="69"/>
      <c r="H293" s="69"/>
      <c r="I293" s="69"/>
      <c r="J293" s="69"/>
      <c r="K293" s="69"/>
      <c r="L293" s="69"/>
      <c r="M293" s="69"/>
      <c r="N293" s="69"/>
      <c r="O293" s="69"/>
      <c r="P293" s="69"/>
      <c r="Q293" s="69"/>
      <c r="R293" s="69"/>
      <c r="S293" s="69"/>
      <c r="T293" s="69"/>
      <c r="U293" s="69"/>
      <c r="V293" s="69"/>
      <c r="W293" s="69"/>
      <c r="X293" s="69"/>
      <c r="Y293" s="69"/>
      <c r="Z293" s="69"/>
      <c r="AA293" s="69"/>
      <c r="AB293" s="69"/>
      <c r="AC293" s="69"/>
      <c r="AD293" s="69"/>
      <c r="AE293" s="69"/>
      <c r="AF293" s="69"/>
      <c r="AG293" s="69"/>
      <c r="AH293" s="69"/>
      <c r="AI293" s="69"/>
      <c r="AJ293" s="69"/>
      <c r="AK293" s="69"/>
      <c r="AL293" s="69"/>
      <c r="AM293" s="69"/>
      <c r="AN293" s="69"/>
      <c r="AO293" s="69"/>
      <c r="AP293" s="69"/>
      <c r="AQ293" s="69"/>
      <c r="AR293" s="69"/>
      <c r="AS293" s="69"/>
      <c r="AT293" s="69"/>
      <c r="AU293" s="69"/>
      <c r="AV293" s="69"/>
      <c r="AW293" s="69"/>
      <c r="AX293" s="69"/>
      <c r="AY293" s="69"/>
      <c r="AZ293" s="69"/>
      <c r="BA293" s="69"/>
      <c r="BB293" s="69"/>
      <c r="BC293" s="69"/>
    </row>
    <row r="294" spans="1:55">
      <c r="A294" s="69"/>
      <c r="B294" s="69"/>
      <c r="C294" s="69"/>
      <c r="D294" s="69"/>
      <c r="E294" s="69"/>
      <c r="F294" s="69"/>
      <c r="G294" s="69"/>
      <c r="H294" s="69"/>
      <c r="I294" s="69"/>
      <c r="J294" s="69"/>
      <c r="K294" s="69"/>
      <c r="L294" s="69"/>
      <c r="M294" s="69"/>
      <c r="N294" s="69"/>
      <c r="O294" s="69"/>
      <c r="P294" s="69"/>
      <c r="Q294" s="69"/>
      <c r="R294" s="69"/>
      <c r="S294" s="69"/>
      <c r="T294" s="69"/>
      <c r="U294" s="69"/>
      <c r="V294" s="69"/>
      <c r="W294" s="69"/>
      <c r="X294" s="69"/>
      <c r="Y294" s="69"/>
      <c r="Z294" s="69"/>
      <c r="AA294" s="69"/>
      <c r="AB294" s="69"/>
      <c r="AC294" s="69"/>
      <c r="AD294" s="69"/>
      <c r="AE294" s="69"/>
      <c r="AF294" s="69"/>
      <c r="AG294" s="69"/>
      <c r="AH294" s="69"/>
      <c r="AI294" s="69"/>
      <c r="AJ294" s="69"/>
      <c r="AK294" s="69"/>
      <c r="AL294" s="69"/>
      <c r="AM294" s="69"/>
      <c r="AN294" s="69"/>
      <c r="AO294" s="69"/>
      <c r="AP294" s="69"/>
      <c r="AQ294" s="69"/>
      <c r="AR294" s="69"/>
      <c r="AS294" s="69"/>
      <c r="AT294" s="69"/>
      <c r="AU294" s="69"/>
      <c r="AV294" s="69"/>
      <c r="AW294" s="69"/>
      <c r="AX294" s="69"/>
      <c r="AY294" s="69"/>
      <c r="AZ294" s="69"/>
      <c r="BA294" s="69"/>
      <c r="BB294" s="69"/>
      <c r="BC294" s="69"/>
    </row>
    <row r="295" spans="1:55">
      <c r="A295" s="69"/>
      <c r="B295" s="69"/>
      <c r="C295" s="69"/>
      <c r="D295" s="69"/>
      <c r="E295" s="69"/>
      <c r="F295" s="69"/>
      <c r="G295" s="69"/>
      <c r="H295" s="69"/>
      <c r="I295" s="69"/>
      <c r="J295" s="69"/>
      <c r="K295" s="69"/>
      <c r="L295" s="69"/>
      <c r="M295" s="69"/>
      <c r="N295" s="69"/>
      <c r="O295" s="69"/>
      <c r="P295" s="69"/>
      <c r="Q295" s="69"/>
      <c r="R295" s="69"/>
      <c r="S295" s="69"/>
      <c r="T295" s="69"/>
      <c r="U295" s="69"/>
      <c r="V295" s="69"/>
      <c r="W295" s="69"/>
      <c r="X295" s="69"/>
      <c r="Y295" s="69"/>
      <c r="Z295" s="69"/>
      <c r="AA295" s="69"/>
      <c r="AB295" s="69"/>
      <c r="AC295" s="69"/>
      <c r="AD295" s="69"/>
      <c r="AE295" s="69"/>
      <c r="AF295" s="69"/>
      <c r="AG295" s="69"/>
      <c r="AH295" s="69"/>
      <c r="AI295" s="69"/>
      <c r="AJ295" s="69"/>
      <c r="AK295" s="69"/>
      <c r="AL295" s="69"/>
      <c r="AM295" s="69"/>
      <c r="AN295" s="69"/>
      <c r="AO295" s="69"/>
      <c r="AP295" s="69"/>
      <c r="AQ295" s="69"/>
      <c r="AR295" s="69"/>
      <c r="AS295" s="69"/>
      <c r="AT295" s="69"/>
      <c r="AU295" s="69"/>
      <c r="AV295" s="69"/>
      <c r="AW295" s="69"/>
      <c r="AX295" s="69"/>
      <c r="AY295" s="69"/>
      <c r="AZ295" s="69"/>
      <c r="BA295" s="69"/>
      <c r="BB295" s="69"/>
      <c r="BC295" s="69"/>
    </row>
    <row r="296" spans="1:55">
      <c r="A296" s="69"/>
      <c r="B296" s="69"/>
      <c r="C296" s="69"/>
      <c r="D296" s="69"/>
      <c r="E296" s="69"/>
      <c r="F296" s="69"/>
      <c r="G296" s="69"/>
      <c r="H296" s="69"/>
      <c r="I296" s="69"/>
      <c r="J296" s="69"/>
      <c r="K296" s="69"/>
      <c r="L296" s="69"/>
      <c r="M296" s="69"/>
      <c r="N296" s="69"/>
      <c r="O296" s="69"/>
      <c r="P296" s="69"/>
      <c r="Q296" s="69"/>
      <c r="R296" s="69"/>
      <c r="S296" s="69"/>
      <c r="T296" s="69"/>
      <c r="U296" s="69"/>
      <c r="V296" s="69"/>
      <c r="W296" s="69"/>
      <c r="X296" s="69"/>
      <c r="Y296" s="69"/>
      <c r="Z296" s="69"/>
      <c r="AA296" s="69"/>
      <c r="AB296" s="69"/>
      <c r="AC296" s="69"/>
      <c r="AD296" s="69"/>
      <c r="AE296" s="69"/>
      <c r="AF296" s="69"/>
      <c r="AG296" s="69"/>
      <c r="AH296" s="69"/>
      <c r="AI296" s="69"/>
      <c r="AJ296" s="69"/>
      <c r="AK296" s="69"/>
      <c r="AL296" s="69"/>
      <c r="AM296" s="69"/>
      <c r="AN296" s="69"/>
      <c r="AO296" s="69"/>
      <c r="AP296" s="69"/>
      <c r="AQ296" s="69"/>
      <c r="AR296" s="69"/>
      <c r="AS296" s="69"/>
      <c r="AT296" s="69"/>
      <c r="AU296" s="69"/>
      <c r="AV296" s="69"/>
      <c r="AW296" s="69"/>
      <c r="AX296" s="69"/>
      <c r="AY296" s="69"/>
      <c r="AZ296" s="69"/>
      <c r="BA296" s="69"/>
      <c r="BB296" s="69"/>
      <c r="BC296" s="69"/>
    </row>
    <row r="297" spans="1:55">
      <c r="A297" s="69"/>
      <c r="B297" s="69"/>
      <c r="C297" s="69"/>
      <c r="D297" s="69"/>
      <c r="E297" s="69"/>
      <c r="F297" s="69"/>
      <c r="G297" s="69"/>
      <c r="H297" s="69"/>
      <c r="I297" s="69"/>
      <c r="J297" s="69"/>
      <c r="K297" s="69"/>
      <c r="L297" s="69"/>
      <c r="M297" s="69"/>
      <c r="N297" s="69"/>
      <c r="O297" s="69"/>
      <c r="P297" s="69"/>
      <c r="Q297" s="69"/>
      <c r="R297" s="69"/>
      <c r="S297" s="69"/>
      <c r="T297" s="69"/>
      <c r="U297" s="69"/>
      <c r="V297" s="69"/>
      <c r="W297" s="69"/>
      <c r="X297" s="69"/>
      <c r="Y297" s="69"/>
      <c r="Z297" s="69"/>
      <c r="AA297" s="69"/>
      <c r="AB297" s="69"/>
      <c r="AC297" s="69"/>
      <c r="AD297" s="69"/>
      <c r="AE297" s="69"/>
      <c r="AF297" s="69"/>
      <c r="AG297" s="69"/>
      <c r="AH297" s="69"/>
      <c r="AI297" s="69"/>
      <c r="AJ297" s="69"/>
      <c r="AK297" s="69"/>
      <c r="AL297" s="69"/>
      <c r="AM297" s="69"/>
      <c r="AN297" s="69"/>
      <c r="AO297" s="69"/>
      <c r="AP297" s="69"/>
      <c r="AQ297" s="69"/>
      <c r="AR297" s="69"/>
      <c r="AS297" s="69"/>
      <c r="AT297" s="69"/>
      <c r="AU297" s="69"/>
      <c r="AV297" s="69"/>
      <c r="AW297" s="69"/>
      <c r="AX297" s="69"/>
      <c r="AY297" s="69"/>
      <c r="AZ297" s="69"/>
      <c r="BA297" s="69"/>
      <c r="BB297" s="69"/>
      <c r="BC297" s="69"/>
    </row>
    <row r="298" spans="1:55">
      <c r="A298" s="69"/>
      <c r="B298" s="69"/>
      <c r="C298" s="69"/>
      <c r="D298" s="69"/>
      <c r="E298" s="69"/>
      <c r="F298" s="69"/>
      <c r="G298" s="69"/>
      <c r="H298" s="69"/>
      <c r="I298" s="69"/>
      <c r="J298" s="69"/>
      <c r="K298" s="69"/>
      <c r="L298" s="69"/>
      <c r="M298" s="69"/>
      <c r="N298" s="69"/>
      <c r="O298" s="69"/>
      <c r="P298" s="69"/>
      <c r="Q298" s="69"/>
      <c r="R298" s="69"/>
      <c r="S298" s="69"/>
      <c r="T298" s="69"/>
      <c r="U298" s="69"/>
      <c r="V298" s="69"/>
      <c r="W298" s="69"/>
      <c r="X298" s="69"/>
      <c r="Y298" s="69"/>
      <c r="Z298" s="69"/>
      <c r="AA298" s="69"/>
      <c r="AB298" s="69"/>
      <c r="AC298" s="69"/>
      <c r="AD298" s="69"/>
      <c r="AE298" s="69"/>
      <c r="AF298" s="69"/>
      <c r="AG298" s="69"/>
      <c r="AH298" s="69"/>
      <c r="AI298" s="69"/>
      <c r="AJ298" s="69"/>
      <c r="AK298" s="69"/>
      <c r="AL298" s="69"/>
      <c r="AM298" s="69"/>
      <c r="AN298" s="69"/>
      <c r="AO298" s="69"/>
      <c r="AP298" s="69"/>
      <c r="AQ298" s="69"/>
      <c r="AR298" s="69"/>
      <c r="AS298" s="69"/>
      <c r="AT298" s="69"/>
      <c r="AU298" s="69"/>
      <c r="AV298" s="69"/>
      <c r="AW298" s="69"/>
      <c r="AX298" s="69"/>
      <c r="AY298" s="69"/>
      <c r="AZ298" s="69"/>
      <c r="BA298" s="69"/>
      <c r="BB298" s="69"/>
      <c r="BC298" s="69"/>
    </row>
    <row r="299" spans="1:55">
      <c r="A299" s="69"/>
      <c r="B299" s="69"/>
      <c r="C299" s="69"/>
      <c r="D299" s="69"/>
      <c r="E299" s="69"/>
      <c r="F299" s="69"/>
      <c r="G299" s="69"/>
      <c r="H299" s="69"/>
      <c r="I299" s="69"/>
      <c r="J299" s="69"/>
      <c r="K299" s="69"/>
      <c r="L299" s="69"/>
      <c r="M299" s="69"/>
      <c r="N299" s="69"/>
      <c r="O299" s="69"/>
      <c r="P299" s="69"/>
      <c r="Q299" s="69"/>
      <c r="R299" s="69"/>
      <c r="S299" s="69"/>
      <c r="T299" s="69"/>
      <c r="U299" s="69"/>
      <c r="V299" s="69"/>
      <c r="W299" s="69"/>
      <c r="X299" s="69"/>
      <c r="Y299" s="69"/>
      <c r="Z299" s="69"/>
      <c r="AA299" s="69"/>
      <c r="AB299" s="69"/>
      <c r="AC299" s="69"/>
      <c r="AD299" s="69"/>
      <c r="AE299" s="69"/>
      <c r="AF299" s="69"/>
      <c r="AG299" s="69"/>
      <c r="AH299" s="69"/>
      <c r="AI299" s="69"/>
      <c r="AJ299" s="69"/>
      <c r="AK299" s="69"/>
      <c r="AL299" s="69"/>
      <c r="AM299" s="69"/>
      <c r="AN299" s="69"/>
      <c r="AO299" s="69"/>
      <c r="AP299" s="69"/>
      <c r="AQ299" s="69"/>
      <c r="AR299" s="69"/>
      <c r="AS299" s="69"/>
      <c r="AT299" s="69"/>
      <c r="AU299" s="69"/>
      <c r="AV299" s="69"/>
      <c r="AW299" s="69"/>
      <c r="AX299" s="69"/>
      <c r="AY299" s="69"/>
      <c r="AZ299" s="69"/>
      <c r="BA299" s="69"/>
      <c r="BB299" s="69"/>
      <c r="BC299" s="69"/>
    </row>
    <row r="300" spans="1:55">
      <c r="A300" s="69"/>
      <c r="B300" s="69"/>
      <c r="C300" s="69"/>
      <c r="D300" s="69"/>
      <c r="E300" s="69"/>
      <c r="F300" s="69"/>
      <c r="G300" s="69"/>
      <c r="H300" s="69"/>
      <c r="I300" s="69"/>
      <c r="J300" s="69"/>
      <c r="K300" s="69"/>
      <c r="L300" s="69"/>
      <c r="M300" s="69"/>
      <c r="N300" s="69"/>
      <c r="O300" s="69"/>
      <c r="P300" s="69"/>
      <c r="Q300" s="69"/>
      <c r="R300" s="69"/>
      <c r="S300" s="69"/>
      <c r="T300" s="69"/>
      <c r="U300" s="69"/>
      <c r="V300" s="69"/>
      <c r="W300" s="69"/>
      <c r="X300" s="69"/>
      <c r="Y300" s="69"/>
      <c r="Z300" s="69"/>
      <c r="AA300" s="69"/>
      <c r="AB300" s="69"/>
      <c r="AC300" s="69"/>
      <c r="AD300" s="69"/>
      <c r="AE300" s="69"/>
      <c r="AF300" s="69"/>
      <c r="AG300" s="69"/>
      <c r="AH300" s="69"/>
      <c r="AI300" s="69"/>
      <c r="AJ300" s="69"/>
      <c r="AK300" s="69"/>
      <c r="AL300" s="69"/>
      <c r="AM300" s="69"/>
      <c r="AN300" s="69"/>
      <c r="AO300" s="69"/>
      <c r="AP300" s="69"/>
      <c r="AQ300" s="69"/>
      <c r="AR300" s="69"/>
      <c r="AS300" s="69"/>
      <c r="AT300" s="69"/>
      <c r="AU300" s="69"/>
      <c r="AV300" s="69"/>
      <c r="AW300" s="69"/>
      <c r="AX300" s="69"/>
      <c r="AY300" s="69"/>
      <c r="AZ300" s="69"/>
      <c r="BA300" s="69"/>
      <c r="BB300" s="69"/>
      <c r="BC300" s="69"/>
    </row>
    <row r="301" spans="1:55">
      <c r="A301" s="69"/>
      <c r="B301" s="69"/>
      <c r="C301" s="69"/>
      <c r="D301" s="69"/>
      <c r="E301" s="69"/>
      <c r="F301" s="69"/>
      <c r="G301" s="69"/>
      <c r="H301" s="69"/>
      <c r="I301" s="69"/>
      <c r="J301" s="69"/>
      <c r="K301" s="69"/>
      <c r="L301" s="69"/>
      <c r="M301" s="69"/>
      <c r="N301" s="69"/>
      <c r="O301" s="69"/>
      <c r="P301" s="69"/>
      <c r="Q301" s="69"/>
      <c r="R301" s="69"/>
      <c r="S301" s="69"/>
      <c r="T301" s="69"/>
      <c r="U301" s="69"/>
      <c r="V301" s="69"/>
      <c r="W301" s="69"/>
      <c r="X301" s="69"/>
      <c r="Y301" s="69"/>
      <c r="Z301" s="69"/>
      <c r="AA301" s="69"/>
      <c r="AB301" s="69"/>
      <c r="AC301" s="69"/>
      <c r="AD301" s="69"/>
      <c r="AE301" s="69"/>
      <c r="AF301" s="69"/>
      <c r="AG301" s="69"/>
      <c r="AH301" s="69"/>
      <c r="AI301" s="69"/>
      <c r="AJ301" s="69"/>
      <c r="AK301" s="69"/>
      <c r="AL301" s="69"/>
      <c r="AM301" s="69"/>
      <c r="AN301" s="69"/>
      <c r="AO301" s="69"/>
      <c r="AP301" s="69"/>
      <c r="AQ301" s="69"/>
      <c r="AR301" s="69"/>
      <c r="AS301" s="69"/>
      <c r="AT301" s="69"/>
      <c r="AU301" s="69"/>
      <c r="AV301" s="69"/>
      <c r="AW301" s="69"/>
      <c r="AX301" s="69"/>
      <c r="AY301" s="69"/>
      <c r="AZ301" s="69"/>
      <c r="BA301" s="69"/>
      <c r="BB301" s="69"/>
      <c r="BC301" s="69"/>
    </row>
    <row r="302" spans="1:55">
      <c r="A302" s="69"/>
      <c r="B302" s="69"/>
      <c r="C302" s="69"/>
      <c r="D302" s="69"/>
      <c r="E302" s="69"/>
      <c r="F302" s="69"/>
      <c r="G302" s="69"/>
      <c r="H302" s="69"/>
      <c r="I302" s="69"/>
      <c r="J302" s="69"/>
      <c r="K302" s="69"/>
      <c r="L302" s="69"/>
      <c r="M302" s="69"/>
      <c r="N302" s="69"/>
      <c r="O302" s="69"/>
      <c r="P302" s="69"/>
      <c r="Q302" s="69"/>
      <c r="R302" s="69"/>
      <c r="S302" s="69"/>
      <c r="T302" s="69"/>
      <c r="U302" s="69"/>
      <c r="V302" s="69"/>
      <c r="W302" s="69"/>
      <c r="X302" s="69"/>
      <c r="Y302" s="69"/>
      <c r="Z302" s="69"/>
      <c r="AA302" s="69"/>
      <c r="AB302" s="69"/>
      <c r="AC302" s="69"/>
      <c r="AD302" s="69"/>
      <c r="AE302" s="69"/>
      <c r="AF302" s="69"/>
      <c r="AG302" s="69"/>
      <c r="AH302" s="69"/>
      <c r="AI302" s="69"/>
      <c r="AJ302" s="69"/>
      <c r="AK302" s="69"/>
      <c r="AL302" s="69"/>
      <c r="AM302" s="69"/>
      <c r="AN302" s="69"/>
      <c r="AO302" s="69"/>
      <c r="AP302" s="69"/>
      <c r="AQ302" s="69"/>
      <c r="AR302" s="69"/>
      <c r="AS302" s="69"/>
      <c r="AT302" s="69"/>
      <c r="AU302" s="69"/>
      <c r="AV302" s="69"/>
      <c r="AW302" s="69"/>
      <c r="AX302" s="69"/>
      <c r="AY302" s="69"/>
      <c r="AZ302" s="69"/>
      <c r="BA302" s="69"/>
      <c r="BB302" s="69"/>
      <c r="BC302" s="69"/>
    </row>
    <row r="303" spans="1:55">
      <c r="A303" s="69"/>
      <c r="B303" s="69"/>
      <c r="C303" s="69"/>
      <c r="D303" s="69"/>
      <c r="E303" s="69"/>
      <c r="F303" s="69"/>
      <c r="G303" s="69"/>
      <c r="H303" s="69"/>
      <c r="I303" s="69"/>
      <c r="J303" s="69"/>
      <c r="K303" s="69"/>
      <c r="L303" s="69"/>
      <c r="M303" s="69"/>
      <c r="N303" s="69"/>
      <c r="O303" s="69"/>
      <c r="P303" s="69"/>
      <c r="Q303" s="69"/>
      <c r="R303" s="69"/>
      <c r="S303" s="69"/>
      <c r="T303" s="69"/>
      <c r="U303" s="69"/>
      <c r="V303" s="69"/>
      <c r="W303" s="69"/>
      <c r="X303" s="69"/>
      <c r="Y303" s="69"/>
      <c r="Z303" s="69"/>
      <c r="AA303" s="69"/>
      <c r="AB303" s="69"/>
      <c r="AC303" s="69"/>
      <c r="AD303" s="69"/>
      <c r="AE303" s="69"/>
      <c r="AF303" s="69"/>
      <c r="AG303" s="69"/>
      <c r="AH303" s="69"/>
      <c r="AI303" s="69"/>
      <c r="AJ303" s="69"/>
      <c r="AK303" s="69"/>
      <c r="AL303" s="69"/>
      <c r="AM303" s="69"/>
      <c r="AN303" s="69"/>
      <c r="AO303" s="69"/>
      <c r="AP303" s="69"/>
      <c r="AQ303" s="69"/>
      <c r="AR303" s="69"/>
      <c r="AS303" s="69"/>
      <c r="AT303" s="69"/>
      <c r="AU303" s="69"/>
      <c r="AV303" s="69"/>
      <c r="AW303" s="69"/>
      <c r="AX303" s="69"/>
      <c r="AY303" s="69"/>
      <c r="AZ303" s="69"/>
      <c r="BA303" s="69"/>
      <c r="BB303" s="69"/>
      <c r="BC303" s="69"/>
    </row>
    <row r="304" spans="1:55">
      <c r="A304" s="69"/>
      <c r="B304" s="69"/>
      <c r="C304" s="69"/>
      <c r="D304" s="69"/>
      <c r="E304" s="69"/>
      <c r="F304" s="69"/>
      <c r="G304" s="69"/>
      <c r="H304" s="69"/>
      <c r="I304" s="69"/>
      <c r="J304" s="69"/>
      <c r="K304" s="69"/>
      <c r="L304" s="69"/>
      <c r="M304" s="69"/>
      <c r="N304" s="69"/>
      <c r="O304" s="69"/>
      <c r="P304" s="69"/>
      <c r="Q304" s="69"/>
      <c r="R304" s="69"/>
      <c r="S304" s="69"/>
      <c r="T304" s="69"/>
      <c r="U304" s="69"/>
      <c r="V304" s="69"/>
      <c r="W304" s="69"/>
      <c r="X304" s="69"/>
      <c r="Y304" s="69"/>
      <c r="Z304" s="69"/>
      <c r="AA304" s="69"/>
      <c r="AB304" s="69"/>
      <c r="AC304" s="69"/>
      <c r="AD304" s="69"/>
      <c r="AE304" s="69"/>
      <c r="AF304" s="69"/>
      <c r="AG304" s="69"/>
      <c r="AH304" s="69"/>
      <c r="AI304" s="69"/>
      <c r="AJ304" s="69"/>
      <c r="AK304" s="69"/>
      <c r="AL304" s="69"/>
      <c r="AM304" s="69"/>
      <c r="AN304" s="69"/>
      <c r="AO304" s="69"/>
      <c r="AP304" s="69"/>
      <c r="AQ304" s="69"/>
      <c r="AR304" s="69"/>
      <c r="AS304" s="69"/>
      <c r="AT304" s="69"/>
      <c r="AU304" s="69"/>
      <c r="AV304" s="69"/>
      <c r="AW304" s="69"/>
      <c r="AX304" s="69"/>
      <c r="AY304" s="69"/>
      <c r="AZ304" s="69"/>
      <c r="BA304" s="69"/>
      <c r="BB304" s="69"/>
      <c r="BC304" s="69"/>
    </row>
    <row r="305" spans="1:55">
      <c r="A305" s="69"/>
      <c r="B305" s="69"/>
      <c r="C305" s="69"/>
      <c r="D305" s="69"/>
      <c r="E305" s="69"/>
      <c r="F305" s="69"/>
      <c r="G305" s="69"/>
      <c r="H305" s="69"/>
      <c r="I305" s="69"/>
      <c r="J305" s="69"/>
      <c r="K305" s="69"/>
      <c r="L305" s="69"/>
      <c r="M305" s="69"/>
      <c r="N305" s="69"/>
      <c r="O305" s="69"/>
      <c r="P305" s="69"/>
      <c r="Q305" s="69"/>
      <c r="R305" s="69"/>
      <c r="S305" s="69"/>
      <c r="T305" s="69"/>
      <c r="U305" s="69"/>
      <c r="V305" s="69"/>
      <c r="W305" s="69"/>
      <c r="X305" s="69"/>
      <c r="Y305" s="69"/>
      <c r="Z305" s="69"/>
      <c r="AA305" s="69"/>
      <c r="AB305" s="69"/>
      <c r="AC305" s="69"/>
      <c r="AD305" s="69"/>
      <c r="AE305" s="69"/>
      <c r="AF305" s="69"/>
      <c r="AG305" s="69"/>
      <c r="AH305" s="69"/>
      <c r="AI305" s="69"/>
      <c r="AJ305" s="69"/>
      <c r="AK305" s="69"/>
      <c r="AL305" s="69"/>
      <c r="AM305" s="69"/>
      <c r="AN305" s="69"/>
      <c r="AO305" s="69"/>
      <c r="AP305" s="69"/>
      <c r="AQ305" s="69"/>
      <c r="AR305" s="69"/>
      <c r="AS305" s="69"/>
      <c r="AT305" s="69"/>
      <c r="AU305" s="69"/>
      <c r="AV305" s="69"/>
      <c r="AW305" s="69"/>
      <c r="AX305" s="69"/>
      <c r="AY305" s="69"/>
      <c r="AZ305" s="69"/>
      <c r="BA305" s="69"/>
      <c r="BB305" s="69"/>
      <c r="BC305" s="69"/>
    </row>
    <row r="306" spans="1:55">
      <c r="A306" s="69"/>
      <c r="B306" s="69"/>
      <c r="C306" s="69"/>
      <c r="D306" s="69"/>
      <c r="E306" s="69"/>
      <c r="F306" s="69"/>
      <c r="G306" s="69"/>
      <c r="H306" s="69"/>
      <c r="I306" s="69"/>
      <c r="J306" s="69"/>
      <c r="K306" s="69"/>
      <c r="L306" s="69"/>
      <c r="M306" s="69"/>
      <c r="N306" s="69"/>
      <c r="O306" s="69"/>
      <c r="P306" s="69"/>
      <c r="Q306" s="69"/>
      <c r="R306" s="69"/>
      <c r="S306" s="69"/>
      <c r="T306" s="69"/>
      <c r="U306" s="69"/>
      <c r="V306" s="69"/>
      <c r="W306" s="69"/>
      <c r="X306" s="69"/>
      <c r="Y306" s="69"/>
      <c r="Z306" s="69"/>
      <c r="AA306" s="69"/>
      <c r="AB306" s="69"/>
      <c r="AC306" s="69"/>
      <c r="AD306" s="69"/>
      <c r="AE306" s="69"/>
      <c r="AF306" s="69"/>
      <c r="AG306" s="69"/>
      <c r="AH306" s="69"/>
      <c r="AI306" s="69"/>
      <c r="AJ306" s="69"/>
      <c r="AK306" s="69"/>
      <c r="AL306" s="69"/>
      <c r="AM306" s="69"/>
      <c r="AN306" s="69"/>
      <c r="AO306" s="69"/>
      <c r="AP306" s="69"/>
      <c r="AQ306" s="69"/>
      <c r="AR306" s="69"/>
      <c r="AS306" s="69"/>
      <c r="AT306" s="69"/>
      <c r="AU306" s="69"/>
      <c r="AV306" s="69"/>
      <c r="AW306" s="69"/>
      <c r="AX306" s="69"/>
      <c r="AY306" s="69"/>
      <c r="AZ306" s="69"/>
      <c r="BA306" s="69"/>
      <c r="BB306" s="69"/>
      <c r="BC306" s="69"/>
    </row>
    <row r="307" spans="1:55">
      <c r="A307" s="69"/>
      <c r="B307" s="69"/>
      <c r="C307" s="69"/>
      <c r="D307" s="69"/>
      <c r="E307" s="69"/>
      <c r="F307" s="69"/>
      <c r="G307" s="69"/>
      <c r="H307" s="69"/>
      <c r="I307" s="69"/>
      <c r="J307" s="69"/>
      <c r="K307" s="69"/>
      <c r="L307" s="69"/>
      <c r="M307" s="69"/>
      <c r="N307" s="69"/>
      <c r="O307" s="69"/>
      <c r="P307" s="69"/>
      <c r="Q307" s="69"/>
      <c r="R307" s="69"/>
      <c r="S307" s="69"/>
      <c r="T307" s="69"/>
      <c r="U307" s="69"/>
      <c r="V307" s="69"/>
      <c r="W307" s="69"/>
      <c r="X307" s="69"/>
      <c r="Y307" s="69"/>
      <c r="Z307" s="69"/>
      <c r="AA307" s="69"/>
      <c r="AB307" s="69"/>
      <c r="AC307" s="69"/>
      <c r="AD307" s="69"/>
      <c r="AE307" s="69"/>
      <c r="AF307" s="69"/>
      <c r="AG307" s="69"/>
      <c r="AH307" s="69"/>
      <c r="AI307" s="69"/>
      <c r="AJ307" s="69"/>
      <c r="AK307" s="69"/>
      <c r="AL307" s="69"/>
      <c r="AM307" s="69"/>
      <c r="AN307" s="69"/>
      <c r="AO307" s="69"/>
      <c r="AP307" s="69"/>
      <c r="AQ307" s="69"/>
      <c r="AR307" s="69"/>
      <c r="AS307" s="69"/>
      <c r="AT307" s="69"/>
      <c r="AU307" s="69"/>
      <c r="AV307" s="69"/>
      <c r="AW307" s="69"/>
      <c r="AX307" s="69"/>
      <c r="AY307" s="69"/>
      <c r="AZ307" s="69"/>
      <c r="BA307" s="69"/>
      <c r="BB307" s="69"/>
      <c r="BC307" s="69"/>
    </row>
    <row r="308" spans="1:55">
      <c r="A308" s="69"/>
      <c r="B308" s="69"/>
      <c r="C308" s="69"/>
      <c r="D308" s="69"/>
      <c r="E308" s="69"/>
      <c r="F308" s="69"/>
      <c r="G308" s="69"/>
      <c r="H308" s="69"/>
      <c r="I308" s="69"/>
      <c r="J308" s="69"/>
      <c r="K308" s="69"/>
      <c r="L308" s="69"/>
      <c r="M308" s="69"/>
      <c r="N308" s="69"/>
      <c r="O308" s="69"/>
      <c r="P308" s="69"/>
      <c r="Q308" s="69"/>
      <c r="R308" s="69"/>
      <c r="S308" s="69"/>
      <c r="T308" s="69"/>
      <c r="U308" s="69"/>
      <c r="V308" s="69"/>
      <c r="W308" s="69"/>
      <c r="X308" s="69"/>
      <c r="Y308" s="69"/>
      <c r="Z308" s="69"/>
      <c r="AA308" s="69"/>
      <c r="AB308" s="69"/>
      <c r="AC308" s="69"/>
      <c r="AD308" s="69"/>
      <c r="AE308" s="69"/>
      <c r="AF308" s="69"/>
      <c r="AG308" s="69"/>
      <c r="AH308" s="69"/>
      <c r="AI308" s="69"/>
      <c r="AJ308" s="69"/>
      <c r="AK308" s="69"/>
      <c r="AL308" s="69"/>
      <c r="AM308" s="69"/>
      <c r="AN308" s="69"/>
      <c r="AO308" s="69"/>
      <c r="AP308" s="69"/>
      <c r="AQ308" s="69"/>
      <c r="AR308" s="69"/>
      <c r="AS308" s="69"/>
      <c r="AT308" s="69"/>
      <c r="AU308" s="69"/>
      <c r="AV308" s="69"/>
      <c r="AW308" s="69"/>
      <c r="AX308" s="69"/>
      <c r="AY308" s="69"/>
      <c r="AZ308" s="69"/>
      <c r="BA308" s="69"/>
      <c r="BB308" s="69"/>
      <c r="BC308" s="69"/>
    </row>
    <row r="309" spans="1:55">
      <c r="A309" s="69"/>
      <c r="B309" s="69"/>
      <c r="C309" s="69"/>
      <c r="D309" s="69"/>
      <c r="E309" s="69"/>
      <c r="F309" s="69"/>
      <c r="G309" s="69"/>
      <c r="H309" s="69"/>
      <c r="I309" s="69"/>
      <c r="J309" s="69"/>
      <c r="K309" s="69"/>
      <c r="L309" s="69"/>
      <c r="M309" s="69"/>
      <c r="N309" s="69"/>
      <c r="O309" s="69"/>
      <c r="P309" s="69"/>
      <c r="Q309" s="69"/>
      <c r="R309" s="69"/>
      <c r="S309" s="69"/>
      <c r="T309" s="69"/>
      <c r="U309" s="69"/>
      <c r="V309" s="69"/>
      <c r="W309" s="69"/>
      <c r="X309" s="69"/>
      <c r="Y309" s="69"/>
      <c r="Z309" s="69"/>
      <c r="AA309" s="69"/>
      <c r="AB309" s="69"/>
      <c r="AC309" s="69"/>
      <c r="AD309" s="69"/>
      <c r="AE309" s="69"/>
      <c r="AF309" s="69"/>
      <c r="AG309" s="69"/>
      <c r="AH309" s="69"/>
      <c r="AI309" s="69"/>
      <c r="AJ309" s="69"/>
      <c r="AK309" s="69"/>
      <c r="AL309" s="69"/>
      <c r="AM309" s="69"/>
      <c r="AN309" s="69"/>
      <c r="AO309" s="69"/>
      <c r="AP309" s="69"/>
      <c r="AQ309" s="69"/>
      <c r="AR309" s="69"/>
      <c r="AS309" s="69"/>
      <c r="AT309" s="69"/>
      <c r="AU309" s="69"/>
      <c r="AV309" s="69"/>
      <c r="AW309" s="69"/>
      <c r="AX309" s="69"/>
      <c r="AY309" s="69"/>
      <c r="AZ309" s="69"/>
      <c r="BA309" s="69"/>
      <c r="BB309" s="69"/>
      <c r="BC309" s="69"/>
    </row>
    <row r="310" spans="1:55">
      <c r="A310" s="69"/>
      <c r="B310" s="69"/>
      <c r="C310" s="69"/>
      <c r="D310" s="69"/>
      <c r="E310" s="69"/>
      <c r="F310" s="69"/>
      <c r="G310" s="69"/>
      <c r="H310" s="69"/>
      <c r="I310" s="69"/>
      <c r="J310" s="69"/>
      <c r="K310" s="69"/>
      <c r="L310" s="69"/>
      <c r="M310" s="69"/>
      <c r="N310" s="69"/>
      <c r="O310" s="69"/>
      <c r="P310" s="69"/>
      <c r="Q310" s="69"/>
      <c r="R310" s="69"/>
      <c r="S310" s="69"/>
      <c r="T310" s="69"/>
      <c r="U310" s="69"/>
      <c r="V310" s="69"/>
      <c r="W310" s="69"/>
      <c r="X310" s="69"/>
      <c r="Y310" s="69"/>
      <c r="Z310" s="69"/>
      <c r="AA310" s="69"/>
      <c r="AB310" s="69"/>
      <c r="AC310" s="69"/>
      <c r="AD310" s="69"/>
      <c r="AE310" s="69"/>
      <c r="AF310" s="69"/>
      <c r="AG310" s="69"/>
      <c r="AH310" s="69"/>
      <c r="AI310" s="69"/>
      <c r="AJ310" s="69"/>
      <c r="AK310" s="69"/>
      <c r="AL310" s="69"/>
      <c r="AM310" s="69"/>
      <c r="AN310" s="69"/>
      <c r="AO310" s="69"/>
      <c r="AP310" s="69"/>
      <c r="AQ310" s="69"/>
      <c r="AR310" s="69"/>
      <c r="AS310" s="69"/>
      <c r="AT310" s="69"/>
      <c r="AU310" s="69"/>
      <c r="AV310" s="69"/>
      <c r="AW310" s="69"/>
      <c r="AX310" s="69"/>
      <c r="AY310" s="69"/>
      <c r="AZ310" s="69"/>
      <c r="BA310" s="69"/>
      <c r="BB310" s="69"/>
      <c r="BC310" s="69"/>
    </row>
    <row r="311" spans="1:55">
      <c r="A311" s="69"/>
      <c r="B311" s="69"/>
      <c r="C311" s="69"/>
      <c r="D311" s="69"/>
      <c r="E311" s="69"/>
      <c r="F311" s="69"/>
      <c r="G311" s="69"/>
      <c r="H311" s="69"/>
      <c r="I311" s="69"/>
      <c r="J311" s="69"/>
      <c r="K311" s="69"/>
      <c r="L311" s="69"/>
      <c r="M311" s="69"/>
      <c r="N311" s="69"/>
      <c r="O311" s="69"/>
      <c r="P311" s="69"/>
      <c r="Q311" s="69"/>
      <c r="R311" s="69"/>
      <c r="S311" s="69"/>
      <c r="T311" s="69"/>
      <c r="U311" s="69"/>
      <c r="V311" s="69"/>
      <c r="W311" s="69"/>
      <c r="X311" s="69"/>
      <c r="Y311" s="69"/>
      <c r="Z311" s="69"/>
      <c r="AA311" s="69"/>
      <c r="AB311" s="69"/>
      <c r="AC311" s="69"/>
      <c r="AD311" s="69"/>
      <c r="AE311" s="69"/>
      <c r="AF311" s="69"/>
      <c r="AG311" s="69"/>
      <c r="AH311" s="69"/>
      <c r="AI311" s="69"/>
      <c r="AJ311" s="69"/>
      <c r="AK311" s="69"/>
      <c r="AL311" s="69"/>
      <c r="AM311" s="69"/>
      <c r="AN311" s="69"/>
      <c r="AO311" s="69"/>
      <c r="AP311" s="69"/>
      <c r="AQ311" s="69"/>
      <c r="AR311" s="69"/>
      <c r="AS311" s="69"/>
      <c r="AT311" s="69"/>
      <c r="AU311" s="69"/>
      <c r="AV311" s="69"/>
      <c r="AW311" s="69"/>
      <c r="AX311" s="69"/>
      <c r="AY311" s="69"/>
      <c r="AZ311" s="69"/>
      <c r="BA311" s="69"/>
      <c r="BB311" s="69"/>
      <c r="BC311" s="69"/>
    </row>
    <row r="312" spans="1:55">
      <c r="A312" s="69"/>
      <c r="B312" s="69"/>
      <c r="C312" s="69"/>
      <c r="D312" s="69"/>
      <c r="E312" s="69"/>
      <c r="F312" s="69"/>
      <c r="G312" s="69"/>
      <c r="H312" s="69"/>
      <c r="I312" s="69"/>
      <c r="J312" s="69"/>
      <c r="K312" s="69"/>
      <c r="L312" s="69"/>
      <c r="M312" s="69"/>
      <c r="N312" s="69"/>
      <c r="O312" s="69"/>
      <c r="P312" s="69"/>
      <c r="Q312" s="69"/>
      <c r="R312" s="69"/>
      <c r="S312" s="69"/>
      <c r="T312" s="69"/>
      <c r="U312" s="69"/>
      <c r="V312" s="69"/>
      <c r="W312" s="69"/>
      <c r="X312" s="69"/>
      <c r="Y312" s="69"/>
      <c r="Z312" s="69"/>
      <c r="AA312" s="69"/>
      <c r="AB312" s="69"/>
      <c r="AC312" s="69"/>
      <c r="AD312" s="69"/>
      <c r="AE312" s="69"/>
      <c r="AF312" s="69"/>
      <c r="AG312" s="69"/>
      <c r="AH312" s="69"/>
      <c r="AI312" s="69"/>
      <c r="AJ312" s="69"/>
      <c r="AK312" s="69"/>
      <c r="AL312" s="69"/>
      <c r="AM312" s="69"/>
      <c r="AN312" s="69"/>
      <c r="AO312" s="69"/>
      <c r="AP312" s="69"/>
      <c r="AQ312" s="69"/>
      <c r="AR312" s="69"/>
      <c r="AS312" s="69"/>
      <c r="AT312" s="69"/>
      <c r="AU312" s="69"/>
      <c r="AV312" s="69"/>
      <c r="AW312" s="69"/>
      <c r="AX312" s="69"/>
      <c r="AY312" s="69"/>
      <c r="AZ312" s="69"/>
      <c r="BA312" s="69"/>
      <c r="BB312" s="69"/>
      <c r="BC312" s="69"/>
    </row>
    <row r="313" spans="1:55">
      <c r="A313" s="69"/>
      <c r="B313" s="69"/>
      <c r="C313" s="69"/>
      <c r="D313" s="69"/>
      <c r="E313" s="69"/>
      <c r="F313" s="69"/>
      <c r="G313" s="69"/>
      <c r="H313" s="69"/>
      <c r="I313" s="69"/>
      <c r="J313" s="69"/>
      <c r="K313" s="69"/>
      <c r="L313" s="69"/>
      <c r="M313" s="69"/>
      <c r="N313" s="69"/>
      <c r="O313" s="69"/>
      <c r="P313" s="69"/>
      <c r="Q313" s="69"/>
      <c r="R313" s="69"/>
      <c r="S313" s="69"/>
      <c r="T313" s="69"/>
      <c r="U313" s="69"/>
      <c r="V313" s="69"/>
      <c r="W313" s="69"/>
      <c r="X313" s="69"/>
      <c r="Y313" s="69"/>
      <c r="Z313" s="69"/>
      <c r="AA313" s="69"/>
      <c r="AB313" s="69"/>
      <c r="AC313" s="69"/>
      <c r="AD313" s="69"/>
      <c r="AE313" s="69"/>
      <c r="AF313" s="69"/>
      <c r="AG313" s="69"/>
      <c r="AH313" s="69"/>
      <c r="AI313" s="69"/>
      <c r="AJ313" s="69"/>
      <c r="AK313" s="69"/>
      <c r="AL313" s="69"/>
      <c r="AM313" s="69"/>
      <c r="AN313" s="69"/>
      <c r="AO313" s="69"/>
      <c r="AP313" s="69"/>
      <c r="AQ313" s="69"/>
      <c r="AR313" s="69"/>
      <c r="AS313" s="69"/>
      <c r="AT313" s="69"/>
      <c r="AU313" s="69"/>
      <c r="AV313" s="69"/>
      <c r="AW313" s="69"/>
      <c r="AX313" s="69"/>
      <c r="AY313" s="69"/>
      <c r="AZ313" s="69"/>
      <c r="BA313" s="69"/>
      <c r="BB313" s="69"/>
      <c r="BC313" s="69"/>
    </row>
    <row r="314" spans="1:55">
      <c r="A314" s="69"/>
      <c r="B314" s="69"/>
      <c r="C314" s="69"/>
      <c r="D314" s="69"/>
      <c r="E314" s="69"/>
      <c r="F314" s="69"/>
      <c r="G314" s="69"/>
      <c r="H314" s="69"/>
      <c r="I314" s="69"/>
      <c r="J314" s="69"/>
      <c r="K314" s="69"/>
      <c r="L314" s="69"/>
      <c r="M314" s="69"/>
      <c r="N314" s="69"/>
      <c r="O314" s="69"/>
      <c r="P314" s="69"/>
      <c r="Q314" s="69"/>
      <c r="R314" s="69"/>
      <c r="S314" s="69"/>
      <c r="T314" s="69"/>
      <c r="U314" s="69"/>
      <c r="V314" s="69"/>
      <c r="W314" s="69"/>
      <c r="X314" s="69"/>
      <c r="Y314" s="69"/>
      <c r="Z314" s="69"/>
      <c r="AA314" s="69"/>
      <c r="AB314" s="69"/>
      <c r="AC314" s="69"/>
      <c r="AD314" s="69"/>
      <c r="AE314" s="69"/>
      <c r="AF314" s="69"/>
      <c r="AG314" s="69"/>
      <c r="AH314" s="69"/>
      <c r="AI314" s="69"/>
      <c r="AJ314" s="69"/>
      <c r="AK314" s="69"/>
      <c r="AL314" s="69"/>
      <c r="AM314" s="69"/>
      <c r="AN314" s="69"/>
      <c r="AO314" s="69"/>
      <c r="AP314" s="69"/>
      <c r="AQ314" s="69"/>
      <c r="AR314" s="69"/>
      <c r="AS314" s="69"/>
      <c r="AT314" s="69"/>
      <c r="AU314" s="69"/>
      <c r="AV314" s="69"/>
      <c r="AW314" s="69"/>
      <c r="AX314" s="69"/>
      <c r="AY314" s="69"/>
      <c r="AZ314" s="69"/>
      <c r="BA314" s="69"/>
      <c r="BB314" s="69"/>
      <c r="BC314" s="69"/>
    </row>
    <row r="315" spans="1:55">
      <c r="A315" s="69"/>
      <c r="B315" s="69"/>
      <c r="C315" s="69"/>
      <c r="D315" s="69"/>
      <c r="E315" s="69"/>
      <c r="F315" s="69"/>
      <c r="G315" s="69"/>
      <c r="H315" s="69"/>
      <c r="I315" s="69"/>
      <c r="J315" s="69"/>
      <c r="K315" s="69"/>
      <c r="L315" s="69"/>
      <c r="M315" s="69"/>
      <c r="N315" s="69"/>
      <c r="O315" s="69"/>
      <c r="P315" s="69"/>
      <c r="Q315" s="69"/>
      <c r="R315" s="69"/>
      <c r="S315" s="69"/>
      <c r="T315" s="69"/>
      <c r="U315" s="69"/>
      <c r="V315" s="69"/>
      <c r="W315" s="69"/>
      <c r="X315" s="69"/>
      <c r="Y315" s="69"/>
      <c r="Z315" s="69"/>
      <c r="AA315" s="69"/>
      <c r="AB315" s="69"/>
      <c r="AC315" s="69"/>
      <c r="AD315" s="69"/>
      <c r="AE315" s="69"/>
      <c r="AF315" s="69"/>
      <c r="AG315" s="69"/>
      <c r="AH315" s="69"/>
      <c r="AI315" s="69"/>
      <c r="AJ315" s="69"/>
      <c r="AK315" s="69"/>
      <c r="AL315" s="69"/>
      <c r="AM315" s="69"/>
      <c r="AN315" s="69"/>
      <c r="AO315" s="69"/>
      <c r="AP315" s="69"/>
      <c r="AQ315" s="69"/>
      <c r="AR315" s="69"/>
      <c r="AS315" s="69"/>
      <c r="AT315" s="69"/>
      <c r="AU315" s="69"/>
      <c r="AV315" s="69"/>
      <c r="AW315" s="69"/>
      <c r="AX315" s="69"/>
      <c r="AY315" s="69"/>
      <c r="AZ315" s="69"/>
      <c r="BA315" s="69"/>
      <c r="BB315" s="69"/>
      <c r="BC315" s="69"/>
    </row>
    <row r="316" spans="1:55">
      <c r="A316" s="69"/>
      <c r="B316" s="69"/>
      <c r="C316" s="69"/>
      <c r="D316" s="69"/>
      <c r="E316" s="69"/>
      <c r="F316" s="69"/>
      <c r="G316" s="69"/>
      <c r="H316" s="69"/>
      <c r="I316" s="69"/>
      <c r="J316" s="69"/>
      <c r="K316" s="69"/>
      <c r="L316" s="69"/>
      <c r="M316" s="69"/>
      <c r="N316" s="69"/>
      <c r="O316" s="69"/>
      <c r="P316" s="69"/>
      <c r="Q316" s="69"/>
      <c r="R316" s="69"/>
      <c r="S316" s="69"/>
      <c r="T316" s="69"/>
      <c r="U316" s="69"/>
      <c r="V316" s="69"/>
      <c r="W316" s="69"/>
      <c r="X316" s="69"/>
      <c r="Y316" s="69"/>
      <c r="Z316" s="69"/>
      <c r="AA316" s="69"/>
      <c r="AB316" s="69"/>
      <c r="AC316" s="69"/>
      <c r="AD316" s="69"/>
      <c r="AE316" s="69"/>
      <c r="AF316" s="69"/>
      <c r="AG316" s="69"/>
      <c r="AH316" s="69"/>
      <c r="AI316" s="69"/>
      <c r="AJ316" s="69"/>
      <c r="AK316" s="69"/>
      <c r="AL316" s="69"/>
      <c r="AM316" s="69"/>
      <c r="AN316" s="69"/>
      <c r="AO316" s="69"/>
      <c r="AP316" s="69"/>
      <c r="AQ316" s="69"/>
      <c r="AR316" s="69"/>
      <c r="AS316" s="69"/>
      <c r="AT316" s="69"/>
      <c r="AU316" s="69"/>
      <c r="AV316" s="69"/>
      <c r="AW316" s="69"/>
      <c r="AX316" s="69"/>
      <c r="AY316" s="69"/>
      <c r="AZ316" s="69"/>
      <c r="BA316" s="69"/>
      <c r="BB316" s="69"/>
      <c r="BC316" s="69"/>
    </row>
    <row r="317" spans="1:55">
      <c r="A317" s="69"/>
      <c r="B317" s="69"/>
      <c r="C317" s="69"/>
      <c r="D317" s="69"/>
      <c r="E317" s="69"/>
      <c r="F317" s="69"/>
      <c r="G317" s="69"/>
      <c r="H317" s="69"/>
      <c r="I317" s="69"/>
      <c r="J317" s="69"/>
      <c r="K317" s="69"/>
      <c r="L317" s="69"/>
      <c r="M317" s="69"/>
      <c r="N317" s="69"/>
      <c r="O317" s="69"/>
      <c r="P317" s="69"/>
      <c r="Q317" s="69"/>
      <c r="R317" s="69"/>
      <c r="S317" s="69"/>
      <c r="T317" s="69"/>
      <c r="U317" s="69"/>
      <c r="V317" s="69"/>
      <c r="W317" s="69"/>
      <c r="X317" s="69"/>
      <c r="Y317" s="69"/>
      <c r="Z317" s="69"/>
      <c r="AA317" s="69"/>
      <c r="AB317" s="69"/>
      <c r="AC317" s="69"/>
      <c r="AD317" s="69"/>
      <c r="AE317" s="69"/>
      <c r="AF317" s="69"/>
      <c r="AG317" s="69"/>
      <c r="AH317" s="69"/>
      <c r="AI317" s="69"/>
      <c r="AJ317" s="69"/>
      <c r="AK317" s="69"/>
      <c r="AL317" s="69"/>
      <c r="AM317" s="69"/>
      <c r="AN317" s="69"/>
      <c r="AO317" s="69"/>
      <c r="AP317" s="69"/>
      <c r="AQ317" s="69"/>
      <c r="AR317" s="69"/>
      <c r="AS317" s="69"/>
      <c r="AT317" s="69"/>
      <c r="AU317" s="69"/>
      <c r="AV317" s="69"/>
      <c r="AW317" s="69"/>
      <c r="AX317" s="69"/>
      <c r="AY317" s="69"/>
      <c r="AZ317" s="69"/>
      <c r="BA317" s="69"/>
      <c r="BB317" s="69"/>
      <c r="BC317" s="69"/>
    </row>
    <row r="318" spans="1:55">
      <c r="A318" s="69"/>
      <c r="B318" s="69"/>
      <c r="C318" s="69"/>
      <c r="D318" s="69"/>
      <c r="E318" s="69"/>
      <c r="F318" s="69"/>
      <c r="G318" s="69"/>
      <c r="H318" s="69"/>
      <c r="I318" s="69"/>
      <c r="J318" s="69"/>
      <c r="K318" s="69"/>
      <c r="L318" s="69"/>
      <c r="M318" s="69"/>
      <c r="N318" s="69"/>
      <c r="O318" s="69"/>
      <c r="P318" s="69"/>
      <c r="Q318" s="69"/>
      <c r="R318" s="69"/>
      <c r="S318" s="69"/>
      <c r="T318" s="69"/>
      <c r="U318" s="69"/>
      <c r="V318" s="69"/>
      <c r="W318" s="69"/>
      <c r="X318" s="69"/>
      <c r="Y318" s="69"/>
      <c r="Z318" s="69"/>
      <c r="AA318" s="69"/>
      <c r="AB318" s="69"/>
      <c r="AC318" s="69"/>
      <c r="AD318" s="69"/>
      <c r="AE318" s="69"/>
      <c r="AF318" s="69"/>
      <c r="AG318" s="69"/>
      <c r="AH318" s="69"/>
      <c r="AI318" s="69"/>
      <c r="AJ318" s="69"/>
      <c r="AK318" s="69"/>
      <c r="AL318" s="69"/>
      <c r="AM318" s="69"/>
      <c r="AN318" s="69"/>
      <c r="AO318" s="69"/>
      <c r="AP318" s="69"/>
      <c r="AQ318" s="69"/>
      <c r="AR318" s="69"/>
      <c r="AS318" s="69"/>
      <c r="AT318" s="69"/>
      <c r="AU318" s="69"/>
      <c r="AV318" s="69"/>
      <c r="AW318" s="69"/>
      <c r="AX318" s="69"/>
      <c r="AY318" s="69"/>
      <c r="AZ318" s="69"/>
      <c r="BA318" s="69"/>
      <c r="BB318" s="69"/>
      <c r="BC318" s="69"/>
    </row>
    <row r="319" spans="1:55">
      <c r="A319" s="69"/>
      <c r="B319" s="69"/>
      <c r="C319" s="69"/>
      <c r="D319" s="69"/>
      <c r="E319" s="69"/>
      <c r="F319" s="69"/>
      <c r="G319" s="69"/>
      <c r="H319" s="69"/>
      <c r="I319" s="69"/>
      <c r="J319" s="69"/>
      <c r="K319" s="69"/>
      <c r="L319" s="69"/>
      <c r="M319" s="69"/>
      <c r="N319" s="69"/>
      <c r="O319" s="69"/>
      <c r="P319" s="69"/>
      <c r="Q319" s="69"/>
      <c r="R319" s="69"/>
      <c r="S319" s="69"/>
      <c r="T319" s="69"/>
      <c r="U319" s="69"/>
      <c r="V319" s="69"/>
      <c r="W319" s="69"/>
      <c r="X319" s="69"/>
      <c r="Y319" s="69"/>
      <c r="Z319" s="69"/>
      <c r="AA319" s="69"/>
      <c r="AB319" s="69"/>
      <c r="AC319" s="69"/>
      <c r="AD319" s="69"/>
      <c r="AE319" s="69"/>
      <c r="AF319" s="69"/>
      <c r="AG319" s="69"/>
      <c r="AH319" s="69"/>
      <c r="AI319" s="69"/>
      <c r="AJ319" s="69"/>
      <c r="AK319" s="69"/>
      <c r="AL319" s="69"/>
      <c r="AM319" s="69"/>
      <c r="AN319" s="69"/>
      <c r="AO319" s="69"/>
      <c r="AP319" s="69"/>
      <c r="AQ319" s="69"/>
      <c r="AR319" s="69"/>
      <c r="AS319" s="69"/>
      <c r="AT319" s="69"/>
      <c r="AU319" s="69"/>
      <c r="AV319" s="69"/>
      <c r="AW319" s="69"/>
      <c r="AX319" s="69"/>
      <c r="AY319" s="69"/>
      <c r="AZ319" s="69"/>
      <c r="BA319" s="69"/>
      <c r="BB319" s="69"/>
      <c r="BC319" s="69"/>
    </row>
    <row r="320" spans="1:55">
      <c r="A320" s="69"/>
      <c r="B320" s="69"/>
      <c r="C320" s="69"/>
      <c r="D320" s="69"/>
      <c r="E320" s="69"/>
      <c r="F320" s="69"/>
      <c r="G320" s="69"/>
      <c r="H320" s="69"/>
      <c r="I320" s="69"/>
      <c r="J320" s="69"/>
      <c r="K320" s="69"/>
      <c r="L320" s="69"/>
      <c r="M320" s="69"/>
      <c r="N320" s="69"/>
      <c r="O320" s="69"/>
      <c r="P320" s="69"/>
      <c r="Q320" s="69"/>
      <c r="R320" s="69"/>
      <c r="S320" s="69"/>
      <c r="T320" s="69"/>
      <c r="U320" s="69"/>
      <c r="V320" s="69"/>
      <c r="W320" s="69"/>
      <c r="X320" s="69"/>
      <c r="Y320" s="69"/>
      <c r="Z320" s="69"/>
      <c r="AA320" s="69"/>
      <c r="AB320" s="69"/>
      <c r="AC320" s="69"/>
      <c r="AD320" s="69"/>
      <c r="AE320" s="69"/>
      <c r="AF320" s="69"/>
      <c r="AG320" s="69"/>
      <c r="AH320" s="69"/>
      <c r="AI320" s="69"/>
      <c r="AJ320" s="69"/>
      <c r="AK320" s="69"/>
      <c r="AL320" s="69"/>
      <c r="AM320" s="69"/>
      <c r="AN320" s="69"/>
      <c r="AO320" s="69"/>
      <c r="AP320" s="69"/>
      <c r="AQ320" s="69"/>
      <c r="AR320" s="69"/>
      <c r="AS320" s="69"/>
      <c r="AT320" s="69"/>
      <c r="AU320" s="69"/>
      <c r="AV320" s="69"/>
      <c r="AW320" s="69"/>
      <c r="AX320" s="69"/>
      <c r="AY320" s="69"/>
      <c r="AZ320" s="69"/>
      <c r="BA320" s="69"/>
      <c r="BB320" s="69"/>
      <c r="BC320" s="69"/>
    </row>
    <row r="321" spans="1:55">
      <c r="A321" s="69"/>
      <c r="B321" s="69"/>
      <c r="C321" s="69"/>
      <c r="D321" s="69"/>
      <c r="E321" s="69"/>
      <c r="F321" s="69"/>
      <c r="G321" s="69"/>
      <c r="H321" s="69"/>
      <c r="I321" s="69"/>
      <c r="J321" s="69"/>
      <c r="K321" s="69"/>
      <c r="L321" s="69"/>
      <c r="M321" s="69"/>
      <c r="N321" s="69"/>
      <c r="O321" s="69"/>
      <c r="P321" s="69"/>
      <c r="Q321" s="69"/>
      <c r="R321" s="69"/>
      <c r="S321" s="69"/>
      <c r="T321" s="69"/>
      <c r="U321" s="69"/>
      <c r="V321" s="69"/>
      <c r="W321" s="69"/>
      <c r="X321" s="69"/>
      <c r="Y321" s="69"/>
      <c r="Z321" s="69"/>
      <c r="AA321" s="69"/>
      <c r="AB321" s="69"/>
      <c r="AC321" s="69"/>
      <c r="AD321" s="69"/>
      <c r="AE321" s="69"/>
      <c r="AF321" s="69"/>
      <c r="AG321" s="69"/>
      <c r="AH321" s="69"/>
      <c r="AI321" s="69"/>
      <c r="AJ321" s="69"/>
      <c r="AK321" s="69"/>
      <c r="AL321" s="69"/>
      <c r="AM321" s="69"/>
      <c r="AN321" s="69"/>
      <c r="AO321" s="69"/>
      <c r="AP321" s="69"/>
      <c r="AQ321" s="69"/>
      <c r="AR321" s="69"/>
      <c r="AS321" s="69"/>
      <c r="AT321" s="69"/>
      <c r="AU321" s="69"/>
      <c r="AV321" s="69"/>
      <c r="AW321" s="69"/>
      <c r="AX321" s="69"/>
      <c r="AY321" s="69"/>
      <c r="AZ321" s="69"/>
      <c r="BA321" s="69"/>
      <c r="BB321" s="69"/>
      <c r="BC321" s="69"/>
    </row>
    <row r="322" spans="1:55">
      <c r="A322" s="69"/>
      <c r="B322" s="69"/>
      <c r="C322" s="69"/>
      <c r="D322" s="69"/>
      <c r="E322" s="69"/>
      <c r="F322" s="69"/>
      <c r="G322" s="69"/>
      <c r="H322" s="69"/>
      <c r="I322" s="69"/>
      <c r="J322" s="69"/>
      <c r="K322" s="69"/>
      <c r="L322" s="69"/>
      <c r="M322" s="69"/>
      <c r="N322" s="69"/>
      <c r="O322" s="69"/>
      <c r="P322" s="69"/>
      <c r="Q322" s="69"/>
      <c r="R322" s="69"/>
      <c r="S322" s="69"/>
      <c r="T322" s="69"/>
      <c r="U322" s="69"/>
      <c r="V322" s="69"/>
      <c r="W322" s="69"/>
      <c r="X322" s="69"/>
      <c r="Y322" s="69"/>
      <c r="Z322" s="69"/>
      <c r="AA322" s="69"/>
      <c r="AB322" s="69"/>
      <c r="AC322" s="69"/>
      <c r="AD322" s="69"/>
      <c r="AE322" s="69"/>
      <c r="AF322" s="69"/>
      <c r="AG322" s="69"/>
      <c r="AH322" s="69"/>
      <c r="AI322" s="69"/>
      <c r="AJ322" s="69"/>
      <c r="AK322" s="69"/>
      <c r="AL322" s="69"/>
      <c r="AM322" s="69"/>
      <c r="AN322" s="69"/>
      <c r="AO322" s="69"/>
      <c r="AP322" s="69"/>
      <c r="AQ322" s="69"/>
      <c r="AR322" s="69"/>
      <c r="AS322" s="69"/>
      <c r="AT322" s="69"/>
      <c r="AU322" s="69"/>
      <c r="AV322" s="69"/>
      <c r="AW322" s="69"/>
      <c r="AX322" s="69"/>
      <c r="AY322" s="69"/>
      <c r="AZ322" s="69"/>
      <c r="BA322" s="69"/>
      <c r="BB322" s="69"/>
      <c r="BC322" s="69"/>
    </row>
    <row r="323" spans="1:55">
      <c r="A323" s="69"/>
      <c r="B323" s="69"/>
      <c r="C323" s="69"/>
      <c r="D323" s="69"/>
      <c r="E323" s="69"/>
      <c r="F323" s="69"/>
      <c r="G323" s="69"/>
      <c r="H323" s="69"/>
      <c r="I323" s="69"/>
      <c r="J323" s="69"/>
      <c r="K323" s="69"/>
      <c r="L323" s="69"/>
      <c r="M323" s="69"/>
      <c r="N323" s="69"/>
      <c r="O323" s="69"/>
      <c r="P323" s="69"/>
      <c r="Q323" s="69"/>
      <c r="R323" s="69"/>
      <c r="S323" s="69"/>
      <c r="T323" s="69"/>
      <c r="U323" s="69"/>
      <c r="V323" s="69"/>
      <c r="W323" s="69"/>
      <c r="X323" s="69"/>
      <c r="Y323" s="69"/>
      <c r="Z323" s="69"/>
      <c r="AA323" s="69"/>
      <c r="AB323" s="69"/>
      <c r="AC323" s="69"/>
      <c r="AD323" s="69"/>
      <c r="AE323" s="69"/>
      <c r="AF323" s="69"/>
      <c r="AG323" s="69"/>
      <c r="AH323" s="69"/>
      <c r="AI323" s="69"/>
      <c r="AJ323" s="69"/>
      <c r="AK323" s="69"/>
      <c r="AL323" s="69"/>
      <c r="AM323" s="69"/>
      <c r="AN323" s="69"/>
      <c r="AO323" s="69"/>
      <c r="AP323" s="69"/>
      <c r="AQ323" s="69"/>
      <c r="AR323" s="69"/>
      <c r="AS323" s="69"/>
      <c r="AT323" s="69"/>
      <c r="AU323" s="69"/>
      <c r="AV323" s="69"/>
      <c r="AW323" s="69"/>
      <c r="AX323" s="69"/>
      <c r="AY323" s="69"/>
      <c r="AZ323" s="69"/>
      <c r="BA323" s="69"/>
      <c r="BB323" s="69"/>
      <c r="BC323" s="69"/>
    </row>
    <row r="324" spans="1:55">
      <c r="A324" s="69"/>
      <c r="B324" s="69"/>
      <c r="C324" s="69"/>
      <c r="D324" s="69"/>
      <c r="E324" s="69"/>
      <c r="F324" s="69"/>
      <c r="G324" s="69"/>
      <c r="H324" s="69"/>
      <c r="I324" s="69"/>
      <c r="J324" s="69"/>
      <c r="K324" s="69"/>
      <c r="L324" s="69"/>
      <c r="M324" s="69"/>
      <c r="N324" s="69"/>
      <c r="O324" s="69"/>
      <c r="P324" s="69"/>
      <c r="Q324" s="69"/>
      <c r="R324" s="69"/>
      <c r="S324" s="69"/>
      <c r="T324" s="69"/>
      <c r="U324" s="69"/>
      <c r="V324" s="69"/>
      <c r="W324" s="69"/>
      <c r="X324" s="69"/>
      <c r="Y324" s="69"/>
      <c r="Z324" s="69"/>
      <c r="AA324" s="69"/>
      <c r="AB324" s="69"/>
      <c r="AC324" s="69"/>
      <c r="AD324" s="69"/>
      <c r="AE324" s="69"/>
      <c r="AF324" s="69"/>
      <c r="AG324" s="69"/>
      <c r="AH324" s="69"/>
      <c r="AI324" s="69"/>
      <c r="AJ324" s="69"/>
      <c r="AK324" s="69"/>
      <c r="AL324" s="69"/>
      <c r="AM324" s="69"/>
      <c r="AN324" s="69"/>
      <c r="AO324" s="69"/>
      <c r="AP324" s="69"/>
      <c r="AQ324" s="69"/>
      <c r="AR324" s="69"/>
      <c r="AS324" s="69"/>
      <c r="AT324" s="69"/>
      <c r="AU324" s="69"/>
      <c r="AV324" s="69"/>
      <c r="AW324" s="69"/>
      <c r="AX324" s="69"/>
      <c r="AY324" s="69"/>
      <c r="AZ324" s="69"/>
      <c r="BA324" s="69"/>
      <c r="BB324" s="69"/>
      <c r="BC324" s="69"/>
    </row>
    <row r="325" spans="1:55">
      <c r="A325" s="69"/>
      <c r="B325" s="69"/>
      <c r="C325" s="69"/>
      <c r="D325" s="69"/>
      <c r="E325" s="69"/>
      <c r="F325" s="69"/>
      <c r="G325" s="69"/>
      <c r="H325" s="69"/>
      <c r="I325" s="69"/>
      <c r="J325" s="69"/>
      <c r="K325" s="69"/>
      <c r="L325" s="69"/>
      <c r="M325" s="69"/>
      <c r="N325" s="69"/>
      <c r="O325" s="69"/>
      <c r="P325" s="69"/>
      <c r="Q325" s="69"/>
      <c r="R325" s="69"/>
      <c r="S325" s="69"/>
      <c r="T325" s="69"/>
      <c r="U325" s="69"/>
      <c r="V325" s="69"/>
      <c r="W325" s="69"/>
      <c r="X325" s="69"/>
      <c r="Y325" s="69"/>
      <c r="Z325" s="69"/>
      <c r="AA325" s="69"/>
      <c r="AB325" s="69"/>
      <c r="AC325" s="69"/>
      <c r="AD325" s="69"/>
      <c r="AE325" s="69"/>
      <c r="AF325" s="69"/>
      <c r="AG325" s="69"/>
      <c r="AH325" s="69"/>
      <c r="AI325" s="69"/>
      <c r="AJ325" s="69"/>
      <c r="AK325" s="69"/>
      <c r="AL325" s="69"/>
      <c r="AM325" s="69"/>
      <c r="AN325" s="69"/>
      <c r="AO325" s="69"/>
      <c r="AP325" s="69"/>
      <c r="AQ325" s="69"/>
      <c r="AR325" s="69"/>
      <c r="AS325" s="69"/>
      <c r="AT325" s="69"/>
      <c r="AU325" s="69"/>
      <c r="AV325" s="69"/>
      <c r="AW325" s="69"/>
      <c r="AX325" s="69"/>
      <c r="AY325" s="69"/>
      <c r="AZ325" s="69"/>
      <c r="BA325" s="69"/>
      <c r="BB325" s="69"/>
      <c r="BC325" s="69"/>
    </row>
  </sheetData>
  <mergeCells count="4">
    <mergeCell ref="A1:AG1"/>
    <mergeCell ref="A2:AG2"/>
    <mergeCell ref="A128:AG128"/>
    <mergeCell ref="A129:AG129"/>
  </mergeCells>
  <conditionalFormatting sqref="L7:AG7 C27 N28:AG28 C29:C31 C35:C37 N32:AG34 N38:AG39 C40:C42 C46:C47 N43:AG45 C59 N48:AG58 C62 N60:AG61 C64:C65 N63:AG63 C68 N66:AG67 N69:AG70 K76:AG76 N75:AG75 K79:AG79 O77:AG77 C81:C82 N80:AG80 C88 N83:AG87 C93 N89:AG90 N94:AG95 C96:C98 O96:AG97 C101:C102 N99:AG100 C104:C107 N103:AG103 K71:AG72 N78:AG78 K91:AG92 C73:C74 C121:AG121 C109:C120 E109:AG120 E73:AG74 E104:AG107 E101:AG102 E98:AG98 E93:AG93 E88:AG88 E81:AG82 E68:AG68 E64:F65 E62:F62 E59:AG59 E46:AG47 E40:AG42 E35:AG37 E29:AG31 E27:AG27 H62:AG62 H64:AG65">
    <cfRule type="containsText" dxfId="535" priority="335" operator="containsText" text="B">
      <formula>NOT(ISERROR(SEARCH("B",C7)))</formula>
    </cfRule>
    <cfRule type="containsText" dxfId="534" priority="336" operator="containsText" text="TB">
      <formula>NOT(ISERROR(SEARCH("TB",C7)))</formula>
    </cfRule>
    <cfRule type="containsText" dxfId="533" priority="337" operator="containsText" text="T">
      <formula>NOT(ISERROR(SEARCH("T",C7)))</formula>
    </cfRule>
  </conditionalFormatting>
  <conditionalFormatting sqref="L7:AG7 C27 N28:AG28 C29:C31 C35:C37 N32:AG34 N38:AG39 C40:C42 C46:C47 N43:AG45 C59 N48:AG58 C62 N60:AG61 C64:C65 N63:AG63 C68 N66:AG67 N69:AG70 K76:AG76 N75:AG75 K79:AG79 O77:AG77 C81:C82 N80:AG80 C88 N83:AG87 C93 N89:AG90 N94:AG95 C96:C98 O96:AG97 C101:C102 N99:AG100 C104:C107 N103:AG103 K71:AG72 N78:AG78 K91:AG92 C73:C74 C109:C120 E109:AG120 E73:AG74 E104:AG107 E101:AG102 E98:AG98 E93:AG93 E88:AG88 E81:AG82 E68:AG68 E64:F65 E62:F62 E59:AG59 E46:AG47 E40:AG42 E35:AG37 E29:AG31 E27:AG27 C121:AG121 H62:AG62 H64:AG65">
    <cfRule type="containsText" dxfId="532" priority="334" operator="containsText" text="TB">
      <formula>NOT(ISERROR(SEARCH("TB",C7)))</formula>
    </cfRule>
  </conditionalFormatting>
  <conditionalFormatting sqref="A124:A126">
    <cfRule type="containsText" dxfId="531" priority="331" operator="containsText" text="B">
      <formula>NOT(ISERROR(SEARCH("B",A124)))</formula>
    </cfRule>
    <cfRule type="containsText" dxfId="530" priority="332" operator="containsText" text="TB">
      <formula>NOT(ISERROR(SEARCH("TB",A124)))</formula>
    </cfRule>
    <cfRule type="containsText" dxfId="529" priority="333" operator="containsText" text="T">
      <formula>NOT(ISERROR(SEARCH("T",A124)))</formula>
    </cfRule>
  </conditionalFormatting>
  <conditionalFormatting sqref="A124:A126">
    <cfRule type="containsText" dxfId="528" priority="330" operator="containsText" text="TB">
      <formula>NOT(ISERROR(SEARCH("TB",A124)))</formula>
    </cfRule>
  </conditionalFormatting>
  <conditionalFormatting sqref="C134:AG150 C166:AG224 N151:AG165">
    <cfRule type="containsText" dxfId="527" priority="327" operator="containsText" text="B">
      <formula>NOT(ISERROR(SEARCH("B",C134)))</formula>
    </cfRule>
    <cfRule type="containsText" dxfId="526" priority="328" operator="containsText" text="TB">
      <formula>NOT(ISERROR(SEARCH("TB",C134)))</formula>
    </cfRule>
    <cfRule type="containsText" dxfId="525" priority="329" operator="containsText" text="T">
      <formula>NOT(ISERROR(SEARCH("T",C134)))</formula>
    </cfRule>
  </conditionalFormatting>
  <conditionalFormatting sqref="C134:AG150 N151:AG165 C166:AG225">
    <cfRule type="containsText" dxfId="524" priority="326" operator="containsText" text="TB">
      <formula>NOT(ISERROR(SEARCH("TB",C134)))</formula>
    </cfRule>
  </conditionalFormatting>
  <conditionalFormatting sqref="A227:A229">
    <cfRule type="containsText" dxfId="523" priority="323" operator="containsText" text="B">
      <formula>NOT(ISERROR(SEARCH("B",A227)))</formula>
    </cfRule>
    <cfRule type="containsText" dxfId="522" priority="324" operator="containsText" text="TB">
      <formula>NOT(ISERROR(SEARCH("TB",A227)))</formula>
    </cfRule>
    <cfRule type="containsText" dxfId="521" priority="325" operator="containsText" text="T">
      <formula>NOT(ISERROR(SEARCH("T",A227)))</formula>
    </cfRule>
  </conditionalFormatting>
  <conditionalFormatting sqref="A227:A229">
    <cfRule type="containsText" dxfId="520" priority="322" operator="containsText" text="TB">
      <formula>NOT(ISERROR(SEARCH("TB",A227)))</formula>
    </cfRule>
  </conditionalFormatting>
  <conditionalFormatting sqref="C8:C12 C15:C19 L13:AG14 C21 L20:AG20 C24 N22:AG23 C26 N25:AG25 E26:AG26 E24:AG24 E21:AG21 E15:AG19 E8:AG12">
    <cfRule type="containsText" dxfId="519" priority="319" operator="containsText" text="B">
      <formula>NOT(ISERROR(SEARCH("B",C8)))</formula>
    </cfRule>
    <cfRule type="containsText" dxfId="518" priority="320" operator="containsText" text="TB">
      <formula>NOT(ISERROR(SEARCH("TB",C8)))</formula>
    </cfRule>
    <cfRule type="containsText" dxfId="517" priority="321" operator="containsText" text="T">
      <formula>NOT(ISERROR(SEARCH("T",C8)))</formula>
    </cfRule>
  </conditionalFormatting>
  <conditionalFormatting sqref="C8:C12 C15:C19 L13:AG14 C21 L20:AG20 C24 N22:AG23 C26 N25:AG25 E26:AG26 E24:AG24 E21:AG21 E15:AG19 E8:AG12">
    <cfRule type="containsText" dxfId="516" priority="318" operator="containsText" text="TB">
      <formula>NOT(ISERROR(SEARCH("TB",C8)))</formula>
    </cfRule>
  </conditionalFormatting>
  <conditionalFormatting sqref="C7 E7:K7">
    <cfRule type="containsText" dxfId="515" priority="315" operator="containsText" text="B">
      <formula>NOT(ISERROR(SEARCH("B",C7)))</formula>
    </cfRule>
    <cfRule type="containsText" dxfId="514" priority="316" operator="containsText" text="TB">
      <formula>NOT(ISERROR(SEARCH("TB",C7)))</formula>
    </cfRule>
    <cfRule type="containsText" dxfId="513" priority="317" operator="containsText" text="T">
      <formula>NOT(ISERROR(SEARCH("T",C7)))</formula>
    </cfRule>
  </conditionalFormatting>
  <conditionalFormatting sqref="C7 E7:K7">
    <cfRule type="containsText" dxfId="512" priority="314" operator="containsText" text="TB">
      <formula>NOT(ISERROR(SEARCH("TB",C7)))</formula>
    </cfRule>
  </conditionalFormatting>
  <conditionalFormatting sqref="C13:C14 E13:K14">
    <cfRule type="containsText" dxfId="511" priority="311" operator="containsText" text="B">
      <formula>NOT(ISERROR(SEARCH("B",C13)))</formula>
    </cfRule>
    <cfRule type="containsText" dxfId="510" priority="312" operator="containsText" text="TB">
      <formula>NOT(ISERROR(SEARCH("TB",C13)))</formula>
    </cfRule>
    <cfRule type="containsText" dxfId="509" priority="313" operator="containsText" text="T">
      <formula>NOT(ISERROR(SEARCH("T",C13)))</formula>
    </cfRule>
  </conditionalFormatting>
  <conditionalFormatting sqref="C13:C14 E13:K14">
    <cfRule type="containsText" dxfId="508" priority="310" operator="containsText" text="TB">
      <formula>NOT(ISERROR(SEARCH("TB",C13)))</formula>
    </cfRule>
  </conditionalFormatting>
  <conditionalFormatting sqref="C20 E20:K20">
    <cfRule type="containsText" dxfId="507" priority="307" operator="containsText" text="B">
      <formula>NOT(ISERROR(SEARCH("B",C20)))</formula>
    </cfRule>
    <cfRule type="containsText" dxfId="506" priority="308" operator="containsText" text="TB">
      <formula>NOT(ISERROR(SEARCH("TB",C20)))</formula>
    </cfRule>
    <cfRule type="containsText" dxfId="505" priority="309" operator="containsText" text="T">
      <formula>NOT(ISERROR(SEARCH("T",C20)))</formula>
    </cfRule>
  </conditionalFormatting>
  <conditionalFormatting sqref="C20 E20:K20">
    <cfRule type="containsText" dxfId="504" priority="306" operator="containsText" text="TB">
      <formula>NOT(ISERROR(SEARCH("TB",C20)))</formula>
    </cfRule>
  </conditionalFormatting>
  <conditionalFormatting sqref="C22:C23 E22:M23">
    <cfRule type="containsText" dxfId="503" priority="303" operator="containsText" text="B">
      <formula>NOT(ISERROR(SEARCH("B",C22)))</formula>
    </cfRule>
    <cfRule type="containsText" dxfId="502" priority="304" operator="containsText" text="TB">
      <formula>NOT(ISERROR(SEARCH("TB",C22)))</formula>
    </cfRule>
    <cfRule type="containsText" dxfId="501" priority="305" operator="containsText" text="T">
      <formula>NOT(ISERROR(SEARCH("T",C22)))</formula>
    </cfRule>
  </conditionalFormatting>
  <conditionalFormatting sqref="C22:C23 E22:M23">
    <cfRule type="containsText" dxfId="500" priority="302" operator="containsText" text="TB">
      <formula>NOT(ISERROR(SEARCH("TB",C22)))</formula>
    </cfRule>
  </conditionalFormatting>
  <conditionalFormatting sqref="C25 E25:M25">
    <cfRule type="containsText" dxfId="499" priority="299" operator="containsText" text="B">
      <formula>NOT(ISERROR(SEARCH("B",C25)))</formula>
    </cfRule>
    <cfRule type="containsText" dxfId="498" priority="300" operator="containsText" text="TB">
      <formula>NOT(ISERROR(SEARCH("TB",C25)))</formula>
    </cfRule>
    <cfRule type="containsText" dxfId="497" priority="301" operator="containsText" text="T">
      <formula>NOT(ISERROR(SEARCH("T",C25)))</formula>
    </cfRule>
  </conditionalFormatting>
  <conditionalFormatting sqref="C25 E25:M25">
    <cfRule type="containsText" dxfId="496" priority="298" operator="containsText" text="TB">
      <formula>NOT(ISERROR(SEARCH("TB",C25)))</formula>
    </cfRule>
  </conditionalFormatting>
  <conditionalFormatting sqref="C28 E28:M28">
    <cfRule type="containsText" dxfId="495" priority="295" operator="containsText" text="B">
      <formula>NOT(ISERROR(SEARCH("B",C28)))</formula>
    </cfRule>
    <cfRule type="containsText" dxfId="494" priority="296" operator="containsText" text="TB">
      <formula>NOT(ISERROR(SEARCH("TB",C28)))</formula>
    </cfRule>
    <cfRule type="containsText" dxfId="493" priority="297" operator="containsText" text="T">
      <formula>NOT(ISERROR(SEARCH("T",C28)))</formula>
    </cfRule>
  </conditionalFormatting>
  <conditionalFormatting sqref="C28 E28:M28">
    <cfRule type="containsText" dxfId="492" priority="294" operator="containsText" text="TB">
      <formula>NOT(ISERROR(SEARCH("TB",C28)))</formula>
    </cfRule>
  </conditionalFormatting>
  <conditionalFormatting sqref="C32:C34 E32:M34">
    <cfRule type="containsText" dxfId="491" priority="291" operator="containsText" text="B">
      <formula>NOT(ISERROR(SEARCH("B",C32)))</formula>
    </cfRule>
    <cfRule type="containsText" dxfId="490" priority="292" operator="containsText" text="TB">
      <formula>NOT(ISERROR(SEARCH("TB",C32)))</formula>
    </cfRule>
    <cfRule type="containsText" dxfId="489" priority="293" operator="containsText" text="T">
      <formula>NOT(ISERROR(SEARCH("T",C32)))</formula>
    </cfRule>
  </conditionalFormatting>
  <conditionalFormatting sqref="C32:C34 E32:M34">
    <cfRule type="containsText" dxfId="488" priority="290" operator="containsText" text="TB">
      <formula>NOT(ISERROR(SEARCH("TB",C32)))</formula>
    </cfRule>
  </conditionalFormatting>
  <conditionalFormatting sqref="C38:C39 E38:M39">
    <cfRule type="containsText" dxfId="487" priority="287" operator="containsText" text="B">
      <formula>NOT(ISERROR(SEARCH("B",C38)))</formula>
    </cfRule>
    <cfRule type="containsText" dxfId="486" priority="288" operator="containsText" text="TB">
      <formula>NOT(ISERROR(SEARCH("TB",C38)))</formula>
    </cfRule>
    <cfRule type="containsText" dxfId="485" priority="289" operator="containsText" text="T">
      <formula>NOT(ISERROR(SEARCH("T",C38)))</formula>
    </cfRule>
  </conditionalFormatting>
  <conditionalFormatting sqref="C38:C39 E38:M39">
    <cfRule type="containsText" dxfId="484" priority="286" operator="containsText" text="TB">
      <formula>NOT(ISERROR(SEARCH("TB",C38)))</formula>
    </cfRule>
  </conditionalFormatting>
  <conditionalFormatting sqref="C43:C45 E43:M45">
    <cfRule type="containsText" dxfId="483" priority="283" operator="containsText" text="B">
      <formula>NOT(ISERROR(SEARCH("B",C43)))</formula>
    </cfRule>
    <cfRule type="containsText" dxfId="482" priority="284" operator="containsText" text="TB">
      <formula>NOT(ISERROR(SEARCH("TB",C43)))</formula>
    </cfRule>
    <cfRule type="containsText" dxfId="481" priority="285" operator="containsText" text="T">
      <formula>NOT(ISERROR(SEARCH("T",C43)))</formula>
    </cfRule>
  </conditionalFormatting>
  <conditionalFormatting sqref="C43:C45 E43:M45">
    <cfRule type="containsText" dxfId="480" priority="282" operator="containsText" text="TB">
      <formula>NOT(ISERROR(SEARCH("TB",C43)))</formula>
    </cfRule>
  </conditionalFormatting>
  <conditionalFormatting sqref="C48:C50 E48:M50">
    <cfRule type="containsText" dxfId="479" priority="279" operator="containsText" text="B">
      <formula>NOT(ISERROR(SEARCH("B",C48)))</formula>
    </cfRule>
    <cfRule type="containsText" dxfId="478" priority="280" operator="containsText" text="TB">
      <formula>NOT(ISERROR(SEARCH("TB",C48)))</formula>
    </cfRule>
    <cfRule type="containsText" dxfId="477" priority="281" operator="containsText" text="T">
      <formula>NOT(ISERROR(SEARCH("T",C48)))</formula>
    </cfRule>
  </conditionalFormatting>
  <conditionalFormatting sqref="C48:C50 E48:M50">
    <cfRule type="containsText" dxfId="476" priority="278" operator="containsText" text="TB">
      <formula>NOT(ISERROR(SEARCH("TB",C48)))</formula>
    </cfRule>
  </conditionalFormatting>
  <conditionalFormatting sqref="C51:C53 E51:M53">
    <cfRule type="containsText" dxfId="475" priority="275" operator="containsText" text="B">
      <formula>NOT(ISERROR(SEARCH("B",C51)))</formula>
    </cfRule>
    <cfRule type="containsText" dxfId="474" priority="276" operator="containsText" text="TB">
      <formula>NOT(ISERROR(SEARCH("TB",C51)))</formula>
    </cfRule>
    <cfRule type="containsText" dxfId="473" priority="277" operator="containsText" text="T">
      <formula>NOT(ISERROR(SEARCH("T",C51)))</formula>
    </cfRule>
  </conditionalFormatting>
  <conditionalFormatting sqref="C51:C53 E51:M53">
    <cfRule type="containsText" dxfId="472" priority="274" operator="containsText" text="TB">
      <formula>NOT(ISERROR(SEARCH("TB",C51)))</formula>
    </cfRule>
  </conditionalFormatting>
  <conditionalFormatting sqref="C54:C55 E54:M55">
    <cfRule type="containsText" dxfId="471" priority="271" operator="containsText" text="B">
      <formula>NOT(ISERROR(SEARCH("B",C54)))</formula>
    </cfRule>
    <cfRule type="containsText" dxfId="470" priority="272" operator="containsText" text="TB">
      <formula>NOT(ISERROR(SEARCH("TB",C54)))</formula>
    </cfRule>
    <cfRule type="containsText" dxfId="469" priority="273" operator="containsText" text="T">
      <formula>NOT(ISERROR(SEARCH("T",C54)))</formula>
    </cfRule>
  </conditionalFormatting>
  <conditionalFormatting sqref="C54:C55 E54:M55">
    <cfRule type="containsText" dxfId="468" priority="270" operator="containsText" text="TB">
      <formula>NOT(ISERROR(SEARCH("TB",C54)))</formula>
    </cfRule>
  </conditionalFormatting>
  <conditionalFormatting sqref="C56:C58 E56:M58 G62 G64:G66">
    <cfRule type="containsText" dxfId="467" priority="267" operator="containsText" text="B">
      <formula>NOT(ISERROR(SEARCH("B",C56)))</formula>
    </cfRule>
    <cfRule type="containsText" dxfId="466" priority="268" operator="containsText" text="TB">
      <formula>NOT(ISERROR(SEARCH("TB",C56)))</formula>
    </cfRule>
    <cfRule type="containsText" dxfId="465" priority="269" operator="containsText" text="T">
      <formula>NOT(ISERROR(SEARCH("T",C56)))</formula>
    </cfRule>
  </conditionalFormatting>
  <conditionalFormatting sqref="C56:C58 E56:M58 G62 G64:G66">
    <cfRule type="containsText" dxfId="464" priority="266" operator="containsText" text="TB">
      <formula>NOT(ISERROR(SEARCH("TB",C56)))</formula>
    </cfRule>
  </conditionalFormatting>
  <conditionalFormatting sqref="C60:C61 E60:M61">
    <cfRule type="containsText" dxfId="463" priority="263" operator="containsText" text="B">
      <formula>NOT(ISERROR(SEARCH("B",C60)))</formula>
    </cfRule>
    <cfRule type="containsText" dxfId="462" priority="264" operator="containsText" text="TB">
      <formula>NOT(ISERROR(SEARCH("TB",C60)))</formula>
    </cfRule>
    <cfRule type="containsText" dxfId="461" priority="265" operator="containsText" text="T">
      <formula>NOT(ISERROR(SEARCH("T",C60)))</formula>
    </cfRule>
  </conditionalFormatting>
  <conditionalFormatting sqref="C60:C61 E60:M61">
    <cfRule type="containsText" dxfId="460" priority="262" operator="containsText" text="TB">
      <formula>NOT(ISERROR(SEARCH("TB",C60)))</formula>
    </cfRule>
  </conditionalFormatting>
  <conditionalFormatting sqref="C63 E63:M63">
    <cfRule type="containsText" dxfId="459" priority="259" operator="containsText" text="B">
      <formula>NOT(ISERROR(SEARCH("B",C63)))</formula>
    </cfRule>
    <cfRule type="containsText" dxfId="458" priority="260" operator="containsText" text="TB">
      <formula>NOT(ISERROR(SEARCH("TB",C63)))</formula>
    </cfRule>
    <cfRule type="containsText" dxfId="457" priority="261" operator="containsText" text="T">
      <formula>NOT(ISERROR(SEARCH("T",C63)))</formula>
    </cfRule>
  </conditionalFormatting>
  <conditionalFormatting sqref="C63 E63:M63">
    <cfRule type="containsText" dxfId="456" priority="258" operator="containsText" text="TB">
      <formula>NOT(ISERROR(SEARCH("TB",C63)))</formula>
    </cfRule>
  </conditionalFormatting>
  <conditionalFormatting sqref="C66 E66:F66 H66:M66">
    <cfRule type="containsText" dxfId="455" priority="255" operator="containsText" text="B">
      <formula>NOT(ISERROR(SEARCH("B",C66)))</formula>
    </cfRule>
    <cfRule type="containsText" dxfId="454" priority="256" operator="containsText" text="TB">
      <formula>NOT(ISERROR(SEARCH("TB",C66)))</formula>
    </cfRule>
    <cfRule type="containsText" dxfId="453" priority="257" operator="containsText" text="T">
      <formula>NOT(ISERROR(SEARCH("T",C66)))</formula>
    </cfRule>
  </conditionalFormatting>
  <conditionalFormatting sqref="C66 E66:F66 H66:M66">
    <cfRule type="containsText" dxfId="452" priority="254" operator="containsText" text="TB">
      <formula>NOT(ISERROR(SEARCH("TB",C66)))</formula>
    </cfRule>
  </conditionalFormatting>
  <conditionalFormatting sqref="C67 E67:M67">
    <cfRule type="containsText" dxfId="451" priority="251" operator="containsText" text="B">
      <formula>NOT(ISERROR(SEARCH("B",C67)))</formula>
    </cfRule>
    <cfRule type="containsText" dxfId="450" priority="252" operator="containsText" text="TB">
      <formula>NOT(ISERROR(SEARCH("TB",C67)))</formula>
    </cfRule>
    <cfRule type="containsText" dxfId="449" priority="253" operator="containsText" text="T">
      <formula>NOT(ISERROR(SEARCH("T",C67)))</formula>
    </cfRule>
  </conditionalFormatting>
  <conditionalFormatting sqref="C67 E67:M67">
    <cfRule type="containsText" dxfId="448" priority="250" operator="containsText" text="TB">
      <formula>NOT(ISERROR(SEARCH("TB",C67)))</formula>
    </cfRule>
  </conditionalFormatting>
  <conditionalFormatting sqref="C69:C70 E69:M70">
    <cfRule type="containsText" dxfId="447" priority="247" operator="containsText" text="B">
      <formula>NOT(ISERROR(SEARCH("B",C69)))</formula>
    </cfRule>
    <cfRule type="containsText" dxfId="446" priority="248" operator="containsText" text="TB">
      <formula>NOT(ISERROR(SEARCH("TB",C69)))</formula>
    </cfRule>
    <cfRule type="containsText" dxfId="445" priority="249" operator="containsText" text="T">
      <formula>NOT(ISERROR(SEARCH("T",C69)))</formula>
    </cfRule>
  </conditionalFormatting>
  <conditionalFormatting sqref="C69:C70 E69:M70">
    <cfRule type="containsText" dxfId="444" priority="246" operator="containsText" text="TB">
      <formula>NOT(ISERROR(SEARCH("TB",C69)))</formula>
    </cfRule>
  </conditionalFormatting>
  <conditionalFormatting sqref="C75 E75:M75">
    <cfRule type="containsText" dxfId="443" priority="243" operator="containsText" text="B">
      <formula>NOT(ISERROR(SEARCH("B",C75)))</formula>
    </cfRule>
    <cfRule type="containsText" dxfId="442" priority="244" operator="containsText" text="TB">
      <formula>NOT(ISERROR(SEARCH("TB",C75)))</formula>
    </cfRule>
    <cfRule type="containsText" dxfId="441" priority="245" operator="containsText" text="T">
      <formula>NOT(ISERROR(SEARCH("T",C75)))</formula>
    </cfRule>
  </conditionalFormatting>
  <conditionalFormatting sqref="C75 E75:M75">
    <cfRule type="containsText" dxfId="440" priority="242" operator="containsText" text="TB">
      <formula>NOT(ISERROR(SEARCH("TB",C75)))</formula>
    </cfRule>
  </conditionalFormatting>
  <conditionalFormatting sqref="C77">
    <cfRule type="containsText" dxfId="439" priority="239" operator="containsText" text="B">
      <formula>NOT(ISERROR(SEARCH("B",C77)))</formula>
    </cfRule>
    <cfRule type="containsText" dxfId="438" priority="240" operator="containsText" text="TB">
      <formula>NOT(ISERROR(SEARCH("TB",C77)))</formula>
    </cfRule>
    <cfRule type="containsText" dxfId="437" priority="241" operator="containsText" text="T">
      <formula>NOT(ISERROR(SEARCH("T",C77)))</formula>
    </cfRule>
  </conditionalFormatting>
  <conditionalFormatting sqref="C77">
    <cfRule type="containsText" dxfId="436" priority="238" operator="containsText" text="TB">
      <formula>NOT(ISERROR(SEARCH("TB",C77)))</formula>
    </cfRule>
  </conditionalFormatting>
  <conditionalFormatting sqref="E77:N77">
    <cfRule type="containsText" dxfId="435" priority="235" operator="containsText" text="B">
      <formula>NOT(ISERROR(SEARCH("B",E77)))</formula>
    </cfRule>
    <cfRule type="containsText" dxfId="434" priority="236" operator="containsText" text="TB">
      <formula>NOT(ISERROR(SEARCH("TB",E77)))</formula>
    </cfRule>
    <cfRule type="containsText" dxfId="433" priority="237" operator="containsText" text="T">
      <formula>NOT(ISERROR(SEARCH("T",E77)))</formula>
    </cfRule>
  </conditionalFormatting>
  <conditionalFormatting sqref="E77:N77">
    <cfRule type="containsText" dxfId="432" priority="234" operator="containsText" text="TB">
      <formula>NOT(ISERROR(SEARCH("TB",E77)))</formula>
    </cfRule>
  </conditionalFormatting>
  <conditionalFormatting sqref="C80 E80:M80">
    <cfRule type="containsText" dxfId="431" priority="231" operator="containsText" text="B">
      <formula>NOT(ISERROR(SEARCH("B",C80)))</formula>
    </cfRule>
    <cfRule type="containsText" dxfId="430" priority="232" operator="containsText" text="TB">
      <formula>NOT(ISERROR(SEARCH("TB",C80)))</formula>
    </cfRule>
    <cfRule type="containsText" dxfId="429" priority="233" operator="containsText" text="T">
      <formula>NOT(ISERROR(SEARCH("T",C80)))</formula>
    </cfRule>
  </conditionalFormatting>
  <conditionalFormatting sqref="C80 E80:M80">
    <cfRule type="containsText" dxfId="428" priority="230" operator="containsText" text="TB">
      <formula>NOT(ISERROR(SEARCH("TB",C80)))</formula>
    </cfRule>
  </conditionalFormatting>
  <conditionalFormatting sqref="C83:C84 E83:M84">
    <cfRule type="containsText" dxfId="427" priority="227" operator="containsText" text="B">
      <formula>NOT(ISERROR(SEARCH("B",C83)))</formula>
    </cfRule>
    <cfRule type="containsText" dxfId="426" priority="228" operator="containsText" text="TB">
      <formula>NOT(ISERROR(SEARCH("TB",C83)))</formula>
    </cfRule>
    <cfRule type="containsText" dxfId="425" priority="229" operator="containsText" text="T">
      <formula>NOT(ISERROR(SEARCH("T",C83)))</formula>
    </cfRule>
  </conditionalFormatting>
  <conditionalFormatting sqref="C83:C84 E83:M84">
    <cfRule type="containsText" dxfId="424" priority="226" operator="containsText" text="TB">
      <formula>NOT(ISERROR(SEARCH("TB",C83)))</formula>
    </cfRule>
  </conditionalFormatting>
  <conditionalFormatting sqref="C85:C87 E85:M87">
    <cfRule type="containsText" dxfId="423" priority="223" operator="containsText" text="B">
      <formula>NOT(ISERROR(SEARCH("B",C85)))</formula>
    </cfRule>
    <cfRule type="containsText" dxfId="422" priority="224" operator="containsText" text="TB">
      <formula>NOT(ISERROR(SEARCH("TB",C85)))</formula>
    </cfRule>
    <cfRule type="containsText" dxfId="421" priority="225" operator="containsText" text="T">
      <formula>NOT(ISERROR(SEARCH("T",C85)))</formula>
    </cfRule>
  </conditionalFormatting>
  <conditionalFormatting sqref="C85:C87 E85:M87">
    <cfRule type="containsText" dxfId="420" priority="222" operator="containsText" text="TB">
      <formula>NOT(ISERROR(SEARCH("TB",C85)))</formula>
    </cfRule>
  </conditionalFormatting>
  <conditionalFormatting sqref="C89:C90 E89:M90">
    <cfRule type="containsText" dxfId="419" priority="219" operator="containsText" text="B">
      <formula>NOT(ISERROR(SEARCH("B",C89)))</formula>
    </cfRule>
    <cfRule type="containsText" dxfId="418" priority="220" operator="containsText" text="TB">
      <formula>NOT(ISERROR(SEARCH("TB",C89)))</formula>
    </cfRule>
    <cfRule type="containsText" dxfId="417" priority="221" operator="containsText" text="T">
      <formula>NOT(ISERROR(SEARCH("T",C89)))</formula>
    </cfRule>
  </conditionalFormatting>
  <conditionalFormatting sqref="C89:C90 E89:M90">
    <cfRule type="containsText" dxfId="416" priority="218" operator="containsText" text="TB">
      <formula>NOT(ISERROR(SEARCH("TB",C89)))</formula>
    </cfRule>
  </conditionalFormatting>
  <conditionalFormatting sqref="C94 E94:M94">
    <cfRule type="containsText" dxfId="415" priority="215" operator="containsText" text="B">
      <formula>NOT(ISERROR(SEARCH("B",C94)))</formula>
    </cfRule>
    <cfRule type="containsText" dxfId="414" priority="216" operator="containsText" text="TB">
      <formula>NOT(ISERROR(SEARCH("TB",C94)))</formula>
    </cfRule>
    <cfRule type="containsText" dxfId="413" priority="217" operator="containsText" text="T">
      <formula>NOT(ISERROR(SEARCH("T",C94)))</formula>
    </cfRule>
  </conditionalFormatting>
  <conditionalFormatting sqref="C94 E94:M94">
    <cfRule type="containsText" dxfId="412" priority="214" operator="containsText" text="TB">
      <formula>NOT(ISERROR(SEARCH("TB",C94)))</formula>
    </cfRule>
  </conditionalFormatting>
  <conditionalFormatting sqref="C95 E95:M95">
    <cfRule type="containsText" dxfId="411" priority="211" operator="containsText" text="B">
      <formula>NOT(ISERROR(SEARCH("B",C95)))</formula>
    </cfRule>
    <cfRule type="containsText" dxfId="410" priority="212" operator="containsText" text="TB">
      <formula>NOT(ISERROR(SEARCH("TB",C95)))</formula>
    </cfRule>
    <cfRule type="containsText" dxfId="409" priority="213" operator="containsText" text="T">
      <formula>NOT(ISERROR(SEARCH("T",C95)))</formula>
    </cfRule>
  </conditionalFormatting>
  <conditionalFormatting sqref="C95 E95:M95">
    <cfRule type="containsText" dxfId="408" priority="210" operator="containsText" text="TB">
      <formula>NOT(ISERROR(SEARCH("TB",C95)))</formula>
    </cfRule>
  </conditionalFormatting>
  <conditionalFormatting sqref="E96:N97">
    <cfRule type="containsText" dxfId="407" priority="207" operator="containsText" text="B">
      <formula>NOT(ISERROR(SEARCH("B",E96)))</formula>
    </cfRule>
    <cfRule type="containsText" dxfId="406" priority="208" operator="containsText" text="TB">
      <formula>NOT(ISERROR(SEARCH("TB",E96)))</formula>
    </cfRule>
    <cfRule type="containsText" dxfId="405" priority="209" operator="containsText" text="T">
      <formula>NOT(ISERROR(SEARCH("T",E96)))</formula>
    </cfRule>
  </conditionalFormatting>
  <conditionalFormatting sqref="E96:N97">
    <cfRule type="containsText" dxfId="404" priority="206" operator="containsText" text="TB">
      <formula>NOT(ISERROR(SEARCH("TB",E96)))</formula>
    </cfRule>
  </conditionalFormatting>
  <conditionalFormatting sqref="C99:C100 E99:M100">
    <cfRule type="containsText" dxfId="403" priority="203" operator="containsText" text="B">
      <formula>NOT(ISERROR(SEARCH("B",C99)))</formula>
    </cfRule>
    <cfRule type="containsText" dxfId="402" priority="204" operator="containsText" text="TB">
      <formula>NOT(ISERROR(SEARCH("TB",C99)))</formula>
    </cfRule>
    <cfRule type="containsText" dxfId="401" priority="205" operator="containsText" text="T">
      <formula>NOT(ISERROR(SEARCH("T",C99)))</formula>
    </cfRule>
  </conditionalFormatting>
  <conditionalFormatting sqref="C99:C100 E99:M100">
    <cfRule type="containsText" dxfId="400" priority="202" operator="containsText" text="TB">
      <formula>NOT(ISERROR(SEARCH("TB",C99)))</formula>
    </cfRule>
  </conditionalFormatting>
  <conditionalFormatting sqref="C103 E103:M103">
    <cfRule type="containsText" dxfId="399" priority="199" operator="containsText" text="B">
      <formula>NOT(ISERROR(SEARCH("B",C103)))</formula>
    </cfRule>
    <cfRule type="containsText" dxfId="398" priority="200" operator="containsText" text="TB">
      <formula>NOT(ISERROR(SEARCH("TB",C103)))</formula>
    </cfRule>
    <cfRule type="containsText" dxfId="397" priority="201" operator="containsText" text="T">
      <formula>NOT(ISERROR(SEARCH("T",C103)))</formula>
    </cfRule>
  </conditionalFormatting>
  <conditionalFormatting sqref="C103 E103:M103">
    <cfRule type="containsText" dxfId="396" priority="198" operator="containsText" text="TB">
      <formula>NOT(ISERROR(SEARCH("TB",C103)))</formula>
    </cfRule>
  </conditionalFormatting>
  <conditionalFormatting sqref="C71:C72 E71:J72">
    <cfRule type="containsText" dxfId="395" priority="195" operator="containsText" text="B">
      <formula>NOT(ISERROR(SEARCH("B",C71)))</formula>
    </cfRule>
    <cfRule type="containsText" dxfId="394" priority="196" operator="containsText" text="TB">
      <formula>NOT(ISERROR(SEARCH("TB",C71)))</formula>
    </cfRule>
    <cfRule type="containsText" dxfId="393" priority="197" operator="containsText" text="T">
      <formula>NOT(ISERROR(SEARCH("T",C71)))</formula>
    </cfRule>
  </conditionalFormatting>
  <conditionalFormatting sqref="C71:C72 E71:J72">
    <cfRule type="containsText" dxfId="392" priority="194" operator="containsText" text="TB">
      <formula>NOT(ISERROR(SEARCH("TB",C71)))</formula>
    </cfRule>
  </conditionalFormatting>
  <conditionalFormatting sqref="C76 E76:J76">
    <cfRule type="containsText" dxfId="391" priority="191" operator="containsText" text="B">
      <formula>NOT(ISERROR(SEARCH("B",C76)))</formula>
    </cfRule>
    <cfRule type="containsText" dxfId="390" priority="192" operator="containsText" text="TB">
      <formula>NOT(ISERROR(SEARCH("TB",C76)))</formula>
    </cfRule>
    <cfRule type="containsText" dxfId="389" priority="193" operator="containsText" text="T">
      <formula>NOT(ISERROR(SEARCH("T",C76)))</formula>
    </cfRule>
  </conditionalFormatting>
  <conditionalFormatting sqref="C76 E76:J76">
    <cfRule type="containsText" dxfId="388" priority="190" operator="containsText" text="TB">
      <formula>NOT(ISERROR(SEARCH("TB",C76)))</formula>
    </cfRule>
  </conditionalFormatting>
  <conditionalFormatting sqref="C78 E78:M78">
    <cfRule type="containsText" dxfId="387" priority="187" operator="containsText" text="B">
      <formula>NOT(ISERROR(SEARCH("B",C78)))</formula>
    </cfRule>
    <cfRule type="containsText" dxfId="386" priority="188" operator="containsText" text="TB">
      <formula>NOT(ISERROR(SEARCH("TB",C78)))</formula>
    </cfRule>
    <cfRule type="containsText" dxfId="385" priority="189" operator="containsText" text="T">
      <formula>NOT(ISERROR(SEARCH("T",C78)))</formula>
    </cfRule>
  </conditionalFormatting>
  <conditionalFormatting sqref="C78 E78:M78">
    <cfRule type="containsText" dxfId="384" priority="186" operator="containsText" text="TB">
      <formula>NOT(ISERROR(SEARCH("TB",C78)))</formula>
    </cfRule>
  </conditionalFormatting>
  <conditionalFormatting sqref="C79 E79:J79">
    <cfRule type="containsText" dxfId="383" priority="183" operator="containsText" text="B">
      <formula>NOT(ISERROR(SEARCH("B",C79)))</formula>
    </cfRule>
    <cfRule type="containsText" dxfId="382" priority="184" operator="containsText" text="TB">
      <formula>NOT(ISERROR(SEARCH("TB",C79)))</formula>
    </cfRule>
    <cfRule type="containsText" dxfId="381" priority="185" operator="containsText" text="T">
      <formula>NOT(ISERROR(SEARCH("T",C79)))</formula>
    </cfRule>
  </conditionalFormatting>
  <conditionalFormatting sqref="C79 E79:J79">
    <cfRule type="containsText" dxfId="380" priority="182" operator="containsText" text="TB">
      <formula>NOT(ISERROR(SEARCH("TB",C79)))</formula>
    </cfRule>
  </conditionalFormatting>
  <conditionalFormatting sqref="C91:C92 E91:J92">
    <cfRule type="containsText" dxfId="379" priority="179" operator="containsText" text="B">
      <formula>NOT(ISERROR(SEARCH("B",C91)))</formula>
    </cfRule>
    <cfRule type="containsText" dxfId="378" priority="180" operator="containsText" text="TB">
      <formula>NOT(ISERROR(SEARCH("TB",C91)))</formula>
    </cfRule>
    <cfRule type="containsText" dxfId="377" priority="181" operator="containsText" text="T">
      <formula>NOT(ISERROR(SEARCH("T",C91)))</formula>
    </cfRule>
  </conditionalFormatting>
  <conditionalFormatting sqref="C91:C92 E91:J92">
    <cfRule type="containsText" dxfId="376" priority="178" operator="containsText" text="TB">
      <formula>NOT(ISERROR(SEARCH("TB",C91)))</formula>
    </cfRule>
  </conditionalFormatting>
  <conditionalFormatting sqref="C151:I152 K151:M152 C155:J155 L155:M155 C153:M154 C156:M165">
    <cfRule type="containsText" dxfId="375" priority="175" operator="containsText" text="B">
      <formula>NOT(ISERROR(SEARCH("B",C151)))</formula>
    </cfRule>
    <cfRule type="containsText" dxfId="374" priority="176" operator="containsText" text="TB">
      <formula>NOT(ISERROR(SEARCH("TB",C151)))</formula>
    </cfRule>
    <cfRule type="containsText" dxfId="373" priority="177" operator="containsText" text="T">
      <formula>NOT(ISERROR(SEARCH("T",C151)))</formula>
    </cfRule>
  </conditionalFormatting>
  <conditionalFormatting sqref="C151:I152 K151:M152 C155:J155 L155:M155 C153:M154 C156:M165">
    <cfRule type="containsText" dxfId="372" priority="174" operator="containsText" text="TB">
      <formula>NOT(ISERROR(SEARCH("TB",C151)))</formula>
    </cfRule>
  </conditionalFormatting>
  <conditionalFormatting sqref="J152">
    <cfRule type="containsText" dxfId="371" priority="171" operator="containsText" text="B">
      <formula>NOT(ISERROR(SEARCH("B",J152)))</formula>
    </cfRule>
    <cfRule type="containsText" dxfId="370" priority="172" operator="containsText" text="TB">
      <formula>NOT(ISERROR(SEARCH("TB",J152)))</formula>
    </cfRule>
    <cfRule type="containsText" dxfId="369" priority="173" operator="containsText" text="T">
      <formula>NOT(ISERROR(SEARCH("T",J152)))</formula>
    </cfRule>
  </conditionalFormatting>
  <conditionalFormatting sqref="J152">
    <cfRule type="containsText" dxfId="368" priority="170" operator="containsText" text="TB">
      <formula>NOT(ISERROR(SEARCH("TB",J152)))</formula>
    </cfRule>
  </conditionalFormatting>
  <conditionalFormatting sqref="J151">
    <cfRule type="containsText" dxfId="367" priority="167" operator="containsText" text="B">
      <formula>NOT(ISERROR(SEARCH("B",J151)))</formula>
    </cfRule>
    <cfRule type="containsText" dxfId="366" priority="168" operator="containsText" text="TB">
      <formula>NOT(ISERROR(SEARCH("TB",J151)))</formula>
    </cfRule>
    <cfRule type="containsText" dxfId="365" priority="169" operator="containsText" text="T">
      <formula>NOT(ISERROR(SEARCH("T",J151)))</formula>
    </cfRule>
  </conditionalFormatting>
  <conditionalFormatting sqref="J151">
    <cfRule type="containsText" dxfId="364" priority="166" operator="containsText" text="TB">
      <formula>NOT(ISERROR(SEARCH("TB",J151)))</formula>
    </cfRule>
  </conditionalFormatting>
  <conditionalFormatting sqref="K155">
    <cfRule type="containsText" dxfId="363" priority="163" operator="containsText" text="B">
      <formula>NOT(ISERROR(SEARCH("B",K155)))</formula>
    </cfRule>
    <cfRule type="containsText" dxfId="362" priority="164" operator="containsText" text="TB">
      <formula>NOT(ISERROR(SEARCH("TB",K155)))</formula>
    </cfRule>
    <cfRule type="containsText" dxfId="361" priority="165" operator="containsText" text="T">
      <formula>NOT(ISERROR(SEARCH("T",K155)))</formula>
    </cfRule>
  </conditionalFormatting>
  <conditionalFormatting sqref="K155">
    <cfRule type="containsText" dxfId="360" priority="162" operator="containsText" text="TB">
      <formula>NOT(ISERROR(SEARCH("TB",K155)))</formula>
    </cfRule>
  </conditionalFormatting>
  <conditionalFormatting sqref="C108 E108:AG108">
    <cfRule type="containsText" dxfId="359" priority="159" operator="containsText" text="B">
      <formula>NOT(ISERROR(SEARCH("B",C108)))</formula>
    </cfRule>
    <cfRule type="containsText" dxfId="358" priority="160" operator="containsText" text="TB">
      <formula>NOT(ISERROR(SEARCH("TB",C108)))</formula>
    </cfRule>
    <cfRule type="containsText" dxfId="357" priority="161" operator="containsText" text="T">
      <formula>NOT(ISERROR(SEARCH("T",C108)))</formula>
    </cfRule>
  </conditionalFormatting>
  <conditionalFormatting sqref="C108 E108:AG108">
    <cfRule type="containsText" dxfId="356" priority="158" operator="containsText" text="TB">
      <formula>NOT(ISERROR(SEARCH("TB",C108)))</formula>
    </cfRule>
  </conditionalFormatting>
  <conditionalFormatting sqref="D27 D29:D31 D35:D37 D40:D42 D46:D47 D59 D62 D64:D65 D68 D81:D82 D88 D93 D96:D98 D101:D102 D104:D107 D73:D74 D109:D120">
    <cfRule type="containsText" dxfId="355" priority="155" operator="containsText" text="B">
      <formula>NOT(ISERROR(SEARCH("B",D27)))</formula>
    </cfRule>
    <cfRule type="containsText" dxfId="354" priority="156" operator="containsText" text="TB">
      <formula>NOT(ISERROR(SEARCH("TB",D27)))</formula>
    </cfRule>
    <cfRule type="containsText" dxfId="353" priority="157" operator="containsText" text="T">
      <formula>NOT(ISERROR(SEARCH("T",D27)))</formula>
    </cfRule>
  </conditionalFormatting>
  <conditionalFormatting sqref="D27 D29:D31 D35:D37 D40:D42 D46:D47 D59 D62 D64:D65 D68 D81:D82 D88 D93 D96:D98 D101:D102 D104:D107 D73:D74 D109:D120">
    <cfRule type="containsText" dxfId="352" priority="154" operator="containsText" text="TB">
      <formula>NOT(ISERROR(SEARCH("TB",D27)))</formula>
    </cfRule>
  </conditionalFormatting>
  <conditionalFormatting sqref="D8:D12 D15:D19 D21 D24 D26">
    <cfRule type="containsText" dxfId="351" priority="151" operator="containsText" text="B">
      <formula>NOT(ISERROR(SEARCH("B",D8)))</formula>
    </cfRule>
    <cfRule type="containsText" dxfId="350" priority="152" operator="containsText" text="TB">
      <formula>NOT(ISERROR(SEARCH("TB",D8)))</formula>
    </cfRule>
    <cfRule type="containsText" dxfId="349" priority="153" operator="containsText" text="T">
      <formula>NOT(ISERROR(SEARCH("T",D8)))</formula>
    </cfRule>
  </conditionalFormatting>
  <conditionalFormatting sqref="D8:D12 D15:D19 D21 D24 D26">
    <cfRule type="containsText" dxfId="348" priority="150" operator="containsText" text="TB">
      <formula>NOT(ISERROR(SEARCH("TB",D8)))</formula>
    </cfRule>
  </conditionalFormatting>
  <conditionalFormatting sqref="D7">
    <cfRule type="containsText" dxfId="347" priority="147" operator="containsText" text="B">
      <formula>NOT(ISERROR(SEARCH("B",D7)))</formula>
    </cfRule>
    <cfRule type="containsText" dxfId="346" priority="148" operator="containsText" text="TB">
      <formula>NOT(ISERROR(SEARCH("TB",D7)))</formula>
    </cfRule>
    <cfRule type="containsText" dxfId="345" priority="149" operator="containsText" text="T">
      <formula>NOT(ISERROR(SEARCH("T",D7)))</formula>
    </cfRule>
  </conditionalFormatting>
  <conditionalFormatting sqref="D7">
    <cfRule type="containsText" dxfId="344" priority="146" operator="containsText" text="TB">
      <formula>NOT(ISERROR(SEARCH("TB",D7)))</formula>
    </cfRule>
  </conditionalFormatting>
  <conditionalFormatting sqref="D13:D14">
    <cfRule type="containsText" dxfId="343" priority="143" operator="containsText" text="B">
      <formula>NOT(ISERROR(SEARCH("B",D13)))</formula>
    </cfRule>
    <cfRule type="containsText" dxfId="342" priority="144" operator="containsText" text="TB">
      <formula>NOT(ISERROR(SEARCH("TB",D13)))</formula>
    </cfRule>
    <cfRule type="containsText" dxfId="341" priority="145" operator="containsText" text="T">
      <formula>NOT(ISERROR(SEARCH("T",D13)))</formula>
    </cfRule>
  </conditionalFormatting>
  <conditionalFormatting sqref="D13:D14">
    <cfRule type="containsText" dxfId="340" priority="142" operator="containsText" text="TB">
      <formula>NOT(ISERROR(SEARCH("TB",D13)))</formula>
    </cfRule>
  </conditionalFormatting>
  <conditionalFormatting sqref="D20">
    <cfRule type="containsText" dxfId="339" priority="139" operator="containsText" text="B">
      <formula>NOT(ISERROR(SEARCH("B",D20)))</formula>
    </cfRule>
    <cfRule type="containsText" dxfId="338" priority="140" operator="containsText" text="TB">
      <formula>NOT(ISERROR(SEARCH("TB",D20)))</formula>
    </cfRule>
    <cfRule type="containsText" dxfId="337" priority="141" operator="containsText" text="T">
      <formula>NOT(ISERROR(SEARCH("T",D20)))</formula>
    </cfRule>
  </conditionalFormatting>
  <conditionalFormatting sqref="D20">
    <cfRule type="containsText" dxfId="336" priority="138" operator="containsText" text="TB">
      <formula>NOT(ISERROR(SEARCH("TB",D20)))</formula>
    </cfRule>
  </conditionalFormatting>
  <conditionalFormatting sqref="D22:D23">
    <cfRule type="containsText" dxfId="335" priority="135" operator="containsText" text="B">
      <formula>NOT(ISERROR(SEARCH("B",D22)))</formula>
    </cfRule>
    <cfRule type="containsText" dxfId="334" priority="136" operator="containsText" text="TB">
      <formula>NOT(ISERROR(SEARCH("TB",D22)))</formula>
    </cfRule>
    <cfRule type="containsText" dxfId="333" priority="137" operator="containsText" text="T">
      <formula>NOT(ISERROR(SEARCH("T",D22)))</formula>
    </cfRule>
  </conditionalFormatting>
  <conditionalFormatting sqref="D22:D23">
    <cfRule type="containsText" dxfId="332" priority="134" operator="containsText" text="TB">
      <formula>NOT(ISERROR(SEARCH("TB",D22)))</formula>
    </cfRule>
  </conditionalFormatting>
  <conditionalFormatting sqref="D25">
    <cfRule type="containsText" dxfId="331" priority="131" operator="containsText" text="B">
      <formula>NOT(ISERROR(SEARCH("B",D25)))</formula>
    </cfRule>
    <cfRule type="containsText" dxfId="330" priority="132" operator="containsText" text="TB">
      <formula>NOT(ISERROR(SEARCH("TB",D25)))</formula>
    </cfRule>
    <cfRule type="containsText" dxfId="329" priority="133" operator="containsText" text="T">
      <formula>NOT(ISERROR(SEARCH("T",D25)))</formula>
    </cfRule>
  </conditionalFormatting>
  <conditionalFormatting sqref="D25">
    <cfRule type="containsText" dxfId="328" priority="130" operator="containsText" text="TB">
      <formula>NOT(ISERROR(SEARCH("TB",D25)))</formula>
    </cfRule>
  </conditionalFormatting>
  <conditionalFormatting sqref="D28">
    <cfRule type="containsText" dxfId="327" priority="127" operator="containsText" text="B">
      <formula>NOT(ISERROR(SEARCH("B",D28)))</formula>
    </cfRule>
    <cfRule type="containsText" dxfId="326" priority="128" operator="containsText" text="TB">
      <formula>NOT(ISERROR(SEARCH("TB",D28)))</formula>
    </cfRule>
    <cfRule type="containsText" dxfId="325" priority="129" operator="containsText" text="T">
      <formula>NOT(ISERROR(SEARCH("T",D28)))</formula>
    </cfRule>
  </conditionalFormatting>
  <conditionalFormatting sqref="D28">
    <cfRule type="containsText" dxfId="324" priority="126" operator="containsText" text="TB">
      <formula>NOT(ISERROR(SEARCH("TB",D28)))</formula>
    </cfRule>
  </conditionalFormatting>
  <conditionalFormatting sqref="D32:D34">
    <cfRule type="containsText" dxfId="323" priority="123" operator="containsText" text="B">
      <formula>NOT(ISERROR(SEARCH("B",D32)))</formula>
    </cfRule>
    <cfRule type="containsText" dxfId="322" priority="124" operator="containsText" text="TB">
      <formula>NOT(ISERROR(SEARCH("TB",D32)))</formula>
    </cfRule>
    <cfRule type="containsText" dxfId="321" priority="125" operator="containsText" text="T">
      <formula>NOT(ISERROR(SEARCH("T",D32)))</formula>
    </cfRule>
  </conditionalFormatting>
  <conditionalFormatting sqref="D32:D34">
    <cfRule type="containsText" dxfId="320" priority="122" operator="containsText" text="TB">
      <formula>NOT(ISERROR(SEARCH("TB",D32)))</formula>
    </cfRule>
  </conditionalFormatting>
  <conditionalFormatting sqref="D38:D39">
    <cfRule type="containsText" dxfId="319" priority="119" operator="containsText" text="B">
      <formula>NOT(ISERROR(SEARCH("B",D38)))</formula>
    </cfRule>
    <cfRule type="containsText" dxfId="318" priority="120" operator="containsText" text="TB">
      <formula>NOT(ISERROR(SEARCH("TB",D38)))</formula>
    </cfRule>
    <cfRule type="containsText" dxfId="317" priority="121" operator="containsText" text="T">
      <formula>NOT(ISERROR(SEARCH("T",D38)))</formula>
    </cfRule>
  </conditionalFormatting>
  <conditionalFormatting sqref="D38:D39">
    <cfRule type="containsText" dxfId="316" priority="118" operator="containsText" text="TB">
      <formula>NOT(ISERROR(SEARCH("TB",D38)))</formula>
    </cfRule>
  </conditionalFormatting>
  <conditionalFormatting sqref="D43:D45">
    <cfRule type="containsText" dxfId="315" priority="115" operator="containsText" text="B">
      <formula>NOT(ISERROR(SEARCH("B",D43)))</formula>
    </cfRule>
    <cfRule type="containsText" dxfId="314" priority="116" operator="containsText" text="TB">
      <formula>NOT(ISERROR(SEARCH("TB",D43)))</formula>
    </cfRule>
    <cfRule type="containsText" dxfId="313" priority="117" operator="containsText" text="T">
      <formula>NOT(ISERROR(SEARCH("T",D43)))</formula>
    </cfRule>
  </conditionalFormatting>
  <conditionalFormatting sqref="D43:D45">
    <cfRule type="containsText" dxfId="312" priority="114" operator="containsText" text="TB">
      <formula>NOT(ISERROR(SEARCH("TB",D43)))</formula>
    </cfRule>
  </conditionalFormatting>
  <conditionalFormatting sqref="D48:D50">
    <cfRule type="containsText" dxfId="311" priority="111" operator="containsText" text="B">
      <formula>NOT(ISERROR(SEARCH("B",D48)))</formula>
    </cfRule>
    <cfRule type="containsText" dxfId="310" priority="112" operator="containsText" text="TB">
      <formula>NOT(ISERROR(SEARCH("TB",D48)))</formula>
    </cfRule>
    <cfRule type="containsText" dxfId="309" priority="113" operator="containsText" text="T">
      <formula>NOT(ISERROR(SEARCH("T",D48)))</formula>
    </cfRule>
  </conditionalFormatting>
  <conditionalFormatting sqref="D48:D50">
    <cfRule type="containsText" dxfId="308" priority="110" operator="containsText" text="TB">
      <formula>NOT(ISERROR(SEARCH("TB",D48)))</formula>
    </cfRule>
  </conditionalFormatting>
  <conditionalFormatting sqref="D51:D53">
    <cfRule type="containsText" dxfId="307" priority="107" operator="containsText" text="B">
      <formula>NOT(ISERROR(SEARCH("B",D51)))</formula>
    </cfRule>
    <cfRule type="containsText" dxfId="306" priority="108" operator="containsText" text="TB">
      <formula>NOT(ISERROR(SEARCH("TB",D51)))</formula>
    </cfRule>
    <cfRule type="containsText" dxfId="305" priority="109" operator="containsText" text="T">
      <formula>NOT(ISERROR(SEARCH("T",D51)))</formula>
    </cfRule>
  </conditionalFormatting>
  <conditionalFormatting sqref="D51:D53">
    <cfRule type="containsText" dxfId="304" priority="106" operator="containsText" text="TB">
      <formula>NOT(ISERROR(SEARCH("TB",D51)))</formula>
    </cfRule>
  </conditionalFormatting>
  <conditionalFormatting sqref="D54:D55">
    <cfRule type="containsText" dxfId="303" priority="103" operator="containsText" text="B">
      <formula>NOT(ISERROR(SEARCH("B",D54)))</formula>
    </cfRule>
    <cfRule type="containsText" dxfId="302" priority="104" operator="containsText" text="TB">
      <formula>NOT(ISERROR(SEARCH("TB",D54)))</formula>
    </cfRule>
    <cfRule type="containsText" dxfId="301" priority="105" operator="containsText" text="T">
      <formula>NOT(ISERROR(SEARCH("T",D54)))</formula>
    </cfRule>
  </conditionalFormatting>
  <conditionalFormatting sqref="D54:D55">
    <cfRule type="containsText" dxfId="300" priority="102" operator="containsText" text="TB">
      <formula>NOT(ISERROR(SEARCH("TB",D54)))</formula>
    </cfRule>
  </conditionalFormatting>
  <conditionalFormatting sqref="D56:D58">
    <cfRule type="containsText" dxfId="299" priority="99" operator="containsText" text="B">
      <formula>NOT(ISERROR(SEARCH("B",D56)))</formula>
    </cfRule>
    <cfRule type="containsText" dxfId="298" priority="100" operator="containsText" text="TB">
      <formula>NOT(ISERROR(SEARCH("TB",D56)))</formula>
    </cfRule>
    <cfRule type="containsText" dxfId="297" priority="101" operator="containsText" text="T">
      <formula>NOT(ISERROR(SEARCH("T",D56)))</formula>
    </cfRule>
  </conditionalFormatting>
  <conditionalFormatting sqref="D56:D58">
    <cfRule type="containsText" dxfId="296" priority="98" operator="containsText" text="TB">
      <formula>NOT(ISERROR(SEARCH("TB",D56)))</formula>
    </cfRule>
  </conditionalFormatting>
  <conditionalFormatting sqref="D60:D61">
    <cfRule type="containsText" dxfId="295" priority="95" operator="containsText" text="B">
      <formula>NOT(ISERROR(SEARCH("B",D60)))</formula>
    </cfRule>
    <cfRule type="containsText" dxfId="294" priority="96" operator="containsText" text="TB">
      <formula>NOT(ISERROR(SEARCH("TB",D60)))</formula>
    </cfRule>
    <cfRule type="containsText" dxfId="293" priority="97" operator="containsText" text="T">
      <formula>NOT(ISERROR(SEARCH("T",D60)))</formula>
    </cfRule>
  </conditionalFormatting>
  <conditionalFormatting sqref="D60:D61">
    <cfRule type="containsText" dxfId="292" priority="94" operator="containsText" text="TB">
      <formula>NOT(ISERROR(SEARCH("TB",D60)))</formula>
    </cfRule>
  </conditionalFormatting>
  <conditionalFormatting sqref="D63">
    <cfRule type="containsText" dxfId="291" priority="91" operator="containsText" text="B">
      <formula>NOT(ISERROR(SEARCH("B",D63)))</formula>
    </cfRule>
    <cfRule type="containsText" dxfId="290" priority="92" operator="containsText" text="TB">
      <formula>NOT(ISERROR(SEARCH("TB",D63)))</formula>
    </cfRule>
    <cfRule type="containsText" dxfId="289" priority="93" operator="containsText" text="T">
      <formula>NOT(ISERROR(SEARCH("T",D63)))</formula>
    </cfRule>
  </conditionalFormatting>
  <conditionalFormatting sqref="D63">
    <cfRule type="containsText" dxfId="288" priority="90" operator="containsText" text="TB">
      <formula>NOT(ISERROR(SEARCH("TB",D63)))</formula>
    </cfRule>
  </conditionalFormatting>
  <conditionalFormatting sqref="D66">
    <cfRule type="containsText" dxfId="287" priority="87" operator="containsText" text="B">
      <formula>NOT(ISERROR(SEARCH("B",D66)))</formula>
    </cfRule>
    <cfRule type="containsText" dxfId="286" priority="88" operator="containsText" text="TB">
      <formula>NOT(ISERROR(SEARCH("TB",D66)))</formula>
    </cfRule>
    <cfRule type="containsText" dxfId="285" priority="89" operator="containsText" text="T">
      <formula>NOT(ISERROR(SEARCH("T",D66)))</formula>
    </cfRule>
  </conditionalFormatting>
  <conditionalFormatting sqref="D66">
    <cfRule type="containsText" dxfId="284" priority="86" operator="containsText" text="TB">
      <formula>NOT(ISERROR(SEARCH("TB",D66)))</formula>
    </cfRule>
  </conditionalFormatting>
  <conditionalFormatting sqref="D67">
    <cfRule type="containsText" dxfId="283" priority="83" operator="containsText" text="B">
      <formula>NOT(ISERROR(SEARCH("B",D67)))</formula>
    </cfRule>
    <cfRule type="containsText" dxfId="282" priority="84" operator="containsText" text="TB">
      <formula>NOT(ISERROR(SEARCH("TB",D67)))</formula>
    </cfRule>
    <cfRule type="containsText" dxfId="281" priority="85" operator="containsText" text="T">
      <formula>NOT(ISERROR(SEARCH("T",D67)))</formula>
    </cfRule>
  </conditionalFormatting>
  <conditionalFormatting sqref="D67">
    <cfRule type="containsText" dxfId="280" priority="82" operator="containsText" text="TB">
      <formula>NOT(ISERROR(SEARCH("TB",D67)))</formula>
    </cfRule>
  </conditionalFormatting>
  <conditionalFormatting sqref="D69:D70">
    <cfRule type="containsText" dxfId="279" priority="79" operator="containsText" text="B">
      <formula>NOT(ISERROR(SEARCH("B",D69)))</formula>
    </cfRule>
    <cfRule type="containsText" dxfId="278" priority="80" operator="containsText" text="TB">
      <formula>NOT(ISERROR(SEARCH("TB",D69)))</formula>
    </cfRule>
    <cfRule type="containsText" dxfId="277" priority="81" operator="containsText" text="T">
      <formula>NOT(ISERROR(SEARCH("T",D69)))</formula>
    </cfRule>
  </conditionalFormatting>
  <conditionalFormatting sqref="D69:D70">
    <cfRule type="containsText" dxfId="276" priority="78" operator="containsText" text="TB">
      <formula>NOT(ISERROR(SEARCH("TB",D69)))</formula>
    </cfRule>
  </conditionalFormatting>
  <conditionalFormatting sqref="D75">
    <cfRule type="containsText" dxfId="275" priority="75" operator="containsText" text="B">
      <formula>NOT(ISERROR(SEARCH("B",D75)))</formula>
    </cfRule>
    <cfRule type="containsText" dxfId="274" priority="76" operator="containsText" text="TB">
      <formula>NOT(ISERROR(SEARCH("TB",D75)))</formula>
    </cfRule>
    <cfRule type="containsText" dxfId="273" priority="77" operator="containsText" text="T">
      <formula>NOT(ISERROR(SEARCH("T",D75)))</formula>
    </cfRule>
  </conditionalFormatting>
  <conditionalFormatting sqref="D75">
    <cfRule type="containsText" dxfId="272" priority="74" operator="containsText" text="TB">
      <formula>NOT(ISERROR(SEARCH("TB",D75)))</formula>
    </cfRule>
  </conditionalFormatting>
  <conditionalFormatting sqref="D77">
    <cfRule type="containsText" dxfId="271" priority="71" operator="containsText" text="B">
      <formula>NOT(ISERROR(SEARCH("B",D77)))</formula>
    </cfRule>
    <cfRule type="containsText" dxfId="270" priority="72" operator="containsText" text="TB">
      <formula>NOT(ISERROR(SEARCH("TB",D77)))</formula>
    </cfRule>
    <cfRule type="containsText" dxfId="269" priority="73" operator="containsText" text="T">
      <formula>NOT(ISERROR(SEARCH("T",D77)))</formula>
    </cfRule>
  </conditionalFormatting>
  <conditionalFormatting sqref="D77">
    <cfRule type="containsText" dxfId="268" priority="70" operator="containsText" text="TB">
      <formula>NOT(ISERROR(SEARCH("TB",D77)))</formula>
    </cfRule>
  </conditionalFormatting>
  <conditionalFormatting sqref="D80">
    <cfRule type="containsText" dxfId="267" priority="67" operator="containsText" text="B">
      <formula>NOT(ISERROR(SEARCH("B",D80)))</formula>
    </cfRule>
    <cfRule type="containsText" dxfId="266" priority="68" operator="containsText" text="TB">
      <formula>NOT(ISERROR(SEARCH("TB",D80)))</formula>
    </cfRule>
    <cfRule type="containsText" dxfId="265" priority="69" operator="containsText" text="T">
      <formula>NOT(ISERROR(SEARCH("T",D80)))</formula>
    </cfRule>
  </conditionalFormatting>
  <conditionalFormatting sqref="D80">
    <cfRule type="containsText" dxfId="264" priority="66" operator="containsText" text="TB">
      <formula>NOT(ISERROR(SEARCH("TB",D80)))</formula>
    </cfRule>
  </conditionalFormatting>
  <conditionalFormatting sqref="D83:D84">
    <cfRule type="containsText" dxfId="263" priority="63" operator="containsText" text="B">
      <formula>NOT(ISERROR(SEARCH("B",D83)))</formula>
    </cfRule>
    <cfRule type="containsText" dxfId="262" priority="64" operator="containsText" text="TB">
      <formula>NOT(ISERROR(SEARCH("TB",D83)))</formula>
    </cfRule>
    <cfRule type="containsText" dxfId="261" priority="65" operator="containsText" text="T">
      <formula>NOT(ISERROR(SEARCH("T",D83)))</formula>
    </cfRule>
  </conditionalFormatting>
  <conditionalFormatting sqref="D83:D84">
    <cfRule type="containsText" dxfId="260" priority="62" operator="containsText" text="TB">
      <formula>NOT(ISERROR(SEARCH("TB",D83)))</formula>
    </cfRule>
  </conditionalFormatting>
  <conditionalFormatting sqref="D85:D87">
    <cfRule type="containsText" dxfId="259" priority="59" operator="containsText" text="B">
      <formula>NOT(ISERROR(SEARCH("B",D85)))</formula>
    </cfRule>
    <cfRule type="containsText" dxfId="258" priority="60" operator="containsText" text="TB">
      <formula>NOT(ISERROR(SEARCH("TB",D85)))</formula>
    </cfRule>
    <cfRule type="containsText" dxfId="257" priority="61" operator="containsText" text="T">
      <formula>NOT(ISERROR(SEARCH("T",D85)))</formula>
    </cfRule>
  </conditionalFormatting>
  <conditionalFormatting sqref="D85:D87">
    <cfRule type="containsText" dxfId="256" priority="58" operator="containsText" text="TB">
      <formula>NOT(ISERROR(SEARCH("TB",D85)))</formula>
    </cfRule>
  </conditionalFormatting>
  <conditionalFormatting sqref="D89:D90">
    <cfRule type="containsText" dxfId="255" priority="55" operator="containsText" text="B">
      <formula>NOT(ISERROR(SEARCH("B",D89)))</formula>
    </cfRule>
    <cfRule type="containsText" dxfId="254" priority="56" operator="containsText" text="TB">
      <formula>NOT(ISERROR(SEARCH("TB",D89)))</formula>
    </cfRule>
    <cfRule type="containsText" dxfId="253" priority="57" operator="containsText" text="T">
      <formula>NOT(ISERROR(SEARCH("T",D89)))</formula>
    </cfRule>
  </conditionalFormatting>
  <conditionalFormatting sqref="D89:D90">
    <cfRule type="containsText" dxfId="252" priority="54" operator="containsText" text="TB">
      <formula>NOT(ISERROR(SEARCH("TB",D89)))</formula>
    </cfRule>
  </conditionalFormatting>
  <conditionalFormatting sqref="D94">
    <cfRule type="containsText" dxfId="251" priority="51" operator="containsText" text="B">
      <formula>NOT(ISERROR(SEARCH("B",D94)))</formula>
    </cfRule>
    <cfRule type="containsText" dxfId="250" priority="52" operator="containsText" text="TB">
      <formula>NOT(ISERROR(SEARCH("TB",D94)))</formula>
    </cfRule>
    <cfRule type="containsText" dxfId="249" priority="53" operator="containsText" text="T">
      <formula>NOT(ISERROR(SEARCH("T",D94)))</formula>
    </cfRule>
  </conditionalFormatting>
  <conditionalFormatting sqref="D94">
    <cfRule type="containsText" dxfId="248" priority="50" operator="containsText" text="TB">
      <formula>NOT(ISERROR(SEARCH("TB",D94)))</formula>
    </cfRule>
  </conditionalFormatting>
  <conditionalFormatting sqref="D95">
    <cfRule type="containsText" dxfId="247" priority="47" operator="containsText" text="B">
      <formula>NOT(ISERROR(SEARCH("B",D95)))</formula>
    </cfRule>
    <cfRule type="containsText" dxfId="246" priority="48" operator="containsText" text="TB">
      <formula>NOT(ISERROR(SEARCH("TB",D95)))</formula>
    </cfRule>
    <cfRule type="containsText" dxfId="245" priority="49" operator="containsText" text="T">
      <formula>NOT(ISERROR(SEARCH("T",D95)))</formula>
    </cfRule>
  </conditionalFormatting>
  <conditionalFormatting sqref="D95">
    <cfRule type="containsText" dxfId="244" priority="46" operator="containsText" text="TB">
      <formula>NOT(ISERROR(SEARCH("TB",D95)))</formula>
    </cfRule>
  </conditionalFormatting>
  <conditionalFormatting sqref="D99:D100">
    <cfRule type="containsText" dxfId="243" priority="43" operator="containsText" text="B">
      <formula>NOT(ISERROR(SEARCH("B",D99)))</formula>
    </cfRule>
    <cfRule type="containsText" dxfId="242" priority="44" operator="containsText" text="TB">
      <formula>NOT(ISERROR(SEARCH("TB",D99)))</formula>
    </cfRule>
    <cfRule type="containsText" dxfId="241" priority="45" operator="containsText" text="T">
      <formula>NOT(ISERROR(SEARCH("T",D99)))</formula>
    </cfRule>
  </conditionalFormatting>
  <conditionalFormatting sqref="D99:D100">
    <cfRule type="containsText" dxfId="240" priority="42" operator="containsText" text="TB">
      <formula>NOT(ISERROR(SEARCH("TB",D99)))</formula>
    </cfRule>
  </conditionalFormatting>
  <conditionalFormatting sqref="D103">
    <cfRule type="containsText" dxfId="239" priority="39" operator="containsText" text="B">
      <formula>NOT(ISERROR(SEARCH("B",D103)))</formula>
    </cfRule>
    <cfRule type="containsText" dxfId="238" priority="40" operator="containsText" text="TB">
      <formula>NOT(ISERROR(SEARCH("TB",D103)))</formula>
    </cfRule>
    <cfRule type="containsText" dxfId="237" priority="41" operator="containsText" text="T">
      <formula>NOT(ISERROR(SEARCH("T",D103)))</formula>
    </cfRule>
  </conditionalFormatting>
  <conditionalFormatting sqref="D103">
    <cfRule type="containsText" dxfId="236" priority="38" operator="containsText" text="TB">
      <formula>NOT(ISERROR(SEARCH("TB",D103)))</formula>
    </cfRule>
  </conditionalFormatting>
  <conditionalFormatting sqref="D71:D72">
    <cfRule type="containsText" dxfId="235" priority="35" operator="containsText" text="B">
      <formula>NOT(ISERROR(SEARCH("B",D71)))</formula>
    </cfRule>
    <cfRule type="containsText" dxfId="234" priority="36" operator="containsText" text="TB">
      <formula>NOT(ISERROR(SEARCH("TB",D71)))</formula>
    </cfRule>
    <cfRule type="containsText" dxfId="233" priority="37" operator="containsText" text="T">
      <formula>NOT(ISERROR(SEARCH("T",D71)))</formula>
    </cfRule>
  </conditionalFormatting>
  <conditionalFormatting sqref="D71:D72">
    <cfRule type="containsText" dxfId="232" priority="34" operator="containsText" text="TB">
      <formula>NOT(ISERROR(SEARCH("TB",D71)))</formula>
    </cfRule>
  </conditionalFormatting>
  <conditionalFormatting sqref="D76">
    <cfRule type="containsText" dxfId="231" priority="31" operator="containsText" text="B">
      <formula>NOT(ISERROR(SEARCH("B",D76)))</formula>
    </cfRule>
    <cfRule type="containsText" dxfId="230" priority="32" operator="containsText" text="TB">
      <formula>NOT(ISERROR(SEARCH("TB",D76)))</formula>
    </cfRule>
    <cfRule type="containsText" dxfId="229" priority="33" operator="containsText" text="T">
      <formula>NOT(ISERROR(SEARCH("T",D76)))</formula>
    </cfRule>
  </conditionalFormatting>
  <conditionalFormatting sqref="D76">
    <cfRule type="containsText" dxfId="228" priority="30" operator="containsText" text="TB">
      <formula>NOT(ISERROR(SEARCH("TB",D76)))</formula>
    </cfRule>
  </conditionalFormatting>
  <conditionalFormatting sqref="D78">
    <cfRule type="containsText" dxfId="227" priority="27" operator="containsText" text="B">
      <formula>NOT(ISERROR(SEARCH("B",D78)))</formula>
    </cfRule>
    <cfRule type="containsText" dxfId="226" priority="28" operator="containsText" text="TB">
      <formula>NOT(ISERROR(SEARCH("TB",D78)))</formula>
    </cfRule>
    <cfRule type="containsText" dxfId="225" priority="29" operator="containsText" text="T">
      <formula>NOT(ISERROR(SEARCH("T",D78)))</formula>
    </cfRule>
  </conditionalFormatting>
  <conditionalFormatting sqref="D78">
    <cfRule type="containsText" dxfId="224" priority="26" operator="containsText" text="TB">
      <formula>NOT(ISERROR(SEARCH("TB",D78)))</formula>
    </cfRule>
  </conditionalFormatting>
  <conditionalFormatting sqref="D79">
    <cfRule type="containsText" dxfId="223" priority="23" operator="containsText" text="B">
      <formula>NOT(ISERROR(SEARCH("B",D79)))</formula>
    </cfRule>
    <cfRule type="containsText" dxfId="222" priority="24" operator="containsText" text="TB">
      <formula>NOT(ISERROR(SEARCH("TB",D79)))</formula>
    </cfRule>
    <cfRule type="containsText" dxfId="221" priority="25" operator="containsText" text="T">
      <formula>NOT(ISERROR(SEARCH("T",D79)))</formula>
    </cfRule>
  </conditionalFormatting>
  <conditionalFormatting sqref="D79">
    <cfRule type="containsText" dxfId="220" priority="22" operator="containsText" text="TB">
      <formula>NOT(ISERROR(SEARCH("TB",D79)))</formula>
    </cfRule>
  </conditionalFormatting>
  <conditionalFormatting sqref="D91:D92">
    <cfRule type="containsText" dxfId="219" priority="19" operator="containsText" text="B">
      <formula>NOT(ISERROR(SEARCH("B",D91)))</formula>
    </cfRule>
    <cfRule type="containsText" dxfId="218" priority="20" operator="containsText" text="TB">
      <formula>NOT(ISERROR(SEARCH("TB",D91)))</formula>
    </cfRule>
    <cfRule type="containsText" dxfId="217" priority="21" operator="containsText" text="T">
      <formula>NOT(ISERROR(SEARCH("T",D91)))</formula>
    </cfRule>
  </conditionalFormatting>
  <conditionalFormatting sqref="D91:D92">
    <cfRule type="containsText" dxfId="216" priority="18" operator="containsText" text="TB">
      <formula>NOT(ISERROR(SEARCH("TB",D91)))</formula>
    </cfRule>
  </conditionalFormatting>
  <conditionalFormatting sqref="D108">
    <cfRule type="containsText" dxfId="215" priority="15" operator="containsText" text="B">
      <formula>NOT(ISERROR(SEARCH("B",D108)))</formula>
    </cfRule>
    <cfRule type="containsText" dxfId="214" priority="16" operator="containsText" text="TB">
      <formula>NOT(ISERROR(SEARCH("TB",D108)))</formula>
    </cfRule>
    <cfRule type="containsText" dxfId="213" priority="17" operator="containsText" text="T">
      <formula>NOT(ISERROR(SEARCH("T",D108)))</formula>
    </cfRule>
  </conditionalFormatting>
  <conditionalFormatting sqref="D108">
    <cfRule type="containsText" dxfId="212" priority="14" operator="containsText" text="TB">
      <formula>NOT(ISERROR(SEARCH("TB",D108)))</formula>
    </cfRule>
  </conditionalFormatting>
  <conditionalFormatting sqref="C122:AG122">
    <cfRule type="containsText" dxfId="211" priority="13" operator="containsText" text="TB">
      <formula>NOT(ISERROR(SEARCH("TB",C122)))</formula>
    </cfRule>
  </conditionalFormatting>
  <conditionalFormatting sqref="B160">
    <cfRule type="expression" dxfId="210" priority="1">
      <formula>AND($AK160&gt;0,$W160&gt;89)</formula>
    </cfRule>
    <cfRule type="expression" dxfId="209" priority="2">
      <formula>AND($AK160&gt;0,$W160&gt;59)</formula>
    </cfRule>
    <cfRule type="expression" dxfId="208" priority="3">
      <formula>AND($AK160&gt;0,$W160&gt;44)</formula>
    </cfRule>
  </conditionalFormatting>
  <conditionalFormatting sqref="B161">
    <cfRule type="expression" dxfId="207" priority="4">
      <formula>AND($AK163&gt;0,$W163&gt;89)</formula>
    </cfRule>
    <cfRule type="expression" dxfId="206" priority="5">
      <formula>AND($AK163&gt;0,$W163&gt;59)</formula>
    </cfRule>
    <cfRule type="expression" dxfId="205" priority="6">
      <formula>AND($AK163&gt;0,$W163&gt;44)</formula>
    </cfRule>
  </conditionalFormatting>
  <conditionalFormatting sqref="B163">
    <cfRule type="expression" dxfId="204" priority="7">
      <formula>AND($AK170&gt;0,$W170&gt;89)</formula>
    </cfRule>
    <cfRule type="expression" dxfId="203" priority="8">
      <formula>AND($AK170&gt;0,$W170&gt;59)</formula>
    </cfRule>
    <cfRule type="expression" dxfId="202" priority="9">
      <formula>AND($AK170&gt;0,$W170&gt;44)</formula>
    </cfRule>
  </conditionalFormatting>
  <conditionalFormatting sqref="B162">
    <cfRule type="expression" dxfId="201" priority="10">
      <formula>AND($AK166&gt;0,$W166&gt;89)</formula>
    </cfRule>
    <cfRule type="expression" dxfId="200" priority="11">
      <formula>AND($AK166&gt;0,$W166&gt;59)</formula>
    </cfRule>
    <cfRule type="expression" dxfId="199" priority="12">
      <formula>AND($AK166&gt;0,$W166&gt;44)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M227"/>
  <sheetViews>
    <sheetView showGridLines="0" tabSelected="1" zoomScale="90" zoomScaleNormal="9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D230" sqref="D230"/>
    </sheetView>
  </sheetViews>
  <sheetFormatPr defaultRowHeight="15"/>
  <cols>
    <col min="1" max="1" width="4.7109375" customWidth="1"/>
    <col min="2" max="2" width="25.7109375" bestFit="1" customWidth="1"/>
    <col min="3" max="3" width="20.5703125" bestFit="1" customWidth="1"/>
    <col min="4" max="4" width="18.85546875" customWidth="1"/>
    <col min="5" max="5" width="19.5703125" customWidth="1"/>
    <col min="6" max="6" width="22.85546875" customWidth="1"/>
    <col min="7" max="7" width="15.28515625" bestFit="1" customWidth="1"/>
    <col min="8" max="8" width="15" bestFit="1" customWidth="1"/>
    <col min="9" max="9" width="17.7109375" bestFit="1" customWidth="1"/>
    <col min="10" max="10" width="15" bestFit="1" customWidth="1"/>
  </cols>
  <sheetData>
    <row r="1" spans="1:13" ht="20.25" thickTop="1" thickBot="1">
      <c r="A1" s="91" t="s">
        <v>194</v>
      </c>
      <c r="B1" s="91"/>
      <c r="C1" s="91"/>
      <c r="D1" s="91"/>
      <c r="E1" s="91"/>
      <c r="F1" s="91"/>
      <c r="G1" s="91"/>
      <c r="H1" s="91"/>
      <c r="I1" s="91"/>
      <c r="J1" s="92"/>
      <c r="K1" s="92"/>
      <c r="L1" s="92"/>
      <c r="M1" s="92"/>
    </row>
    <row r="2" spans="1:13" ht="20.25" thickTop="1" thickBot="1">
      <c r="A2" s="91" t="s">
        <v>195</v>
      </c>
      <c r="B2" s="91"/>
      <c r="C2" s="91"/>
      <c r="D2" s="91"/>
      <c r="E2" s="91"/>
      <c r="F2" s="91"/>
      <c r="G2" s="91"/>
      <c r="H2" s="91"/>
      <c r="I2" s="91"/>
      <c r="J2" s="92"/>
      <c r="K2" s="92"/>
      <c r="L2" s="92"/>
      <c r="M2" s="92"/>
    </row>
    <row r="3" spans="1:13" ht="16.5" thickTop="1" thickBot="1">
      <c r="A3" s="93" t="s">
        <v>59</v>
      </c>
      <c r="B3" s="93" t="s">
        <v>60</v>
      </c>
      <c r="C3" s="93" t="s">
        <v>196</v>
      </c>
      <c r="D3" s="93" t="s">
        <v>197</v>
      </c>
      <c r="E3" s="93" t="s">
        <v>198</v>
      </c>
      <c r="F3" s="93" t="s">
        <v>199</v>
      </c>
      <c r="G3" s="93" t="s">
        <v>200</v>
      </c>
      <c r="H3" s="93" t="s">
        <v>201</v>
      </c>
      <c r="I3" s="93" t="s">
        <v>202</v>
      </c>
      <c r="J3" s="92"/>
      <c r="K3" s="92"/>
      <c r="L3" s="92"/>
      <c r="M3" s="92"/>
    </row>
    <row r="4" spans="1:13" ht="15.75" thickTop="1">
      <c r="A4" s="94">
        <v>1</v>
      </c>
      <c r="B4" s="95" t="s">
        <v>105</v>
      </c>
      <c r="C4" s="96">
        <v>1562993388</v>
      </c>
      <c r="D4" s="96">
        <v>1400000000</v>
      </c>
      <c r="E4" s="97">
        <f t="shared" ref="E4:E67" si="0">C4-D4</f>
        <v>162993388</v>
      </c>
      <c r="F4" s="98"/>
      <c r="G4" s="95"/>
      <c r="H4" s="99"/>
      <c r="I4" s="100"/>
      <c r="J4" s="92"/>
      <c r="K4" s="92"/>
      <c r="L4" s="92"/>
      <c r="M4" s="92"/>
    </row>
    <row r="5" spans="1:13">
      <c r="A5" s="94">
        <v>2</v>
      </c>
      <c r="B5" s="95" t="s">
        <v>81</v>
      </c>
      <c r="C5" s="96">
        <v>606547000</v>
      </c>
      <c r="D5" s="96">
        <f>C5</f>
        <v>606547000</v>
      </c>
      <c r="E5" s="97">
        <f t="shared" si="0"/>
        <v>0</v>
      </c>
      <c r="F5" s="101"/>
      <c r="G5" s="95"/>
      <c r="H5" s="99"/>
      <c r="I5" s="102"/>
      <c r="J5" s="92"/>
      <c r="K5" s="92"/>
      <c r="L5" s="92"/>
      <c r="M5" s="92"/>
    </row>
    <row r="6" spans="1:13">
      <c r="A6" s="94">
        <v>3</v>
      </c>
      <c r="B6" s="95" t="s">
        <v>203</v>
      </c>
      <c r="C6" s="96">
        <v>516200000</v>
      </c>
      <c r="D6" s="96">
        <f>C6</f>
        <v>516200000</v>
      </c>
      <c r="E6" s="97">
        <f t="shared" si="0"/>
        <v>0</v>
      </c>
      <c r="F6" s="101"/>
      <c r="G6" s="95"/>
      <c r="H6" s="99"/>
      <c r="I6" s="102"/>
      <c r="J6" s="92"/>
      <c r="K6" s="92"/>
      <c r="L6" s="92"/>
      <c r="M6" s="92"/>
    </row>
    <row r="7" spans="1:13">
      <c r="A7" s="94">
        <v>4</v>
      </c>
      <c r="B7" s="95" t="s">
        <v>121</v>
      </c>
      <c r="C7" s="96">
        <v>480525000</v>
      </c>
      <c r="D7" s="96">
        <v>200000000</v>
      </c>
      <c r="E7" s="97">
        <f t="shared" si="0"/>
        <v>280525000</v>
      </c>
      <c r="F7" s="101"/>
      <c r="G7" s="95"/>
      <c r="H7" s="99"/>
      <c r="I7" s="102"/>
      <c r="J7" s="92"/>
      <c r="K7" s="92"/>
      <c r="L7" s="92"/>
      <c r="M7" s="92"/>
    </row>
    <row r="8" spans="1:13">
      <c r="A8" s="94">
        <v>5</v>
      </c>
      <c r="B8" s="95" t="s">
        <v>75</v>
      </c>
      <c r="C8" s="96">
        <v>338800000</v>
      </c>
      <c r="D8" s="96">
        <v>200000000</v>
      </c>
      <c r="E8" s="97">
        <f t="shared" si="0"/>
        <v>138800000</v>
      </c>
      <c r="F8" s="101"/>
      <c r="G8" s="95"/>
      <c r="H8" s="99"/>
      <c r="I8" s="102"/>
      <c r="J8" s="92"/>
      <c r="K8" s="92"/>
      <c r="L8" s="92"/>
      <c r="M8" s="92"/>
    </row>
    <row r="9" spans="1:13">
      <c r="A9" s="94">
        <v>6</v>
      </c>
      <c r="B9" s="95" t="s">
        <v>89</v>
      </c>
      <c r="C9" s="96">
        <v>329678000</v>
      </c>
      <c r="D9" s="96">
        <v>250000000</v>
      </c>
      <c r="E9" s="97">
        <f t="shared" si="0"/>
        <v>79678000</v>
      </c>
      <c r="F9" s="101"/>
      <c r="G9" s="99"/>
      <c r="H9" s="99"/>
      <c r="I9" s="102"/>
      <c r="J9" s="92"/>
      <c r="K9" s="92"/>
      <c r="L9" s="92"/>
      <c r="M9" s="92"/>
    </row>
    <row r="10" spans="1:13">
      <c r="A10" s="94">
        <v>7</v>
      </c>
      <c r="B10" s="95" t="s">
        <v>106</v>
      </c>
      <c r="C10" s="96">
        <v>303997500</v>
      </c>
      <c r="D10" s="96">
        <f>C10</f>
        <v>303997500</v>
      </c>
      <c r="E10" s="97">
        <f t="shared" si="0"/>
        <v>0</v>
      </c>
      <c r="F10" s="101"/>
      <c r="G10" s="99"/>
      <c r="H10" s="99"/>
      <c r="I10" s="102"/>
      <c r="J10" s="92"/>
      <c r="K10" s="92"/>
      <c r="L10" s="92"/>
      <c r="M10" s="92"/>
    </row>
    <row r="11" spans="1:13">
      <c r="A11" s="94">
        <v>8</v>
      </c>
      <c r="B11" s="95" t="s">
        <v>129</v>
      </c>
      <c r="C11" s="96">
        <v>203649000</v>
      </c>
      <c r="D11" s="96">
        <v>100000000</v>
      </c>
      <c r="E11" s="97">
        <f t="shared" si="0"/>
        <v>103649000</v>
      </c>
      <c r="F11" s="101"/>
      <c r="G11" s="99"/>
      <c r="H11" s="99"/>
      <c r="I11" s="102"/>
      <c r="J11" s="92"/>
      <c r="K11" s="92"/>
      <c r="L11" s="92"/>
      <c r="M11" s="92"/>
    </row>
    <row r="12" spans="1:13">
      <c r="A12" s="94">
        <v>9</v>
      </c>
      <c r="B12" s="95" t="s">
        <v>74</v>
      </c>
      <c r="C12" s="96">
        <v>199399000</v>
      </c>
      <c r="D12" s="96">
        <v>150000000</v>
      </c>
      <c r="E12" s="97">
        <f t="shared" si="0"/>
        <v>49399000</v>
      </c>
      <c r="F12" s="103"/>
      <c r="G12" s="104"/>
      <c r="H12" s="104"/>
      <c r="I12" s="102"/>
      <c r="J12" s="92"/>
      <c r="K12" s="92"/>
      <c r="L12" s="92"/>
      <c r="M12" s="92"/>
    </row>
    <row r="13" spans="1:13">
      <c r="A13" s="94">
        <v>10</v>
      </c>
      <c r="B13" s="95" t="s">
        <v>92</v>
      </c>
      <c r="C13" s="96">
        <v>157016800</v>
      </c>
      <c r="D13" s="96">
        <v>120000000</v>
      </c>
      <c r="E13" s="97">
        <f t="shared" si="0"/>
        <v>37016800</v>
      </c>
      <c r="F13" s="103"/>
      <c r="G13" s="104"/>
      <c r="H13" s="104"/>
      <c r="I13" s="102"/>
      <c r="J13" s="92"/>
      <c r="K13" s="92"/>
      <c r="L13" s="92"/>
      <c r="M13" s="92"/>
    </row>
    <row r="14" spans="1:13">
      <c r="A14" s="94">
        <v>11</v>
      </c>
      <c r="B14" s="95" t="s">
        <v>103</v>
      </c>
      <c r="C14" s="96">
        <v>140791500</v>
      </c>
      <c r="D14" s="96">
        <v>120000000</v>
      </c>
      <c r="E14" s="97">
        <f t="shared" si="0"/>
        <v>20791500</v>
      </c>
      <c r="F14" s="103"/>
      <c r="G14" s="104"/>
      <c r="H14" s="104"/>
      <c r="I14" s="102"/>
      <c r="J14" s="92"/>
      <c r="K14" s="92"/>
      <c r="L14" s="92"/>
      <c r="M14" s="92"/>
    </row>
    <row r="15" spans="1:13">
      <c r="A15" s="94">
        <v>12</v>
      </c>
      <c r="B15" s="95" t="s">
        <v>66</v>
      </c>
      <c r="C15" s="96">
        <v>123000000</v>
      </c>
      <c r="D15" s="96">
        <f>C15</f>
        <v>123000000</v>
      </c>
      <c r="E15" s="97">
        <f t="shared" si="0"/>
        <v>0</v>
      </c>
      <c r="F15" s="103"/>
      <c r="G15" s="104"/>
      <c r="H15" s="104"/>
      <c r="I15" s="102"/>
      <c r="J15" s="92"/>
      <c r="K15" s="92"/>
      <c r="L15" s="92"/>
      <c r="M15" s="92"/>
    </row>
    <row r="16" spans="1:13">
      <c r="A16" s="94">
        <v>13</v>
      </c>
      <c r="B16" s="95" t="s">
        <v>117</v>
      </c>
      <c r="C16" s="96">
        <v>116985650</v>
      </c>
      <c r="D16" s="96">
        <f>C16</f>
        <v>116985650</v>
      </c>
      <c r="E16" s="97">
        <f t="shared" si="0"/>
        <v>0</v>
      </c>
      <c r="F16" s="103"/>
      <c r="G16" s="104"/>
      <c r="H16" s="104"/>
      <c r="I16" s="102"/>
      <c r="J16" s="92"/>
      <c r="K16" s="92"/>
      <c r="L16" s="92"/>
      <c r="M16" s="92"/>
    </row>
    <row r="17" spans="1:13">
      <c r="A17" s="94">
        <v>14</v>
      </c>
      <c r="B17" s="95" t="s">
        <v>204</v>
      </c>
      <c r="C17" s="96">
        <v>112000000</v>
      </c>
      <c r="D17" s="96">
        <f t="shared" ref="D17:D22" si="1">C17</f>
        <v>112000000</v>
      </c>
      <c r="E17" s="97">
        <f t="shared" si="0"/>
        <v>0</v>
      </c>
      <c r="F17" s="103"/>
      <c r="G17" s="104"/>
      <c r="H17" s="104"/>
      <c r="I17" s="102"/>
      <c r="J17" s="92"/>
      <c r="K17" s="92"/>
      <c r="L17" s="92"/>
      <c r="M17" s="92"/>
    </row>
    <row r="18" spans="1:13">
      <c r="A18" s="94">
        <v>15</v>
      </c>
      <c r="B18" s="95" t="s">
        <v>159</v>
      </c>
      <c r="C18" s="96">
        <v>111550000</v>
      </c>
      <c r="D18" s="96">
        <f t="shared" si="1"/>
        <v>111550000</v>
      </c>
      <c r="E18" s="97">
        <f t="shared" si="0"/>
        <v>0</v>
      </c>
      <c r="F18" s="103"/>
      <c r="G18" s="104"/>
      <c r="H18" s="104"/>
      <c r="I18" s="102"/>
      <c r="J18" s="92"/>
      <c r="K18" s="92"/>
      <c r="L18" s="92"/>
      <c r="M18" s="92"/>
    </row>
    <row r="19" spans="1:13">
      <c r="A19" s="94">
        <v>16</v>
      </c>
      <c r="B19" s="95" t="s">
        <v>124</v>
      </c>
      <c r="C19" s="96">
        <v>108550000</v>
      </c>
      <c r="D19" s="96">
        <f t="shared" si="1"/>
        <v>108550000</v>
      </c>
      <c r="E19" s="97">
        <f t="shared" si="0"/>
        <v>0</v>
      </c>
      <c r="F19" s="103"/>
      <c r="G19" s="104"/>
      <c r="H19" s="104"/>
      <c r="I19" s="102"/>
      <c r="J19" s="92"/>
      <c r="K19" s="92"/>
      <c r="L19" s="92"/>
      <c r="M19" s="92"/>
    </row>
    <row r="20" spans="1:13">
      <c r="A20" s="94">
        <v>17</v>
      </c>
      <c r="B20" s="95" t="s">
        <v>116</v>
      </c>
      <c r="C20" s="96">
        <v>94858000</v>
      </c>
      <c r="D20" s="96">
        <f>C20</f>
        <v>94858000</v>
      </c>
      <c r="E20" s="97">
        <f t="shared" si="0"/>
        <v>0</v>
      </c>
      <c r="F20" s="103"/>
      <c r="G20" s="104"/>
      <c r="H20" s="104"/>
      <c r="I20" s="102"/>
      <c r="J20" s="92"/>
      <c r="K20" s="92"/>
      <c r="L20" s="92"/>
      <c r="M20" s="92"/>
    </row>
    <row r="21" spans="1:13">
      <c r="A21" s="94">
        <v>18</v>
      </c>
      <c r="B21" s="95" t="s">
        <v>123</v>
      </c>
      <c r="C21" s="96">
        <v>75780000</v>
      </c>
      <c r="D21" s="96">
        <f t="shared" si="1"/>
        <v>75780000</v>
      </c>
      <c r="E21" s="97">
        <f t="shared" si="0"/>
        <v>0</v>
      </c>
      <c r="F21" s="103"/>
      <c r="G21" s="104"/>
      <c r="H21" s="104"/>
      <c r="I21" s="102"/>
      <c r="J21" s="92"/>
      <c r="K21" s="92"/>
      <c r="L21" s="92"/>
      <c r="M21" s="92"/>
    </row>
    <row r="22" spans="1:13">
      <c r="A22" s="94">
        <v>19</v>
      </c>
      <c r="B22" s="95" t="s">
        <v>90</v>
      </c>
      <c r="C22" s="96">
        <v>69985000</v>
      </c>
      <c r="D22" s="96">
        <f t="shared" si="1"/>
        <v>69985000</v>
      </c>
      <c r="E22" s="97">
        <f t="shared" si="0"/>
        <v>0</v>
      </c>
      <c r="F22" s="103"/>
      <c r="G22" s="104"/>
      <c r="H22" s="104"/>
      <c r="I22" s="102"/>
      <c r="J22" s="92"/>
      <c r="K22" s="92"/>
      <c r="L22" s="92"/>
      <c r="M22" s="92"/>
    </row>
    <row r="23" spans="1:13">
      <c r="A23" s="94">
        <v>20</v>
      </c>
      <c r="B23" s="95" t="s">
        <v>80</v>
      </c>
      <c r="C23" s="96">
        <v>68858000</v>
      </c>
      <c r="D23" s="96">
        <v>50000000</v>
      </c>
      <c r="E23" s="97">
        <f t="shared" si="0"/>
        <v>18858000</v>
      </c>
      <c r="F23" s="103"/>
      <c r="G23" s="104"/>
      <c r="H23" s="104"/>
      <c r="I23" s="102"/>
      <c r="J23" s="92"/>
      <c r="K23" s="92"/>
      <c r="L23" s="92"/>
      <c r="M23" s="92"/>
    </row>
    <row r="24" spans="1:13">
      <c r="A24" s="94">
        <v>21</v>
      </c>
      <c r="B24" s="95" t="s">
        <v>150</v>
      </c>
      <c r="C24" s="96">
        <v>58020000</v>
      </c>
      <c r="D24" s="96">
        <f>C24</f>
        <v>58020000</v>
      </c>
      <c r="E24" s="97">
        <f t="shared" si="0"/>
        <v>0</v>
      </c>
      <c r="F24" s="103"/>
      <c r="G24" s="104"/>
      <c r="H24" s="104"/>
      <c r="I24" s="102"/>
      <c r="J24" s="92"/>
      <c r="K24" s="92"/>
      <c r="L24" s="92"/>
      <c r="M24" s="92"/>
    </row>
    <row r="25" spans="1:13">
      <c r="A25" s="94">
        <v>22</v>
      </c>
      <c r="B25" s="95" t="s">
        <v>205</v>
      </c>
      <c r="C25" s="96">
        <v>57315000</v>
      </c>
      <c r="D25" s="96">
        <f t="shared" ref="D25:D33" si="2">C25</f>
        <v>57315000</v>
      </c>
      <c r="E25" s="97">
        <f t="shared" si="0"/>
        <v>0</v>
      </c>
      <c r="F25" s="103"/>
      <c r="G25" s="104"/>
      <c r="H25" s="104"/>
      <c r="I25" s="102"/>
      <c r="J25" s="92"/>
      <c r="K25" s="92"/>
      <c r="L25" s="92"/>
      <c r="M25" s="92"/>
    </row>
    <row r="26" spans="1:13">
      <c r="A26" s="94">
        <v>23</v>
      </c>
      <c r="B26" s="95" t="s">
        <v>100</v>
      </c>
      <c r="C26" s="96">
        <v>57250000</v>
      </c>
      <c r="D26" s="96">
        <f t="shared" si="2"/>
        <v>57250000</v>
      </c>
      <c r="E26" s="97">
        <f t="shared" si="0"/>
        <v>0</v>
      </c>
      <c r="F26" s="103"/>
      <c r="G26" s="104"/>
      <c r="H26" s="104"/>
      <c r="I26" s="102"/>
      <c r="J26" s="92"/>
      <c r="K26" s="92"/>
      <c r="L26" s="92"/>
      <c r="M26" s="92"/>
    </row>
    <row r="27" spans="1:13">
      <c r="A27" s="94">
        <v>24</v>
      </c>
      <c r="B27" s="95" t="s">
        <v>97</v>
      </c>
      <c r="C27" s="96">
        <v>47199000</v>
      </c>
      <c r="D27" s="96">
        <f t="shared" si="2"/>
        <v>47199000</v>
      </c>
      <c r="E27" s="97">
        <f t="shared" si="0"/>
        <v>0</v>
      </c>
      <c r="F27" s="103"/>
      <c r="G27" s="104"/>
      <c r="H27" s="104"/>
      <c r="I27" s="102"/>
      <c r="J27" s="92"/>
      <c r="K27" s="92"/>
      <c r="L27" s="92"/>
      <c r="M27" s="92"/>
    </row>
    <row r="28" spans="1:13">
      <c r="A28" s="94">
        <v>25</v>
      </c>
      <c r="B28" s="95" t="s">
        <v>149</v>
      </c>
      <c r="C28" s="96">
        <v>40865000</v>
      </c>
      <c r="D28" s="96">
        <f t="shared" si="2"/>
        <v>40865000</v>
      </c>
      <c r="E28" s="97">
        <f t="shared" si="0"/>
        <v>0</v>
      </c>
      <c r="F28" s="103"/>
      <c r="G28" s="104"/>
      <c r="H28" s="104"/>
      <c r="I28" s="102"/>
      <c r="J28" s="92"/>
      <c r="K28" s="92"/>
      <c r="L28" s="92"/>
      <c r="M28" s="92"/>
    </row>
    <row r="29" spans="1:13">
      <c r="A29" s="94">
        <v>26</v>
      </c>
      <c r="B29" s="95" t="s">
        <v>78</v>
      </c>
      <c r="C29" s="96">
        <v>38798000</v>
      </c>
      <c r="D29" s="96">
        <f t="shared" si="2"/>
        <v>38798000</v>
      </c>
      <c r="E29" s="97">
        <f t="shared" si="0"/>
        <v>0</v>
      </c>
      <c r="F29" s="103"/>
      <c r="G29" s="104"/>
      <c r="H29" s="104"/>
      <c r="I29" s="102"/>
      <c r="J29" s="92"/>
      <c r="K29" s="92"/>
      <c r="L29" s="92"/>
      <c r="M29" s="92"/>
    </row>
    <row r="30" spans="1:13">
      <c r="A30" s="94">
        <v>27</v>
      </c>
      <c r="B30" s="95" t="s">
        <v>99</v>
      </c>
      <c r="C30" s="96">
        <v>37907500</v>
      </c>
      <c r="D30" s="96">
        <f t="shared" si="2"/>
        <v>37907500</v>
      </c>
      <c r="E30" s="97">
        <f t="shared" si="0"/>
        <v>0</v>
      </c>
      <c r="F30" s="103"/>
      <c r="G30" s="104"/>
      <c r="H30" s="104"/>
      <c r="I30" s="102"/>
      <c r="J30" s="92"/>
      <c r="K30" s="92"/>
      <c r="L30" s="92"/>
      <c r="M30" s="92"/>
    </row>
    <row r="31" spans="1:13">
      <c r="A31" s="94">
        <v>28</v>
      </c>
      <c r="B31" s="95" t="s">
        <v>176</v>
      </c>
      <c r="C31" s="96">
        <v>33040000</v>
      </c>
      <c r="D31" s="96">
        <f t="shared" si="2"/>
        <v>33040000</v>
      </c>
      <c r="E31" s="97">
        <f t="shared" si="0"/>
        <v>0</v>
      </c>
      <c r="F31" s="103"/>
      <c r="G31" s="104"/>
      <c r="H31" s="104"/>
      <c r="I31" s="102"/>
      <c r="J31" s="92"/>
      <c r="K31" s="92"/>
      <c r="L31" s="92"/>
      <c r="M31" s="92"/>
    </row>
    <row r="32" spans="1:13">
      <c r="A32" s="94">
        <v>29</v>
      </c>
      <c r="B32" s="95" t="s">
        <v>65</v>
      </c>
      <c r="C32" s="96">
        <v>29840000</v>
      </c>
      <c r="D32" s="96">
        <f t="shared" si="2"/>
        <v>29840000</v>
      </c>
      <c r="E32" s="97">
        <f t="shared" si="0"/>
        <v>0</v>
      </c>
      <c r="F32" s="103"/>
      <c r="G32" s="104"/>
      <c r="H32" s="104"/>
      <c r="I32" s="102"/>
      <c r="J32" s="92"/>
      <c r="K32" s="92"/>
      <c r="L32" s="92"/>
      <c r="M32" s="92"/>
    </row>
    <row r="33" spans="1:13">
      <c r="A33" s="94">
        <v>30</v>
      </c>
      <c r="B33" s="95" t="s">
        <v>127</v>
      </c>
      <c r="C33" s="96">
        <v>28560000</v>
      </c>
      <c r="D33" s="96">
        <f t="shared" si="2"/>
        <v>28560000</v>
      </c>
      <c r="E33" s="97">
        <f t="shared" si="0"/>
        <v>0</v>
      </c>
      <c r="F33" s="103"/>
      <c r="G33" s="104"/>
      <c r="H33" s="104"/>
      <c r="I33" s="102"/>
      <c r="J33" s="92"/>
      <c r="K33" s="92"/>
      <c r="L33" s="92"/>
      <c r="M33" s="92"/>
    </row>
    <row r="34" spans="1:13">
      <c r="A34" s="94">
        <v>31</v>
      </c>
      <c r="B34" s="95" t="s">
        <v>94</v>
      </c>
      <c r="C34" s="96">
        <v>28223500</v>
      </c>
      <c r="D34" s="96">
        <v>12257500</v>
      </c>
      <c r="E34" s="97">
        <f t="shared" si="0"/>
        <v>15966000</v>
      </c>
      <c r="F34" s="63"/>
      <c r="G34" s="104"/>
      <c r="H34" s="104"/>
      <c r="I34" s="102"/>
      <c r="J34" s="92"/>
      <c r="K34" s="92"/>
      <c r="L34" s="92"/>
      <c r="M34" s="92"/>
    </row>
    <row r="35" spans="1:13">
      <c r="A35" s="94">
        <v>32</v>
      </c>
      <c r="B35" s="95" t="s">
        <v>146</v>
      </c>
      <c r="C35" s="96">
        <v>28042000</v>
      </c>
      <c r="D35" s="96">
        <f>C35</f>
        <v>28042000</v>
      </c>
      <c r="E35" s="97">
        <f t="shared" si="0"/>
        <v>0</v>
      </c>
      <c r="F35" s="63"/>
      <c r="G35" s="104"/>
      <c r="H35" s="104"/>
      <c r="I35" s="102"/>
      <c r="J35" s="92"/>
      <c r="K35" s="92"/>
      <c r="L35" s="92"/>
      <c r="M35" s="92"/>
    </row>
    <row r="36" spans="1:13">
      <c r="A36" s="94">
        <v>33</v>
      </c>
      <c r="B36" s="95" t="s">
        <v>206</v>
      </c>
      <c r="C36" s="96">
        <v>27630000</v>
      </c>
      <c r="D36" s="96">
        <f t="shared" ref="D36:D42" si="3">C36</f>
        <v>27630000</v>
      </c>
      <c r="E36" s="97">
        <f t="shared" si="0"/>
        <v>0</v>
      </c>
      <c r="F36" s="63"/>
      <c r="G36" s="104"/>
      <c r="H36" s="104"/>
      <c r="I36" s="102"/>
      <c r="J36" s="92"/>
      <c r="K36" s="92"/>
      <c r="L36" s="92"/>
      <c r="M36" s="92"/>
    </row>
    <row r="37" spans="1:13">
      <c r="A37" s="94">
        <v>34</v>
      </c>
      <c r="B37" s="95" t="s">
        <v>162</v>
      </c>
      <c r="C37" s="96">
        <v>26240000</v>
      </c>
      <c r="D37" s="96">
        <f t="shared" si="3"/>
        <v>26240000</v>
      </c>
      <c r="E37" s="97">
        <f t="shared" si="0"/>
        <v>0</v>
      </c>
      <c r="F37" s="63"/>
      <c r="G37" s="104"/>
      <c r="H37" s="104"/>
      <c r="I37" s="102"/>
      <c r="J37" s="92"/>
      <c r="K37" s="92"/>
      <c r="L37" s="92"/>
      <c r="M37" s="92"/>
    </row>
    <row r="38" spans="1:13">
      <c r="A38" s="94">
        <v>35</v>
      </c>
      <c r="B38" s="95" t="s">
        <v>186</v>
      </c>
      <c r="C38" s="96">
        <v>21650000</v>
      </c>
      <c r="D38" s="96">
        <f t="shared" si="3"/>
        <v>21650000</v>
      </c>
      <c r="E38" s="97">
        <f t="shared" si="0"/>
        <v>0</v>
      </c>
      <c r="F38" s="63"/>
      <c r="G38" s="104"/>
      <c r="H38" s="104"/>
      <c r="I38" s="102"/>
      <c r="J38" s="92"/>
      <c r="K38" s="92"/>
      <c r="L38" s="92"/>
      <c r="M38" s="92"/>
    </row>
    <row r="39" spans="1:13">
      <c r="A39" s="94">
        <v>36</v>
      </c>
      <c r="B39" s="95" t="s">
        <v>109</v>
      </c>
      <c r="C39" s="96">
        <v>20000000</v>
      </c>
      <c r="D39" s="96">
        <f t="shared" si="3"/>
        <v>20000000</v>
      </c>
      <c r="E39" s="97">
        <f t="shared" si="0"/>
        <v>0</v>
      </c>
      <c r="F39" s="63"/>
      <c r="G39" s="104"/>
      <c r="H39" s="104"/>
      <c r="I39" s="102"/>
      <c r="J39" s="92"/>
      <c r="K39" s="92"/>
      <c r="L39" s="92"/>
      <c r="M39" s="92"/>
    </row>
    <row r="40" spans="1:13">
      <c r="A40" s="94">
        <v>37</v>
      </c>
      <c r="B40" s="95" t="s">
        <v>76</v>
      </c>
      <c r="C40" s="96">
        <v>19596000</v>
      </c>
      <c r="D40" s="96">
        <f t="shared" si="3"/>
        <v>19596000</v>
      </c>
      <c r="E40" s="97">
        <f t="shared" si="0"/>
        <v>0</v>
      </c>
      <c r="F40" s="63"/>
      <c r="G40" s="104"/>
      <c r="H40" s="104"/>
      <c r="I40" s="102"/>
      <c r="J40" s="92"/>
      <c r="K40" s="92"/>
      <c r="L40" s="92"/>
      <c r="M40" s="92"/>
    </row>
    <row r="41" spans="1:13">
      <c r="A41" s="94">
        <v>38</v>
      </c>
      <c r="B41" s="95" t="s">
        <v>91</v>
      </c>
      <c r="C41" s="96">
        <v>18232500</v>
      </c>
      <c r="D41" s="96">
        <f t="shared" si="3"/>
        <v>18232500</v>
      </c>
      <c r="E41" s="97">
        <f t="shared" si="0"/>
        <v>0</v>
      </c>
      <c r="F41" s="63"/>
      <c r="G41" s="104"/>
      <c r="H41" s="104"/>
      <c r="I41" s="102"/>
      <c r="J41" s="92"/>
      <c r="K41" s="92"/>
      <c r="L41" s="92"/>
      <c r="M41" s="92"/>
    </row>
    <row r="42" spans="1:13">
      <c r="A42" s="94">
        <v>39</v>
      </c>
      <c r="B42" s="95" t="s">
        <v>166</v>
      </c>
      <c r="C42" s="96">
        <v>15750000</v>
      </c>
      <c r="D42" s="96">
        <f t="shared" si="3"/>
        <v>15750000</v>
      </c>
      <c r="E42" s="97">
        <f t="shared" si="0"/>
        <v>0</v>
      </c>
      <c r="F42" s="63"/>
      <c r="G42" s="104"/>
      <c r="H42" s="104"/>
      <c r="I42" s="102"/>
      <c r="J42" s="92"/>
      <c r="K42" s="92"/>
      <c r="L42" s="92"/>
      <c r="M42" s="92"/>
    </row>
    <row r="43" spans="1:13">
      <c r="A43" s="94">
        <v>40</v>
      </c>
      <c r="B43" s="95" t="s">
        <v>83</v>
      </c>
      <c r="C43" s="96">
        <v>15500000</v>
      </c>
      <c r="D43" s="96"/>
      <c r="E43" s="97">
        <f t="shared" si="0"/>
        <v>15500000</v>
      </c>
      <c r="F43" s="63"/>
      <c r="G43" s="104"/>
      <c r="H43" s="104"/>
      <c r="I43" s="102"/>
      <c r="J43" s="92"/>
      <c r="K43" s="92"/>
      <c r="L43" s="92"/>
      <c r="M43" s="92"/>
    </row>
    <row r="44" spans="1:13">
      <c r="A44" s="94">
        <v>41</v>
      </c>
      <c r="B44" s="95" t="s">
        <v>163</v>
      </c>
      <c r="C44" s="96">
        <v>15200000</v>
      </c>
      <c r="D44" s="96">
        <f>C44</f>
        <v>15200000</v>
      </c>
      <c r="E44" s="97">
        <f t="shared" si="0"/>
        <v>0</v>
      </c>
      <c r="F44" s="63"/>
      <c r="G44" s="104"/>
      <c r="H44" s="104"/>
      <c r="I44" s="102"/>
      <c r="J44" s="92"/>
      <c r="K44" s="92"/>
      <c r="L44" s="92"/>
      <c r="M44" s="92"/>
    </row>
    <row r="45" spans="1:13">
      <c r="A45" s="94">
        <v>42</v>
      </c>
      <c r="B45" s="95" t="s">
        <v>88</v>
      </c>
      <c r="C45" s="96">
        <v>13400000</v>
      </c>
      <c r="D45" s="96">
        <f t="shared" ref="D45:D108" si="4">C45</f>
        <v>13400000</v>
      </c>
      <c r="E45" s="97">
        <f t="shared" si="0"/>
        <v>0</v>
      </c>
      <c r="F45" s="63"/>
      <c r="G45" s="104"/>
      <c r="H45" s="104"/>
      <c r="I45" s="102"/>
      <c r="J45" s="92"/>
      <c r="K45" s="92"/>
      <c r="L45" s="92"/>
      <c r="M45" s="92"/>
    </row>
    <row r="46" spans="1:13">
      <c r="A46" s="94">
        <v>43</v>
      </c>
      <c r="B46" s="95" t="s">
        <v>111</v>
      </c>
      <c r="C46" s="96">
        <v>12322000</v>
      </c>
      <c r="D46" s="96">
        <f t="shared" si="4"/>
        <v>12322000</v>
      </c>
      <c r="E46" s="97">
        <f t="shared" si="0"/>
        <v>0</v>
      </c>
      <c r="F46" s="63"/>
      <c r="G46" s="104"/>
      <c r="H46" s="104"/>
      <c r="I46" s="102"/>
      <c r="J46" s="92"/>
      <c r="K46" s="92"/>
      <c r="L46" s="92"/>
      <c r="M46" s="92"/>
    </row>
    <row r="47" spans="1:13">
      <c r="A47" s="94">
        <v>44</v>
      </c>
      <c r="B47" s="95" t="s">
        <v>73</v>
      </c>
      <c r="C47" s="96">
        <v>11125000</v>
      </c>
      <c r="D47" s="96">
        <f t="shared" si="4"/>
        <v>11125000</v>
      </c>
      <c r="E47" s="97">
        <f t="shared" si="0"/>
        <v>0</v>
      </c>
      <c r="F47" s="63"/>
      <c r="G47" s="104"/>
      <c r="H47" s="104"/>
      <c r="I47" s="102"/>
      <c r="J47" s="92"/>
      <c r="K47" s="92"/>
      <c r="L47" s="92"/>
      <c r="M47" s="92"/>
    </row>
    <row r="48" spans="1:13">
      <c r="A48" s="94">
        <v>45</v>
      </c>
      <c r="B48" s="95" t="s">
        <v>168</v>
      </c>
      <c r="C48" s="96">
        <v>10585000</v>
      </c>
      <c r="D48" s="96">
        <f t="shared" si="4"/>
        <v>10585000</v>
      </c>
      <c r="E48" s="97">
        <f t="shared" si="0"/>
        <v>0</v>
      </c>
      <c r="F48" s="63"/>
      <c r="G48" s="104"/>
      <c r="H48" s="104"/>
      <c r="I48" s="102"/>
      <c r="J48" s="92"/>
      <c r="K48" s="92"/>
      <c r="L48" s="92"/>
      <c r="M48" s="92"/>
    </row>
    <row r="49" spans="1:13">
      <c r="A49" s="94">
        <v>46</v>
      </c>
      <c r="B49" s="95" t="s">
        <v>112</v>
      </c>
      <c r="C49" s="96">
        <v>9855000</v>
      </c>
      <c r="D49" s="96">
        <f t="shared" si="4"/>
        <v>9855000</v>
      </c>
      <c r="E49" s="97">
        <f t="shared" si="0"/>
        <v>0</v>
      </c>
      <c r="F49" s="63"/>
      <c r="G49" s="104"/>
      <c r="H49" s="104"/>
      <c r="I49" s="102"/>
      <c r="J49" s="92"/>
      <c r="K49" s="92"/>
      <c r="L49" s="92"/>
      <c r="M49" s="92"/>
    </row>
    <row r="50" spans="1:13">
      <c r="A50" s="94">
        <v>47</v>
      </c>
      <c r="B50" s="95" t="s">
        <v>110</v>
      </c>
      <c r="C50" s="96">
        <v>7485000</v>
      </c>
      <c r="D50" s="96">
        <f t="shared" si="4"/>
        <v>7485000</v>
      </c>
      <c r="E50" s="97">
        <f t="shared" si="0"/>
        <v>0</v>
      </c>
      <c r="F50" s="63"/>
      <c r="G50" s="104"/>
      <c r="H50" s="104"/>
      <c r="I50" s="102"/>
      <c r="J50" s="92"/>
      <c r="K50" s="92"/>
      <c r="L50" s="92"/>
      <c r="M50" s="92"/>
    </row>
    <row r="51" spans="1:13">
      <c r="A51" s="94">
        <v>48</v>
      </c>
      <c r="B51" s="95" t="s">
        <v>68</v>
      </c>
      <c r="C51" s="96">
        <v>6500000</v>
      </c>
      <c r="D51" s="96">
        <f t="shared" si="4"/>
        <v>6500000</v>
      </c>
      <c r="E51" s="97">
        <f t="shared" si="0"/>
        <v>0</v>
      </c>
      <c r="F51" s="63"/>
      <c r="G51" s="104"/>
      <c r="H51" s="104"/>
      <c r="I51" s="102"/>
      <c r="J51" s="92"/>
      <c r="K51" s="92"/>
      <c r="L51" s="92"/>
      <c r="M51" s="92"/>
    </row>
    <row r="52" spans="1:13">
      <c r="A52" s="94">
        <v>49</v>
      </c>
      <c r="B52" s="95" t="s">
        <v>141</v>
      </c>
      <c r="C52" s="96">
        <v>6357500</v>
      </c>
      <c r="D52" s="96">
        <f t="shared" si="4"/>
        <v>6357500</v>
      </c>
      <c r="E52" s="97">
        <f t="shared" si="0"/>
        <v>0</v>
      </c>
      <c r="F52" s="63"/>
      <c r="G52" s="104"/>
      <c r="H52" s="104"/>
      <c r="I52" s="63"/>
      <c r="J52" s="92"/>
      <c r="K52" s="92"/>
      <c r="L52" s="92"/>
      <c r="M52" s="92"/>
    </row>
    <row r="53" spans="1:13">
      <c r="A53" s="94">
        <v>50</v>
      </c>
      <c r="B53" s="95" t="s">
        <v>67</v>
      </c>
      <c r="C53" s="96">
        <v>6075000</v>
      </c>
      <c r="D53" s="96">
        <f t="shared" si="4"/>
        <v>6075000</v>
      </c>
      <c r="E53" s="97">
        <f t="shared" si="0"/>
        <v>0</v>
      </c>
      <c r="F53" s="63"/>
      <c r="G53" s="104"/>
      <c r="H53" s="104"/>
      <c r="I53" s="63"/>
      <c r="J53" s="92"/>
      <c r="K53" s="92"/>
      <c r="L53" s="92"/>
      <c r="M53" s="92"/>
    </row>
    <row r="54" spans="1:13">
      <c r="A54" s="94">
        <v>51</v>
      </c>
      <c r="B54" s="95" t="s">
        <v>140</v>
      </c>
      <c r="C54" s="96">
        <v>6050000</v>
      </c>
      <c r="D54" s="96">
        <f t="shared" si="4"/>
        <v>6050000</v>
      </c>
      <c r="E54" s="97">
        <f t="shared" si="0"/>
        <v>0</v>
      </c>
      <c r="F54" s="63"/>
      <c r="G54" s="104"/>
      <c r="H54" s="104"/>
      <c r="I54" s="63"/>
      <c r="J54" s="92"/>
      <c r="K54" s="92"/>
      <c r="L54" s="92"/>
      <c r="M54" s="92"/>
    </row>
    <row r="55" spans="1:13">
      <c r="A55" s="94">
        <v>52</v>
      </c>
      <c r="B55" s="95" t="s">
        <v>86</v>
      </c>
      <c r="C55" s="96">
        <v>5974500</v>
      </c>
      <c r="D55" s="96">
        <f t="shared" si="4"/>
        <v>5974500</v>
      </c>
      <c r="E55" s="97">
        <f t="shared" si="0"/>
        <v>0</v>
      </c>
      <c r="F55" s="63"/>
      <c r="G55" s="104"/>
      <c r="H55" s="104"/>
      <c r="I55" s="63"/>
      <c r="J55" s="92"/>
      <c r="K55" s="92"/>
      <c r="L55" s="92"/>
      <c r="M55" s="92"/>
    </row>
    <row r="56" spans="1:13">
      <c r="A56" s="94">
        <v>53</v>
      </c>
      <c r="B56" s="95" t="s">
        <v>207</v>
      </c>
      <c r="C56" s="96">
        <v>5760000</v>
      </c>
      <c r="D56" s="96">
        <f t="shared" si="4"/>
        <v>5760000</v>
      </c>
      <c r="E56" s="97">
        <f t="shared" si="0"/>
        <v>0</v>
      </c>
      <c r="F56" s="63"/>
      <c r="G56" s="104"/>
      <c r="H56" s="104"/>
      <c r="I56" s="63"/>
      <c r="J56" s="92"/>
      <c r="K56" s="92"/>
      <c r="L56" s="92"/>
      <c r="M56" s="92"/>
    </row>
    <row r="57" spans="1:13">
      <c r="A57" s="94">
        <v>54</v>
      </c>
      <c r="B57" s="95" t="s">
        <v>79</v>
      </c>
      <c r="C57" s="96">
        <v>5000000</v>
      </c>
      <c r="D57" s="96">
        <f t="shared" si="4"/>
        <v>5000000</v>
      </c>
      <c r="E57" s="97">
        <f t="shared" si="0"/>
        <v>0</v>
      </c>
      <c r="F57" s="63"/>
      <c r="G57" s="104"/>
      <c r="H57" s="104"/>
      <c r="I57" s="63"/>
      <c r="J57" s="92"/>
      <c r="K57" s="92"/>
      <c r="L57" s="92"/>
      <c r="M57" s="92"/>
    </row>
    <row r="58" spans="1:13">
      <c r="A58" s="94">
        <v>55</v>
      </c>
      <c r="B58" s="95" t="s">
        <v>84</v>
      </c>
      <c r="C58" s="96">
        <v>4975000</v>
      </c>
      <c r="D58" s="96">
        <f t="shared" si="4"/>
        <v>4975000</v>
      </c>
      <c r="E58" s="97">
        <f t="shared" si="0"/>
        <v>0</v>
      </c>
      <c r="F58" s="63"/>
      <c r="G58" s="104"/>
      <c r="H58" s="104"/>
      <c r="I58" s="63"/>
      <c r="J58" s="92"/>
      <c r="K58" s="92"/>
      <c r="L58" s="92"/>
      <c r="M58" s="92"/>
    </row>
    <row r="59" spans="1:13">
      <c r="A59" s="94">
        <v>56</v>
      </c>
      <c r="B59" s="95" t="s">
        <v>177</v>
      </c>
      <c r="C59" s="96">
        <v>4232500</v>
      </c>
      <c r="D59" s="96">
        <f t="shared" si="4"/>
        <v>4232500</v>
      </c>
      <c r="E59" s="97">
        <f t="shared" si="0"/>
        <v>0</v>
      </c>
      <c r="F59" s="63"/>
      <c r="G59" s="104"/>
      <c r="H59" s="104"/>
      <c r="I59" s="63"/>
      <c r="J59" s="92"/>
      <c r="K59" s="92"/>
      <c r="L59" s="92"/>
      <c r="M59" s="92"/>
    </row>
    <row r="60" spans="1:13">
      <c r="A60" s="94">
        <v>57</v>
      </c>
      <c r="B60" s="95" t="s">
        <v>61</v>
      </c>
      <c r="C60" s="96">
        <v>3822500</v>
      </c>
      <c r="D60" s="96">
        <f t="shared" si="4"/>
        <v>3822500</v>
      </c>
      <c r="E60" s="97">
        <f t="shared" si="0"/>
        <v>0</v>
      </c>
      <c r="F60" s="63"/>
      <c r="G60" s="104"/>
      <c r="H60" s="104"/>
      <c r="I60" s="63"/>
      <c r="J60" s="92"/>
      <c r="K60" s="92"/>
      <c r="L60" s="92"/>
      <c r="M60" s="92"/>
    </row>
    <row r="61" spans="1:13">
      <c r="A61" s="94">
        <v>58</v>
      </c>
      <c r="B61" s="95" t="s">
        <v>148</v>
      </c>
      <c r="C61" s="96">
        <v>3705000</v>
      </c>
      <c r="D61" s="96">
        <f t="shared" si="4"/>
        <v>3705000</v>
      </c>
      <c r="E61" s="97">
        <f t="shared" si="0"/>
        <v>0</v>
      </c>
      <c r="F61" s="63"/>
      <c r="G61" s="104"/>
      <c r="H61" s="104"/>
      <c r="I61" s="63"/>
      <c r="J61" s="92"/>
      <c r="K61" s="92"/>
      <c r="L61" s="92"/>
      <c r="M61" s="92"/>
    </row>
    <row r="62" spans="1:13">
      <c r="A62" s="94">
        <v>59</v>
      </c>
      <c r="B62" s="95" t="s">
        <v>208</v>
      </c>
      <c r="C62" s="96">
        <v>3400000</v>
      </c>
      <c r="D62" s="96">
        <f t="shared" si="4"/>
        <v>3400000</v>
      </c>
      <c r="E62" s="97">
        <f t="shared" si="0"/>
        <v>0</v>
      </c>
      <c r="F62" s="63"/>
      <c r="G62" s="104"/>
      <c r="H62" s="104"/>
      <c r="I62" s="63"/>
      <c r="J62" s="92"/>
      <c r="K62" s="92"/>
      <c r="L62" s="92"/>
      <c r="M62" s="92"/>
    </row>
    <row r="63" spans="1:13">
      <c r="A63" s="94">
        <v>60</v>
      </c>
      <c r="B63" s="95" t="s">
        <v>115</v>
      </c>
      <c r="C63" s="96">
        <v>3180000</v>
      </c>
      <c r="D63" s="96">
        <f t="shared" si="4"/>
        <v>3180000</v>
      </c>
      <c r="E63" s="97">
        <f t="shared" si="0"/>
        <v>0</v>
      </c>
      <c r="F63" s="63"/>
      <c r="G63" s="104"/>
      <c r="H63" s="104"/>
      <c r="I63" s="63"/>
      <c r="J63" s="92"/>
      <c r="K63" s="92"/>
      <c r="L63" s="92"/>
      <c r="M63" s="92"/>
    </row>
    <row r="64" spans="1:13">
      <c r="A64" s="94">
        <v>61</v>
      </c>
      <c r="B64" s="95" t="s">
        <v>209</v>
      </c>
      <c r="C64" s="96">
        <v>3120000</v>
      </c>
      <c r="D64" s="96">
        <f t="shared" si="4"/>
        <v>3120000</v>
      </c>
      <c r="E64" s="97">
        <f t="shared" si="0"/>
        <v>0</v>
      </c>
      <c r="F64" s="63"/>
      <c r="G64" s="104"/>
      <c r="H64" s="104"/>
      <c r="I64" s="63"/>
      <c r="J64" s="92"/>
      <c r="K64" s="92"/>
      <c r="L64" s="92"/>
      <c r="M64" s="92"/>
    </row>
    <row r="65" spans="1:13">
      <c r="A65" s="94">
        <v>62</v>
      </c>
      <c r="B65" s="95" t="s">
        <v>96</v>
      </c>
      <c r="C65" s="96">
        <v>2948500</v>
      </c>
      <c r="D65" s="96">
        <f t="shared" si="4"/>
        <v>2948500</v>
      </c>
      <c r="E65" s="97">
        <f t="shared" si="0"/>
        <v>0</v>
      </c>
      <c r="F65" s="63"/>
      <c r="G65" s="104"/>
      <c r="H65" s="104"/>
      <c r="I65" s="63"/>
      <c r="J65" s="92"/>
      <c r="K65" s="92"/>
      <c r="L65" s="92"/>
      <c r="M65" s="92"/>
    </row>
    <row r="66" spans="1:13">
      <c r="A66" s="94">
        <v>63</v>
      </c>
      <c r="B66" s="95" t="s">
        <v>70</v>
      </c>
      <c r="C66" s="96">
        <v>2726000</v>
      </c>
      <c r="D66" s="96">
        <f t="shared" si="4"/>
        <v>2726000</v>
      </c>
      <c r="E66" s="97">
        <f t="shared" si="0"/>
        <v>0</v>
      </c>
      <c r="F66" s="63"/>
      <c r="G66" s="104"/>
      <c r="H66" s="104"/>
      <c r="I66" s="63"/>
      <c r="J66" s="92"/>
      <c r="K66" s="92"/>
      <c r="L66" s="92"/>
      <c r="M66" s="92"/>
    </row>
    <row r="67" spans="1:13">
      <c r="A67" s="94">
        <v>64</v>
      </c>
      <c r="B67" s="95" t="s">
        <v>77</v>
      </c>
      <c r="C67" s="96">
        <v>2162500</v>
      </c>
      <c r="D67" s="96">
        <f t="shared" si="4"/>
        <v>2162500</v>
      </c>
      <c r="E67" s="97">
        <f t="shared" si="0"/>
        <v>0</v>
      </c>
      <c r="F67" s="63"/>
      <c r="G67" s="104"/>
      <c r="H67" s="104"/>
      <c r="I67" s="63"/>
      <c r="J67" s="92"/>
      <c r="K67" s="92"/>
      <c r="L67" s="92"/>
      <c r="M67" s="92"/>
    </row>
    <row r="68" spans="1:13">
      <c r="A68" s="94">
        <v>65</v>
      </c>
      <c r="B68" s="95" t="s">
        <v>185</v>
      </c>
      <c r="C68" s="96">
        <v>1605000</v>
      </c>
      <c r="D68" s="96">
        <f t="shared" si="4"/>
        <v>1605000</v>
      </c>
      <c r="E68" s="97">
        <f t="shared" ref="E68:E131" si="5">C68-D68</f>
        <v>0</v>
      </c>
      <c r="F68" s="63"/>
      <c r="G68" s="104"/>
      <c r="H68" s="104"/>
      <c r="I68" s="63"/>
      <c r="J68" s="92"/>
      <c r="K68" s="92"/>
      <c r="L68" s="92"/>
      <c r="M68" s="92"/>
    </row>
    <row r="69" spans="1:13">
      <c r="A69" s="94">
        <v>66</v>
      </c>
      <c r="B69" s="95" t="s">
        <v>118</v>
      </c>
      <c r="C69" s="96">
        <v>1600000</v>
      </c>
      <c r="D69" s="96">
        <f t="shared" si="4"/>
        <v>1600000</v>
      </c>
      <c r="E69" s="97">
        <f t="shared" si="5"/>
        <v>0</v>
      </c>
      <c r="F69" s="63"/>
      <c r="G69" s="104"/>
      <c r="H69" s="104"/>
      <c r="I69" s="63"/>
      <c r="J69" s="92"/>
      <c r="K69" s="92"/>
      <c r="L69" s="92"/>
      <c r="M69" s="92"/>
    </row>
    <row r="70" spans="1:13">
      <c r="A70" s="94">
        <v>67</v>
      </c>
      <c r="B70" s="95" t="s">
        <v>210</v>
      </c>
      <c r="C70" s="96">
        <v>1462500</v>
      </c>
      <c r="D70" s="96">
        <f t="shared" si="4"/>
        <v>1462500</v>
      </c>
      <c r="E70" s="97">
        <f t="shared" si="5"/>
        <v>0</v>
      </c>
      <c r="F70" s="63"/>
      <c r="G70" s="104"/>
      <c r="H70" s="104"/>
      <c r="I70" s="63"/>
      <c r="J70" s="92"/>
      <c r="K70" s="92"/>
      <c r="L70" s="92"/>
      <c r="M70" s="92"/>
    </row>
    <row r="71" spans="1:13">
      <c r="A71" s="94">
        <v>68</v>
      </c>
      <c r="B71" s="95" t="s">
        <v>161</v>
      </c>
      <c r="C71" s="96">
        <v>1344000</v>
      </c>
      <c r="D71" s="96">
        <f t="shared" si="4"/>
        <v>1344000</v>
      </c>
      <c r="E71" s="97">
        <f t="shared" si="5"/>
        <v>0</v>
      </c>
      <c r="F71" s="63"/>
      <c r="G71" s="104"/>
      <c r="H71" s="104"/>
      <c r="I71" s="63"/>
      <c r="J71" s="92"/>
      <c r="K71" s="92"/>
      <c r="L71" s="92"/>
      <c r="M71" s="92"/>
    </row>
    <row r="72" spans="1:13">
      <c r="A72" s="94">
        <v>69</v>
      </c>
      <c r="B72" s="95" t="s">
        <v>125</v>
      </c>
      <c r="C72" s="96">
        <v>1265000</v>
      </c>
      <c r="D72" s="96">
        <f t="shared" si="4"/>
        <v>1265000</v>
      </c>
      <c r="E72" s="97">
        <f t="shared" si="5"/>
        <v>0</v>
      </c>
      <c r="F72" s="63"/>
      <c r="G72" s="104"/>
      <c r="H72" s="104"/>
      <c r="I72" s="63"/>
      <c r="J72" s="92"/>
      <c r="K72" s="92"/>
      <c r="L72" s="92"/>
      <c r="M72" s="92"/>
    </row>
    <row r="73" spans="1:13">
      <c r="A73" s="94">
        <v>70</v>
      </c>
      <c r="B73" s="95" t="s">
        <v>145</v>
      </c>
      <c r="C73" s="96">
        <v>1200000</v>
      </c>
      <c r="D73" s="96">
        <f t="shared" si="4"/>
        <v>1200000</v>
      </c>
      <c r="E73" s="97">
        <f t="shared" si="5"/>
        <v>0</v>
      </c>
      <c r="F73" s="63"/>
      <c r="G73" s="104"/>
      <c r="H73" s="104"/>
      <c r="I73" s="63"/>
      <c r="J73" s="92"/>
      <c r="K73" s="92"/>
      <c r="L73" s="92"/>
      <c r="M73" s="92"/>
    </row>
    <row r="74" spans="1:13">
      <c r="A74" s="94">
        <v>71</v>
      </c>
      <c r="B74" s="95" t="s">
        <v>137</v>
      </c>
      <c r="C74" s="96">
        <v>1062500</v>
      </c>
      <c r="D74" s="96">
        <f t="shared" si="4"/>
        <v>1062500</v>
      </c>
      <c r="E74" s="97">
        <f t="shared" si="5"/>
        <v>0</v>
      </c>
      <c r="F74" s="63"/>
      <c r="G74" s="104"/>
      <c r="H74" s="104"/>
      <c r="I74" s="63"/>
      <c r="J74" s="92"/>
      <c r="K74" s="92"/>
      <c r="L74" s="92"/>
      <c r="M74" s="92"/>
    </row>
    <row r="75" spans="1:13">
      <c r="A75" s="94">
        <v>72</v>
      </c>
      <c r="B75" s="95" t="s">
        <v>211</v>
      </c>
      <c r="C75" s="96">
        <v>850000</v>
      </c>
      <c r="D75" s="96">
        <f t="shared" si="4"/>
        <v>850000</v>
      </c>
      <c r="E75" s="97">
        <f t="shared" si="5"/>
        <v>0</v>
      </c>
      <c r="F75" s="63"/>
      <c r="G75" s="104"/>
      <c r="H75" s="104"/>
      <c r="I75" s="63"/>
      <c r="J75" s="92"/>
      <c r="K75" s="92"/>
      <c r="L75" s="92"/>
      <c r="M75" s="92"/>
    </row>
    <row r="76" spans="1:13">
      <c r="A76" s="94">
        <v>73</v>
      </c>
      <c r="B76" s="95" t="s">
        <v>212</v>
      </c>
      <c r="C76" s="96">
        <v>660000</v>
      </c>
      <c r="D76" s="96">
        <f t="shared" si="4"/>
        <v>660000</v>
      </c>
      <c r="E76" s="97">
        <f t="shared" si="5"/>
        <v>0</v>
      </c>
      <c r="F76" s="63"/>
      <c r="G76" s="104"/>
      <c r="H76" s="104"/>
      <c r="I76" s="63"/>
      <c r="J76" s="92"/>
      <c r="K76" s="92"/>
      <c r="L76" s="92"/>
      <c r="M76" s="92"/>
    </row>
    <row r="77" spans="1:13">
      <c r="A77" s="94">
        <v>74</v>
      </c>
      <c r="B77" s="95"/>
      <c r="C77" s="96">
        <f t="shared" ref="C77:C84" si="6">SUMIFS(tballsa,tballnk,B77)</f>
        <v>0</v>
      </c>
      <c r="D77" s="96">
        <f t="shared" si="4"/>
        <v>0</v>
      </c>
      <c r="E77" s="97">
        <f t="shared" si="5"/>
        <v>0</v>
      </c>
      <c r="F77" s="63"/>
      <c r="G77" s="104"/>
      <c r="H77" s="104"/>
      <c r="I77" s="63"/>
      <c r="J77" s="92"/>
      <c r="K77" s="92"/>
      <c r="L77" s="92"/>
      <c r="M77" s="92"/>
    </row>
    <row r="78" spans="1:13">
      <c r="A78" s="94">
        <v>75</v>
      </c>
      <c r="B78" s="95"/>
      <c r="C78" s="96">
        <f t="shared" si="6"/>
        <v>0</v>
      </c>
      <c r="D78" s="96">
        <f t="shared" si="4"/>
        <v>0</v>
      </c>
      <c r="E78" s="97">
        <f t="shared" si="5"/>
        <v>0</v>
      </c>
      <c r="F78" s="63"/>
      <c r="G78" s="104"/>
      <c r="H78" s="104"/>
      <c r="I78" s="63"/>
      <c r="J78" s="92"/>
      <c r="K78" s="92"/>
      <c r="L78" s="92"/>
      <c r="M78" s="92"/>
    </row>
    <row r="79" spans="1:13">
      <c r="A79" s="94">
        <v>76</v>
      </c>
      <c r="B79" s="95"/>
      <c r="C79" s="96">
        <f t="shared" si="6"/>
        <v>0</v>
      </c>
      <c r="D79" s="96">
        <f t="shared" si="4"/>
        <v>0</v>
      </c>
      <c r="E79" s="97">
        <f t="shared" si="5"/>
        <v>0</v>
      </c>
      <c r="F79" s="63"/>
      <c r="G79" s="104"/>
      <c r="H79" s="104"/>
      <c r="I79" s="63"/>
      <c r="J79" s="92"/>
      <c r="K79" s="92"/>
      <c r="L79" s="92"/>
      <c r="M79" s="92"/>
    </row>
    <row r="80" spans="1:13">
      <c r="A80" s="94">
        <v>77</v>
      </c>
      <c r="B80" s="95"/>
      <c r="C80" s="96">
        <f t="shared" si="6"/>
        <v>0</v>
      </c>
      <c r="D80" s="96">
        <f t="shared" si="4"/>
        <v>0</v>
      </c>
      <c r="E80" s="97">
        <f t="shared" si="5"/>
        <v>0</v>
      </c>
      <c r="F80" s="63"/>
      <c r="G80" s="104"/>
      <c r="H80" s="104"/>
      <c r="I80" s="63"/>
      <c r="J80" s="92"/>
      <c r="K80" s="92"/>
      <c r="L80" s="92"/>
      <c r="M80" s="92"/>
    </row>
    <row r="81" spans="1:13">
      <c r="A81" s="94">
        <v>78</v>
      </c>
      <c r="B81" s="95"/>
      <c r="C81" s="96">
        <f t="shared" si="6"/>
        <v>0</v>
      </c>
      <c r="D81" s="96">
        <f t="shared" si="4"/>
        <v>0</v>
      </c>
      <c r="E81" s="97">
        <f t="shared" si="5"/>
        <v>0</v>
      </c>
      <c r="F81" s="63"/>
      <c r="G81" s="104"/>
      <c r="H81" s="104"/>
      <c r="I81" s="63"/>
      <c r="J81" s="92"/>
      <c r="K81" s="92"/>
      <c r="L81" s="92"/>
      <c r="M81" s="92"/>
    </row>
    <row r="82" spans="1:13">
      <c r="A82" s="94">
        <v>79</v>
      </c>
      <c r="B82" s="95"/>
      <c r="C82" s="96">
        <f t="shared" si="6"/>
        <v>0</v>
      </c>
      <c r="D82" s="96">
        <f t="shared" si="4"/>
        <v>0</v>
      </c>
      <c r="E82" s="97">
        <f t="shared" si="5"/>
        <v>0</v>
      </c>
      <c r="F82" s="63"/>
      <c r="G82" s="104"/>
      <c r="H82" s="104"/>
      <c r="I82" s="63"/>
      <c r="J82" s="92"/>
      <c r="K82" s="92"/>
      <c r="L82" s="92"/>
      <c r="M82" s="92"/>
    </row>
    <row r="83" spans="1:13">
      <c r="A83" s="94">
        <v>80</v>
      </c>
      <c r="B83" s="95"/>
      <c r="C83" s="96">
        <f t="shared" si="6"/>
        <v>0</v>
      </c>
      <c r="D83" s="96">
        <f t="shared" si="4"/>
        <v>0</v>
      </c>
      <c r="E83" s="97">
        <f t="shared" si="5"/>
        <v>0</v>
      </c>
      <c r="F83" s="63"/>
      <c r="G83" s="104"/>
      <c r="H83" s="104"/>
      <c r="I83" s="63"/>
      <c r="J83" s="92"/>
      <c r="K83" s="92"/>
      <c r="L83" s="92"/>
      <c r="M83" s="92"/>
    </row>
    <row r="84" spans="1:13">
      <c r="A84" s="94">
        <v>81</v>
      </c>
      <c r="B84" s="95"/>
      <c r="C84" s="96">
        <f t="shared" si="6"/>
        <v>0</v>
      </c>
      <c r="D84" s="96">
        <f t="shared" si="4"/>
        <v>0</v>
      </c>
      <c r="E84" s="97">
        <f t="shared" si="5"/>
        <v>0</v>
      </c>
      <c r="F84" s="63"/>
      <c r="G84" s="104"/>
      <c r="H84" s="104"/>
      <c r="I84" s="63"/>
      <c r="J84" s="92"/>
      <c r="K84" s="92"/>
      <c r="L84" s="92"/>
      <c r="M84" s="92"/>
    </row>
    <row r="85" spans="1:13" hidden="1">
      <c r="A85" s="94">
        <v>82</v>
      </c>
      <c r="B85" s="95"/>
      <c r="C85" s="96">
        <f t="shared" ref="C85:C99" si="7">SUMIFS(tballsa,tballnk,B85)</f>
        <v>0</v>
      </c>
      <c r="D85" s="96">
        <f t="shared" si="4"/>
        <v>0</v>
      </c>
      <c r="E85" s="97">
        <f t="shared" si="5"/>
        <v>0</v>
      </c>
      <c r="F85" s="63"/>
      <c r="G85" s="104"/>
      <c r="H85" s="104"/>
      <c r="I85" s="63"/>
      <c r="J85" s="92"/>
      <c r="K85" s="92"/>
      <c r="L85" s="92"/>
      <c r="M85" s="92"/>
    </row>
    <row r="86" spans="1:13" hidden="1">
      <c r="A86" s="94">
        <v>83</v>
      </c>
      <c r="B86" s="95"/>
      <c r="C86" s="96">
        <f t="shared" si="7"/>
        <v>0</v>
      </c>
      <c r="D86" s="96">
        <f t="shared" si="4"/>
        <v>0</v>
      </c>
      <c r="E86" s="97">
        <f t="shared" si="5"/>
        <v>0</v>
      </c>
      <c r="F86" s="63"/>
      <c r="G86" s="104"/>
      <c r="H86" s="104"/>
      <c r="I86" s="63"/>
      <c r="J86" s="92"/>
      <c r="K86" s="92"/>
      <c r="L86" s="92"/>
      <c r="M86" s="92"/>
    </row>
    <row r="87" spans="1:13" hidden="1">
      <c r="A87" s="94">
        <v>84</v>
      </c>
      <c r="B87" s="95"/>
      <c r="C87" s="96">
        <f t="shared" si="7"/>
        <v>0</v>
      </c>
      <c r="D87" s="96">
        <f t="shared" si="4"/>
        <v>0</v>
      </c>
      <c r="E87" s="97">
        <f t="shared" si="5"/>
        <v>0</v>
      </c>
      <c r="F87" s="63"/>
      <c r="G87" s="104"/>
      <c r="H87" s="104"/>
      <c r="I87" s="63"/>
      <c r="J87" s="92"/>
      <c r="K87" s="92"/>
      <c r="L87" s="92"/>
      <c r="M87" s="92"/>
    </row>
    <row r="88" spans="1:13" hidden="1">
      <c r="A88" s="94">
        <v>85</v>
      </c>
      <c r="B88" s="95"/>
      <c r="C88" s="96">
        <f t="shared" si="7"/>
        <v>0</v>
      </c>
      <c r="D88" s="96">
        <f t="shared" si="4"/>
        <v>0</v>
      </c>
      <c r="E88" s="97">
        <f t="shared" si="5"/>
        <v>0</v>
      </c>
      <c r="F88" s="63"/>
      <c r="G88" s="104"/>
      <c r="H88" s="104"/>
      <c r="I88" s="102"/>
      <c r="J88" s="92"/>
      <c r="K88" s="92"/>
      <c r="L88" s="92"/>
      <c r="M88" s="92"/>
    </row>
    <row r="89" spans="1:13" hidden="1">
      <c r="A89" s="94">
        <v>86</v>
      </c>
      <c r="B89" s="95"/>
      <c r="C89" s="96">
        <f t="shared" si="7"/>
        <v>0</v>
      </c>
      <c r="D89" s="96">
        <f t="shared" si="4"/>
        <v>0</v>
      </c>
      <c r="E89" s="97">
        <f t="shared" si="5"/>
        <v>0</v>
      </c>
      <c r="F89" s="63"/>
      <c r="G89" s="104"/>
      <c r="H89" s="104"/>
      <c r="I89" s="102"/>
      <c r="J89" s="92"/>
      <c r="K89" s="92"/>
      <c r="L89" s="92"/>
      <c r="M89" s="92"/>
    </row>
    <row r="90" spans="1:13" hidden="1">
      <c r="A90" s="94">
        <v>87</v>
      </c>
      <c r="B90" s="95"/>
      <c r="C90" s="96">
        <f t="shared" si="7"/>
        <v>0</v>
      </c>
      <c r="D90" s="96">
        <f t="shared" si="4"/>
        <v>0</v>
      </c>
      <c r="E90" s="97">
        <f t="shared" si="5"/>
        <v>0</v>
      </c>
      <c r="F90" s="63"/>
      <c r="G90" s="104"/>
      <c r="H90" s="104"/>
      <c r="I90" s="63"/>
      <c r="J90" s="92"/>
      <c r="K90" s="92"/>
      <c r="L90" s="92"/>
      <c r="M90" s="92"/>
    </row>
    <row r="91" spans="1:13" hidden="1">
      <c r="A91" s="94">
        <v>88</v>
      </c>
      <c r="B91" s="95"/>
      <c r="C91" s="96">
        <f t="shared" si="7"/>
        <v>0</v>
      </c>
      <c r="D91" s="96">
        <f t="shared" si="4"/>
        <v>0</v>
      </c>
      <c r="E91" s="97">
        <f t="shared" si="5"/>
        <v>0</v>
      </c>
      <c r="F91" s="63"/>
      <c r="G91" s="104"/>
      <c r="H91" s="104"/>
      <c r="I91" s="63"/>
      <c r="J91" s="92"/>
      <c r="K91" s="92"/>
      <c r="L91" s="92"/>
      <c r="M91" s="92"/>
    </row>
    <row r="92" spans="1:13" hidden="1">
      <c r="A92" s="94">
        <v>89</v>
      </c>
      <c r="B92" s="95"/>
      <c r="C92" s="96">
        <f t="shared" si="7"/>
        <v>0</v>
      </c>
      <c r="D92" s="96">
        <f t="shared" si="4"/>
        <v>0</v>
      </c>
      <c r="E92" s="97">
        <f t="shared" si="5"/>
        <v>0</v>
      </c>
      <c r="F92" s="63"/>
      <c r="G92" s="104"/>
      <c r="H92" s="104"/>
      <c r="I92" s="63"/>
      <c r="J92" s="92"/>
      <c r="K92" s="92"/>
      <c r="L92" s="92"/>
      <c r="M92" s="92"/>
    </row>
    <row r="93" spans="1:13" hidden="1">
      <c r="A93" s="94">
        <v>90</v>
      </c>
      <c r="B93" s="95"/>
      <c r="C93" s="96">
        <f t="shared" si="7"/>
        <v>0</v>
      </c>
      <c r="D93" s="96">
        <f t="shared" si="4"/>
        <v>0</v>
      </c>
      <c r="E93" s="97">
        <f t="shared" si="5"/>
        <v>0</v>
      </c>
      <c r="F93" s="63"/>
      <c r="G93" s="104"/>
      <c r="H93" s="104"/>
      <c r="I93" s="63"/>
      <c r="J93" s="92"/>
      <c r="K93" s="92"/>
      <c r="L93" s="92"/>
      <c r="M93" s="92"/>
    </row>
    <row r="94" spans="1:13" hidden="1">
      <c r="A94" s="94">
        <v>91</v>
      </c>
      <c r="B94" s="95"/>
      <c r="C94" s="96">
        <f t="shared" si="7"/>
        <v>0</v>
      </c>
      <c r="D94" s="96">
        <f t="shared" si="4"/>
        <v>0</v>
      </c>
      <c r="E94" s="97">
        <f t="shared" si="5"/>
        <v>0</v>
      </c>
      <c r="F94" s="63"/>
      <c r="G94" s="104"/>
      <c r="H94" s="104"/>
      <c r="I94" s="63"/>
      <c r="J94" s="92"/>
      <c r="K94" s="92"/>
      <c r="L94" s="92"/>
      <c r="M94" s="92"/>
    </row>
    <row r="95" spans="1:13" hidden="1">
      <c r="A95" s="94">
        <v>92</v>
      </c>
      <c r="B95" s="95"/>
      <c r="C95" s="96">
        <f t="shared" si="7"/>
        <v>0</v>
      </c>
      <c r="D95" s="96">
        <f t="shared" si="4"/>
        <v>0</v>
      </c>
      <c r="E95" s="97">
        <f t="shared" si="5"/>
        <v>0</v>
      </c>
      <c r="F95" s="63"/>
      <c r="G95" s="104"/>
      <c r="H95" s="104"/>
      <c r="I95" s="63"/>
      <c r="J95" s="92"/>
      <c r="K95" s="92"/>
      <c r="L95" s="92"/>
      <c r="M95" s="92"/>
    </row>
    <row r="96" spans="1:13" hidden="1">
      <c r="A96" s="94">
        <v>93</v>
      </c>
      <c r="B96" s="95"/>
      <c r="C96" s="96">
        <f t="shared" si="7"/>
        <v>0</v>
      </c>
      <c r="D96" s="96">
        <f t="shared" si="4"/>
        <v>0</v>
      </c>
      <c r="E96" s="97">
        <f t="shared" si="5"/>
        <v>0</v>
      </c>
      <c r="F96" s="63"/>
      <c r="G96" s="104"/>
      <c r="H96" s="104"/>
      <c r="I96" s="63"/>
      <c r="J96" s="92"/>
      <c r="K96" s="92"/>
      <c r="L96" s="92"/>
      <c r="M96" s="92"/>
    </row>
    <row r="97" spans="1:13" hidden="1">
      <c r="A97" s="94">
        <v>94</v>
      </c>
      <c r="B97" s="95"/>
      <c r="C97" s="96">
        <f t="shared" si="7"/>
        <v>0</v>
      </c>
      <c r="D97" s="96">
        <f t="shared" si="4"/>
        <v>0</v>
      </c>
      <c r="E97" s="97">
        <f t="shared" si="5"/>
        <v>0</v>
      </c>
      <c r="F97" s="63"/>
      <c r="G97" s="104"/>
      <c r="H97" s="104"/>
      <c r="I97" s="63"/>
      <c r="J97" s="92"/>
      <c r="K97" s="92"/>
      <c r="L97" s="92"/>
      <c r="M97" s="92"/>
    </row>
    <row r="98" spans="1:13" hidden="1">
      <c r="A98" s="94">
        <v>95</v>
      </c>
      <c r="B98" s="95"/>
      <c r="C98" s="96">
        <f t="shared" si="7"/>
        <v>0</v>
      </c>
      <c r="D98" s="96">
        <f t="shared" si="4"/>
        <v>0</v>
      </c>
      <c r="E98" s="97">
        <f t="shared" si="5"/>
        <v>0</v>
      </c>
      <c r="F98" s="63"/>
      <c r="G98" s="104"/>
      <c r="H98" s="104"/>
      <c r="I98" s="63"/>
      <c r="J98" s="92"/>
      <c r="K98" s="92"/>
      <c r="L98" s="92"/>
      <c r="M98" s="92"/>
    </row>
    <row r="99" spans="1:13" hidden="1">
      <c r="A99" s="94">
        <v>96</v>
      </c>
      <c r="B99" s="95"/>
      <c r="C99" s="96">
        <f t="shared" si="7"/>
        <v>0</v>
      </c>
      <c r="D99" s="96">
        <f t="shared" si="4"/>
        <v>0</v>
      </c>
      <c r="E99" s="97">
        <f t="shared" si="5"/>
        <v>0</v>
      </c>
      <c r="F99" s="63"/>
      <c r="G99" s="104"/>
      <c r="H99" s="104"/>
      <c r="I99" s="63"/>
      <c r="J99" s="92"/>
      <c r="K99" s="92"/>
      <c r="L99" s="92"/>
      <c r="M99" s="92"/>
    </row>
    <row r="100" spans="1:13" hidden="1">
      <c r="A100" s="94">
        <v>97</v>
      </c>
      <c r="B100" s="95"/>
      <c r="C100" s="96">
        <f t="shared" ref="C100:C129" si="8">SUMIFS(tballsa,tballnk,B100)</f>
        <v>0</v>
      </c>
      <c r="D100" s="96">
        <f t="shared" si="4"/>
        <v>0</v>
      </c>
      <c r="E100" s="97">
        <f t="shared" si="5"/>
        <v>0</v>
      </c>
      <c r="F100" s="63"/>
      <c r="G100" s="104"/>
      <c r="H100" s="104"/>
      <c r="I100" s="63"/>
      <c r="J100" s="92"/>
      <c r="K100" s="92"/>
      <c r="L100" s="92"/>
      <c r="M100" s="92"/>
    </row>
    <row r="101" spans="1:13" hidden="1">
      <c r="A101" s="94">
        <v>98</v>
      </c>
      <c r="B101" s="95"/>
      <c r="C101" s="96">
        <f t="shared" si="8"/>
        <v>0</v>
      </c>
      <c r="D101" s="96">
        <f t="shared" si="4"/>
        <v>0</v>
      </c>
      <c r="E101" s="97">
        <f t="shared" si="5"/>
        <v>0</v>
      </c>
      <c r="F101" s="63"/>
      <c r="G101" s="104"/>
      <c r="H101" s="104"/>
      <c r="I101" s="63"/>
      <c r="J101" s="92"/>
      <c r="K101" s="92"/>
      <c r="L101" s="92"/>
      <c r="M101" s="92"/>
    </row>
    <row r="102" spans="1:13" hidden="1">
      <c r="A102" s="94">
        <v>99</v>
      </c>
      <c r="B102" s="95"/>
      <c r="C102" s="96">
        <f t="shared" si="8"/>
        <v>0</v>
      </c>
      <c r="D102" s="96">
        <f t="shared" si="4"/>
        <v>0</v>
      </c>
      <c r="E102" s="97">
        <f t="shared" si="5"/>
        <v>0</v>
      </c>
      <c r="F102" s="63"/>
      <c r="G102" s="104"/>
      <c r="H102" s="104"/>
      <c r="I102" s="63"/>
      <c r="J102" s="92"/>
      <c r="K102" s="92"/>
      <c r="L102" s="92"/>
      <c r="M102" s="92"/>
    </row>
    <row r="103" spans="1:13" hidden="1">
      <c r="A103" s="94">
        <v>100</v>
      </c>
      <c r="B103" s="95"/>
      <c r="C103" s="96">
        <f t="shared" si="8"/>
        <v>0</v>
      </c>
      <c r="D103" s="96">
        <f t="shared" si="4"/>
        <v>0</v>
      </c>
      <c r="E103" s="97">
        <f t="shared" si="5"/>
        <v>0</v>
      </c>
      <c r="F103" s="63"/>
      <c r="G103" s="104"/>
      <c r="H103" s="104"/>
      <c r="I103" s="63"/>
      <c r="J103" s="92"/>
      <c r="K103" s="92"/>
      <c r="L103" s="92"/>
      <c r="M103" s="92"/>
    </row>
    <row r="104" spans="1:13" hidden="1">
      <c r="A104" s="94">
        <v>101</v>
      </c>
      <c r="B104" s="95"/>
      <c r="C104" s="96">
        <f t="shared" si="8"/>
        <v>0</v>
      </c>
      <c r="D104" s="96">
        <f t="shared" si="4"/>
        <v>0</v>
      </c>
      <c r="E104" s="97">
        <f t="shared" si="5"/>
        <v>0</v>
      </c>
      <c r="F104" s="63"/>
      <c r="G104" s="104"/>
      <c r="H104" s="104"/>
      <c r="I104" s="63"/>
      <c r="J104" s="92"/>
      <c r="K104" s="92"/>
      <c r="L104" s="92"/>
      <c r="M104" s="92"/>
    </row>
    <row r="105" spans="1:13" hidden="1">
      <c r="A105" s="94">
        <v>102</v>
      </c>
      <c r="B105" s="95"/>
      <c r="C105" s="96">
        <f t="shared" si="8"/>
        <v>0</v>
      </c>
      <c r="D105" s="96">
        <f t="shared" si="4"/>
        <v>0</v>
      </c>
      <c r="E105" s="97">
        <f t="shared" si="5"/>
        <v>0</v>
      </c>
      <c r="F105" s="63"/>
      <c r="G105" s="104"/>
      <c r="H105" s="104"/>
      <c r="I105" s="63"/>
      <c r="J105" s="92"/>
      <c r="K105" s="92"/>
      <c r="L105" s="92"/>
      <c r="M105" s="92"/>
    </row>
    <row r="106" spans="1:13" hidden="1">
      <c r="A106" s="94">
        <v>103</v>
      </c>
      <c r="B106" s="95"/>
      <c r="C106" s="96">
        <f t="shared" si="8"/>
        <v>0</v>
      </c>
      <c r="D106" s="96">
        <f t="shared" si="4"/>
        <v>0</v>
      </c>
      <c r="E106" s="97">
        <f t="shared" si="5"/>
        <v>0</v>
      </c>
      <c r="F106" s="63"/>
      <c r="G106" s="104"/>
      <c r="H106" s="104"/>
      <c r="I106" s="63"/>
      <c r="J106" s="92"/>
      <c r="K106" s="92"/>
      <c r="L106" s="92"/>
      <c r="M106" s="92"/>
    </row>
    <row r="107" spans="1:13" hidden="1">
      <c r="A107" s="94">
        <v>104</v>
      </c>
      <c r="B107" s="95"/>
      <c r="C107" s="96">
        <f t="shared" si="8"/>
        <v>0</v>
      </c>
      <c r="D107" s="96">
        <f t="shared" si="4"/>
        <v>0</v>
      </c>
      <c r="E107" s="97">
        <f t="shared" si="5"/>
        <v>0</v>
      </c>
      <c r="F107" s="63"/>
      <c r="G107" s="104"/>
      <c r="H107" s="104"/>
      <c r="I107" s="63"/>
      <c r="J107" s="92"/>
      <c r="K107" s="92"/>
      <c r="L107" s="92"/>
      <c r="M107" s="92"/>
    </row>
    <row r="108" spans="1:13" hidden="1">
      <c r="A108" s="94">
        <v>105</v>
      </c>
      <c r="B108" s="95"/>
      <c r="C108" s="96">
        <f t="shared" si="8"/>
        <v>0</v>
      </c>
      <c r="D108" s="96">
        <f t="shared" si="4"/>
        <v>0</v>
      </c>
      <c r="E108" s="97">
        <f t="shared" si="5"/>
        <v>0</v>
      </c>
      <c r="F108" s="63"/>
      <c r="G108" s="104"/>
      <c r="H108" s="104"/>
      <c r="I108" s="63"/>
      <c r="J108" s="92"/>
      <c r="K108" s="92"/>
      <c r="L108" s="92"/>
      <c r="M108" s="92"/>
    </row>
    <row r="109" spans="1:13" hidden="1">
      <c r="A109" s="94">
        <v>106</v>
      </c>
      <c r="B109" s="95"/>
      <c r="C109" s="96">
        <f t="shared" si="8"/>
        <v>0</v>
      </c>
      <c r="D109" s="96">
        <f t="shared" ref="D109:D152" si="9">C109</f>
        <v>0</v>
      </c>
      <c r="E109" s="97">
        <f t="shared" si="5"/>
        <v>0</v>
      </c>
      <c r="F109" s="63"/>
      <c r="G109" s="104"/>
      <c r="H109" s="104"/>
      <c r="I109" s="63"/>
      <c r="J109" s="92"/>
      <c r="K109" s="92"/>
      <c r="L109" s="92"/>
      <c r="M109" s="92"/>
    </row>
    <row r="110" spans="1:13" hidden="1">
      <c r="A110" s="94">
        <v>107</v>
      </c>
      <c r="B110" s="95"/>
      <c r="C110" s="96">
        <f t="shared" si="8"/>
        <v>0</v>
      </c>
      <c r="D110" s="96">
        <f t="shared" si="9"/>
        <v>0</v>
      </c>
      <c r="E110" s="97">
        <f t="shared" si="5"/>
        <v>0</v>
      </c>
      <c r="F110" s="63"/>
      <c r="G110" s="104"/>
      <c r="H110" s="104"/>
      <c r="I110" s="63"/>
      <c r="J110" s="92"/>
      <c r="K110" s="92"/>
      <c r="L110" s="92"/>
      <c r="M110" s="92"/>
    </row>
    <row r="111" spans="1:13" hidden="1">
      <c r="A111" s="94">
        <v>108</v>
      </c>
      <c r="B111" s="95"/>
      <c r="C111" s="96">
        <f t="shared" si="8"/>
        <v>0</v>
      </c>
      <c r="D111" s="96">
        <f t="shared" si="9"/>
        <v>0</v>
      </c>
      <c r="E111" s="97">
        <f t="shared" si="5"/>
        <v>0</v>
      </c>
      <c r="F111" s="63"/>
      <c r="G111" s="104"/>
      <c r="H111" s="104"/>
      <c r="I111" s="63"/>
      <c r="J111" s="92"/>
      <c r="K111" s="92"/>
      <c r="L111" s="92"/>
      <c r="M111" s="92"/>
    </row>
    <row r="112" spans="1:13" hidden="1">
      <c r="A112" s="94">
        <v>109</v>
      </c>
      <c r="B112" s="95"/>
      <c r="C112" s="96">
        <f t="shared" si="8"/>
        <v>0</v>
      </c>
      <c r="D112" s="96">
        <f t="shared" si="9"/>
        <v>0</v>
      </c>
      <c r="E112" s="97">
        <f t="shared" si="5"/>
        <v>0</v>
      </c>
      <c r="F112" s="63"/>
      <c r="G112" s="104"/>
      <c r="H112" s="104"/>
      <c r="I112" s="102"/>
      <c r="J112" s="92"/>
      <c r="K112" s="92"/>
      <c r="L112" s="92"/>
      <c r="M112" s="92"/>
    </row>
    <row r="113" spans="1:13" hidden="1">
      <c r="A113" s="94">
        <v>110</v>
      </c>
      <c r="B113" s="95"/>
      <c r="C113" s="96">
        <f t="shared" si="8"/>
        <v>0</v>
      </c>
      <c r="D113" s="96">
        <f t="shared" si="9"/>
        <v>0</v>
      </c>
      <c r="E113" s="97">
        <f t="shared" si="5"/>
        <v>0</v>
      </c>
      <c r="F113" s="63"/>
      <c r="G113" s="104"/>
      <c r="H113" s="104"/>
      <c r="I113" s="102"/>
      <c r="J113" s="92"/>
      <c r="K113" s="92"/>
      <c r="L113" s="92"/>
      <c r="M113" s="92"/>
    </row>
    <row r="114" spans="1:13" hidden="1">
      <c r="A114" s="94">
        <v>111</v>
      </c>
      <c r="B114" s="95"/>
      <c r="C114" s="96">
        <f t="shared" si="8"/>
        <v>0</v>
      </c>
      <c r="D114" s="96">
        <f t="shared" si="9"/>
        <v>0</v>
      </c>
      <c r="E114" s="97">
        <f t="shared" si="5"/>
        <v>0</v>
      </c>
      <c r="F114" s="63"/>
      <c r="G114" s="104"/>
      <c r="H114" s="104"/>
      <c r="I114" s="63"/>
      <c r="J114" s="92"/>
      <c r="K114" s="92"/>
      <c r="L114" s="92"/>
      <c r="M114" s="92"/>
    </row>
    <row r="115" spans="1:13" hidden="1">
      <c r="A115" s="94">
        <v>112</v>
      </c>
      <c r="B115" s="95"/>
      <c r="C115" s="96">
        <f t="shared" si="8"/>
        <v>0</v>
      </c>
      <c r="D115" s="96">
        <f t="shared" si="9"/>
        <v>0</v>
      </c>
      <c r="E115" s="97">
        <f t="shared" si="5"/>
        <v>0</v>
      </c>
      <c r="F115" s="63"/>
      <c r="G115" s="104"/>
      <c r="H115" s="104"/>
      <c r="I115" s="63"/>
      <c r="J115" s="92"/>
      <c r="K115" s="92"/>
      <c r="L115" s="92"/>
      <c r="M115" s="92"/>
    </row>
    <row r="116" spans="1:13" hidden="1">
      <c r="A116" s="94">
        <v>113</v>
      </c>
      <c r="B116" s="95"/>
      <c r="C116" s="96">
        <f t="shared" si="8"/>
        <v>0</v>
      </c>
      <c r="D116" s="96">
        <f t="shared" si="9"/>
        <v>0</v>
      </c>
      <c r="E116" s="97">
        <f t="shared" si="5"/>
        <v>0</v>
      </c>
      <c r="F116" s="63"/>
      <c r="G116" s="104"/>
      <c r="H116" s="104"/>
      <c r="I116" s="63"/>
      <c r="J116" s="92"/>
      <c r="K116" s="92"/>
      <c r="L116" s="92"/>
      <c r="M116" s="92"/>
    </row>
    <row r="117" spans="1:13" hidden="1">
      <c r="A117" s="94">
        <v>114</v>
      </c>
      <c r="B117" s="95"/>
      <c r="C117" s="96">
        <f t="shared" si="8"/>
        <v>0</v>
      </c>
      <c r="D117" s="96">
        <f t="shared" si="9"/>
        <v>0</v>
      </c>
      <c r="E117" s="97">
        <f t="shared" si="5"/>
        <v>0</v>
      </c>
      <c r="F117" s="63"/>
      <c r="G117" s="104"/>
      <c r="H117" s="104"/>
      <c r="I117" s="63"/>
      <c r="J117" s="92"/>
      <c r="K117" s="92"/>
      <c r="L117" s="92"/>
      <c r="M117" s="92"/>
    </row>
    <row r="118" spans="1:13" hidden="1">
      <c r="A118" s="94">
        <v>115</v>
      </c>
      <c r="B118" s="95"/>
      <c r="C118" s="96">
        <f t="shared" si="8"/>
        <v>0</v>
      </c>
      <c r="D118" s="96">
        <f t="shared" si="9"/>
        <v>0</v>
      </c>
      <c r="E118" s="97">
        <f t="shared" si="5"/>
        <v>0</v>
      </c>
      <c r="F118" s="63"/>
      <c r="G118" s="104"/>
      <c r="H118" s="104"/>
      <c r="I118" s="63"/>
      <c r="J118" s="92"/>
      <c r="K118" s="92"/>
      <c r="L118" s="92"/>
      <c r="M118" s="92"/>
    </row>
    <row r="119" spans="1:13" hidden="1">
      <c r="A119" s="94">
        <v>116</v>
      </c>
      <c r="B119" s="95"/>
      <c r="C119" s="96">
        <f t="shared" si="8"/>
        <v>0</v>
      </c>
      <c r="D119" s="96">
        <f t="shared" si="9"/>
        <v>0</v>
      </c>
      <c r="E119" s="97">
        <f t="shared" si="5"/>
        <v>0</v>
      </c>
      <c r="F119" s="63"/>
      <c r="G119" s="104"/>
      <c r="H119" s="104"/>
      <c r="I119" s="63"/>
      <c r="J119" s="92"/>
      <c r="K119" s="92"/>
      <c r="L119" s="92"/>
      <c r="M119" s="92"/>
    </row>
    <row r="120" spans="1:13" hidden="1">
      <c r="A120" s="94">
        <v>117</v>
      </c>
      <c r="B120" s="95"/>
      <c r="C120" s="96">
        <f t="shared" si="8"/>
        <v>0</v>
      </c>
      <c r="D120" s="96">
        <f t="shared" si="9"/>
        <v>0</v>
      </c>
      <c r="E120" s="97">
        <f t="shared" si="5"/>
        <v>0</v>
      </c>
      <c r="F120" s="63"/>
      <c r="G120" s="104"/>
      <c r="H120" s="104"/>
      <c r="I120" s="63"/>
      <c r="J120" s="92"/>
      <c r="K120" s="92"/>
      <c r="L120" s="92"/>
      <c r="M120" s="92"/>
    </row>
    <row r="121" spans="1:13" hidden="1">
      <c r="A121" s="94">
        <v>118</v>
      </c>
      <c r="B121" s="95"/>
      <c r="C121" s="96">
        <f t="shared" si="8"/>
        <v>0</v>
      </c>
      <c r="D121" s="96">
        <f t="shared" si="9"/>
        <v>0</v>
      </c>
      <c r="E121" s="97">
        <f t="shared" si="5"/>
        <v>0</v>
      </c>
      <c r="F121" s="63"/>
      <c r="G121" s="104"/>
      <c r="H121" s="104"/>
      <c r="I121" s="63"/>
      <c r="J121" s="92"/>
      <c r="K121" s="92"/>
      <c r="L121" s="92"/>
      <c r="M121" s="92"/>
    </row>
    <row r="122" spans="1:13" hidden="1">
      <c r="A122" s="94">
        <v>119</v>
      </c>
      <c r="B122" s="95"/>
      <c r="C122" s="96">
        <f t="shared" si="8"/>
        <v>0</v>
      </c>
      <c r="D122" s="96">
        <f t="shared" si="9"/>
        <v>0</v>
      </c>
      <c r="E122" s="97">
        <f t="shared" si="5"/>
        <v>0</v>
      </c>
      <c r="F122" s="63"/>
      <c r="G122" s="104"/>
      <c r="H122" s="104"/>
      <c r="I122" s="63"/>
      <c r="J122" s="92"/>
      <c r="K122" s="92"/>
      <c r="L122" s="92"/>
      <c r="M122" s="92"/>
    </row>
    <row r="123" spans="1:13" hidden="1">
      <c r="A123" s="94">
        <v>120</v>
      </c>
      <c r="B123" s="95"/>
      <c r="C123" s="96">
        <f t="shared" si="8"/>
        <v>0</v>
      </c>
      <c r="D123" s="96">
        <f t="shared" si="9"/>
        <v>0</v>
      </c>
      <c r="E123" s="97">
        <f t="shared" si="5"/>
        <v>0</v>
      </c>
      <c r="F123" s="63"/>
      <c r="G123" s="104"/>
      <c r="H123" s="104"/>
      <c r="I123" s="63"/>
      <c r="J123" s="92"/>
      <c r="K123" s="92"/>
      <c r="L123" s="92"/>
      <c r="M123" s="92"/>
    </row>
    <row r="124" spans="1:13" hidden="1">
      <c r="A124" s="94">
        <v>121</v>
      </c>
      <c r="B124" s="95"/>
      <c r="C124" s="96">
        <f t="shared" si="8"/>
        <v>0</v>
      </c>
      <c r="D124" s="96">
        <f t="shared" si="9"/>
        <v>0</v>
      </c>
      <c r="E124" s="97">
        <f t="shared" si="5"/>
        <v>0</v>
      </c>
      <c r="F124" s="63"/>
      <c r="G124" s="104"/>
      <c r="H124" s="104"/>
      <c r="I124" s="63"/>
      <c r="J124" s="92"/>
      <c r="K124" s="92"/>
      <c r="L124" s="92"/>
      <c r="M124" s="92"/>
    </row>
    <row r="125" spans="1:13" hidden="1">
      <c r="A125" s="94">
        <v>122</v>
      </c>
      <c r="B125" s="95"/>
      <c r="C125" s="96">
        <f t="shared" si="8"/>
        <v>0</v>
      </c>
      <c r="D125" s="96">
        <f t="shared" si="9"/>
        <v>0</v>
      </c>
      <c r="E125" s="97">
        <f t="shared" si="5"/>
        <v>0</v>
      </c>
      <c r="F125" s="63"/>
      <c r="G125" s="104"/>
      <c r="H125" s="104"/>
      <c r="I125" s="63"/>
      <c r="J125" s="92"/>
      <c r="K125" s="92"/>
      <c r="L125" s="92"/>
      <c r="M125" s="92"/>
    </row>
    <row r="126" spans="1:13" hidden="1">
      <c r="A126" s="94">
        <v>123</v>
      </c>
      <c r="B126" s="95"/>
      <c r="C126" s="96">
        <f t="shared" si="8"/>
        <v>0</v>
      </c>
      <c r="D126" s="96">
        <f t="shared" si="9"/>
        <v>0</v>
      </c>
      <c r="E126" s="97">
        <f t="shared" si="5"/>
        <v>0</v>
      </c>
      <c r="F126" s="63"/>
      <c r="G126" s="104"/>
      <c r="H126" s="104"/>
      <c r="I126" s="63"/>
      <c r="J126" s="92"/>
      <c r="K126" s="92"/>
      <c r="L126" s="92"/>
      <c r="M126" s="92"/>
    </row>
    <row r="127" spans="1:13" hidden="1">
      <c r="A127" s="94">
        <v>124</v>
      </c>
      <c r="B127" s="95"/>
      <c r="C127" s="96">
        <f t="shared" si="8"/>
        <v>0</v>
      </c>
      <c r="D127" s="96">
        <f t="shared" si="9"/>
        <v>0</v>
      </c>
      <c r="E127" s="97">
        <f t="shared" si="5"/>
        <v>0</v>
      </c>
      <c r="F127" s="63"/>
      <c r="G127" s="104"/>
      <c r="H127" s="104"/>
      <c r="I127" s="63"/>
      <c r="J127" s="92"/>
      <c r="K127" s="92"/>
      <c r="L127" s="92"/>
      <c r="M127" s="92"/>
    </row>
    <row r="128" spans="1:13" hidden="1">
      <c r="A128" s="94">
        <v>125</v>
      </c>
      <c r="B128" s="95"/>
      <c r="C128" s="96">
        <f t="shared" si="8"/>
        <v>0</v>
      </c>
      <c r="D128" s="96">
        <f t="shared" si="9"/>
        <v>0</v>
      </c>
      <c r="E128" s="97">
        <f t="shared" si="5"/>
        <v>0</v>
      </c>
      <c r="F128" s="63"/>
      <c r="G128" s="104"/>
      <c r="H128" s="104"/>
      <c r="I128" s="63"/>
      <c r="J128" s="92"/>
      <c r="K128" s="92"/>
      <c r="L128" s="92"/>
      <c r="M128" s="92"/>
    </row>
    <row r="129" spans="1:13" hidden="1">
      <c r="A129" s="94">
        <v>126</v>
      </c>
      <c r="B129" s="95"/>
      <c r="C129" s="96">
        <f t="shared" si="8"/>
        <v>0</v>
      </c>
      <c r="D129" s="96">
        <f>C129</f>
        <v>0</v>
      </c>
      <c r="E129" s="97">
        <f t="shared" si="5"/>
        <v>0</v>
      </c>
      <c r="F129" s="63"/>
      <c r="G129" s="104"/>
      <c r="H129" s="104"/>
      <c r="I129" s="63"/>
      <c r="J129" s="92"/>
      <c r="K129" s="92"/>
      <c r="L129" s="92"/>
      <c r="M129" s="92"/>
    </row>
    <row r="130" spans="1:13" hidden="1">
      <c r="A130" s="94">
        <v>127</v>
      </c>
      <c r="B130" s="89"/>
      <c r="C130" s="96"/>
      <c r="D130" s="96"/>
      <c r="E130" s="97">
        <f t="shared" si="5"/>
        <v>0</v>
      </c>
      <c r="F130" s="63"/>
      <c r="G130" s="104"/>
      <c r="H130" s="104"/>
      <c r="I130" s="63"/>
      <c r="J130" s="92"/>
      <c r="K130" s="92"/>
      <c r="L130" s="92"/>
      <c r="M130" s="92"/>
    </row>
    <row r="131" spans="1:13" hidden="1">
      <c r="A131" s="94">
        <v>128</v>
      </c>
      <c r="B131" s="89"/>
      <c r="C131" s="96"/>
      <c r="D131" s="96"/>
      <c r="E131" s="97">
        <f t="shared" si="5"/>
        <v>0</v>
      </c>
      <c r="F131" s="63"/>
      <c r="G131" s="104"/>
      <c r="H131" s="104"/>
      <c r="I131" s="63"/>
      <c r="J131" s="92"/>
      <c r="K131" s="92"/>
      <c r="L131" s="92"/>
      <c r="M131" s="92"/>
    </row>
    <row r="132" spans="1:13" hidden="1">
      <c r="A132" s="94">
        <v>129</v>
      </c>
      <c r="B132" s="89"/>
      <c r="C132" s="96"/>
      <c r="D132" s="96"/>
      <c r="E132" s="97">
        <f t="shared" ref="E132:E195" si="10">C132-D132</f>
        <v>0</v>
      </c>
      <c r="F132" s="63"/>
      <c r="G132" s="104"/>
      <c r="H132" s="104"/>
      <c r="I132" s="63"/>
      <c r="J132" s="92"/>
      <c r="K132" s="92"/>
      <c r="L132" s="92"/>
      <c r="M132" s="92"/>
    </row>
    <row r="133" spans="1:13" hidden="1">
      <c r="A133" s="94">
        <v>130</v>
      </c>
      <c r="B133" s="89"/>
      <c r="C133" s="96"/>
      <c r="D133" s="96"/>
      <c r="E133" s="97">
        <f t="shared" si="10"/>
        <v>0</v>
      </c>
      <c r="F133" s="63"/>
      <c r="G133" s="104"/>
      <c r="H133" s="104"/>
      <c r="I133" s="63"/>
      <c r="J133" s="92"/>
      <c r="K133" s="92"/>
      <c r="L133" s="92"/>
      <c r="M133" s="92"/>
    </row>
    <row r="134" spans="1:13" hidden="1">
      <c r="A134" s="94">
        <v>131</v>
      </c>
      <c r="B134" s="89"/>
      <c r="C134" s="96"/>
      <c r="D134" s="96"/>
      <c r="E134" s="97">
        <f t="shared" si="10"/>
        <v>0</v>
      </c>
      <c r="F134" s="63"/>
      <c r="G134" s="104"/>
      <c r="H134" s="104"/>
      <c r="I134" s="63"/>
      <c r="J134" s="92"/>
      <c r="K134" s="92"/>
      <c r="L134" s="92"/>
      <c r="M134" s="92"/>
    </row>
    <row r="135" spans="1:13" hidden="1">
      <c r="A135" s="94">
        <v>132</v>
      </c>
      <c r="B135" s="89"/>
      <c r="C135" s="96"/>
      <c r="D135" s="96"/>
      <c r="E135" s="97">
        <f t="shared" si="10"/>
        <v>0</v>
      </c>
      <c r="F135" s="63"/>
      <c r="G135" s="104"/>
      <c r="H135" s="104"/>
      <c r="I135" s="63"/>
      <c r="J135" s="92"/>
      <c r="K135" s="92"/>
      <c r="L135" s="92"/>
      <c r="M135" s="92"/>
    </row>
    <row r="136" spans="1:13" hidden="1">
      <c r="A136" s="94">
        <v>133</v>
      </c>
      <c r="B136" s="89"/>
      <c r="C136" s="96"/>
      <c r="D136" s="96"/>
      <c r="E136" s="97">
        <f t="shared" si="10"/>
        <v>0</v>
      </c>
      <c r="F136" s="63"/>
      <c r="G136" s="104"/>
      <c r="H136" s="104"/>
      <c r="I136" s="63"/>
      <c r="J136" s="92"/>
      <c r="K136" s="92"/>
      <c r="L136" s="92"/>
      <c r="M136" s="92"/>
    </row>
    <row r="137" spans="1:13" hidden="1">
      <c r="A137" s="94">
        <v>134</v>
      </c>
      <c r="B137" s="89"/>
      <c r="C137" s="96"/>
      <c r="D137" s="96"/>
      <c r="E137" s="97">
        <f t="shared" si="10"/>
        <v>0</v>
      </c>
      <c r="F137" s="63"/>
      <c r="G137" s="104"/>
      <c r="H137" s="104"/>
      <c r="I137" s="63"/>
      <c r="J137" s="92"/>
      <c r="K137" s="92"/>
      <c r="L137" s="92"/>
      <c r="M137" s="92"/>
    </row>
    <row r="138" spans="1:13" hidden="1">
      <c r="A138" s="94">
        <v>135</v>
      </c>
      <c r="B138" s="89"/>
      <c r="C138" s="105"/>
      <c r="D138" s="96"/>
      <c r="E138" s="97">
        <f t="shared" si="10"/>
        <v>0</v>
      </c>
      <c r="F138" s="63"/>
      <c r="G138" s="104"/>
      <c r="H138" s="104"/>
      <c r="I138" s="63"/>
      <c r="J138" s="92"/>
      <c r="K138" s="92"/>
      <c r="L138" s="92"/>
      <c r="M138" s="92"/>
    </row>
    <row r="139" spans="1:13" hidden="1">
      <c r="A139" s="94">
        <v>136</v>
      </c>
      <c r="B139" s="89"/>
      <c r="C139" s="96"/>
      <c r="D139" s="96"/>
      <c r="E139" s="97">
        <f t="shared" si="10"/>
        <v>0</v>
      </c>
      <c r="F139" s="63"/>
      <c r="G139" s="104"/>
      <c r="H139" s="104"/>
      <c r="I139" s="63"/>
      <c r="J139" s="92"/>
      <c r="K139" s="92"/>
      <c r="L139" s="92"/>
      <c r="M139" s="92"/>
    </row>
    <row r="140" spans="1:13" hidden="1">
      <c r="A140" s="94">
        <v>137</v>
      </c>
      <c r="B140" s="89"/>
      <c r="C140" s="96"/>
      <c r="D140" s="96"/>
      <c r="E140" s="97">
        <f t="shared" si="10"/>
        <v>0</v>
      </c>
      <c r="F140" s="63"/>
      <c r="G140" s="104"/>
      <c r="H140" s="104"/>
      <c r="I140" s="63"/>
      <c r="J140" s="92"/>
      <c r="K140" s="92"/>
      <c r="L140" s="92"/>
      <c r="M140" s="92"/>
    </row>
    <row r="141" spans="1:13" hidden="1">
      <c r="A141" s="94">
        <v>138</v>
      </c>
      <c r="B141" s="89"/>
      <c r="C141" s="96"/>
      <c r="D141" s="96"/>
      <c r="E141" s="97">
        <f t="shared" si="10"/>
        <v>0</v>
      </c>
      <c r="F141" s="63"/>
      <c r="G141" s="104"/>
      <c r="H141" s="104"/>
      <c r="I141" s="63"/>
      <c r="J141" s="92"/>
      <c r="K141" s="92"/>
      <c r="L141" s="92"/>
      <c r="M141" s="92"/>
    </row>
    <row r="142" spans="1:13" hidden="1">
      <c r="A142" s="94">
        <v>139</v>
      </c>
      <c r="B142" s="89"/>
      <c r="C142" s="96"/>
      <c r="D142" s="96"/>
      <c r="E142" s="97">
        <f t="shared" si="10"/>
        <v>0</v>
      </c>
      <c r="F142" s="63"/>
      <c r="G142" s="104"/>
      <c r="H142" s="104"/>
      <c r="I142" s="63"/>
      <c r="J142" s="92"/>
      <c r="K142" s="92"/>
      <c r="L142" s="92"/>
      <c r="M142" s="92"/>
    </row>
    <row r="143" spans="1:13" hidden="1">
      <c r="A143" s="94">
        <v>140</v>
      </c>
      <c r="B143" s="89"/>
      <c r="C143" s="96"/>
      <c r="D143" s="96"/>
      <c r="E143" s="97">
        <f t="shared" si="10"/>
        <v>0</v>
      </c>
      <c r="F143" s="63"/>
      <c r="G143" s="104"/>
      <c r="H143" s="104"/>
      <c r="I143" s="63"/>
      <c r="J143" s="92"/>
      <c r="K143" s="92"/>
      <c r="L143" s="92"/>
      <c r="M143" s="92"/>
    </row>
    <row r="144" spans="1:13" hidden="1">
      <c r="A144" s="94">
        <v>141</v>
      </c>
      <c r="B144" s="89"/>
      <c r="C144" s="96"/>
      <c r="D144" s="96"/>
      <c r="E144" s="97">
        <f t="shared" si="10"/>
        <v>0</v>
      </c>
      <c r="F144" s="63"/>
      <c r="G144" s="104"/>
      <c r="H144" s="104"/>
      <c r="I144" s="63"/>
      <c r="J144" s="92"/>
      <c r="K144" s="92"/>
      <c r="L144" s="92"/>
      <c r="M144" s="92"/>
    </row>
    <row r="145" spans="1:13" hidden="1">
      <c r="A145" s="94">
        <v>142</v>
      </c>
      <c r="B145" s="89"/>
      <c r="C145" s="96"/>
      <c r="D145" s="96"/>
      <c r="E145" s="97">
        <f t="shared" si="10"/>
        <v>0</v>
      </c>
      <c r="F145" s="63"/>
      <c r="G145" s="104"/>
      <c r="H145" s="104"/>
      <c r="I145" s="63"/>
      <c r="J145" s="92"/>
      <c r="K145" s="92"/>
      <c r="L145" s="92"/>
      <c r="M145" s="92"/>
    </row>
    <row r="146" spans="1:13" hidden="1">
      <c r="A146" s="94">
        <v>143</v>
      </c>
      <c r="B146" s="89"/>
      <c r="C146" s="96"/>
      <c r="D146" s="96"/>
      <c r="E146" s="97">
        <f t="shared" si="10"/>
        <v>0</v>
      </c>
      <c r="F146" s="63"/>
      <c r="G146" s="104"/>
      <c r="H146" s="104"/>
      <c r="I146" s="63"/>
      <c r="J146" s="92"/>
      <c r="K146" s="92"/>
      <c r="L146" s="92"/>
      <c r="M146" s="92"/>
    </row>
    <row r="147" spans="1:13" hidden="1">
      <c r="A147" s="94">
        <v>144</v>
      </c>
      <c r="B147" s="89"/>
      <c r="C147" s="96"/>
      <c r="D147" s="96"/>
      <c r="E147" s="97">
        <f t="shared" si="10"/>
        <v>0</v>
      </c>
      <c r="F147" s="63"/>
      <c r="G147" s="104"/>
      <c r="H147" s="104"/>
      <c r="I147" s="63"/>
      <c r="J147" s="92"/>
      <c r="K147" s="92"/>
      <c r="L147" s="92"/>
      <c r="M147" s="92"/>
    </row>
    <row r="148" spans="1:13" hidden="1">
      <c r="A148" s="94">
        <v>145</v>
      </c>
      <c r="B148" s="89"/>
      <c r="C148" s="96"/>
      <c r="D148" s="96"/>
      <c r="E148" s="97">
        <f t="shared" si="10"/>
        <v>0</v>
      </c>
      <c r="F148" s="63"/>
      <c r="G148" s="104"/>
      <c r="H148" s="104"/>
      <c r="I148" s="63"/>
      <c r="J148" s="92"/>
      <c r="K148" s="92"/>
      <c r="L148" s="92"/>
      <c r="M148" s="92"/>
    </row>
    <row r="149" spans="1:13" hidden="1">
      <c r="A149" s="94">
        <v>146</v>
      </c>
      <c r="B149" s="89"/>
      <c r="C149" s="96"/>
      <c r="D149" s="96"/>
      <c r="E149" s="97">
        <f t="shared" si="10"/>
        <v>0</v>
      </c>
      <c r="F149" s="63"/>
      <c r="G149" s="104"/>
      <c r="H149" s="104"/>
      <c r="I149" s="63"/>
      <c r="J149" s="92"/>
      <c r="K149" s="92"/>
      <c r="L149" s="92"/>
      <c r="M149" s="92"/>
    </row>
    <row r="150" spans="1:13" hidden="1">
      <c r="A150" s="94">
        <v>147</v>
      </c>
      <c r="B150" s="89"/>
      <c r="C150" s="96"/>
      <c r="D150" s="96"/>
      <c r="E150" s="97">
        <f t="shared" si="10"/>
        <v>0</v>
      </c>
      <c r="F150" s="63"/>
      <c r="G150" s="104"/>
      <c r="H150" s="104"/>
      <c r="I150" s="63"/>
      <c r="J150" s="92"/>
      <c r="K150" s="92"/>
      <c r="L150" s="92"/>
      <c r="M150" s="92"/>
    </row>
    <row r="151" spans="1:13" hidden="1">
      <c r="A151" s="94">
        <v>148</v>
      </c>
      <c r="B151" s="89"/>
      <c r="C151" s="96"/>
      <c r="D151" s="96"/>
      <c r="E151" s="97">
        <f t="shared" si="10"/>
        <v>0</v>
      </c>
      <c r="F151" s="63"/>
      <c r="G151" s="104"/>
      <c r="H151" s="104"/>
      <c r="I151" s="63"/>
      <c r="J151" s="92"/>
      <c r="K151" s="92"/>
      <c r="L151" s="92"/>
      <c r="M151" s="92"/>
    </row>
    <row r="152" spans="1:13" hidden="1">
      <c r="A152" s="94">
        <v>149</v>
      </c>
      <c r="B152" s="89"/>
      <c r="C152" s="96"/>
      <c r="D152" s="96"/>
      <c r="E152" s="97">
        <f t="shared" si="10"/>
        <v>0</v>
      </c>
      <c r="F152" s="63"/>
      <c r="G152" s="104"/>
      <c r="H152" s="104"/>
      <c r="I152" s="63"/>
      <c r="J152" s="92"/>
      <c r="K152" s="92"/>
      <c r="L152" s="92"/>
      <c r="M152" s="92"/>
    </row>
    <row r="153" spans="1:13" hidden="1">
      <c r="A153" s="94">
        <v>150</v>
      </c>
      <c r="B153" s="89"/>
      <c r="C153" s="96"/>
      <c r="D153" s="96"/>
      <c r="E153" s="97">
        <f t="shared" si="10"/>
        <v>0</v>
      </c>
      <c r="F153" s="63"/>
      <c r="G153" s="104"/>
      <c r="H153" s="104"/>
      <c r="I153" s="63"/>
      <c r="J153" s="92"/>
      <c r="K153" s="92"/>
      <c r="L153" s="92"/>
      <c r="M153" s="92"/>
    </row>
    <row r="154" spans="1:13" hidden="1">
      <c r="A154" s="94">
        <v>151</v>
      </c>
      <c r="B154" s="89"/>
      <c r="C154" s="96"/>
      <c r="D154" s="96"/>
      <c r="E154" s="97">
        <f t="shared" si="10"/>
        <v>0</v>
      </c>
      <c r="F154" s="63"/>
      <c r="G154" s="104"/>
      <c r="H154" s="104"/>
      <c r="I154" s="63"/>
      <c r="J154" s="92"/>
      <c r="K154" s="92"/>
      <c r="L154" s="92"/>
      <c r="M154" s="92"/>
    </row>
    <row r="155" spans="1:13" hidden="1">
      <c r="A155" s="94">
        <v>152</v>
      </c>
      <c r="B155" s="89"/>
      <c r="C155" s="105"/>
      <c r="D155" s="105"/>
      <c r="E155" s="97">
        <f t="shared" si="10"/>
        <v>0</v>
      </c>
      <c r="F155" s="63"/>
      <c r="G155" s="104"/>
      <c r="H155" s="104"/>
      <c r="I155" s="63"/>
      <c r="J155" s="92"/>
      <c r="K155" s="92"/>
      <c r="L155" s="92"/>
      <c r="M155" s="92"/>
    </row>
    <row r="156" spans="1:13" hidden="1">
      <c r="A156" s="94">
        <v>153</v>
      </c>
      <c r="B156" s="89"/>
      <c r="C156" s="105"/>
      <c r="D156" s="104"/>
      <c r="E156" s="97">
        <f t="shared" si="10"/>
        <v>0</v>
      </c>
      <c r="F156" s="63"/>
      <c r="G156" s="104"/>
      <c r="H156" s="104"/>
      <c r="I156" s="63"/>
      <c r="J156" s="92"/>
      <c r="K156" s="92"/>
      <c r="L156" s="92"/>
      <c r="M156" s="92"/>
    </row>
    <row r="157" spans="1:13" hidden="1">
      <c r="A157" s="94">
        <v>154</v>
      </c>
      <c r="B157" s="89"/>
      <c r="C157" s="105"/>
      <c r="D157" s="104"/>
      <c r="E157" s="97">
        <f t="shared" si="10"/>
        <v>0</v>
      </c>
      <c r="F157" s="63"/>
      <c r="G157" s="104"/>
      <c r="H157" s="104"/>
      <c r="I157" s="63"/>
      <c r="J157" s="92"/>
      <c r="K157" s="92"/>
      <c r="L157" s="92"/>
      <c r="M157" s="92"/>
    </row>
    <row r="158" spans="1:13" hidden="1">
      <c r="A158" s="94">
        <v>155</v>
      </c>
      <c r="B158" s="89"/>
      <c r="C158" s="105"/>
      <c r="D158" s="104"/>
      <c r="E158" s="97">
        <f t="shared" si="10"/>
        <v>0</v>
      </c>
      <c r="F158" s="63"/>
      <c r="G158" s="104"/>
      <c r="H158" s="104"/>
      <c r="I158" s="63"/>
      <c r="J158" s="92"/>
      <c r="K158" s="92"/>
      <c r="L158" s="92"/>
      <c r="M158" s="92"/>
    </row>
    <row r="159" spans="1:13" hidden="1">
      <c r="A159" s="94">
        <v>156</v>
      </c>
      <c r="B159" s="89"/>
      <c r="C159" s="105"/>
      <c r="D159" s="104"/>
      <c r="E159" s="97">
        <f t="shared" si="10"/>
        <v>0</v>
      </c>
      <c r="F159" s="63"/>
      <c r="G159" s="104"/>
      <c r="H159" s="104"/>
      <c r="I159" s="63"/>
      <c r="J159" s="92"/>
      <c r="K159" s="92"/>
      <c r="L159" s="92"/>
      <c r="M159" s="92"/>
    </row>
    <row r="160" spans="1:13" hidden="1">
      <c r="A160" s="94">
        <v>157</v>
      </c>
      <c r="B160" s="89"/>
      <c r="C160" s="105"/>
      <c r="D160" s="104"/>
      <c r="E160" s="97">
        <f t="shared" si="10"/>
        <v>0</v>
      </c>
      <c r="F160" s="63"/>
      <c r="G160" s="104"/>
      <c r="H160" s="104"/>
      <c r="I160" s="63"/>
      <c r="J160" s="92"/>
      <c r="K160" s="92"/>
      <c r="L160" s="92"/>
      <c r="M160" s="92"/>
    </row>
    <row r="161" spans="1:13" hidden="1">
      <c r="A161" s="94">
        <v>158</v>
      </c>
      <c r="B161" s="89"/>
      <c r="C161" s="105"/>
      <c r="D161" s="104"/>
      <c r="E161" s="97">
        <f t="shared" si="10"/>
        <v>0</v>
      </c>
      <c r="F161" s="63"/>
      <c r="G161" s="104"/>
      <c r="H161" s="104"/>
      <c r="I161" s="63"/>
      <c r="J161" s="92"/>
      <c r="K161" s="92"/>
      <c r="L161" s="92"/>
      <c r="M161" s="92"/>
    </row>
    <row r="162" spans="1:13" hidden="1">
      <c r="A162" s="94">
        <v>159</v>
      </c>
      <c r="B162" s="89"/>
      <c r="C162" s="105"/>
      <c r="D162" s="104"/>
      <c r="E162" s="97">
        <f t="shared" si="10"/>
        <v>0</v>
      </c>
      <c r="F162" s="63"/>
      <c r="G162" s="104"/>
      <c r="H162" s="104"/>
      <c r="I162" s="63"/>
      <c r="J162" s="92"/>
      <c r="K162" s="92"/>
      <c r="L162" s="92"/>
      <c r="M162" s="92"/>
    </row>
    <row r="163" spans="1:13" hidden="1">
      <c r="A163" s="94">
        <v>160</v>
      </c>
      <c r="B163" s="89"/>
      <c r="C163" s="105"/>
      <c r="D163" s="104"/>
      <c r="E163" s="97">
        <f t="shared" si="10"/>
        <v>0</v>
      </c>
      <c r="F163" s="63"/>
      <c r="G163" s="104"/>
      <c r="H163" s="104"/>
      <c r="I163" s="63"/>
      <c r="J163" s="92"/>
      <c r="K163" s="92"/>
      <c r="L163" s="92"/>
      <c r="M163" s="92"/>
    </row>
    <row r="164" spans="1:13" hidden="1">
      <c r="A164" s="94">
        <v>161</v>
      </c>
      <c r="B164" s="89"/>
      <c r="C164" s="105"/>
      <c r="D164" s="104"/>
      <c r="E164" s="97">
        <f t="shared" si="10"/>
        <v>0</v>
      </c>
      <c r="F164" s="63"/>
      <c r="G164" s="104"/>
      <c r="H164" s="104"/>
      <c r="I164" s="63"/>
      <c r="J164" s="92"/>
      <c r="K164" s="92"/>
      <c r="L164" s="92"/>
      <c r="M164" s="92"/>
    </row>
    <row r="165" spans="1:13" hidden="1">
      <c r="A165" s="94">
        <v>162</v>
      </c>
      <c r="B165" s="89"/>
      <c r="C165" s="105"/>
      <c r="D165" s="104"/>
      <c r="E165" s="97">
        <f t="shared" si="10"/>
        <v>0</v>
      </c>
      <c r="F165" s="63"/>
      <c r="G165" s="104"/>
      <c r="H165" s="104"/>
      <c r="I165" s="63"/>
      <c r="J165" s="92"/>
      <c r="K165" s="92"/>
      <c r="L165" s="92"/>
      <c r="M165" s="92"/>
    </row>
    <row r="166" spans="1:13" hidden="1">
      <c r="A166" s="94">
        <v>163</v>
      </c>
      <c r="B166" s="89"/>
      <c r="C166" s="105"/>
      <c r="D166" s="104"/>
      <c r="E166" s="97">
        <f t="shared" si="10"/>
        <v>0</v>
      </c>
      <c r="F166" s="63"/>
      <c r="G166" s="104"/>
      <c r="H166" s="104"/>
      <c r="I166" s="63"/>
      <c r="J166" s="92"/>
      <c r="K166" s="92"/>
      <c r="L166" s="92"/>
      <c r="M166" s="92"/>
    </row>
    <row r="167" spans="1:13" hidden="1">
      <c r="A167" s="94">
        <v>164</v>
      </c>
      <c r="B167" s="89"/>
      <c r="C167" s="105"/>
      <c r="D167" s="104"/>
      <c r="E167" s="97">
        <f t="shared" si="10"/>
        <v>0</v>
      </c>
      <c r="F167" s="63"/>
      <c r="G167" s="104"/>
      <c r="H167" s="104"/>
      <c r="I167" s="63"/>
      <c r="J167" s="92"/>
      <c r="K167" s="92"/>
      <c r="L167" s="92"/>
      <c r="M167" s="92"/>
    </row>
    <row r="168" spans="1:13" hidden="1">
      <c r="A168" s="94">
        <v>165</v>
      </c>
      <c r="B168" s="89"/>
      <c r="C168" s="105"/>
      <c r="D168" s="104"/>
      <c r="E168" s="97">
        <f t="shared" si="10"/>
        <v>0</v>
      </c>
      <c r="F168" s="63"/>
      <c r="G168" s="104"/>
      <c r="H168" s="104"/>
      <c r="I168" s="63"/>
      <c r="J168" s="92"/>
      <c r="K168" s="92"/>
      <c r="L168" s="92"/>
      <c r="M168" s="92"/>
    </row>
    <row r="169" spans="1:13" hidden="1">
      <c r="A169" s="94">
        <v>166</v>
      </c>
      <c r="B169" s="89"/>
      <c r="C169" s="105"/>
      <c r="D169" s="104"/>
      <c r="E169" s="97">
        <f t="shared" si="10"/>
        <v>0</v>
      </c>
      <c r="F169" s="63"/>
      <c r="G169" s="104"/>
      <c r="H169" s="104"/>
      <c r="I169" s="63"/>
      <c r="J169" s="92"/>
      <c r="K169" s="92"/>
      <c r="L169" s="92"/>
      <c r="M169" s="92"/>
    </row>
    <row r="170" spans="1:13" hidden="1">
      <c r="A170" s="94">
        <v>167</v>
      </c>
      <c r="B170" s="89"/>
      <c r="C170" s="105"/>
      <c r="D170" s="104"/>
      <c r="E170" s="97">
        <f t="shared" si="10"/>
        <v>0</v>
      </c>
      <c r="F170" s="63"/>
      <c r="G170" s="104"/>
      <c r="H170" s="104"/>
      <c r="I170" s="63"/>
      <c r="J170" s="92"/>
      <c r="K170" s="92"/>
      <c r="L170" s="92"/>
      <c r="M170" s="92"/>
    </row>
    <row r="171" spans="1:13" hidden="1">
      <c r="A171" s="94">
        <v>168</v>
      </c>
      <c r="B171" s="89"/>
      <c r="C171" s="105"/>
      <c r="D171" s="104"/>
      <c r="E171" s="97">
        <f t="shared" si="10"/>
        <v>0</v>
      </c>
      <c r="F171" s="63"/>
      <c r="G171" s="104"/>
      <c r="H171" s="104"/>
      <c r="I171" s="63"/>
      <c r="J171" s="92"/>
      <c r="K171" s="92"/>
      <c r="L171" s="92"/>
      <c r="M171" s="92"/>
    </row>
    <row r="172" spans="1:13" hidden="1">
      <c r="A172" s="94">
        <v>169</v>
      </c>
      <c r="B172" s="89"/>
      <c r="C172" s="105"/>
      <c r="D172" s="104"/>
      <c r="E172" s="97">
        <f t="shared" si="10"/>
        <v>0</v>
      </c>
      <c r="F172" s="63"/>
      <c r="G172" s="104"/>
      <c r="H172" s="104"/>
      <c r="I172" s="63"/>
      <c r="J172" s="92"/>
      <c r="K172" s="92"/>
      <c r="L172" s="92"/>
      <c r="M172" s="92"/>
    </row>
    <row r="173" spans="1:13" hidden="1">
      <c r="A173" s="94">
        <v>170</v>
      </c>
      <c r="B173" s="89"/>
      <c r="C173" s="105"/>
      <c r="D173" s="104"/>
      <c r="E173" s="97">
        <f t="shared" si="10"/>
        <v>0</v>
      </c>
      <c r="F173" s="63"/>
      <c r="G173" s="104"/>
      <c r="H173" s="104"/>
      <c r="I173" s="63"/>
      <c r="J173" s="92"/>
      <c r="K173" s="92"/>
      <c r="L173" s="92"/>
      <c r="M173" s="92"/>
    </row>
    <row r="174" spans="1:13" hidden="1">
      <c r="A174" s="94">
        <v>171</v>
      </c>
      <c r="B174" s="89"/>
      <c r="C174" s="105"/>
      <c r="D174" s="105"/>
      <c r="E174" s="97">
        <f t="shared" si="10"/>
        <v>0</v>
      </c>
      <c r="F174" s="63"/>
      <c r="G174" s="104"/>
      <c r="H174" s="104"/>
      <c r="I174" s="63"/>
      <c r="J174" s="92"/>
      <c r="K174" s="92"/>
      <c r="L174" s="92"/>
      <c r="M174" s="92"/>
    </row>
    <row r="175" spans="1:13" hidden="1">
      <c r="A175" s="94">
        <v>172</v>
      </c>
      <c r="B175" s="89"/>
      <c r="C175" s="105"/>
      <c r="D175" s="105"/>
      <c r="E175" s="97">
        <f t="shared" si="10"/>
        <v>0</v>
      </c>
      <c r="F175" s="63"/>
      <c r="G175" s="104"/>
      <c r="H175" s="104"/>
      <c r="I175" s="63"/>
      <c r="J175" s="92"/>
      <c r="K175" s="92"/>
      <c r="L175" s="92"/>
      <c r="M175" s="92"/>
    </row>
    <row r="176" spans="1:13" hidden="1">
      <c r="A176" s="94">
        <v>173</v>
      </c>
      <c r="B176" s="89"/>
      <c r="C176" s="105"/>
      <c r="D176" s="104"/>
      <c r="E176" s="97">
        <f t="shared" si="10"/>
        <v>0</v>
      </c>
      <c r="F176" s="63"/>
      <c r="G176" s="104"/>
      <c r="H176" s="104"/>
      <c r="I176" s="63"/>
      <c r="J176" s="92"/>
      <c r="K176" s="92"/>
      <c r="L176" s="92"/>
      <c r="M176" s="92"/>
    </row>
    <row r="177" spans="1:13" hidden="1">
      <c r="A177" s="94">
        <v>174</v>
      </c>
      <c r="B177" s="89"/>
      <c r="C177" s="105"/>
      <c r="D177" s="104"/>
      <c r="E177" s="97">
        <f t="shared" si="10"/>
        <v>0</v>
      </c>
      <c r="F177" s="63"/>
      <c r="G177" s="104"/>
      <c r="H177" s="104"/>
      <c r="I177" s="63"/>
      <c r="J177" s="92"/>
      <c r="K177" s="92"/>
      <c r="L177" s="92"/>
      <c r="M177" s="92"/>
    </row>
    <row r="178" spans="1:13" hidden="1">
      <c r="A178" s="94">
        <v>175</v>
      </c>
      <c r="B178" s="89"/>
      <c r="C178" s="105"/>
      <c r="D178" s="105"/>
      <c r="E178" s="97">
        <f t="shared" si="10"/>
        <v>0</v>
      </c>
      <c r="F178" s="63"/>
      <c r="G178" s="104"/>
      <c r="H178" s="104"/>
      <c r="I178" s="63"/>
      <c r="J178" s="92"/>
      <c r="K178" s="92"/>
      <c r="L178" s="92"/>
      <c r="M178" s="92"/>
    </row>
    <row r="179" spans="1:13" hidden="1">
      <c r="A179" s="94">
        <v>176</v>
      </c>
      <c r="B179" s="89"/>
      <c r="C179" s="105"/>
      <c r="D179" s="105"/>
      <c r="E179" s="97">
        <f t="shared" si="10"/>
        <v>0</v>
      </c>
      <c r="F179" s="63"/>
      <c r="G179" s="104"/>
      <c r="H179" s="104"/>
      <c r="I179" s="102"/>
      <c r="J179" s="92"/>
      <c r="K179" s="92"/>
      <c r="L179" s="92"/>
      <c r="M179" s="92"/>
    </row>
    <row r="180" spans="1:13" hidden="1">
      <c r="A180" s="94">
        <v>177</v>
      </c>
      <c r="B180" s="89"/>
      <c r="C180" s="105"/>
      <c r="D180" s="104"/>
      <c r="E180" s="97">
        <f t="shared" si="10"/>
        <v>0</v>
      </c>
      <c r="F180" s="63"/>
      <c r="G180" s="104"/>
      <c r="H180" s="104"/>
      <c r="I180" s="102"/>
      <c r="J180" s="92"/>
      <c r="K180" s="92"/>
      <c r="L180" s="92"/>
      <c r="M180" s="92"/>
    </row>
    <row r="181" spans="1:13" hidden="1">
      <c r="A181" s="94">
        <v>178</v>
      </c>
      <c r="B181" s="89"/>
      <c r="C181" s="105"/>
      <c r="D181" s="105"/>
      <c r="E181" s="97">
        <f t="shared" si="10"/>
        <v>0</v>
      </c>
      <c r="F181" s="63"/>
      <c r="G181" s="104"/>
      <c r="H181" s="104"/>
      <c r="I181" s="63"/>
      <c r="J181" s="92"/>
      <c r="K181" s="92"/>
      <c r="L181" s="92"/>
      <c r="M181" s="92"/>
    </row>
    <row r="182" spans="1:13" hidden="1">
      <c r="A182" s="94">
        <v>179</v>
      </c>
      <c r="B182" s="89"/>
      <c r="C182" s="105"/>
      <c r="D182" s="104"/>
      <c r="E182" s="97">
        <f t="shared" si="10"/>
        <v>0</v>
      </c>
      <c r="F182" s="63"/>
      <c r="G182" s="104"/>
      <c r="H182" s="104"/>
      <c r="I182" s="63"/>
      <c r="J182" s="92"/>
      <c r="K182" s="92"/>
      <c r="L182" s="92"/>
      <c r="M182" s="92"/>
    </row>
    <row r="183" spans="1:13" hidden="1">
      <c r="A183" s="94">
        <v>180</v>
      </c>
      <c r="B183" s="89"/>
      <c r="C183" s="105"/>
      <c r="D183" s="104"/>
      <c r="E183" s="97">
        <f t="shared" si="10"/>
        <v>0</v>
      </c>
      <c r="F183" s="63"/>
      <c r="G183" s="104"/>
      <c r="H183" s="104"/>
      <c r="I183" s="63"/>
      <c r="J183" s="92"/>
      <c r="K183" s="92"/>
      <c r="L183" s="92"/>
      <c r="M183" s="92"/>
    </row>
    <row r="184" spans="1:13" hidden="1">
      <c r="A184" s="94">
        <v>181</v>
      </c>
      <c r="B184" s="89"/>
      <c r="C184" s="105"/>
      <c r="D184" s="104"/>
      <c r="E184" s="97">
        <f t="shared" si="10"/>
        <v>0</v>
      </c>
      <c r="F184" s="63"/>
      <c r="G184" s="104"/>
      <c r="H184" s="104"/>
      <c r="I184" s="63"/>
      <c r="J184" s="92"/>
      <c r="K184" s="92"/>
      <c r="L184" s="92"/>
      <c r="M184" s="92"/>
    </row>
    <row r="185" spans="1:13" hidden="1">
      <c r="A185" s="94">
        <v>182</v>
      </c>
      <c r="B185" s="89"/>
      <c r="C185" s="105"/>
      <c r="D185" s="104"/>
      <c r="E185" s="97">
        <f t="shared" si="10"/>
        <v>0</v>
      </c>
      <c r="F185" s="63"/>
      <c r="G185" s="104"/>
      <c r="H185" s="104"/>
      <c r="I185" s="63"/>
      <c r="J185" s="92"/>
      <c r="K185" s="92"/>
      <c r="L185" s="92"/>
      <c r="M185" s="92"/>
    </row>
    <row r="186" spans="1:13" hidden="1">
      <c r="A186" s="94">
        <v>183</v>
      </c>
      <c r="B186" s="89"/>
      <c r="C186" s="105"/>
      <c r="D186" s="104"/>
      <c r="E186" s="97">
        <f t="shared" si="10"/>
        <v>0</v>
      </c>
      <c r="F186" s="63"/>
      <c r="G186" s="104"/>
      <c r="H186" s="104"/>
      <c r="I186" s="63"/>
      <c r="J186" s="92"/>
      <c r="K186" s="92"/>
      <c r="L186" s="92"/>
      <c r="M186" s="92"/>
    </row>
    <row r="187" spans="1:13" hidden="1">
      <c r="A187" s="94">
        <v>184</v>
      </c>
      <c r="B187" s="89"/>
      <c r="C187" s="105"/>
      <c r="D187" s="105"/>
      <c r="E187" s="97">
        <f t="shared" si="10"/>
        <v>0</v>
      </c>
      <c r="F187" s="63"/>
      <c r="G187" s="104"/>
      <c r="H187" s="104"/>
      <c r="I187" s="63"/>
      <c r="J187" s="92"/>
      <c r="K187" s="92"/>
      <c r="L187" s="92"/>
      <c r="M187" s="92"/>
    </row>
    <row r="188" spans="1:13" hidden="1">
      <c r="A188" s="94">
        <v>185</v>
      </c>
      <c r="B188" s="89"/>
      <c r="C188" s="105"/>
      <c r="D188" s="104"/>
      <c r="E188" s="97">
        <f t="shared" si="10"/>
        <v>0</v>
      </c>
      <c r="F188" s="63"/>
      <c r="G188" s="104"/>
      <c r="H188" s="104"/>
      <c r="I188" s="63"/>
      <c r="J188" s="92"/>
      <c r="K188" s="92"/>
      <c r="L188" s="92"/>
      <c r="M188" s="92"/>
    </row>
    <row r="189" spans="1:13" hidden="1">
      <c r="A189" s="94">
        <v>186</v>
      </c>
      <c r="B189" s="89"/>
      <c r="C189" s="105"/>
      <c r="D189" s="104"/>
      <c r="E189" s="97">
        <f t="shared" si="10"/>
        <v>0</v>
      </c>
      <c r="F189" s="63"/>
      <c r="G189" s="104"/>
      <c r="H189" s="104"/>
      <c r="I189" s="63"/>
      <c r="J189" s="92"/>
      <c r="K189" s="92"/>
      <c r="L189" s="92"/>
      <c r="M189" s="92"/>
    </row>
    <row r="190" spans="1:13" hidden="1">
      <c r="A190" s="94">
        <v>187</v>
      </c>
      <c r="B190" s="89"/>
      <c r="C190" s="105"/>
      <c r="D190" s="104"/>
      <c r="E190" s="97">
        <f t="shared" si="10"/>
        <v>0</v>
      </c>
      <c r="F190" s="63"/>
      <c r="G190" s="104"/>
      <c r="H190" s="104"/>
      <c r="I190" s="63"/>
      <c r="J190" s="92"/>
      <c r="K190" s="92"/>
      <c r="L190" s="92"/>
      <c r="M190" s="92"/>
    </row>
    <row r="191" spans="1:13" hidden="1">
      <c r="A191" s="94">
        <v>188</v>
      </c>
      <c r="B191" s="89"/>
      <c r="C191" s="105"/>
      <c r="D191" s="104"/>
      <c r="E191" s="97">
        <f t="shared" si="10"/>
        <v>0</v>
      </c>
      <c r="F191" s="63"/>
      <c r="G191" s="104"/>
      <c r="H191" s="104"/>
      <c r="I191" s="63"/>
      <c r="J191" s="92"/>
      <c r="K191" s="92"/>
      <c r="L191" s="92"/>
      <c r="M191" s="92"/>
    </row>
    <row r="192" spans="1:13" hidden="1">
      <c r="A192" s="94">
        <v>189</v>
      </c>
      <c r="B192" s="89"/>
      <c r="C192" s="105"/>
      <c r="D192" s="104"/>
      <c r="E192" s="97">
        <f t="shared" si="10"/>
        <v>0</v>
      </c>
      <c r="F192" s="63"/>
      <c r="G192" s="104"/>
      <c r="H192" s="104"/>
      <c r="I192" s="63"/>
      <c r="J192" s="92"/>
      <c r="K192" s="92"/>
      <c r="L192" s="92"/>
      <c r="M192" s="92"/>
    </row>
    <row r="193" spans="1:13" hidden="1">
      <c r="A193" s="94">
        <v>190</v>
      </c>
      <c r="B193" s="89"/>
      <c r="C193" s="105"/>
      <c r="D193" s="105"/>
      <c r="E193" s="97">
        <f t="shared" si="10"/>
        <v>0</v>
      </c>
      <c r="F193" s="63"/>
      <c r="G193" s="104"/>
      <c r="H193" s="104"/>
      <c r="I193" s="63"/>
      <c r="J193" s="92"/>
      <c r="K193" s="92"/>
      <c r="L193" s="92"/>
      <c r="M193" s="92"/>
    </row>
    <row r="194" spans="1:13" hidden="1">
      <c r="A194" s="94">
        <v>191</v>
      </c>
      <c r="B194" s="89"/>
      <c r="C194" s="105"/>
      <c r="D194" s="105"/>
      <c r="E194" s="97">
        <f t="shared" si="10"/>
        <v>0</v>
      </c>
      <c r="F194" s="63"/>
      <c r="G194" s="104"/>
      <c r="H194" s="104"/>
      <c r="I194" s="63"/>
      <c r="J194" s="92"/>
      <c r="K194" s="92"/>
      <c r="L194" s="92"/>
      <c r="M194" s="92"/>
    </row>
    <row r="195" spans="1:13" hidden="1">
      <c r="A195" s="94">
        <v>192</v>
      </c>
      <c r="B195" s="89"/>
      <c r="C195" s="105"/>
      <c r="D195" s="105"/>
      <c r="E195" s="97">
        <f t="shared" si="10"/>
        <v>0</v>
      </c>
      <c r="F195" s="63"/>
      <c r="G195" s="104"/>
      <c r="H195" s="104"/>
      <c r="I195" s="63"/>
      <c r="J195" s="92"/>
      <c r="K195" s="92"/>
      <c r="L195" s="92"/>
      <c r="M195" s="92"/>
    </row>
    <row r="196" spans="1:13" hidden="1">
      <c r="A196" s="94">
        <v>193</v>
      </c>
      <c r="B196" s="89"/>
      <c r="C196" s="105"/>
      <c r="D196" s="105"/>
      <c r="E196" s="97">
        <f t="shared" ref="E196:E212" si="11">C196-D196</f>
        <v>0</v>
      </c>
      <c r="F196" s="63"/>
      <c r="G196" s="104"/>
      <c r="H196" s="104"/>
      <c r="I196" s="63"/>
      <c r="J196" s="92"/>
      <c r="K196" s="92"/>
      <c r="L196" s="92"/>
      <c r="M196" s="92"/>
    </row>
    <row r="197" spans="1:13" hidden="1">
      <c r="A197" s="94">
        <v>194</v>
      </c>
      <c r="B197" s="89"/>
      <c r="C197" s="105"/>
      <c r="D197" s="105"/>
      <c r="E197" s="97">
        <f t="shared" si="11"/>
        <v>0</v>
      </c>
      <c r="F197" s="63"/>
      <c r="G197" s="104"/>
      <c r="H197" s="104"/>
      <c r="I197" s="63"/>
      <c r="J197" s="92"/>
      <c r="K197" s="92"/>
      <c r="L197" s="92"/>
      <c r="M197" s="92"/>
    </row>
    <row r="198" spans="1:13" hidden="1">
      <c r="A198" s="94">
        <v>195</v>
      </c>
      <c r="B198" s="89"/>
      <c r="C198" s="105"/>
      <c r="D198" s="104"/>
      <c r="E198" s="97">
        <f t="shared" si="11"/>
        <v>0</v>
      </c>
      <c r="F198" s="63"/>
      <c r="G198" s="104"/>
      <c r="H198" s="104"/>
      <c r="I198" s="63"/>
      <c r="J198" s="92"/>
      <c r="K198" s="92"/>
      <c r="L198" s="92"/>
      <c r="M198" s="92"/>
    </row>
    <row r="199" spans="1:13" hidden="1">
      <c r="A199" s="94">
        <v>196</v>
      </c>
      <c r="B199" s="89"/>
      <c r="C199" s="105"/>
      <c r="D199" s="104"/>
      <c r="E199" s="97">
        <f t="shared" si="11"/>
        <v>0</v>
      </c>
      <c r="F199" s="63"/>
      <c r="G199" s="104"/>
      <c r="H199" s="104"/>
      <c r="I199" s="63"/>
      <c r="J199" s="92"/>
      <c r="K199" s="92"/>
      <c r="L199" s="92"/>
      <c r="M199" s="92"/>
    </row>
    <row r="200" spans="1:13" hidden="1">
      <c r="A200" s="94">
        <v>197</v>
      </c>
      <c r="B200" s="89"/>
      <c r="C200" s="105"/>
      <c r="D200" s="105"/>
      <c r="E200" s="97">
        <f t="shared" si="11"/>
        <v>0</v>
      </c>
      <c r="F200" s="63"/>
      <c r="G200" s="104"/>
      <c r="H200" s="104"/>
      <c r="I200" s="63"/>
      <c r="J200" s="92"/>
      <c r="K200" s="92"/>
      <c r="L200" s="92"/>
      <c r="M200" s="92"/>
    </row>
    <row r="201" spans="1:13" hidden="1">
      <c r="A201" s="94">
        <v>198</v>
      </c>
      <c r="B201" s="89"/>
      <c r="C201" s="105"/>
      <c r="D201" s="105"/>
      <c r="E201" s="97">
        <f t="shared" si="11"/>
        <v>0</v>
      </c>
      <c r="F201" s="63"/>
      <c r="G201" s="104"/>
      <c r="H201" s="104"/>
      <c r="I201" s="63"/>
      <c r="J201" s="92"/>
      <c r="K201" s="92"/>
      <c r="L201" s="92"/>
      <c r="M201" s="92"/>
    </row>
    <row r="202" spans="1:13" hidden="1">
      <c r="A202" s="94">
        <v>199</v>
      </c>
      <c r="B202" s="89"/>
      <c r="C202" s="105"/>
      <c r="D202" s="104"/>
      <c r="E202" s="97">
        <f t="shared" si="11"/>
        <v>0</v>
      </c>
      <c r="F202" s="63"/>
      <c r="G202" s="104"/>
      <c r="H202" s="104"/>
      <c r="I202" s="63"/>
      <c r="J202" s="92"/>
      <c r="K202" s="92"/>
      <c r="L202" s="92"/>
      <c r="M202" s="92"/>
    </row>
    <row r="203" spans="1:13" hidden="1">
      <c r="A203" s="94">
        <v>200</v>
      </c>
      <c r="B203" s="89"/>
      <c r="C203" s="105"/>
      <c r="D203" s="104"/>
      <c r="E203" s="97">
        <f t="shared" si="11"/>
        <v>0</v>
      </c>
      <c r="F203" s="63"/>
      <c r="G203" s="104"/>
      <c r="H203" s="104"/>
      <c r="I203" s="63"/>
      <c r="J203" s="92"/>
      <c r="K203" s="92"/>
      <c r="L203" s="92"/>
      <c r="M203" s="92"/>
    </row>
    <row r="204" spans="1:13" hidden="1">
      <c r="A204" s="94">
        <v>201</v>
      </c>
      <c r="B204" s="89"/>
      <c r="C204" s="105"/>
      <c r="D204" s="104"/>
      <c r="E204" s="97">
        <f t="shared" si="11"/>
        <v>0</v>
      </c>
      <c r="F204" s="63"/>
      <c r="G204" s="104"/>
      <c r="H204" s="104"/>
      <c r="I204" s="63"/>
      <c r="J204" s="92"/>
      <c r="K204" s="92"/>
      <c r="L204" s="92"/>
      <c r="M204" s="92"/>
    </row>
    <row r="205" spans="1:13" hidden="1">
      <c r="A205" s="94">
        <v>202</v>
      </c>
      <c r="B205" s="89"/>
      <c r="C205" s="105"/>
      <c r="D205" s="104"/>
      <c r="E205" s="97">
        <f t="shared" si="11"/>
        <v>0</v>
      </c>
      <c r="F205" s="63"/>
      <c r="G205" s="104"/>
      <c r="H205" s="104"/>
      <c r="I205" s="63"/>
      <c r="J205" s="92"/>
      <c r="K205" s="92"/>
      <c r="L205" s="92"/>
      <c r="M205" s="92"/>
    </row>
    <row r="206" spans="1:13" hidden="1">
      <c r="A206" s="94">
        <v>203</v>
      </c>
      <c r="B206" s="89"/>
      <c r="C206" s="105"/>
      <c r="D206" s="104"/>
      <c r="E206" s="97">
        <f t="shared" si="11"/>
        <v>0</v>
      </c>
      <c r="F206" s="63"/>
      <c r="G206" s="104"/>
      <c r="H206" s="104"/>
      <c r="I206" s="63"/>
      <c r="J206" s="92"/>
      <c r="K206" s="92"/>
      <c r="L206" s="92"/>
      <c r="M206" s="92"/>
    </row>
    <row r="207" spans="1:13" hidden="1">
      <c r="A207" s="94">
        <v>204</v>
      </c>
      <c r="B207" s="89"/>
      <c r="C207" s="105"/>
      <c r="D207" s="104"/>
      <c r="E207" s="97">
        <f t="shared" si="11"/>
        <v>0</v>
      </c>
      <c r="F207" s="63"/>
      <c r="G207" s="104"/>
      <c r="H207" s="104"/>
      <c r="I207" s="63"/>
      <c r="J207" s="92"/>
      <c r="K207" s="92"/>
      <c r="L207" s="92"/>
      <c r="M207" s="92"/>
    </row>
    <row r="208" spans="1:13" hidden="1">
      <c r="A208" s="94">
        <v>205</v>
      </c>
      <c r="B208" s="89"/>
      <c r="C208" s="105"/>
      <c r="D208" s="104"/>
      <c r="E208" s="97">
        <f t="shared" si="11"/>
        <v>0</v>
      </c>
      <c r="F208" s="63"/>
      <c r="G208" s="104"/>
      <c r="H208" s="104"/>
      <c r="I208" s="63"/>
      <c r="J208" s="92"/>
      <c r="K208" s="92"/>
      <c r="L208" s="92"/>
      <c r="M208" s="92"/>
    </row>
    <row r="209" spans="1:13" hidden="1">
      <c r="A209" s="94">
        <v>206</v>
      </c>
      <c r="B209" s="89"/>
      <c r="C209" s="105"/>
      <c r="D209" s="104"/>
      <c r="E209" s="97">
        <f t="shared" si="11"/>
        <v>0</v>
      </c>
      <c r="F209" s="63"/>
      <c r="G209" s="104"/>
      <c r="H209" s="104"/>
      <c r="I209" s="63"/>
      <c r="J209" s="92"/>
      <c r="K209" s="92"/>
      <c r="L209" s="92"/>
      <c r="M209" s="92"/>
    </row>
    <row r="210" spans="1:13" hidden="1">
      <c r="A210" s="94">
        <v>207</v>
      </c>
      <c r="B210" s="89"/>
      <c r="C210" s="105"/>
      <c r="D210" s="104"/>
      <c r="E210" s="97">
        <f t="shared" si="11"/>
        <v>0</v>
      </c>
      <c r="F210" s="63"/>
      <c r="G210" s="104"/>
      <c r="H210" s="104"/>
      <c r="I210" s="63"/>
      <c r="J210" s="92"/>
      <c r="K210" s="92"/>
      <c r="L210" s="92"/>
      <c r="M210" s="92"/>
    </row>
    <row r="211" spans="1:13" hidden="1">
      <c r="A211" s="94">
        <v>208</v>
      </c>
      <c r="B211" s="89"/>
      <c r="C211" s="105"/>
      <c r="D211" s="104"/>
      <c r="E211" s="104">
        <f t="shared" si="11"/>
        <v>0</v>
      </c>
      <c r="F211" s="63"/>
      <c r="G211" s="104"/>
      <c r="H211" s="104"/>
      <c r="I211" s="63"/>
      <c r="J211" s="92"/>
      <c r="K211" s="92"/>
      <c r="L211" s="92"/>
      <c r="M211" s="92"/>
    </row>
    <row r="212" spans="1:13" hidden="1">
      <c r="A212" s="94">
        <v>209</v>
      </c>
      <c r="B212" s="89"/>
      <c r="C212" s="105"/>
      <c r="D212" s="105"/>
      <c r="E212" s="104">
        <f t="shared" si="11"/>
        <v>0</v>
      </c>
      <c r="F212" s="63"/>
      <c r="G212" s="104"/>
      <c r="H212" s="104"/>
      <c r="I212" s="63"/>
      <c r="J212" s="92"/>
      <c r="K212" s="92"/>
      <c r="L212" s="92"/>
      <c r="M212" s="92"/>
    </row>
    <row r="213" spans="1:13" hidden="1">
      <c r="A213" s="65">
        <f t="shared" ref="A213" si="12">1+A212</f>
        <v>210</v>
      </c>
      <c r="B213" s="89"/>
      <c r="C213" s="105"/>
      <c r="D213" s="105"/>
      <c r="E213" s="104"/>
      <c r="F213" s="63"/>
      <c r="G213" s="104"/>
      <c r="H213" s="104"/>
      <c r="I213" s="63"/>
      <c r="J213" s="92"/>
      <c r="K213" s="92"/>
      <c r="L213" s="92"/>
      <c r="M213" s="92"/>
    </row>
    <row r="214" spans="1:13">
      <c r="A214" s="106"/>
      <c r="B214" s="107" t="s">
        <v>213</v>
      </c>
      <c r="C214" s="108">
        <f>SUM(C4:C212)</f>
        <v>6537832338</v>
      </c>
      <c r="D214" s="108">
        <f>SUM(D4:D212)</f>
        <v>5614655650</v>
      </c>
      <c r="E214" s="108">
        <f>SUM(E4:E212)</f>
        <v>923176688</v>
      </c>
      <c r="F214" s="109"/>
      <c r="G214" s="108">
        <f>SUM(G4:G212)</f>
        <v>0</v>
      </c>
      <c r="H214" s="110">
        <f t="shared" ref="H214" si="13">G214-D214</f>
        <v>-5614655650</v>
      </c>
      <c r="I214" s="106"/>
      <c r="J214" s="92"/>
      <c r="K214" s="92"/>
      <c r="L214" s="92"/>
      <c r="M214" s="92"/>
    </row>
    <row r="215" spans="1:13" ht="15.75" thickBot="1">
      <c r="D215" s="111"/>
      <c r="J215" s="92"/>
      <c r="K215" s="92"/>
      <c r="L215" s="92"/>
      <c r="M215" s="92"/>
    </row>
    <row r="216" spans="1:13">
      <c r="C216" s="112">
        <f>+C214</f>
        <v>6537832338</v>
      </c>
      <c r="D216" s="113">
        <f>E214</f>
        <v>923176688</v>
      </c>
      <c r="E216" s="113">
        <f>C216-D216</f>
        <v>5614655650</v>
      </c>
      <c r="F216" s="114" t="s">
        <v>214</v>
      </c>
      <c r="G216" s="115" t="s">
        <v>215</v>
      </c>
    </row>
    <row r="217" spans="1:13" ht="15.75" thickBot="1">
      <c r="C217" s="116"/>
      <c r="D217" s="117"/>
      <c r="E217" s="118">
        <f>E216/C216</f>
        <v>0.85879468296637129</v>
      </c>
      <c r="F217" s="119"/>
    </row>
    <row r="218" spans="1:13" ht="15.75" thickBot="1">
      <c r="C218" s="120"/>
      <c r="D218" s="120"/>
      <c r="E218" s="120"/>
    </row>
    <row r="219" spans="1:13" ht="12" customHeight="1">
      <c r="B219" s="112"/>
      <c r="C219" s="112">
        <v>23039097488</v>
      </c>
      <c r="D219" s="113">
        <f>+E214</f>
        <v>923176688</v>
      </c>
      <c r="E219" s="113">
        <f>C219-D219</f>
        <v>22115920800</v>
      </c>
      <c r="F219" s="114" t="s">
        <v>216</v>
      </c>
    </row>
    <row r="220" spans="1:13" ht="15.75" thickBot="1">
      <c r="C220" s="121" t="s">
        <v>217</v>
      </c>
      <c r="D220" s="122" t="s">
        <v>218</v>
      </c>
      <c r="E220" s="118">
        <f>E219/C219</f>
        <v>0.95992999775790522</v>
      </c>
      <c r="F220" s="119"/>
    </row>
    <row r="222" spans="1:13" ht="15.75" thickBot="1">
      <c r="E222" s="118">
        <f>D214/C214</f>
        <v>0.85879468296637129</v>
      </c>
      <c r="F222" s="123" t="s">
        <v>219</v>
      </c>
      <c r="I222" s="111">
        <v>9571120750</v>
      </c>
      <c r="J222" s="124">
        <f>I222-E214</f>
        <v>8647944062</v>
      </c>
    </row>
    <row r="224" spans="1:13">
      <c r="C224" s="125">
        <v>13000000000</v>
      </c>
      <c r="D224" s="126">
        <f>C224-E224-F224-G224</f>
        <v>12076823312</v>
      </c>
      <c r="E224" s="125">
        <f>E214-F224-G224</f>
        <v>826743238</v>
      </c>
      <c r="F224" s="125">
        <v>52391050</v>
      </c>
      <c r="G224" s="125">
        <v>44042400</v>
      </c>
    </row>
    <row r="225" spans="3:7">
      <c r="C225" s="127" t="s">
        <v>220</v>
      </c>
      <c r="D225" s="128"/>
      <c r="E225" s="129">
        <f>(E224+F224)/C224</f>
        <v>6.7625714461538464E-2</v>
      </c>
      <c r="F225" s="129"/>
    </row>
    <row r="227" spans="3:7">
      <c r="C227" s="127" t="s">
        <v>221</v>
      </c>
      <c r="D227" s="127" t="s">
        <v>156</v>
      </c>
      <c r="E227" s="130">
        <v>30</v>
      </c>
      <c r="F227" s="130">
        <v>60</v>
      </c>
      <c r="G227" s="127">
        <v>90</v>
      </c>
    </row>
  </sheetData>
  <autoFilter ref="A3:M217"/>
  <mergeCells count="3">
    <mergeCell ref="A1:I1"/>
    <mergeCell ref="A2:I2"/>
    <mergeCell ref="E225:F225"/>
  </mergeCells>
  <conditionalFormatting sqref="B190:B193 B204:B213">
    <cfRule type="expression" dxfId="198" priority="190">
      <formula>AND($Z192&gt;0,$L192&gt;89)</formula>
    </cfRule>
    <cfRule type="expression" dxfId="197" priority="191">
      <formula>AND($Z192&gt;0,$L192&gt;59)</formula>
    </cfRule>
  </conditionalFormatting>
  <conditionalFormatting sqref="G34:G48 G178:G179 H209:H212 H4:H48 C211:E214 G195:G212 G214 G213:H213 C208:D210 E4:E210">
    <cfRule type="expression" dxfId="196" priority="188">
      <formula>AND(#REF!&gt;0,$H4&gt;89)</formula>
    </cfRule>
    <cfRule type="expression" dxfId="195" priority="189">
      <formula>AND(#REF!&gt;0,$H4&gt;59)</formula>
    </cfRule>
  </conditionalFormatting>
  <conditionalFormatting sqref="H178:H179">
    <cfRule type="expression" dxfId="194" priority="186">
      <formula>AND(#REF!&gt;0,$H178&gt;89)</formula>
    </cfRule>
    <cfRule type="expression" dxfId="193" priority="187">
      <formula>AND(#REF!&gt;0,$H178&gt;59)</formula>
    </cfRule>
  </conditionalFormatting>
  <conditionalFormatting sqref="H208 H178:H179">
    <cfRule type="expression" dxfId="192" priority="184">
      <formula>AND(#REF!&gt;0,$H178&gt;89)</formula>
    </cfRule>
    <cfRule type="expression" dxfId="191" priority="185">
      <formula>AND(#REF!&gt;0,$H178&gt;59)</formula>
    </cfRule>
  </conditionalFormatting>
  <conditionalFormatting sqref="D216">
    <cfRule type="expression" dxfId="190" priority="182">
      <formula>AND(#REF!&gt;0,$H216&gt;89)</formula>
    </cfRule>
    <cfRule type="expression" dxfId="189" priority="183">
      <formula>AND(#REF!&gt;0,$H216&gt;59)</formula>
    </cfRule>
  </conditionalFormatting>
  <conditionalFormatting sqref="E216">
    <cfRule type="expression" dxfId="188" priority="180">
      <formula>AND(#REF!&gt;0,$H216&gt;89)</formula>
    </cfRule>
    <cfRule type="expression" dxfId="187" priority="181">
      <formula>AND(#REF!&gt;0,$H216&gt;59)</formula>
    </cfRule>
  </conditionalFormatting>
  <conditionalFormatting sqref="H214">
    <cfRule type="expression" dxfId="186" priority="178">
      <formula>AND(#REF!&gt;0,$H214&gt;89)</formula>
    </cfRule>
    <cfRule type="expression" dxfId="185" priority="179">
      <formula>AND(#REF!&gt;0,$H214&gt;59)</formula>
    </cfRule>
  </conditionalFormatting>
  <conditionalFormatting sqref="F9:G12 F4:F8">
    <cfRule type="expression" dxfId="184" priority="176">
      <formula>AND(#REF!&gt;0,$M4&gt;89)</formula>
    </cfRule>
    <cfRule type="expression" dxfId="183" priority="177">
      <formula>AND(#REF!&gt;0,$M4&gt;59)</formula>
    </cfRule>
  </conditionalFormatting>
  <conditionalFormatting sqref="D219">
    <cfRule type="expression" dxfId="182" priority="174">
      <formula>AND(#REF!&gt;0,$H219&gt;89)</formula>
    </cfRule>
    <cfRule type="expression" dxfId="181" priority="175">
      <formula>AND(#REF!&gt;0,$H219&gt;59)</formula>
    </cfRule>
  </conditionalFormatting>
  <conditionalFormatting sqref="E219">
    <cfRule type="expression" dxfId="180" priority="172">
      <formula>AND(#REF!&gt;0,$H219&gt;89)</formula>
    </cfRule>
    <cfRule type="expression" dxfId="179" priority="173">
      <formula>AND(#REF!&gt;0,$H219&gt;59)</formula>
    </cfRule>
  </conditionalFormatting>
  <conditionalFormatting sqref="I4:I12">
    <cfRule type="expression" dxfId="178" priority="170">
      <formula>AND($AD4&gt;0,$P4&gt;89)</formula>
    </cfRule>
    <cfRule type="expression" dxfId="177" priority="171">
      <formula>AND($AD4&gt;0,$P4&gt;59)</formula>
    </cfRule>
  </conditionalFormatting>
  <conditionalFormatting sqref="C178:C179">
    <cfRule type="expression" dxfId="176" priority="168">
      <formula>AND(#REF!&gt;0,$L180&gt;89)</formula>
    </cfRule>
    <cfRule type="expression" dxfId="175" priority="169">
      <formula>AND(#REF!&gt;0,$L180&gt;59)</formula>
    </cfRule>
  </conditionalFormatting>
  <conditionalFormatting sqref="I179:I180 I13:I49">
    <cfRule type="expression" dxfId="174" priority="166">
      <formula>AND($AD14&gt;0,$P14&gt;89)</formula>
    </cfRule>
    <cfRule type="expression" dxfId="173" priority="167">
      <formula>AND($AD14&gt;0,$P14&gt;59)</formula>
    </cfRule>
  </conditionalFormatting>
  <conditionalFormatting sqref="B194">
    <cfRule type="expression" dxfId="172" priority="164">
      <formula>AND($Z196&gt;0,$L196&gt;89)</formula>
    </cfRule>
    <cfRule type="expression" dxfId="171" priority="165">
      <formula>AND($Z196&gt;0,$L196&gt;59)</formula>
    </cfRule>
  </conditionalFormatting>
  <conditionalFormatting sqref="C194 C204:D207 G194">
    <cfRule type="expression" dxfId="170" priority="162">
      <formula>AND(#REF!&gt;0,$H194&gt;89)</formula>
    </cfRule>
    <cfRule type="expression" dxfId="169" priority="163">
      <formula>AND(#REF!&gt;0,$H194&gt;59)</formula>
    </cfRule>
  </conditionalFormatting>
  <conditionalFormatting sqref="H204:H207 H194">
    <cfRule type="expression" dxfId="168" priority="160">
      <formula>AND(#REF!&gt;0,$H194&gt;89)</formula>
    </cfRule>
    <cfRule type="expression" dxfId="167" priority="161">
      <formula>AND(#REF!&gt;0,$H194&gt;59)</formula>
    </cfRule>
  </conditionalFormatting>
  <conditionalFormatting sqref="B195:B203">
    <cfRule type="expression" dxfId="166" priority="158">
      <formula>AND($Z197&gt;0,$L197&gt;89)</formula>
    </cfRule>
    <cfRule type="expression" dxfId="165" priority="159">
      <formula>AND($Z197&gt;0,$L197&gt;59)</formula>
    </cfRule>
  </conditionalFormatting>
  <conditionalFormatting sqref="C195 C196:D203">
    <cfRule type="expression" dxfId="164" priority="156">
      <formula>AND(#REF!&gt;0,$H195&gt;89)</formula>
    </cfRule>
    <cfRule type="expression" dxfId="163" priority="157">
      <formula>AND(#REF!&gt;0,$H195&gt;59)</formula>
    </cfRule>
  </conditionalFormatting>
  <conditionalFormatting sqref="H195:H203">
    <cfRule type="expression" dxfId="162" priority="154">
      <formula>AND(#REF!&gt;0,$H195&gt;89)</formula>
    </cfRule>
    <cfRule type="expression" dxfId="161" priority="155">
      <formula>AND(#REF!&gt;0,$H195&gt;59)</formula>
    </cfRule>
  </conditionalFormatting>
  <conditionalFormatting sqref="B180">
    <cfRule type="expression" dxfId="160" priority="152">
      <formula>AND($Z182&gt;0,$L182&gt;89)</formula>
    </cfRule>
    <cfRule type="expression" dxfId="159" priority="153">
      <formula>AND($Z182&gt;0,$L182&gt;59)</formula>
    </cfRule>
  </conditionalFormatting>
  <conditionalFormatting sqref="C180:D180 G190:G193 C190:D192 G180 C193">
    <cfRule type="expression" dxfId="158" priority="150">
      <formula>AND(#REF!&gt;0,$H180&gt;89)</formula>
    </cfRule>
    <cfRule type="expression" dxfId="157" priority="151">
      <formula>AND(#REF!&gt;0,$H180&gt;59)</formula>
    </cfRule>
  </conditionalFormatting>
  <conditionalFormatting sqref="H190:H193 H180">
    <cfRule type="expression" dxfId="156" priority="148">
      <formula>AND(#REF!&gt;0,$H180&gt;89)</formula>
    </cfRule>
    <cfRule type="expression" dxfId="155" priority="149">
      <formula>AND(#REF!&gt;0,$H180&gt;59)</formula>
    </cfRule>
  </conditionalFormatting>
  <conditionalFormatting sqref="B181:B189">
    <cfRule type="expression" dxfId="154" priority="146">
      <formula>AND($Z183&gt;0,$L183&gt;89)</formula>
    </cfRule>
    <cfRule type="expression" dxfId="153" priority="147">
      <formula>AND($Z183&gt;0,$L183&gt;59)</formula>
    </cfRule>
  </conditionalFormatting>
  <conditionalFormatting sqref="G181:G189 C181:D189">
    <cfRule type="expression" dxfId="152" priority="144">
      <formula>AND(#REF!&gt;0,$H181&gt;89)</formula>
    </cfRule>
    <cfRule type="expression" dxfId="151" priority="145">
      <formula>AND(#REF!&gt;0,$H181&gt;59)</formula>
    </cfRule>
  </conditionalFormatting>
  <conditionalFormatting sqref="H181:H189">
    <cfRule type="expression" dxfId="150" priority="142">
      <formula>AND(#REF!&gt;0,$H181&gt;89)</formula>
    </cfRule>
    <cfRule type="expression" dxfId="149" priority="143">
      <formula>AND(#REF!&gt;0,$H181&gt;59)</formula>
    </cfRule>
  </conditionalFormatting>
  <conditionalFormatting sqref="D178:D179">
    <cfRule type="expression" dxfId="148" priority="140">
      <formula>AND(#REF!&gt;0,$L180&gt;89)</formula>
    </cfRule>
    <cfRule type="expression" dxfId="147" priority="141">
      <formula>AND(#REF!&gt;0,$L180&gt;59)</formula>
    </cfRule>
  </conditionalFormatting>
  <conditionalFormatting sqref="D194">
    <cfRule type="expression" dxfId="146" priority="138">
      <formula>AND(#REF!&gt;0,$H194&gt;89)</formula>
    </cfRule>
    <cfRule type="expression" dxfId="145" priority="139">
      <formula>AND(#REF!&gt;0,$H194&gt;59)</formula>
    </cfRule>
  </conditionalFormatting>
  <conditionalFormatting sqref="D195">
    <cfRule type="expression" dxfId="144" priority="136">
      <formula>AND(#REF!&gt;0,$H195&gt;89)</formula>
    </cfRule>
    <cfRule type="expression" dxfId="143" priority="137">
      <formula>AND(#REF!&gt;0,$H195&gt;59)</formula>
    </cfRule>
  </conditionalFormatting>
  <conditionalFormatting sqref="D193">
    <cfRule type="expression" dxfId="142" priority="134">
      <formula>AND(#REF!&gt;0,$H193&gt;89)</formula>
    </cfRule>
    <cfRule type="expression" dxfId="141" priority="135">
      <formula>AND(#REF!&gt;0,$H193&gt;59)</formula>
    </cfRule>
  </conditionalFormatting>
  <conditionalFormatting sqref="B170">
    <cfRule type="expression" dxfId="140" priority="132">
      <formula>AND($Z172&gt;0,$L172&gt;89)</formula>
    </cfRule>
    <cfRule type="expression" dxfId="139" priority="133">
      <formula>AND($Z172&gt;0,$L172&gt;59)</formula>
    </cfRule>
  </conditionalFormatting>
  <conditionalFormatting sqref="C170:D170 G49:G50">
    <cfRule type="expression" dxfId="138" priority="130">
      <formula>AND(#REF!&gt;0,$H49&gt;89)</formula>
    </cfRule>
    <cfRule type="expression" dxfId="137" priority="131">
      <formula>AND(#REF!&gt;0,$H49&gt;59)</formula>
    </cfRule>
  </conditionalFormatting>
  <conditionalFormatting sqref="H49:H50">
    <cfRule type="expression" dxfId="136" priority="128">
      <formula>AND(#REF!&gt;0,$H49&gt;89)</formula>
    </cfRule>
    <cfRule type="expression" dxfId="135" priority="129">
      <formula>AND(#REF!&gt;0,$H49&gt;59)</formula>
    </cfRule>
  </conditionalFormatting>
  <conditionalFormatting sqref="H170 H49:H50">
    <cfRule type="expression" dxfId="134" priority="126">
      <formula>AND(#REF!&gt;0,$H49&gt;89)</formula>
    </cfRule>
    <cfRule type="expression" dxfId="133" priority="127">
      <formula>AND(#REF!&gt;0,$H49&gt;59)</formula>
    </cfRule>
  </conditionalFormatting>
  <conditionalFormatting sqref="I50:I51">
    <cfRule type="expression" dxfId="132" priority="124">
      <formula>AND($AD51&gt;0,$P51&gt;89)</formula>
    </cfRule>
    <cfRule type="expression" dxfId="131" priority="125">
      <formula>AND($AD51&gt;0,$P51&gt;59)</formula>
    </cfRule>
  </conditionalFormatting>
  <conditionalFormatting sqref="B171:B177">
    <cfRule type="expression" dxfId="130" priority="122">
      <formula>AND($Z173&gt;0,$L173&gt;89)</formula>
    </cfRule>
    <cfRule type="expression" dxfId="129" priority="123">
      <formula>AND($Z173&gt;0,$L173&gt;59)</formula>
    </cfRule>
  </conditionalFormatting>
  <conditionalFormatting sqref="C171:D177">
    <cfRule type="expression" dxfId="128" priority="120">
      <formula>AND(#REF!&gt;0,$H171&gt;89)</formula>
    </cfRule>
    <cfRule type="expression" dxfId="127" priority="121">
      <formula>AND(#REF!&gt;0,$H171&gt;59)</formula>
    </cfRule>
  </conditionalFormatting>
  <conditionalFormatting sqref="H171:H177">
    <cfRule type="expression" dxfId="126" priority="118">
      <formula>AND(#REF!&gt;0,$H171&gt;89)</formula>
    </cfRule>
    <cfRule type="expression" dxfId="125" priority="119">
      <formula>AND(#REF!&gt;0,$H171&gt;59)</formula>
    </cfRule>
  </conditionalFormatting>
  <conditionalFormatting sqref="G65">
    <cfRule type="expression" dxfId="124" priority="116">
      <formula>AND(#REF!&gt;0,$H65&gt;89)</formula>
    </cfRule>
    <cfRule type="expression" dxfId="123" priority="117">
      <formula>AND(#REF!&gt;0,$H65&gt;59)</formula>
    </cfRule>
  </conditionalFormatting>
  <conditionalFormatting sqref="H75:H76 H65 H101:H102">
    <cfRule type="expression" dxfId="122" priority="114">
      <formula>AND(#REF!&gt;0,$H65&gt;89)</formula>
    </cfRule>
    <cfRule type="expression" dxfId="121" priority="115">
      <formula>AND(#REF!&gt;0,$H65&gt;59)</formula>
    </cfRule>
  </conditionalFormatting>
  <conditionalFormatting sqref="G66:G76 G101:G102 G170:G177">
    <cfRule type="expression" dxfId="120" priority="112">
      <formula>AND(#REF!&gt;0,$H66&gt;89)</formula>
    </cfRule>
    <cfRule type="expression" dxfId="119" priority="113">
      <formula>AND(#REF!&gt;0,$H66&gt;59)</formula>
    </cfRule>
  </conditionalFormatting>
  <conditionalFormatting sqref="H66:H74">
    <cfRule type="expression" dxfId="118" priority="110">
      <formula>AND(#REF!&gt;0,$H66&gt;89)</formula>
    </cfRule>
    <cfRule type="expression" dxfId="117" priority="111">
      <formula>AND(#REF!&gt;0,$H66&gt;59)</formula>
    </cfRule>
  </conditionalFormatting>
  <conditionalFormatting sqref="G61:G64 G51">
    <cfRule type="expression" dxfId="116" priority="108">
      <formula>AND(#REF!&gt;0,$H51&gt;89)</formula>
    </cfRule>
    <cfRule type="expression" dxfId="115" priority="109">
      <formula>AND(#REF!&gt;0,$H51&gt;59)</formula>
    </cfRule>
  </conditionalFormatting>
  <conditionalFormatting sqref="H61:H64 H51">
    <cfRule type="expression" dxfId="114" priority="106">
      <formula>AND(#REF!&gt;0,$H51&gt;89)</formula>
    </cfRule>
    <cfRule type="expression" dxfId="113" priority="107">
      <formula>AND(#REF!&gt;0,$H51&gt;59)</formula>
    </cfRule>
  </conditionalFormatting>
  <conditionalFormatting sqref="G52:G60">
    <cfRule type="expression" dxfId="112" priority="104">
      <formula>AND(#REF!&gt;0,$H52&gt;89)</formula>
    </cfRule>
    <cfRule type="expression" dxfId="111" priority="105">
      <formula>AND(#REF!&gt;0,$H52&gt;59)</formula>
    </cfRule>
  </conditionalFormatting>
  <conditionalFormatting sqref="H52:H60">
    <cfRule type="expression" dxfId="110" priority="102">
      <formula>AND(#REF!&gt;0,$H52&gt;89)</formula>
    </cfRule>
    <cfRule type="expression" dxfId="109" priority="103">
      <formula>AND(#REF!&gt;0,$H52&gt;59)</formula>
    </cfRule>
  </conditionalFormatting>
  <conditionalFormatting sqref="G87:G88">
    <cfRule type="expression" dxfId="108" priority="100">
      <formula>AND(#REF!&gt;0,$H87&gt;89)</formula>
    </cfRule>
    <cfRule type="expression" dxfId="107" priority="101">
      <formula>AND(#REF!&gt;0,$H87&gt;59)</formula>
    </cfRule>
  </conditionalFormatting>
  <conditionalFormatting sqref="H87:H88">
    <cfRule type="expression" dxfId="106" priority="98">
      <formula>AND(#REF!&gt;0,$H87&gt;89)</formula>
    </cfRule>
    <cfRule type="expression" dxfId="105" priority="99">
      <formula>AND(#REF!&gt;0,$H87&gt;59)</formula>
    </cfRule>
  </conditionalFormatting>
  <conditionalFormatting sqref="H87:H88">
    <cfRule type="expression" dxfId="104" priority="96">
      <formula>AND(#REF!&gt;0,$H87&gt;89)</formula>
    </cfRule>
    <cfRule type="expression" dxfId="103" priority="97">
      <formula>AND(#REF!&gt;0,$H87&gt;59)</formula>
    </cfRule>
  </conditionalFormatting>
  <conditionalFormatting sqref="I88:I89">
    <cfRule type="expression" dxfId="102" priority="94">
      <formula>AND($AD89&gt;0,$P89&gt;89)</formula>
    </cfRule>
    <cfRule type="expression" dxfId="101" priority="95">
      <formula>AND($AD89&gt;0,$P89&gt;59)</formula>
    </cfRule>
  </conditionalFormatting>
  <conditionalFormatting sqref="G99:G100 G89">
    <cfRule type="expression" dxfId="100" priority="92">
      <formula>AND(#REF!&gt;0,$H89&gt;89)</formula>
    </cfRule>
    <cfRule type="expression" dxfId="99" priority="93">
      <formula>AND(#REF!&gt;0,$H89&gt;59)</formula>
    </cfRule>
  </conditionalFormatting>
  <conditionalFormatting sqref="H99:H100 H89">
    <cfRule type="expression" dxfId="98" priority="90">
      <formula>AND(#REF!&gt;0,$H89&gt;89)</formula>
    </cfRule>
    <cfRule type="expression" dxfId="97" priority="91">
      <formula>AND(#REF!&gt;0,$H89&gt;59)</formula>
    </cfRule>
  </conditionalFormatting>
  <conditionalFormatting sqref="G90:G98">
    <cfRule type="expression" dxfId="96" priority="88">
      <formula>AND(#REF!&gt;0,$H90&gt;89)</formula>
    </cfRule>
    <cfRule type="expression" dxfId="95" priority="89">
      <formula>AND(#REF!&gt;0,$H90&gt;59)</formula>
    </cfRule>
  </conditionalFormatting>
  <conditionalFormatting sqref="H90:H98">
    <cfRule type="expression" dxfId="94" priority="86">
      <formula>AND(#REF!&gt;0,$H90&gt;89)</formula>
    </cfRule>
    <cfRule type="expression" dxfId="93" priority="87">
      <formula>AND(#REF!&gt;0,$H90&gt;59)</formula>
    </cfRule>
  </conditionalFormatting>
  <conditionalFormatting sqref="H79">
    <cfRule type="expression" dxfId="92" priority="84">
      <formula>AND(#REF!&gt;0,$H79&gt;89)</formula>
    </cfRule>
    <cfRule type="expression" dxfId="91" priority="85">
      <formula>AND(#REF!&gt;0,$H79&gt;59)</formula>
    </cfRule>
  </conditionalFormatting>
  <conditionalFormatting sqref="H80:H86">
    <cfRule type="expression" dxfId="90" priority="82">
      <formula>AND(#REF!&gt;0,$H80&gt;89)</formula>
    </cfRule>
    <cfRule type="expression" dxfId="89" priority="83">
      <formula>AND(#REF!&gt;0,$H80&gt;59)</formula>
    </cfRule>
  </conditionalFormatting>
  <conditionalFormatting sqref="H77:H78">
    <cfRule type="expression" dxfId="88" priority="80">
      <formula>AND(#REF!&gt;0,$H77&gt;89)</formula>
    </cfRule>
    <cfRule type="expression" dxfId="87" priority="81">
      <formula>AND(#REF!&gt;0,$H77&gt;59)</formula>
    </cfRule>
  </conditionalFormatting>
  <conditionalFormatting sqref="G77:G86">
    <cfRule type="expression" dxfId="86" priority="78">
      <formula>AND(#REF!&gt;0,$H77&gt;89)</formula>
    </cfRule>
    <cfRule type="expression" dxfId="85" priority="79">
      <formula>AND(#REF!&gt;0,$H77&gt;59)</formula>
    </cfRule>
  </conditionalFormatting>
  <conditionalFormatting sqref="G111:G112">
    <cfRule type="expression" dxfId="84" priority="76">
      <formula>AND(#REF!&gt;0,$H111&gt;89)</formula>
    </cfRule>
    <cfRule type="expression" dxfId="83" priority="77">
      <formula>AND(#REF!&gt;0,$H111&gt;59)</formula>
    </cfRule>
  </conditionalFormatting>
  <conditionalFormatting sqref="H111:H112">
    <cfRule type="expression" dxfId="82" priority="74">
      <formula>AND(#REF!&gt;0,$H111&gt;89)</formula>
    </cfRule>
    <cfRule type="expression" dxfId="81" priority="75">
      <formula>AND(#REF!&gt;0,$H111&gt;59)</formula>
    </cfRule>
  </conditionalFormatting>
  <conditionalFormatting sqref="H151:H154 H141 H111:H112">
    <cfRule type="expression" dxfId="80" priority="72">
      <formula>AND(#REF!&gt;0,$H111&gt;89)</formula>
    </cfRule>
    <cfRule type="expression" dxfId="79" priority="73">
      <formula>AND(#REF!&gt;0,$H111&gt;59)</formula>
    </cfRule>
  </conditionalFormatting>
  <conditionalFormatting sqref="I112:I113">
    <cfRule type="expression" dxfId="78" priority="70">
      <formula>AND($AD113&gt;0,$P113&gt;89)</formula>
    </cfRule>
    <cfRule type="expression" dxfId="77" priority="71">
      <formula>AND($AD113&gt;0,$P113&gt;59)</formula>
    </cfRule>
  </conditionalFormatting>
  <conditionalFormatting sqref="H142:H150">
    <cfRule type="expression" dxfId="76" priority="68">
      <formula>AND(#REF!&gt;0,$H142&gt;89)</formula>
    </cfRule>
    <cfRule type="expression" dxfId="75" priority="69">
      <formula>AND(#REF!&gt;0,$H142&gt;59)</formula>
    </cfRule>
  </conditionalFormatting>
  <conditionalFormatting sqref="G127">
    <cfRule type="expression" dxfId="74" priority="66">
      <formula>AND(#REF!&gt;0,$H127&gt;89)</formula>
    </cfRule>
    <cfRule type="expression" dxfId="73" priority="67">
      <formula>AND(#REF!&gt;0,$H127&gt;59)</formula>
    </cfRule>
  </conditionalFormatting>
  <conditionalFormatting sqref="H137:H140 H127">
    <cfRule type="expression" dxfId="72" priority="64">
      <formula>AND(#REF!&gt;0,$H127&gt;89)</formula>
    </cfRule>
    <cfRule type="expression" dxfId="71" priority="65">
      <formula>AND(#REF!&gt;0,$H127&gt;59)</formula>
    </cfRule>
  </conditionalFormatting>
  <conditionalFormatting sqref="G128:G163">
    <cfRule type="expression" dxfId="70" priority="62">
      <formula>AND(#REF!&gt;0,$H128&gt;89)</formula>
    </cfRule>
    <cfRule type="expression" dxfId="69" priority="63">
      <formula>AND(#REF!&gt;0,$H128&gt;59)</formula>
    </cfRule>
  </conditionalFormatting>
  <conditionalFormatting sqref="H128:H136">
    <cfRule type="expression" dxfId="68" priority="60">
      <formula>AND(#REF!&gt;0,$H128&gt;89)</formula>
    </cfRule>
    <cfRule type="expression" dxfId="67" priority="61">
      <formula>AND(#REF!&gt;0,$H128&gt;59)</formula>
    </cfRule>
  </conditionalFormatting>
  <conditionalFormatting sqref="G123:G126 G113">
    <cfRule type="expression" dxfId="66" priority="58">
      <formula>AND(#REF!&gt;0,$H113&gt;89)</formula>
    </cfRule>
    <cfRule type="expression" dxfId="65" priority="59">
      <formula>AND(#REF!&gt;0,$H113&gt;59)</formula>
    </cfRule>
  </conditionalFormatting>
  <conditionalFormatting sqref="H123:H126 H113">
    <cfRule type="expression" dxfId="64" priority="56">
      <formula>AND(#REF!&gt;0,$H113&gt;89)</formula>
    </cfRule>
    <cfRule type="expression" dxfId="63" priority="57">
      <formula>AND(#REF!&gt;0,$H113&gt;59)</formula>
    </cfRule>
  </conditionalFormatting>
  <conditionalFormatting sqref="G114:G122">
    <cfRule type="expression" dxfId="62" priority="54">
      <formula>AND(#REF!&gt;0,$H114&gt;89)</formula>
    </cfRule>
    <cfRule type="expression" dxfId="61" priority="55">
      <formula>AND(#REF!&gt;0,$H114&gt;59)</formula>
    </cfRule>
  </conditionalFormatting>
  <conditionalFormatting sqref="H114:H122">
    <cfRule type="expression" dxfId="60" priority="52">
      <formula>AND(#REF!&gt;0,$H114&gt;89)</formula>
    </cfRule>
    <cfRule type="expression" dxfId="59" priority="53">
      <formula>AND(#REF!&gt;0,$H114&gt;59)</formula>
    </cfRule>
  </conditionalFormatting>
  <conditionalFormatting sqref="B166:B169">
    <cfRule type="expression" dxfId="58" priority="50">
      <formula>AND($Z168&gt;0,$L168&gt;89)</formula>
    </cfRule>
    <cfRule type="expression" dxfId="57" priority="51">
      <formula>AND($Z168&gt;0,$L168&gt;59)</formula>
    </cfRule>
  </conditionalFormatting>
  <conditionalFormatting sqref="C166:D169 G166:G169">
    <cfRule type="expression" dxfId="56" priority="48">
      <formula>AND(#REF!&gt;0,$H166&gt;89)</formula>
    </cfRule>
    <cfRule type="expression" dxfId="55" priority="49">
      <formula>AND(#REF!&gt;0,$H166&gt;59)</formula>
    </cfRule>
  </conditionalFormatting>
  <conditionalFormatting sqref="H166:H169">
    <cfRule type="expression" dxfId="54" priority="46">
      <formula>AND(#REF!&gt;0,$H166&gt;89)</formula>
    </cfRule>
    <cfRule type="expression" dxfId="53" priority="47">
      <formula>AND(#REF!&gt;0,$H166&gt;59)</formula>
    </cfRule>
  </conditionalFormatting>
  <conditionalFormatting sqref="B161:B165">
    <cfRule type="expression" dxfId="52" priority="44">
      <formula>AND($Z163&gt;0,$L163&gt;89)</formula>
    </cfRule>
    <cfRule type="expression" dxfId="51" priority="45">
      <formula>AND($Z163&gt;0,$L163&gt;59)</formula>
    </cfRule>
  </conditionalFormatting>
  <conditionalFormatting sqref="C161:D165 G164:G165">
    <cfRule type="expression" dxfId="50" priority="42">
      <formula>AND(#REF!&gt;0,$H161&gt;89)</formula>
    </cfRule>
    <cfRule type="expression" dxfId="49" priority="43">
      <formula>AND(#REF!&gt;0,$H161&gt;59)</formula>
    </cfRule>
  </conditionalFormatting>
  <conditionalFormatting sqref="H161:H165">
    <cfRule type="expression" dxfId="48" priority="40">
      <formula>AND(#REF!&gt;0,$H161&gt;89)</formula>
    </cfRule>
    <cfRule type="expression" dxfId="47" priority="41">
      <formula>AND(#REF!&gt;0,$H161&gt;59)</formula>
    </cfRule>
  </conditionalFormatting>
  <conditionalFormatting sqref="B155:B160">
    <cfRule type="expression" dxfId="46" priority="38">
      <formula>AND($Z157&gt;0,$L157&gt;89)</formula>
    </cfRule>
    <cfRule type="expression" dxfId="45" priority="39">
      <formula>AND($Z157&gt;0,$L157&gt;59)</formula>
    </cfRule>
  </conditionalFormatting>
  <conditionalFormatting sqref="C155:D160">
    <cfRule type="expression" dxfId="44" priority="36">
      <formula>AND(#REF!&gt;0,$H155&gt;89)</formula>
    </cfRule>
    <cfRule type="expression" dxfId="43" priority="37">
      <formula>AND(#REF!&gt;0,$H155&gt;59)</formula>
    </cfRule>
  </conditionalFormatting>
  <conditionalFormatting sqref="H155:H160">
    <cfRule type="expression" dxfId="42" priority="34">
      <formula>AND(#REF!&gt;0,$H155&gt;89)</formula>
    </cfRule>
    <cfRule type="expression" dxfId="41" priority="35">
      <formula>AND(#REF!&gt;0,$H155&gt;59)</formula>
    </cfRule>
  </conditionalFormatting>
  <conditionalFormatting sqref="H103">
    <cfRule type="expression" dxfId="40" priority="32">
      <formula>AND(#REF!&gt;0,$H103&gt;89)</formula>
    </cfRule>
    <cfRule type="expression" dxfId="39" priority="33">
      <formula>AND(#REF!&gt;0,$H103&gt;59)</formula>
    </cfRule>
  </conditionalFormatting>
  <conditionalFormatting sqref="H104:H110">
    <cfRule type="expression" dxfId="38" priority="30">
      <formula>AND(#REF!&gt;0,$H104&gt;89)</formula>
    </cfRule>
    <cfRule type="expression" dxfId="37" priority="31">
      <formula>AND(#REF!&gt;0,$H104&gt;59)</formula>
    </cfRule>
  </conditionalFormatting>
  <conditionalFormatting sqref="G103:G110">
    <cfRule type="expression" dxfId="36" priority="28">
      <formula>AND(#REF!&gt;0,$H103&gt;89)</formula>
    </cfRule>
    <cfRule type="expression" dxfId="35" priority="29">
      <formula>AND(#REF!&gt;0,$H103&gt;59)</formula>
    </cfRule>
  </conditionalFormatting>
  <conditionalFormatting sqref="C216">
    <cfRule type="expression" dxfId="34" priority="26">
      <formula>AND(#REF!&gt;0,$H216&gt;89)</formula>
    </cfRule>
    <cfRule type="expression" dxfId="33" priority="27">
      <formula>AND(#REF!&gt;0,$H216&gt;59)</formula>
    </cfRule>
  </conditionalFormatting>
  <conditionalFormatting sqref="F14:G33">
    <cfRule type="expression" dxfId="32" priority="192">
      <formula>AND(#REF!&gt;0,$M16&gt;89)</formula>
    </cfRule>
    <cfRule type="expression" dxfId="31" priority="193">
      <formula>AND(#REF!&gt;0,$M16&gt;59)</formula>
    </cfRule>
  </conditionalFormatting>
  <conditionalFormatting sqref="B178:B179">
    <cfRule type="expression" dxfId="30" priority="194">
      <formula>AND($AD180&gt;0,$P180&gt;89)</formula>
    </cfRule>
    <cfRule type="expression" dxfId="29" priority="195">
      <formula>AND($AD180&gt;0,$P180&gt;59)</formula>
    </cfRule>
  </conditionalFormatting>
  <conditionalFormatting sqref="F13:G13">
    <cfRule type="expression" dxfId="28" priority="196">
      <formula>AND(#REF!&gt;0,$M14&gt;89)</formula>
    </cfRule>
    <cfRule type="expression" dxfId="27" priority="197">
      <formula>AND(#REF!&gt;0,$M14&gt;59)</formula>
    </cfRule>
  </conditionalFormatting>
  <conditionalFormatting sqref="B214">
    <cfRule type="expression" dxfId="26" priority="198">
      <formula>AND($Z215&gt;0,$L215&gt;89)</formula>
    </cfRule>
    <cfRule type="expression" dxfId="25" priority="199">
      <formula>AND($Z215&gt;0,$L215&gt;59)</formula>
    </cfRule>
  </conditionalFormatting>
  <conditionalFormatting sqref="B130:B154">
    <cfRule type="expression" dxfId="24" priority="23">
      <formula>AND($AK130&gt;0,$W130&gt;89)</formula>
    </cfRule>
    <cfRule type="expression" dxfId="23" priority="24">
      <formula>AND($AK130&gt;0,$W130&gt;59)</formula>
    </cfRule>
    <cfRule type="expression" dxfId="22" priority="25">
      <formula>AND($AK130&gt;0,$W130&gt;44)</formula>
    </cfRule>
  </conditionalFormatting>
  <conditionalFormatting sqref="B85:B95">
    <cfRule type="expression" dxfId="21" priority="20">
      <formula>AND($AK85&gt;0,$W85&gt;89)</formula>
    </cfRule>
    <cfRule type="expression" dxfId="20" priority="21">
      <formula>AND($AK85&gt;0,$W85&gt;59)</formula>
    </cfRule>
    <cfRule type="expression" dxfId="19" priority="22">
      <formula>AND($AK85&gt;0,$W85&gt;44)</formula>
    </cfRule>
  </conditionalFormatting>
  <conditionalFormatting sqref="B96:B129">
    <cfRule type="expression" dxfId="18" priority="17">
      <formula>AND($AK96&gt;0,$W96&gt;89)</formula>
    </cfRule>
    <cfRule type="expression" dxfId="17" priority="18">
      <formula>AND($AK96&gt;0,$W96&gt;59)</formula>
    </cfRule>
    <cfRule type="expression" dxfId="16" priority="19">
      <formula>AND($AK96&gt;0,$W96&gt;44)</formula>
    </cfRule>
  </conditionalFormatting>
  <conditionalFormatting sqref="B4:B32">
    <cfRule type="expression" dxfId="15" priority="14">
      <formula>AND($AK4&gt;0,$W4&gt;89)</formula>
    </cfRule>
    <cfRule type="expression" dxfId="14" priority="15">
      <formula>AND($AK4&gt;0,$W4&gt;59)</formula>
    </cfRule>
    <cfRule type="expression" dxfId="13" priority="16">
      <formula>AND($AK4&gt;0,$W4&gt;44)</formula>
    </cfRule>
  </conditionalFormatting>
  <conditionalFormatting sqref="B33:B78">
    <cfRule type="expression" dxfId="12" priority="11">
      <formula>AND($AK33&gt;0,$W33&gt;89)</formula>
    </cfRule>
    <cfRule type="expression" dxfId="11" priority="12">
      <formula>AND($AK33&gt;0,$W33&gt;59)</formula>
    </cfRule>
    <cfRule type="expression" dxfId="10" priority="13">
      <formula>AND($AK33&gt;0,$W33&gt;44)</formula>
    </cfRule>
  </conditionalFormatting>
  <conditionalFormatting sqref="B79:B84">
    <cfRule type="expression" dxfId="9" priority="8">
      <formula>AND($AK79&gt;0,$W79&gt;89)</formula>
    </cfRule>
    <cfRule type="expression" dxfId="8" priority="9">
      <formula>AND($AK79&gt;0,$W79&gt;59)</formula>
    </cfRule>
    <cfRule type="expression" dxfId="7" priority="10">
      <formula>AND($AK79&gt;0,$W79&gt;44)</formula>
    </cfRule>
  </conditionalFormatting>
  <conditionalFormatting sqref="G4:G8">
    <cfRule type="expression" dxfId="6" priority="5">
      <formula>AND($AK4&gt;0,$W4&gt;89)</formula>
    </cfRule>
    <cfRule type="expression" dxfId="5" priority="6">
      <formula>AND($AK4&gt;0,$W4&gt;59)</formula>
    </cfRule>
    <cfRule type="expression" dxfId="4" priority="7">
      <formula>AND($AK4&gt;0,$W4&gt;44)</formula>
    </cfRule>
  </conditionalFormatting>
  <conditionalFormatting sqref="B219">
    <cfRule type="expression" dxfId="3" priority="3">
      <formula>AND(#REF!&gt;0,$H219&gt;89)</formula>
    </cfRule>
    <cfRule type="expression" dxfId="2" priority="4">
      <formula>AND(#REF!&gt;0,$H219&gt;59)</formula>
    </cfRule>
  </conditionalFormatting>
  <conditionalFormatting sqref="C219">
    <cfRule type="expression" dxfId="1" priority="1">
      <formula>AND(#REF!&gt;0,$H219&gt;89)</formula>
    </cfRule>
    <cfRule type="expression" dxfId="0" priority="2">
      <formula>AND(#REF!&gt;0,$H219&gt;59)</formula>
    </cfRule>
  </conditionalFormatting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Pencapaian OD &amp; TF</vt:lpstr>
      <vt:lpstr>Kalender</vt:lpstr>
      <vt:lpstr>Simulasi OD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adm1</dc:creator>
  <cp:lastModifiedBy>adm1</cp:lastModifiedBy>
  <dcterms:created xsi:type="dcterms:W3CDTF">2026-02-21T03:49:40Z</dcterms:created>
  <dcterms:modified xsi:type="dcterms:W3CDTF">2026-02-21T03:55:17Z</dcterms:modified>
</cp:coreProperties>
</file>