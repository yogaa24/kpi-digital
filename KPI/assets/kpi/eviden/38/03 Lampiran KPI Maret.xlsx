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6720" activeTab="2"/>
  </bookViews>
  <sheets>
    <sheet name="Update Penjualan (2)" sheetId="1" r:id="rId1"/>
    <sheet name="Kertas Kerja Harian (2)" sheetId="2" r:id="rId2"/>
    <sheet name="Back Up (2)" sheetId="3" r:id="rId3"/>
    <sheet name="Retur (2)" sheetId="4" r:id="rId4"/>
  </sheets>
  <externalReferences>
    <externalReference r:id="rId5"/>
  </externalReferences>
  <definedNames>
    <definedName name="a" localSheetId="3">#REF!</definedName>
    <definedName name="a" localSheetId="0">#REF!</definedName>
    <definedName name="a">#REF!</definedName>
    <definedName name="Progresit">'[1]PROGRES TUGAS IT 2020'!$B$3:$L$215</definedName>
    <definedName name="sortsummary" localSheetId="1">#REF!</definedName>
    <definedName name="sortsummary" localSheetId="3">#REF!</definedName>
    <definedName name="sortsummary" localSheetId="0">#REF!</definedName>
    <definedName name="sortsummary">#REF!</definedName>
  </definedNames>
  <calcPr calcId="144525"/>
</workbook>
</file>

<file path=xl/calcChain.xml><?xml version="1.0" encoding="utf-8"?>
<calcChain xmlns="http://schemas.openxmlformats.org/spreadsheetml/2006/main">
  <c r="G34" i="4" l="1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7" i="4"/>
  <c r="G6" i="4"/>
  <c r="G5" i="4"/>
  <c r="G4" i="4"/>
  <c r="G3" i="4"/>
  <c r="G2" i="4"/>
  <c r="G35" i="4" s="1"/>
  <c r="H34" i="2"/>
  <c r="F34" i="2"/>
  <c r="D34" i="2"/>
  <c r="I34" i="2" s="1"/>
  <c r="E25" i="1"/>
</calcChain>
</file>

<file path=xl/sharedStrings.xml><?xml version="1.0" encoding="utf-8"?>
<sst xmlns="http://schemas.openxmlformats.org/spreadsheetml/2006/main" count="117" uniqueCount="87">
  <si>
    <t>Update Penjualan</t>
  </si>
  <si>
    <t>Tgl</t>
  </si>
  <si>
    <t>Tutup Penjualan</t>
  </si>
  <si>
    <t>Update</t>
  </si>
  <si>
    <t>Durasi Pengerjaan</t>
  </si>
  <si>
    <t>Minggu</t>
  </si>
  <si>
    <t>8x</t>
  </si>
  <si>
    <t>Libur</t>
  </si>
  <si>
    <t>Rata2</t>
  </si>
  <si>
    <t>Tanggal</t>
  </si>
  <si>
    <t>Update Data Penjualan</t>
  </si>
  <si>
    <t>Update Plafon All Cust</t>
  </si>
  <si>
    <t>Tercapai</t>
  </si>
  <si>
    <t>Cek Data Penjualan dgn Zahir</t>
  </si>
  <si>
    <t>Cek Qty harian Excel &amp; Zahir</t>
  </si>
  <si>
    <t>h+1</t>
  </si>
  <si>
    <t>H+1 sambil handle PL mbak dewi cuti</t>
  </si>
  <si>
    <t>pagi masi nyelesaikan penjualan kemarin sore yg blm dikerjakan pas back up PL</t>
  </si>
  <si>
    <t>Back Up</t>
  </si>
  <si>
    <t>Update Tax Feb</t>
  </si>
  <si>
    <t>info selesai dr stok tgl 13/2/26</t>
  </si>
  <si>
    <t>No</t>
  </si>
  <si>
    <t>No LPB</t>
  </si>
  <si>
    <t>Nama Toko</t>
  </si>
  <si>
    <t>Tgl Distribusi</t>
  </si>
  <si>
    <t>Tgl Pengerjaan</t>
  </si>
  <si>
    <t>Durasi</t>
  </si>
  <si>
    <t>RA2600037</t>
  </si>
  <si>
    <t>Arinda/KIU</t>
  </si>
  <si>
    <t>RA26000010B</t>
  </si>
  <si>
    <t>RA2600039</t>
  </si>
  <si>
    <t>R26000036</t>
  </si>
  <si>
    <t>Riski Tani/Hadi</t>
  </si>
  <si>
    <t>R26000037</t>
  </si>
  <si>
    <t>Widya Parta, UD</t>
  </si>
  <si>
    <t>RA2600038</t>
  </si>
  <si>
    <t>Jaya Tani/Rida</t>
  </si>
  <si>
    <t>R26000038</t>
  </si>
  <si>
    <t>Rekan Tani/Liong Putu</t>
  </si>
  <si>
    <t>mbak dewi info 15.53</t>
  </si>
  <si>
    <t>R26000008B</t>
  </si>
  <si>
    <t>Anugrah Tani/Agung</t>
  </si>
  <si>
    <t>R26000009B</t>
  </si>
  <si>
    <t>Jaya Abadi, UD/Misdi</t>
  </si>
  <si>
    <t>R26000010B</t>
  </si>
  <si>
    <t>Mulur, UD</t>
  </si>
  <si>
    <t>R26000039</t>
  </si>
  <si>
    <t>Bintang Tani/Kabul</t>
  </si>
  <si>
    <t>RA2600042</t>
  </si>
  <si>
    <t>Gota, Toko/Pujiono</t>
  </si>
  <si>
    <t>RA2600043</t>
  </si>
  <si>
    <t>Konco Tani/Hamdani</t>
  </si>
  <si>
    <t>R26000040</t>
  </si>
  <si>
    <t>Mubarok, Toko</t>
  </si>
  <si>
    <t>R26000041</t>
  </si>
  <si>
    <t>Tani Sentosa</t>
  </si>
  <si>
    <t>RA2600045</t>
  </si>
  <si>
    <t>Karisma Indoagro Universal, PT</t>
  </si>
  <si>
    <t>RA2600047</t>
  </si>
  <si>
    <t>RA2600049</t>
  </si>
  <si>
    <t>Tani Makmur/Akhmad</t>
  </si>
  <si>
    <t>R26000042</t>
  </si>
  <si>
    <t>Oat Mitoku Agrio, PT</t>
  </si>
  <si>
    <t>R26000011B</t>
  </si>
  <si>
    <t>Sumber Makmur/Masrokib</t>
  </si>
  <si>
    <t>RA2600050</t>
  </si>
  <si>
    <t>RA2600051</t>
  </si>
  <si>
    <t>Surya Tani/Mashuri</t>
  </si>
  <si>
    <t>R26000012B</t>
  </si>
  <si>
    <t>Pusaka Tani/Ashari</t>
  </si>
  <si>
    <t>R26000013B</t>
  </si>
  <si>
    <t>Maju, UD/Agus</t>
  </si>
  <si>
    <t>R26000014B</t>
  </si>
  <si>
    <t>R26000043</t>
  </si>
  <si>
    <t>Jaya Tani/Asfiyak</t>
  </si>
  <si>
    <t>R26000044</t>
  </si>
  <si>
    <t>Online Shop Tik tok</t>
  </si>
  <si>
    <t>R26000045</t>
  </si>
  <si>
    <t>Online Shop Shopee</t>
  </si>
  <si>
    <t>R26000046</t>
  </si>
  <si>
    <t>Sumber Berkat/Agus</t>
  </si>
  <si>
    <t>R26000047</t>
  </si>
  <si>
    <t>R26000048</t>
  </si>
  <si>
    <t>RA2600054</t>
  </si>
  <si>
    <t>R26000049</t>
  </si>
  <si>
    <t>Tempurejo, PT</t>
  </si>
  <si>
    <t>pengerjaan h+0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</si>
</sst>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[$-409]d\-mmm;@"/>
    <numFmt numFmtId="166" formatCode="[$-409]dd\-mmm\-yy;@"/>
    <numFmt numFmtId="167" formatCode="[$-409]d\-mmm\-yy;@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rgb="FF0000FF"/>
      <name val="Khmer UI"/>
      <family val="2"/>
    </font>
    <font>
      <sz val="8"/>
      <color rgb="FF000000"/>
      <name val="Tahoma"/>
      <family val="2"/>
    </font>
    <font>
      <sz val="8"/>
      <color rgb="FF0000FF"/>
      <name val="Arial"/>
      <family val="2"/>
    </font>
    <font>
      <sz val="9"/>
      <color rgb="FF000000"/>
      <name val="Tahoma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FF0000"/>
      <name val="Khmer UI"/>
      <family val="2"/>
    </font>
    <font>
      <sz val="8"/>
      <name val="Khmer UI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99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>
      <alignment horizontal="left" vertical="top"/>
    </xf>
    <xf numFmtId="0" fontId="13" fillId="0" borderId="0">
      <alignment horizontal="left" vertical="top"/>
    </xf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19" fillId="0" borderId="0"/>
    <xf numFmtId="0" fontId="1" fillId="0" borderId="0"/>
    <xf numFmtId="0" fontId="19" fillId="0" borderId="0"/>
    <xf numFmtId="0" fontId="20" fillId="0" borderId="0"/>
    <xf numFmtId="0" fontId="19" fillId="10" borderId="0"/>
    <xf numFmtId="0" fontId="1" fillId="0" borderId="0"/>
    <xf numFmtId="0" fontId="22" fillId="10" borderId="0"/>
    <xf numFmtId="0" fontId="20" fillId="0" borderId="0"/>
    <xf numFmtId="167" fontId="1" fillId="0" borderId="0"/>
    <xf numFmtId="167" fontId="1" fillId="0" borderId="0"/>
    <xf numFmtId="167" fontId="1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3" fillId="0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left" vertical="top"/>
    </xf>
    <xf numFmtId="0" fontId="24" fillId="0" borderId="0">
      <alignment horizontal="left" vertical="top"/>
    </xf>
    <xf numFmtId="0" fontId="25" fillId="0" borderId="0">
      <alignment horizontal="left" vertical="top"/>
    </xf>
    <xf numFmtId="0" fontId="19" fillId="11" borderId="0">
      <alignment horizontal="center" vertical="top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righ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27" fillId="0" borderId="0">
      <alignment horizontal="left" vertical="top"/>
    </xf>
    <xf numFmtId="0" fontId="23" fillId="0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top"/>
    </xf>
    <xf numFmtId="0" fontId="19" fillId="11" borderId="0">
      <alignment horizontal="center" vertical="top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30" fillId="0" borderId="0">
      <alignment horizontal="left" vertical="top"/>
    </xf>
    <xf numFmtId="0" fontId="31" fillId="0" borderId="0">
      <alignment horizontal="left" vertical="top"/>
    </xf>
    <xf numFmtId="0" fontId="28" fillId="0" borderId="0">
      <alignment horizontal="left" vertical="top"/>
    </xf>
    <xf numFmtId="0" fontId="32" fillId="0" borderId="0">
      <alignment horizontal="left" vertical="top"/>
    </xf>
    <xf numFmtId="0" fontId="11" fillId="0" borderId="0">
      <alignment horizontal="left" vertical="top"/>
    </xf>
    <xf numFmtId="0" fontId="19" fillId="11" borderId="0">
      <alignment horizontal="left" vertical="top"/>
    </xf>
    <xf numFmtId="0" fontId="33" fillId="0" borderId="0">
      <alignment horizontal="left" vertical="top"/>
    </xf>
    <xf numFmtId="0" fontId="34" fillId="0" borderId="0">
      <alignment horizontal="right" vertical="top"/>
    </xf>
    <xf numFmtId="0" fontId="35" fillId="0" borderId="0">
      <alignment horizontal="right" vertical="center"/>
    </xf>
    <xf numFmtId="0" fontId="23" fillId="0" borderId="0">
      <alignment horizontal="right" vertical="top"/>
    </xf>
    <xf numFmtId="0" fontId="23" fillId="0" borderId="0">
      <alignment horizontal="left" vertical="top"/>
    </xf>
    <xf numFmtId="167" fontId="11" fillId="0" borderId="0">
      <alignment horizontal="left" vertical="top"/>
    </xf>
    <xf numFmtId="0" fontId="32" fillId="0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1" fillId="0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right" vertical="top"/>
    </xf>
    <xf numFmtId="0" fontId="19" fillId="0" borderId="0">
      <alignment horizontal="left" vertical="top"/>
    </xf>
    <xf numFmtId="0" fontId="19" fillId="0" borderId="0">
      <alignment horizontal="right" vertical="top"/>
    </xf>
    <xf numFmtId="0" fontId="28" fillId="0" borderId="0">
      <alignment horizontal="right" vertical="top"/>
    </xf>
    <xf numFmtId="0" fontId="36" fillId="0" borderId="0">
      <alignment horizontal="left" vertical="top"/>
    </xf>
    <xf numFmtId="0" fontId="31" fillId="0" borderId="0">
      <alignment horizontal="left" vertical="top"/>
    </xf>
    <xf numFmtId="0" fontId="19" fillId="11" borderId="0">
      <alignment horizontal="left" vertical="top"/>
    </xf>
    <xf numFmtId="0" fontId="33" fillId="0" borderId="0">
      <alignment horizontal="left" vertical="top"/>
    </xf>
    <xf numFmtId="0" fontId="34" fillId="0" borderId="0">
      <alignment horizontal="left" vertical="top"/>
    </xf>
    <xf numFmtId="0" fontId="33" fillId="0" borderId="0">
      <alignment horizontal="right" vertical="top"/>
    </xf>
    <xf numFmtId="0" fontId="23" fillId="0" borderId="0">
      <alignment horizontal="left" vertical="top"/>
    </xf>
    <xf numFmtId="0" fontId="31" fillId="0" borderId="0">
      <alignment horizontal="left" vertical="top"/>
    </xf>
    <xf numFmtId="0" fontId="23" fillId="0" borderId="0">
      <alignment horizontal="right" vertical="top"/>
    </xf>
    <xf numFmtId="0" fontId="31" fillId="0" borderId="0">
      <alignment horizontal="right" vertical="top"/>
    </xf>
    <xf numFmtId="167" fontId="23" fillId="0" borderId="0">
      <alignment horizontal="right" vertical="top"/>
    </xf>
    <xf numFmtId="0" fontId="19" fillId="11" borderId="0">
      <alignment horizontal="left" vertical="top"/>
    </xf>
    <xf numFmtId="0" fontId="19" fillId="0" borderId="0">
      <alignment horizontal="left" vertical="top"/>
    </xf>
    <xf numFmtId="0" fontId="11" fillId="0" borderId="0">
      <alignment horizontal="left" vertical="top"/>
    </xf>
    <xf numFmtId="0" fontId="19" fillId="0" borderId="0">
      <alignment horizontal="right" vertical="top"/>
    </xf>
    <xf numFmtId="0" fontId="19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right" vertical="top"/>
    </xf>
    <xf numFmtId="0" fontId="34" fillId="0" borderId="0">
      <alignment horizontal="right" vertical="top"/>
    </xf>
    <xf numFmtId="0" fontId="32" fillId="0" borderId="0">
      <alignment horizontal="left" vertical="top"/>
    </xf>
    <xf numFmtId="0" fontId="37" fillId="0" borderId="0">
      <alignment horizontal="right" vertical="top"/>
    </xf>
    <xf numFmtId="0" fontId="31" fillId="0" borderId="0">
      <alignment horizontal="right" vertical="top"/>
    </xf>
    <xf numFmtId="0" fontId="11" fillId="0" borderId="0">
      <alignment horizontal="left" vertical="top"/>
    </xf>
    <xf numFmtId="167" fontId="23" fillId="0" borderId="0">
      <alignment horizontal="right" vertical="top"/>
    </xf>
    <xf numFmtId="0" fontId="19" fillId="0" borderId="0">
      <alignment horizontal="left" vertical="top"/>
    </xf>
    <xf numFmtId="0" fontId="28" fillId="0" borderId="0">
      <alignment horizontal="left" vertical="top"/>
    </xf>
    <xf numFmtId="0" fontId="34" fillId="0" borderId="0">
      <alignment horizontal="left" vertical="top"/>
    </xf>
    <xf numFmtId="0" fontId="34" fillId="0" borderId="0">
      <alignment horizontal="right" vertical="top"/>
    </xf>
    <xf numFmtId="0" fontId="19" fillId="0" borderId="0">
      <alignment horizontal="right" vertical="top"/>
    </xf>
    <xf numFmtId="0" fontId="33" fillId="0" borderId="0">
      <alignment horizontal="right" vertical="top"/>
    </xf>
    <xf numFmtId="0" fontId="23" fillId="0" borderId="0">
      <alignment horizontal="right" vertical="top"/>
    </xf>
    <xf numFmtId="0" fontId="31" fillId="0" borderId="0">
      <alignment horizontal="right" vertical="top"/>
    </xf>
    <xf numFmtId="0" fontId="31" fillId="0" borderId="0">
      <alignment horizontal="left" vertical="top"/>
    </xf>
    <xf numFmtId="0" fontId="37" fillId="0" borderId="0">
      <alignment horizontal="right" vertical="top"/>
    </xf>
    <xf numFmtId="0" fontId="38" fillId="0" borderId="0">
      <alignment horizontal="left" vertical="center"/>
    </xf>
    <xf numFmtId="0" fontId="35" fillId="0" borderId="0">
      <alignment horizontal="left" vertical="center"/>
    </xf>
    <xf numFmtId="0" fontId="23" fillId="0" borderId="0">
      <alignment horizontal="left" vertical="top"/>
    </xf>
    <xf numFmtId="167" fontId="23" fillId="0" borderId="0">
      <alignment horizontal="left" vertical="top"/>
    </xf>
    <xf numFmtId="0" fontId="19" fillId="0" borderId="0">
      <alignment horizontal="left" vertical="top"/>
    </xf>
    <xf numFmtId="0" fontId="34" fillId="0" borderId="0">
      <alignment horizontal="left" vertical="top"/>
    </xf>
    <xf numFmtId="0" fontId="19" fillId="0" borderId="0">
      <alignment horizontal="left" vertical="top"/>
    </xf>
    <xf numFmtId="0" fontId="33" fillId="0" borderId="0">
      <alignment horizontal="right" vertical="top"/>
    </xf>
    <xf numFmtId="0" fontId="39" fillId="0" borderId="0">
      <alignment horizontal="left" vertical="top"/>
    </xf>
    <xf numFmtId="0" fontId="23" fillId="0" borderId="0">
      <alignment horizontal="right" vertical="top"/>
    </xf>
    <xf numFmtId="0" fontId="38" fillId="0" borderId="0">
      <alignment horizontal="left" vertical="center"/>
    </xf>
    <xf numFmtId="0" fontId="11" fillId="0" borderId="0">
      <alignment horizontal="left" vertical="top"/>
    </xf>
    <xf numFmtId="0" fontId="31" fillId="0" borderId="0">
      <alignment horizontal="right" vertical="top"/>
    </xf>
    <xf numFmtId="0" fontId="34" fillId="0" borderId="0">
      <alignment horizontal="right" vertical="top"/>
    </xf>
    <xf numFmtId="0" fontId="37" fillId="0" borderId="0">
      <alignment horizontal="left" vertical="top"/>
    </xf>
    <xf numFmtId="0" fontId="23" fillId="0" borderId="0">
      <alignment horizontal="left" vertical="top"/>
    </xf>
    <xf numFmtId="167" fontId="11" fillId="0" borderId="0">
      <alignment horizontal="left" vertical="top"/>
    </xf>
    <xf numFmtId="0" fontId="40" fillId="0" borderId="0">
      <alignment horizontal="left" vertical="top"/>
    </xf>
    <xf numFmtId="0" fontId="19" fillId="0" borderId="0">
      <alignment horizontal="left" vertical="top"/>
    </xf>
    <xf numFmtId="0" fontId="23" fillId="0" borderId="0">
      <alignment horizontal="left" vertical="top"/>
    </xf>
    <xf numFmtId="0" fontId="23" fillId="0" borderId="0">
      <alignment horizontal="left" vertical="top"/>
    </xf>
    <xf numFmtId="0" fontId="26" fillId="0" borderId="0">
      <alignment horizontal="left" vertical="top"/>
    </xf>
    <xf numFmtId="0" fontId="35" fillId="0" borderId="0">
      <alignment horizontal="center" vertical="center"/>
    </xf>
    <xf numFmtId="0" fontId="11" fillId="0" borderId="0">
      <alignment horizontal="left" vertical="top"/>
    </xf>
    <xf numFmtId="0" fontId="34" fillId="0" borderId="0">
      <alignment horizontal="right" vertical="top"/>
    </xf>
    <xf numFmtId="0" fontId="35" fillId="0" borderId="0">
      <alignment horizontal="left" vertical="center"/>
    </xf>
    <xf numFmtId="0" fontId="36" fillId="0" borderId="0">
      <alignment horizontal="left" vertical="top"/>
    </xf>
    <xf numFmtId="0" fontId="41" fillId="0" borderId="0">
      <alignment horizontal="right" vertical="top"/>
    </xf>
    <xf numFmtId="0" fontId="23" fillId="0" borderId="0">
      <alignment horizontal="right" vertical="top"/>
    </xf>
    <xf numFmtId="0" fontId="41" fillId="0" borderId="0">
      <alignment horizontal="right" vertical="top"/>
    </xf>
    <xf numFmtId="0" fontId="11" fillId="0" borderId="0">
      <alignment horizontal="left" vertical="top"/>
    </xf>
    <xf numFmtId="0" fontId="41" fillId="0" borderId="0">
      <alignment horizontal="left" vertical="top"/>
    </xf>
    <xf numFmtId="0" fontId="23" fillId="0" borderId="0">
      <alignment horizontal="left" vertical="top"/>
    </xf>
    <xf numFmtId="0" fontId="34" fillId="0" borderId="0">
      <alignment horizontal="left" vertical="top"/>
    </xf>
    <xf numFmtId="0" fontId="35" fillId="0" borderId="0">
      <alignment horizontal="center" vertical="center"/>
    </xf>
    <xf numFmtId="167" fontId="23" fillId="0" borderId="0">
      <alignment horizontal="left" vertical="top"/>
    </xf>
    <xf numFmtId="0" fontId="37" fillId="0" borderId="0">
      <alignment horizontal="left" vertical="top"/>
    </xf>
    <xf numFmtId="0" fontId="41" fillId="0" borderId="0">
      <alignment horizontal="left" vertical="top"/>
    </xf>
    <xf numFmtId="0" fontId="23" fillId="0" borderId="0">
      <alignment horizontal="left" vertical="top"/>
    </xf>
    <xf numFmtId="0" fontId="41" fillId="0" borderId="0">
      <alignment horizontal="left" vertical="top"/>
    </xf>
    <xf numFmtId="0" fontId="41" fillId="0" borderId="0">
      <alignment horizontal="right" vertical="top"/>
    </xf>
    <xf numFmtId="0" fontId="11" fillId="0" borderId="0">
      <alignment horizontal="left" vertical="top"/>
    </xf>
    <xf numFmtId="167" fontId="11" fillId="0" borderId="0">
      <alignment horizontal="left" vertical="top"/>
    </xf>
    <xf numFmtId="0" fontId="36" fillId="0" borderId="0">
      <alignment horizontal="left" vertical="top"/>
    </xf>
    <xf numFmtId="0" fontId="34" fillId="0" borderId="0">
      <alignment horizontal="left" vertical="top"/>
    </xf>
    <xf numFmtId="0" fontId="32" fillId="0" borderId="0">
      <alignment horizontal="left" vertical="top"/>
    </xf>
    <xf numFmtId="0" fontId="34" fillId="0" borderId="0">
      <alignment horizontal="right" vertical="top"/>
    </xf>
    <xf numFmtId="167" fontId="34" fillId="0" borderId="0">
      <alignment horizontal="right" vertical="top"/>
    </xf>
    <xf numFmtId="0" fontId="42" fillId="0" borderId="0">
      <alignment horizontal="right" vertical="top"/>
    </xf>
    <xf numFmtId="0" fontId="40" fillId="0" borderId="0">
      <alignment horizontal="left" vertical="top"/>
    </xf>
    <xf numFmtId="0" fontId="34" fillId="0" borderId="0">
      <alignment horizontal="left" vertical="top"/>
    </xf>
    <xf numFmtId="0" fontId="23" fillId="0" borderId="0">
      <alignment horizontal="left" vertical="top"/>
    </xf>
    <xf numFmtId="167" fontId="34" fillId="0" borderId="0">
      <alignment horizontal="left" vertical="top"/>
    </xf>
    <xf numFmtId="0" fontId="42" fillId="0" borderId="0">
      <alignment horizontal="left" vertical="top"/>
    </xf>
    <xf numFmtId="0" fontId="23" fillId="0" borderId="0">
      <alignment horizontal="righ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center" vertical="top"/>
    </xf>
    <xf numFmtId="0" fontId="19" fillId="0" borderId="0">
      <alignment horizontal="center" vertical="top"/>
    </xf>
    <xf numFmtId="0" fontId="19" fillId="0" borderId="0">
      <alignment horizontal="left" vertical="top"/>
    </xf>
    <xf numFmtId="0" fontId="43" fillId="0" borderId="0">
      <alignment horizontal="left" vertical="top"/>
    </xf>
    <xf numFmtId="0" fontId="44" fillId="0" borderId="0">
      <alignment horizontal="left" vertical="top"/>
    </xf>
    <xf numFmtId="0" fontId="19" fillId="11" borderId="0">
      <alignment horizontal="center" vertical="top"/>
    </xf>
    <xf numFmtId="0" fontId="23" fillId="0" borderId="0">
      <alignment horizontal="right" vertical="top"/>
    </xf>
    <xf numFmtId="0" fontId="23" fillId="0" borderId="0">
      <alignment horizontal="right" vertical="top"/>
    </xf>
    <xf numFmtId="0" fontId="26" fillId="0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45" fillId="0" borderId="0">
      <alignment horizontal="left" vertical="top"/>
    </xf>
    <xf numFmtId="0" fontId="46" fillId="0" borderId="0">
      <alignment horizontal="center" vertical="top"/>
    </xf>
    <xf numFmtId="0" fontId="47" fillId="0" borderId="0">
      <alignment horizontal="left" vertical="top"/>
    </xf>
    <xf numFmtId="167" fontId="48" fillId="0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0" borderId="0">
      <alignment horizontal="left" vertical="top"/>
    </xf>
    <xf numFmtId="0" fontId="28" fillId="0" borderId="0">
      <alignment horizontal="left" vertical="top"/>
    </xf>
    <xf numFmtId="0" fontId="48" fillId="0" borderId="0">
      <alignment horizontal="left" vertical="top"/>
    </xf>
    <xf numFmtId="0" fontId="19" fillId="11" borderId="0">
      <alignment horizontal="left" vertical="top"/>
    </xf>
    <xf numFmtId="0" fontId="47" fillId="0" borderId="0">
      <alignment horizontal="center" vertical="top"/>
    </xf>
    <xf numFmtId="0" fontId="49" fillId="0" borderId="0">
      <alignment horizontal="left" vertical="top"/>
    </xf>
    <xf numFmtId="0" fontId="50" fillId="0" borderId="0">
      <alignment horizontal="center" vertical="top"/>
    </xf>
    <xf numFmtId="0" fontId="19" fillId="11" borderId="0">
      <alignment horizontal="left" vertical="top"/>
    </xf>
    <xf numFmtId="0" fontId="40" fillId="0" borderId="0">
      <alignment horizontal="left" vertical="top"/>
    </xf>
    <xf numFmtId="0" fontId="19" fillId="11" borderId="0">
      <alignment horizontal="left" vertical="top"/>
    </xf>
    <xf numFmtId="0" fontId="29" fillId="0" borderId="0">
      <alignment horizontal="center" vertical="top"/>
    </xf>
    <xf numFmtId="0" fontId="50" fillId="0" borderId="0">
      <alignment horizontal="center" vertical="top"/>
    </xf>
    <xf numFmtId="0" fontId="11" fillId="0" borderId="0">
      <alignment horizontal="right" vertical="top"/>
    </xf>
    <xf numFmtId="0" fontId="19" fillId="11" borderId="0">
      <alignment horizontal="left" vertical="top"/>
    </xf>
    <xf numFmtId="0" fontId="29" fillId="0" borderId="0">
      <alignment horizontal="left" vertical="top"/>
    </xf>
    <xf numFmtId="167" fontId="11" fillId="0" borderId="0">
      <alignment horizontal="right" vertical="top"/>
    </xf>
    <xf numFmtId="0" fontId="11" fillId="0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0" borderId="0">
      <alignment horizontal="left" vertical="top"/>
    </xf>
    <xf numFmtId="0" fontId="19" fillId="0" borderId="0">
      <alignment horizontal="left" vertical="top"/>
    </xf>
    <xf numFmtId="0" fontId="28" fillId="0" borderId="0">
      <alignment horizontal="left" vertical="top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36" fillId="0" borderId="0">
      <alignment horizontal="right" vertical="top"/>
    </xf>
    <xf numFmtId="0" fontId="11" fillId="11" borderId="0">
      <alignment horizontal="left" vertical="top"/>
    </xf>
    <xf numFmtId="0" fontId="19" fillId="11" borderId="0">
      <alignment horizontal="left" vertical="top"/>
    </xf>
    <xf numFmtId="0" fontId="44" fillId="0" borderId="0">
      <alignment horizontal="center" vertical="top"/>
    </xf>
    <xf numFmtId="0" fontId="11" fillId="11" borderId="0">
      <alignment horizontal="left" vertical="top"/>
    </xf>
    <xf numFmtId="0" fontId="23" fillId="0" borderId="0">
      <alignment horizontal="right" vertical="top"/>
    </xf>
    <xf numFmtId="167" fontId="11" fillId="0" borderId="0">
      <alignment horizontal="left" vertical="top"/>
    </xf>
    <xf numFmtId="0" fontId="11" fillId="0" borderId="0">
      <alignment horizontal="left" vertical="top"/>
    </xf>
    <xf numFmtId="0" fontId="51" fillId="0" borderId="0">
      <alignment horizontal="center" vertical="top"/>
    </xf>
    <xf numFmtId="0" fontId="19" fillId="11" borderId="0">
      <alignment horizontal="left" vertical="top"/>
    </xf>
    <xf numFmtId="0" fontId="19" fillId="11" borderId="0">
      <alignment horizontal="righ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0" borderId="0">
      <alignment horizontal="left" vertical="top"/>
    </xf>
    <xf numFmtId="0" fontId="28" fillId="0" borderId="0">
      <alignment horizontal="left" vertical="top"/>
    </xf>
    <xf numFmtId="0" fontId="1" fillId="0" borderId="0">
      <alignment horizontal="left" vertical="top"/>
    </xf>
    <xf numFmtId="0" fontId="11" fillId="0" borderId="0">
      <alignment horizontal="left" vertical="top"/>
    </xf>
    <xf numFmtId="0" fontId="36" fillId="0" borderId="0">
      <alignment horizontal="left" vertical="top"/>
    </xf>
    <xf numFmtId="0" fontId="41" fillId="0" borderId="0">
      <alignment horizontal="left" vertical="center"/>
    </xf>
    <xf numFmtId="0" fontId="28" fillId="0" borderId="0">
      <alignment horizontal="right" vertical="top"/>
    </xf>
    <xf numFmtId="0" fontId="1" fillId="0" borderId="0">
      <alignment horizontal="right" vertical="top"/>
    </xf>
    <xf numFmtId="0" fontId="11" fillId="0" borderId="0">
      <alignment horizontal="right" vertical="top"/>
    </xf>
    <xf numFmtId="0" fontId="11" fillId="0" borderId="0">
      <alignment horizontal="left" vertical="top"/>
    </xf>
    <xf numFmtId="0" fontId="19" fillId="11" borderId="0">
      <alignment horizontal="right" vertical="top"/>
    </xf>
    <xf numFmtId="0" fontId="34" fillId="0" borderId="0">
      <alignment horizontal="left" vertical="top"/>
    </xf>
    <xf numFmtId="0" fontId="34" fillId="0" borderId="0">
      <alignment horizontal="center" vertical="center"/>
    </xf>
    <xf numFmtId="0" fontId="41" fillId="0" borderId="0">
      <alignment horizontal="left" vertical="center"/>
    </xf>
    <xf numFmtId="0" fontId="52" fillId="0" borderId="0">
      <alignment horizontal="center" vertical="top"/>
    </xf>
    <xf numFmtId="167" fontId="11" fillId="0" borderId="0">
      <alignment horizontal="left" vertical="top"/>
    </xf>
    <xf numFmtId="0" fontId="11" fillId="0" borderId="0">
      <alignment horizontal="right" vertical="top"/>
    </xf>
    <xf numFmtId="0" fontId="19" fillId="11" borderId="0">
      <alignment horizontal="righ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right" vertical="top"/>
    </xf>
    <xf numFmtId="0" fontId="19" fillId="11" borderId="0">
      <alignment horizontal="right" vertical="top"/>
    </xf>
    <xf numFmtId="0" fontId="19" fillId="11" borderId="0">
      <alignment horizontal="right" vertical="top"/>
    </xf>
    <xf numFmtId="0" fontId="19" fillId="0" borderId="0">
      <alignment horizontal="left" vertical="top"/>
    </xf>
    <xf numFmtId="0" fontId="19" fillId="0" borderId="0">
      <alignment horizontal="right" vertical="top"/>
    </xf>
    <xf numFmtId="0" fontId="36" fillId="0" borderId="0">
      <alignment horizontal="left" vertical="top"/>
    </xf>
    <xf numFmtId="0" fontId="41" fillId="0" borderId="0">
      <alignment horizontal="left" vertical="center"/>
    </xf>
    <xf numFmtId="0" fontId="11" fillId="0" borderId="0">
      <alignment horizontal="left" vertical="top"/>
    </xf>
    <xf numFmtId="0" fontId="11" fillId="0" borderId="0">
      <alignment horizontal="left" vertical="top"/>
    </xf>
    <xf numFmtId="0" fontId="11" fillId="0" borderId="0">
      <alignment horizontal="right" vertical="top"/>
    </xf>
    <xf numFmtId="0" fontId="19" fillId="11" borderId="0">
      <alignment horizontal="left" vertical="top"/>
    </xf>
    <xf numFmtId="0" fontId="34" fillId="0" borderId="0">
      <alignment horizontal="left" vertical="top"/>
    </xf>
    <xf numFmtId="0" fontId="35" fillId="0" borderId="0">
      <alignment horizontal="left" vertical="center"/>
    </xf>
    <xf numFmtId="0" fontId="41" fillId="0" borderId="0">
      <alignment horizontal="left" vertical="center"/>
    </xf>
    <xf numFmtId="0" fontId="53" fillId="0" borderId="0">
      <alignment horizontal="left" vertical="top"/>
    </xf>
    <xf numFmtId="167" fontId="11" fillId="0" borderId="0">
      <alignment horizontal="right" vertical="top"/>
    </xf>
    <xf numFmtId="0" fontId="11" fillId="0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righ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0" borderId="0">
      <alignment horizontal="right" vertical="top"/>
    </xf>
    <xf numFmtId="0" fontId="19" fillId="0" borderId="0">
      <alignment horizontal="left" vertical="top"/>
    </xf>
    <xf numFmtId="0" fontId="28" fillId="0" borderId="0">
      <alignment horizontal="left" vertical="top"/>
    </xf>
    <xf numFmtId="0" fontId="36" fillId="0" borderId="0">
      <alignment horizontal="right" vertical="top"/>
    </xf>
    <xf numFmtId="0" fontId="41" fillId="0" borderId="0">
      <alignment horizontal="right" vertical="center"/>
    </xf>
    <xf numFmtId="0" fontId="35" fillId="0" borderId="0">
      <alignment horizontal="left" vertical="center"/>
    </xf>
    <xf numFmtId="0" fontId="41" fillId="0" borderId="0">
      <alignment horizontal="right" vertical="center"/>
    </xf>
    <xf numFmtId="0" fontId="41" fillId="0" borderId="0">
      <alignment horizontal="left" vertical="top"/>
    </xf>
    <xf numFmtId="0" fontId="35" fillId="0" borderId="0">
      <alignment horizontal="right" vertical="center"/>
    </xf>
    <xf numFmtId="167" fontId="11" fillId="0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9" fillId="11" borderId="0">
      <alignment horizontal="left" vertical="top"/>
    </xf>
    <xf numFmtId="0" fontId="11" fillId="0" borderId="0">
      <alignment horizontal="right" vertical="top"/>
    </xf>
    <xf numFmtId="0" fontId="19" fillId="0" borderId="0">
      <alignment horizontal="left" vertical="top"/>
    </xf>
    <xf numFmtId="0" fontId="28" fillId="0" borderId="0">
      <alignment horizontal="left" vertical="top"/>
    </xf>
    <xf numFmtId="0" fontId="19" fillId="11" borderId="0">
      <alignment horizontal="left" vertical="top"/>
    </xf>
    <xf numFmtId="0" fontId="34" fillId="0" borderId="0">
      <alignment horizontal="right" vertical="top"/>
    </xf>
    <xf numFmtId="0" fontId="36" fillId="0" borderId="0">
      <alignment horizontal="left" vertical="top"/>
    </xf>
    <xf numFmtId="0" fontId="31" fillId="0" borderId="0">
      <alignment horizontal="left" vertical="top"/>
    </xf>
    <xf numFmtId="0" fontId="11" fillId="0" borderId="0">
      <alignment horizontal="left" vertical="top"/>
    </xf>
    <xf numFmtId="0" fontId="19" fillId="11" borderId="0">
      <alignment horizontal="right" vertical="top"/>
    </xf>
    <xf numFmtId="0" fontId="33" fillId="0" borderId="0">
      <alignment horizontal="left" vertical="top"/>
    </xf>
    <xf numFmtId="0" fontId="23" fillId="0" borderId="0">
      <alignment horizontal="left" vertical="top"/>
    </xf>
    <xf numFmtId="0" fontId="35" fillId="0" borderId="0">
      <alignment horizontal="center" vertical="center"/>
    </xf>
    <xf numFmtId="0" fontId="31" fillId="0" borderId="0">
      <alignment horizontal="left" vertical="top"/>
    </xf>
    <xf numFmtId="0" fontId="41" fillId="0" borderId="0">
      <alignment horizontal="right" vertical="top"/>
    </xf>
    <xf numFmtId="0" fontId="11" fillId="0" borderId="0">
      <alignment horizontal="right" vertical="top"/>
    </xf>
    <xf numFmtId="167" fontId="23" fillId="0" borderId="0">
      <alignment horizontal="left" vertical="top"/>
    </xf>
    <xf numFmtId="0" fontId="19" fillId="11" borderId="0">
      <alignment horizontal="right" vertical="top"/>
    </xf>
    <xf numFmtId="0" fontId="19" fillId="11" borderId="0">
      <alignment horizontal="left" vertical="top"/>
    </xf>
    <xf numFmtId="0" fontId="19" fillId="11" borderId="0">
      <alignment horizontal="right" vertical="top"/>
    </xf>
    <xf numFmtId="0" fontId="19" fillId="11" borderId="0">
      <alignment horizontal="right" vertical="top"/>
    </xf>
    <xf numFmtId="0" fontId="19" fillId="11" borderId="0">
      <alignment horizontal="right" vertical="top"/>
    </xf>
    <xf numFmtId="0" fontId="19" fillId="11" borderId="0">
      <alignment horizontal="left" vertical="top"/>
    </xf>
    <xf numFmtId="0" fontId="19" fillId="0" borderId="0">
      <alignment horizontal="left" vertical="top"/>
    </xf>
    <xf numFmtId="0" fontId="28" fillId="0" borderId="0">
      <alignment horizontal="left" vertical="top"/>
    </xf>
    <xf numFmtId="0" fontId="37" fillId="0" borderId="0">
      <alignment horizontal="left" vertical="top"/>
    </xf>
  </cellStyleXfs>
  <cellXfs count="62">
    <xf numFmtId="0" fontId="0" fillId="0" borderId="0" xfId="0"/>
    <xf numFmtId="0" fontId="4" fillId="3" borderId="2" xfId="0" applyFont="1" applyFill="1" applyBorder="1" applyAlignment="1">
      <alignment horizontal="center"/>
    </xf>
    <xf numFmtId="0" fontId="0" fillId="3" borderId="3" xfId="0" applyNumberFormat="1" applyFill="1" applyBorder="1" applyAlignment="1">
      <alignment horizontal="center"/>
    </xf>
    <xf numFmtId="0" fontId="0" fillId="3" borderId="4" xfId="0" applyNumberFormat="1" applyFill="1" applyBorder="1" applyAlignment="1">
      <alignment horizontal="center"/>
    </xf>
    <xf numFmtId="16" fontId="4" fillId="0" borderId="5" xfId="0" applyNumberFormat="1" applyFon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9" xfId="0" applyNumberFormat="1" applyBorder="1"/>
    <xf numFmtId="0" fontId="0" fillId="4" borderId="9" xfId="0" applyFill="1" applyBorder="1"/>
    <xf numFmtId="164" fontId="0" fillId="4" borderId="10" xfId="1" applyFont="1" applyFill="1" applyBorder="1" applyAlignment="1"/>
    <xf numFmtId="0" fontId="4" fillId="0" borderId="0" xfId="0" applyFont="1" applyAlignment="1">
      <alignment horizontal="center"/>
    </xf>
    <xf numFmtId="0" fontId="0" fillId="0" borderId="0" xfId="0" applyNumberFormat="1"/>
    <xf numFmtId="0" fontId="5" fillId="5" borderId="14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5" fontId="5" fillId="6" borderId="15" xfId="2" applyNumberFormat="1" applyFont="1" applyFill="1" applyBorder="1" applyAlignment="1">
      <alignment horizontal="left" vertical="center" indent="1"/>
    </xf>
    <xf numFmtId="0" fontId="6" fillId="6" borderId="15" xfId="2" applyNumberFormat="1" applyFont="1" applyFill="1" applyBorder="1" applyAlignment="1">
      <alignment horizontal="left" vertical="center" indent="1"/>
    </xf>
    <xf numFmtId="0" fontId="7" fillId="6" borderId="15" xfId="2" applyNumberFormat="1" applyFont="1" applyFill="1" applyBorder="1" applyAlignment="1">
      <alignment horizontal="left" vertical="center" indent="1"/>
    </xf>
    <xf numFmtId="0" fontId="5" fillId="6" borderId="15" xfId="2" applyNumberFormat="1" applyFont="1" applyFill="1" applyBorder="1" applyAlignment="1">
      <alignment horizontal="left" vertical="center" indent="1"/>
    </xf>
    <xf numFmtId="165" fontId="3" fillId="7" borderId="0" xfId="0" applyNumberFormat="1" applyFont="1" applyFill="1"/>
    <xf numFmtId="0" fontId="3" fillId="7" borderId="0" xfId="0" applyNumberFormat="1" applyFont="1" applyFill="1"/>
    <xf numFmtId="1" fontId="8" fillId="7" borderId="16" xfId="2" applyNumberFormat="1" applyFont="1" applyFill="1" applyBorder="1" applyAlignment="1">
      <alignment horizontal="left" vertical="center" indent="1"/>
    </xf>
    <xf numFmtId="1" fontId="0" fillId="0" borderId="0" xfId="0" applyNumberFormat="1"/>
    <xf numFmtId="16" fontId="0" fillId="0" borderId="0" xfId="0" applyNumberFormat="1"/>
    <xf numFmtId="0" fontId="9" fillId="8" borderId="1" xfId="0" applyFont="1" applyFill="1" applyBorder="1" applyAlignment="1">
      <alignment horizontal="center" vertical="center" wrapText="1"/>
    </xf>
    <xf numFmtId="166" fontId="9" fillId="8" borderId="1" xfId="0" applyNumberFormat="1" applyFont="1" applyFill="1" applyBorder="1" applyAlignment="1">
      <alignment horizontal="center" vertical="center" wrapText="1"/>
    </xf>
    <xf numFmtId="0" fontId="9" fillId="8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7" fontId="12" fillId="0" borderId="1" xfId="3" applyNumberFormat="1" applyFont="1" applyFill="1" applyBorder="1" applyAlignment="1">
      <alignment horizontal="center" vertical="center"/>
    </xf>
    <xf numFmtId="0" fontId="12" fillId="0" borderId="1" xfId="4" quotePrefix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167" fontId="14" fillId="0" borderId="1" xfId="3" applyNumberFormat="1" applyFont="1" applyFill="1" applyBorder="1" applyAlignment="1">
      <alignment horizontal="center" vertical="center"/>
    </xf>
    <xf numFmtId="0" fontId="14" fillId="0" borderId="1" xfId="3" applyNumberFormat="1" applyFont="1" applyFill="1" applyBorder="1" applyAlignment="1">
      <alignment horizontal="center" vertical="center"/>
    </xf>
    <xf numFmtId="0" fontId="10" fillId="0" borderId="1" xfId="0" applyFont="1" applyBorder="1"/>
    <xf numFmtId="167" fontId="15" fillId="0" borderId="1" xfId="3" applyNumberFormat="1" applyFont="1" applyFill="1" applyBorder="1" applyAlignment="1">
      <alignment horizontal="center" vertical="center"/>
    </xf>
    <xf numFmtId="0" fontId="15" fillId="0" borderId="1" xfId="4" quotePrefix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4" fillId="0" borderId="1" xfId="4" quotePrefix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7" fillId="0" borderId="1" xfId="0" applyFont="1" applyBorder="1"/>
    <xf numFmtId="0" fontId="1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167" fontId="12" fillId="9" borderId="1" xfId="3" applyNumberFormat="1" applyFont="1" applyFill="1" applyBorder="1" applyAlignment="1">
      <alignment horizontal="center" vertical="center"/>
    </xf>
    <xf numFmtId="0" fontId="12" fillId="9" borderId="1" xfId="4" quotePrefix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67" fontId="14" fillId="0" borderId="17" xfId="3" applyNumberFormat="1" applyFont="1" applyFill="1" applyBorder="1" applyAlignment="1">
      <alignment horizontal="center" vertical="center"/>
    </xf>
    <xf numFmtId="0" fontId="14" fillId="0" borderId="17" xfId="3" applyNumberFormat="1" applyFont="1" applyFill="1" applyBorder="1" applyAlignment="1">
      <alignment horizontal="center" vertical="center"/>
    </xf>
    <xf numFmtId="0" fontId="0" fillId="0" borderId="1" xfId="0" applyBorder="1"/>
    <xf numFmtId="1" fontId="14" fillId="0" borderId="1" xfId="3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65" fontId="5" fillId="5" borderId="11" xfId="0" applyNumberFormat="1" applyFont="1" applyFill="1" applyBorder="1" applyAlignment="1">
      <alignment horizontal="center" vertical="center"/>
    </xf>
    <xf numFmtId="165" fontId="5" fillId="5" borderId="13" xfId="0" applyNumberFormat="1" applyFont="1" applyFill="1" applyBorder="1" applyAlignment="1">
      <alignment horizontal="center" vertical="center"/>
    </xf>
    <xf numFmtId="0" fontId="5" fillId="5" borderId="11" xfId="0" applyNumberFormat="1" applyFont="1" applyFill="1" applyBorder="1" applyAlignment="1">
      <alignment horizontal="center" vertical="center"/>
    </xf>
    <xf numFmtId="0" fontId="5" fillId="5" borderId="12" xfId="0" applyNumberFormat="1" applyFont="1" applyFill="1" applyBorder="1" applyAlignment="1">
      <alignment horizontal="center" vertical="center"/>
    </xf>
  </cellXfs>
  <cellStyles count="1099">
    <cellStyle name="Comma" xfId="1" builtinId="3"/>
    <cellStyle name="Comma [0] 2" xfId="5"/>
    <cellStyle name="Comma [0] 3" xfId="6"/>
    <cellStyle name="Comma 10" xfId="7"/>
    <cellStyle name="Comma 104" xfId="8"/>
    <cellStyle name="Comma 105" xfId="9"/>
    <cellStyle name="Comma 11" xfId="10"/>
    <cellStyle name="Comma 11 2" xfId="11"/>
    <cellStyle name="Comma 12" xfId="12"/>
    <cellStyle name="Comma 13" xfId="13"/>
    <cellStyle name="Comma 14" xfId="14"/>
    <cellStyle name="Comma 15" xfId="15"/>
    <cellStyle name="Comma 16" xfId="16"/>
    <cellStyle name="Comma 17" xfId="17"/>
    <cellStyle name="Comma 18" xfId="18"/>
    <cellStyle name="Comma 2" xfId="2"/>
    <cellStyle name="Comma 2 2" xfId="19"/>
    <cellStyle name="Comma 2 3" xfId="20"/>
    <cellStyle name="Comma 24 2" xfId="21"/>
    <cellStyle name="Comma 29" xfId="22"/>
    <cellStyle name="Comma 294" xfId="23"/>
    <cellStyle name="Comma 3" xfId="24"/>
    <cellStyle name="Comma 3 2" xfId="25"/>
    <cellStyle name="Comma 4" xfId="26"/>
    <cellStyle name="Comma 5" xfId="27"/>
    <cellStyle name="Comma 6" xfId="28"/>
    <cellStyle name="Comma 7" xfId="29"/>
    <cellStyle name="Comma 8" xfId="30"/>
    <cellStyle name="Comma 9" xfId="31"/>
    <cellStyle name="Hyperlink 2" xfId="32"/>
    <cellStyle name="Hyperlink 3" xfId="33"/>
    <cellStyle name="Normal" xfId="0" builtinId="0"/>
    <cellStyle name="Normal 10" xfId="34"/>
    <cellStyle name="Normal 11" xfId="35"/>
    <cellStyle name="Normal 12" xfId="36"/>
    <cellStyle name="Normal 13" xfId="37"/>
    <cellStyle name="Normal 14" xfId="38"/>
    <cellStyle name="Normal 15" xfId="39"/>
    <cellStyle name="Normal 16" xfId="40"/>
    <cellStyle name="Normal 2" xfId="41"/>
    <cellStyle name="Normal 2 2" xfId="42"/>
    <cellStyle name="Normal 2 2 2" xfId="43"/>
    <cellStyle name="Normal 3" xfId="44"/>
    <cellStyle name="Normal 4" xfId="45"/>
    <cellStyle name="Normal 5" xfId="46"/>
    <cellStyle name="Normal 6" xfId="47"/>
    <cellStyle name="Normal 7" xfId="48"/>
    <cellStyle name="Normal 8" xfId="49"/>
    <cellStyle name="Normal 9" xfId="50"/>
    <cellStyle name="Percent 2" xfId="51"/>
    <cellStyle name="Percent 3" xfId="52"/>
    <cellStyle name="S0" xfId="53"/>
    <cellStyle name="S0 10" xfId="54"/>
    <cellStyle name="S0 100" xfId="55"/>
    <cellStyle name="S0 101" xfId="56"/>
    <cellStyle name="S0 102" xfId="57"/>
    <cellStyle name="S0 103" xfId="58"/>
    <cellStyle name="S0 104" xfId="59"/>
    <cellStyle name="S0 105" xfId="60"/>
    <cellStyle name="S0 106" xfId="61"/>
    <cellStyle name="S0 107" xfId="62"/>
    <cellStyle name="S0 108" xfId="63"/>
    <cellStyle name="S0 109" xfId="64"/>
    <cellStyle name="S0 11" xfId="65"/>
    <cellStyle name="S0 110" xfId="66"/>
    <cellStyle name="S0 111" xfId="67"/>
    <cellStyle name="S0 112" xfId="68"/>
    <cellStyle name="S0 113" xfId="69"/>
    <cellStyle name="S0 114" xfId="70"/>
    <cellStyle name="S0 115" xfId="71"/>
    <cellStyle name="S0 116" xfId="72"/>
    <cellStyle name="S0 117" xfId="73"/>
    <cellStyle name="S0 118" xfId="74"/>
    <cellStyle name="S0 119" xfId="75"/>
    <cellStyle name="S0 12" xfId="76"/>
    <cellStyle name="S0 120" xfId="77"/>
    <cellStyle name="S0 121" xfId="78"/>
    <cellStyle name="S0 122" xfId="79"/>
    <cellStyle name="S0 123" xfId="80"/>
    <cellStyle name="S0 124" xfId="81"/>
    <cellStyle name="S0 125" xfId="82"/>
    <cellStyle name="S0 126" xfId="83"/>
    <cellStyle name="S0 127" xfId="84"/>
    <cellStyle name="S0 128" xfId="85"/>
    <cellStyle name="S0 129" xfId="86"/>
    <cellStyle name="S0 13" xfId="87"/>
    <cellStyle name="S0 130" xfId="88"/>
    <cellStyle name="S0 131" xfId="89"/>
    <cellStyle name="S0 132" xfId="90"/>
    <cellStyle name="S0 133" xfId="91"/>
    <cellStyle name="S0 134" xfId="92"/>
    <cellStyle name="S0 135" xfId="93"/>
    <cellStyle name="S0 136" xfId="94"/>
    <cellStyle name="S0 137" xfId="95"/>
    <cellStyle name="S0 138" xfId="96"/>
    <cellStyle name="S0 139" xfId="97"/>
    <cellStyle name="S0 14" xfId="98"/>
    <cellStyle name="S0 140" xfId="99"/>
    <cellStyle name="S0 141" xfId="100"/>
    <cellStyle name="S0 142" xfId="101"/>
    <cellStyle name="S0 143" xfId="102"/>
    <cellStyle name="S0 144" xfId="103"/>
    <cellStyle name="S0 145" xfId="104"/>
    <cellStyle name="S0 146" xfId="105"/>
    <cellStyle name="S0 147" xfId="106"/>
    <cellStyle name="S0 148" xfId="107"/>
    <cellStyle name="S0 149" xfId="108"/>
    <cellStyle name="S0 15" xfId="109"/>
    <cellStyle name="S0 150" xfId="110"/>
    <cellStyle name="S0 151" xfId="111"/>
    <cellStyle name="S0 152" xfId="112"/>
    <cellStyle name="S0 153" xfId="113"/>
    <cellStyle name="S0 154" xfId="114"/>
    <cellStyle name="S0 155" xfId="115"/>
    <cellStyle name="S0 156" xfId="116"/>
    <cellStyle name="S0 157" xfId="117"/>
    <cellStyle name="S0 158" xfId="118"/>
    <cellStyle name="S0 159" xfId="119"/>
    <cellStyle name="S0 16" xfId="120"/>
    <cellStyle name="S0 160" xfId="121"/>
    <cellStyle name="S0 161" xfId="122"/>
    <cellStyle name="S0 162" xfId="123"/>
    <cellStyle name="S0 163" xfId="124"/>
    <cellStyle name="S0 164" xfId="125"/>
    <cellStyle name="S0 165" xfId="126"/>
    <cellStyle name="S0 166" xfId="127"/>
    <cellStyle name="S0 167" xfId="128"/>
    <cellStyle name="S0 168" xfId="129"/>
    <cellStyle name="S0 169" xfId="130"/>
    <cellStyle name="S0 17" xfId="131"/>
    <cellStyle name="S0 170" xfId="132"/>
    <cellStyle name="S0 171" xfId="133"/>
    <cellStyle name="S0 172" xfId="134"/>
    <cellStyle name="S0 173" xfId="135"/>
    <cellStyle name="S0 174" xfId="136"/>
    <cellStyle name="S0 175" xfId="137"/>
    <cellStyle name="S0 176" xfId="138"/>
    <cellStyle name="S0 177" xfId="139"/>
    <cellStyle name="S0 178" xfId="140"/>
    <cellStyle name="S0 179" xfId="141"/>
    <cellStyle name="S0 18" xfId="142"/>
    <cellStyle name="S0 180" xfId="143"/>
    <cellStyle name="S0 181" xfId="144"/>
    <cellStyle name="S0 182" xfId="145"/>
    <cellStyle name="S0 183" xfId="146"/>
    <cellStyle name="S0 184" xfId="147"/>
    <cellStyle name="S0 185" xfId="148"/>
    <cellStyle name="S0 186" xfId="149"/>
    <cellStyle name="S0 187" xfId="150"/>
    <cellStyle name="S0 188" xfId="151"/>
    <cellStyle name="S0 189" xfId="152"/>
    <cellStyle name="S0 19" xfId="153"/>
    <cellStyle name="S0 190" xfId="154"/>
    <cellStyle name="S0 191" xfId="155"/>
    <cellStyle name="S0 192" xfId="156"/>
    <cellStyle name="S0 193" xfId="157"/>
    <cellStyle name="S0 194" xfId="158"/>
    <cellStyle name="S0 195" xfId="159"/>
    <cellStyle name="S0 196" xfId="160"/>
    <cellStyle name="S0 197" xfId="161"/>
    <cellStyle name="S0 198" xfId="162"/>
    <cellStyle name="S0 199" xfId="163"/>
    <cellStyle name="S0 2" xfId="164"/>
    <cellStyle name="S0 20" xfId="165"/>
    <cellStyle name="S0 200" xfId="166"/>
    <cellStyle name="S0 201" xfId="167"/>
    <cellStyle name="S0 202" xfId="168"/>
    <cellStyle name="S0 203" xfId="169"/>
    <cellStyle name="S0 204" xfId="170"/>
    <cellStyle name="S0 205" xfId="171"/>
    <cellStyle name="S0 206" xfId="172"/>
    <cellStyle name="S0 207" xfId="173"/>
    <cellStyle name="S0 208" xfId="174"/>
    <cellStyle name="S0 209" xfId="175"/>
    <cellStyle name="S0 21" xfId="176"/>
    <cellStyle name="S0 210" xfId="177"/>
    <cellStyle name="S0 211" xfId="178"/>
    <cellStyle name="S0 212" xfId="179"/>
    <cellStyle name="S0 213" xfId="180"/>
    <cellStyle name="S0 214" xfId="181"/>
    <cellStyle name="S0 215" xfId="182"/>
    <cellStyle name="S0 216" xfId="183"/>
    <cellStyle name="S0 217" xfId="184"/>
    <cellStyle name="S0 218" xfId="185"/>
    <cellStyle name="S0 219" xfId="186"/>
    <cellStyle name="S0 22" xfId="187"/>
    <cellStyle name="S0 220" xfId="188"/>
    <cellStyle name="S0 221" xfId="189"/>
    <cellStyle name="S0 222" xfId="190"/>
    <cellStyle name="S0 223" xfId="191"/>
    <cellStyle name="S0 224" xfId="192"/>
    <cellStyle name="S0 225" xfId="193"/>
    <cellStyle name="S0 226" xfId="194"/>
    <cellStyle name="S0 227" xfId="195"/>
    <cellStyle name="S0 228" xfId="196"/>
    <cellStyle name="S0 229" xfId="197"/>
    <cellStyle name="S0 23" xfId="198"/>
    <cellStyle name="S0 230" xfId="199"/>
    <cellStyle name="S0 231" xfId="200"/>
    <cellStyle name="S0 232" xfId="201"/>
    <cellStyle name="S0 233" xfId="202"/>
    <cellStyle name="S0 234" xfId="203"/>
    <cellStyle name="S0 235" xfId="204"/>
    <cellStyle name="S0 236" xfId="205"/>
    <cellStyle name="S0 237" xfId="206"/>
    <cellStyle name="S0 238" xfId="207"/>
    <cellStyle name="S0 239" xfId="208"/>
    <cellStyle name="S0 24" xfId="209"/>
    <cellStyle name="S0 240" xfId="210"/>
    <cellStyle name="S0 241" xfId="211"/>
    <cellStyle name="S0 242" xfId="212"/>
    <cellStyle name="S0 243" xfId="213"/>
    <cellStyle name="S0 244" xfId="214"/>
    <cellStyle name="S0 245" xfId="215"/>
    <cellStyle name="S0 246" xfId="216"/>
    <cellStyle name="S0 247" xfId="217"/>
    <cellStyle name="S0 248" xfId="218"/>
    <cellStyle name="S0 249" xfId="219"/>
    <cellStyle name="S0 25" xfId="220"/>
    <cellStyle name="S0 250" xfId="221"/>
    <cellStyle name="S0 251" xfId="222"/>
    <cellStyle name="S0 252" xfId="223"/>
    <cellStyle name="S0 253" xfId="224"/>
    <cellStyle name="S0 254" xfId="225"/>
    <cellStyle name="S0 255" xfId="226"/>
    <cellStyle name="S0 256" xfId="227"/>
    <cellStyle name="S0 257" xfId="228"/>
    <cellStyle name="S0 258" xfId="229"/>
    <cellStyle name="S0 259" xfId="230"/>
    <cellStyle name="S0 26" xfId="231"/>
    <cellStyle name="S0 260" xfId="232"/>
    <cellStyle name="S0 261" xfId="233"/>
    <cellStyle name="S0 262" xfId="234"/>
    <cellStyle name="S0 263" xfId="235"/>
    <cellStyle name="S0 264" xfId="236"/>
    <cellStyle name="S0 265" xfId="237"/>
    <cellStyle name="S0 266" xfId="238"/>
    <cellStyle name="S0 266 2" xfId="239"/>
    <cellStyle name="S0 267" xfId="240"/>
    <cellStyle name="S0 268" xfId="241"/>
    <cellStyle name="S0 27" xfId="242"/>
    <cellStyle name="S0 28" xfId="243"/>
    <cellStyle name="S0 29" xfId="244"/>
    <cellStyle name="S0 3" xfId="245"/>
    <cellStyle name="S0 30" xfId="246"/>
    <cellStyle name="S0 31" xfId="247"/>
    <cellStyle name="S0 32" xfId="248"/>
    <cellStyle name="S0 33" xfId="249"/>
    <cellStyle name="S0 34" xfId="250"/>
    <cellStyle name="S0 35" xfId="251"/>
    <cellStyle name="S0 36" xfId="252"/>
    <cellStyle name="S0 37" xfId="253"/>
    <cellStyle name="S0 38" xfId="254"/>
    <cellStyle name="S0 39" xfId="255"/>
    <cellStyle name="S0 4" xfId="256"/>
    <cellStyle name="S0 40" xfId="257"/>
    <cellStyle name="S0 41" xfId="258"/>
    <cellStyle name="S0 42" xfId="259"/>
    <cellStyle name="S0 43" xfId="260"/>
    <cellStyle name="S0 44" xfId="261"/>
    <cellStyle name="S0 45" xfId="262"/>
    <cellStyle name="S0 46" xfId="263"/>
    <cellStyle name="S0 47" xfId="264"/>
    <cellStyle name="S0 48" xfId="265"/>
    <cellStyle name="S0 49" xfId="266"/>
    <cellStyle name="S0 5" xfId="267"/>
    <cellStyle name="S0 50" xfId="268"/>
    <cellStyle name="S0 51" xfId="269"/>
    <cellStyle name="S0 52" xfId="270"/>
    <cellStyle name="S0 53" xfId="271"/>
    <cellStyle name="S0 54" xfId="272"/>
    <cellStyle name="S0 55" xfId="273"/>
    <cellStyle name="S0 56" xfId="274"/>
    <cellStyle name="S0 57" xfId="275"/>
    <cellStyle name="S0 58" xfId="276"/>
    <cellStyle name="S0 59" xfId="277"/>
    <cellStyle name="S0 6" xfId="278"/>
    <cellStyle name="S0 60" xfId="279"/>
    <cellStyle name="S0 61" xfId="280"/>
    <cellStyle name="S0 62" xfId="281"/>
    <cellStyle name="S0 63" xfId="282"/>
    <cellStyle name="S0 64" xfId="283"/>
    <cellStyle name="S0 65" xfId="284"/>
    <cellStyle name="S0 66" xfId="285"/>
    <cellStyle name="S0 67" xfId="286"/>
    <cellStyle name="S0 68" xfId="287"/>
    <cellStyle name="S0 69" xfId="288"/>
    <cellStyle name="S0 7" xfId="289"/>
    <cellStyle name="S0 70" xfId="290"/>
    <cellStyle name="S0 71" xfId="291"/>
    <cellStyle name="S0 72" xfId="292"/>
    <cellStyle name="S0 73" xfId="293"/>
    <cellStyle name="S0 74" xfId="294"/>
    <cellStyle name="S0 75" xfId="295"/>
    <cellStyle name="S0 76" xfId="296"/>
    <cellStyle name="S0 77" xfId="297"/>
    <cellStyle name="S0 78" xfId="298"/>
    <cellStyle name="S0 79" xfId="299"/>
    <cellStyle name="S0 8" xfId="300"/>
    <cellStyle name="S0 80" xfId="301"/>
    <cellStyle name="S0 81" xfId="302"/>
    <cellStyle name="S0 82" xfId="303"/>
    <cellStyle name="S0 83" xfId="304"/>
    <cellStyle name="S0 84" xfId="305"/>
    <cellStyle name="S0 85" xfId="306"/>
    <cellStyle name="S0 86" xfId="307"/>
    <cellStyle name="S0 87" xfId="308"/>
    <cellStyle name="S0 88" xfId="309"/>
    <cellStyle name="S0 89" xfId="310"/>
    <cellStyle name="S0 9" xfId="311"/>
    <cellStyle name="S0 90" xfId="312"/>
    <cellStyle name="S0 91" xfId="313"/>
    <cellStyle name="S0 92" xfId="314"/>
    <cellStyle name="S0 93" xfId="315"/>
    <cellStyle name="S0 94" xfId="316"/>
    <cellStyle name="S0 95" xfId="317"/>
    <cellStyle name="S0 96" xfId="318"/>
    <cellStyle name="S0 97" xfId="319"/>
    <cellStyle name="S0 98" xfId="320"/>
    <cellStyle name="S0 99" xfId="321"/>
    <cellStyle name="S0_Pembelian" xfId="322"/>
    <cellStyle name="S1" xfId="323"/>
    <cellStyle name="S1 10" xfId="324"/>
    <cellStyle name="S1 100" xfId="325"/>
    <cellStyle name="S1 101" xfId="326"/>
    <cellStyle name="S1 102" xfId="327"/>
    <cellStyle name="S1 103" xfId="328"/>
    <cellStyle name="S1 104" xfId="329"/>
    <cellStyle name="S1 105" xfId="330"/>
    <cellStyle name="S1 106" xfId="331"/>
    <cellStyle name="S1 107" xfId="332"/>
    <cellStyle name="S1 108" xfId="333"/>
    <cellStyle name="S1 109" xfId="334"/>
    <cellStyle name="S1 11" xfId="335"/>
    <cellStyle name="S1 110" xfId="336"/>
    <cellStyle name="S1 111" xfId="337"/>
    <cellStyle name="S1 112" xfId="338"/>
    <cellStyle name="S1 113" xfId="339"/>
    <cellStyle name="S1 114" xfId="340"/>
    <cellStyle name="S1 115" xfId="341"/>
    <cellStyle name="S1 116" xfId="342"/>
    <cellStyle name="S1 117" xfId="343"/>
    <cellStyle name="S1 118" xfId="344"/>
    <cellStyle name="S1 119" xfId="345"/>
    <cellStyle name="S1 12" xfId="346"/>
    <cellStyle name="S1 120" xfId="347"/>
    <cellStyle name="S1 121" xfId="348"/>
    <cellStyle name="S1 122" xfId="349"/>
    <cellStyle name="S1 123" xfId="350"/>
    <cellStyle name="S1 124" xfId="351"/>
    <cellStyle name="S1 125" xfId="352"/>
    <cellStyle name="S1 126" xfId="353"/>
    <cellStyle name="S1 127" xfId="354"/>
    <cellStyle name="S1 128" xfId="355"/>
    <cellStyle name="S1 129" xfId="356"/>
    <cellStyle name="S1 13" xfId="357"/>
    <cellStyle name="S1 130" xfId="358"/>
    <cellStyle name="S1 131" xfId="359"/>
    <cellStyle name="S1 132" xfId="360"/>
    <cellStyle name="S1 133" xfId="361"/>
    <cellStyle name="S1 134" xfId="362"/>
    <cellStyle name="S1 135" xfId="363"/>
    <cellStyle name="S1 136" xfId="364"/>
    <cellStyle name="S1 137" xfId="365"/>
    <cellStyle name="S1 138" xfId="366"/>
    <cellStyle name="S1 139" xfId="367"/>
    <cellStyle name="S1 14" xfId="368"/>
    <cellStyle name="S1 140" xfId="369"/>
    <cellStyle name="S1 141" xfId="370"/>
    <cellStyle name="S1 142" xfId="371"/>
    <cellStyle name="S1 143" xfId="372"/>
    <cellStyle name="S1 144" xfId="373"/>
    <cellStyle name="S1 145" xfId="374"/>
    <cellStyle name="S1 146" xfId="375"/>
    <cellStyle name="S1 147" xfId="376"/>
    <cellStyle name="S1 148" xfId="377"/>
    <cellStyle name="S1 149" xfId="378"/>
    <cellStyle name="S1 15" xfId="379"/>
    <cellStyle name="S1 150" xfId="380"/>
    <cellStyle name="S1 151" xfId="381"/>
    <cellStyle name="S1 152" xfId="382"/>
    <cellStyle name="S1 153" xfId="383"/>
    <cellStyle name="S1 154" xfId="384"/>
    <cellStyle name="S1 155" xfId="385"/>
    <cellStyle name="S1 156" xfId="386"/>
    <cellStyle name="S1 157" xfId="387"/>
    <cellStyle name="S1 158" xfId="388"/>
    <cellStyle name="S1 159" xfId="389"/>
    <cellStyle name="S1 16" xfId="390"/>
    <cellStyle name="S1 160" xfId="391"/>
    <cellStyle name="S1 161" xfId="392"/>
    <cellStyle name="S1 162" xfId="393"/>
    <cellStyle name="S1 163" xfId="394"/>
    <cellStyle name="S1 164" xfId="395"/>
    <cellStyle name="S1 165" xfId="396"/>
    <cellStyle name="S1 166" xfId="397"/>
    <cellStyle name="S1 167" xfId="398"/>
    <cellStyle name="S1 168" xfId="399"/>
    <cellStyle name="S1 169" xfId="400"/>
    <cellStyle name="S1 17" xfId="401"/>
    <cellStyle name="S1 170" xfId="402"/>
    <cellStyle name="S1 171" xfId="403"/>
    <cellStyle name="S1 172" xfId="404"/>
    <cellStyle name="S1 173" xfId="405"/>
    <cellStyle name="S1 174" xfId="406"/>
    <cellStyle name="S1 175" xfId="407"/>
    <cellStyle name="S1 176" xfId="408"/>
    <cellStyle name="S1 177" xfId="409"/>
    <cellStyle name="S1 178" xfId="410"/>
    <cellStyle name="S1 179" xfId="411"/>
    <cellStyle name="S1 18" xfId="412"/>
    <cellStyle name="S1 180" xfId="413"/>
    <cellStyle name="S1 181" xfId="414"/>
    <cellStyle name="S1 182" xfId="415"/>
    <cellStyle name="S1 183" xfId="416"/>
    <cellStyle name="S1 184" xfId="417"/>
    <cellStyle name="S1 185" xfId="418"/>
    <cellStyle name="S1 186" xfId="419"/>
    <cellStyle name="S1 187" xfId="420"/>
    <cellStyle name="S1 188" xfId="421"/>
    <cellStyle name="S1 189" xfId="422"/>
    <cellStyle name="S1 19" xfId="423"/>
    <cellStyle name="S1 190" xfId="424"/>
    <cellStyle name="S1 191" xfId="425"/>
    <cellStyle name="S1 192" xfId="426"/>
    <cellStyle name="S1 193" xfId="427"/>
    <cellStyle name="S1 194" xfId="428"/>
    <cellStyle name="S1 195" xfId="429"/>
    <cellStyle name="S1 196" xfId="430"/>
    <cellStyle name="S1 197" xfId="431"/>
    <cellStyle name="S1 198" xfId="432"/>
    <cellStyle name="S1 199" xfId="433"/>
    <cellStyle name="S1 2" xfId="434"/>
    <cellStyle name="S1 20" xfId="435"/>
    <cellStyle name="S1 200" xfId="436"/>
    <cellStyle name="S1 201" xfId="437"/>
    <cellStyle name="S1 202" xfId="438"/>
    <cellStyle name="S1 203" xfId="439"/>
    <cellStyle name="S1 204" xfId="440"/>
    <cellStyle name="S1 205" xfId="441"/>
    <cellStyle name="S1 206" xfId="442"/>
    <cellStyle name="S1 207" xfId="443"/>
    <cellStyle name="S1 208" xfId="444"/>
    <cellStyle name="S1 209" xfId="445"/>
    <cellStyle name="S1 21" xfId="446"/>
    <cellStyle name="S1 210" xfId="447"/>
    <cellStyle name="S1 211" xfId="448"/>
    <cellStyle name="S1 212" xfId="449"/>
    <cellStyle name="S1 213" xfId="450"/>
    <cellStyle name="S1 214" xfId="451"/>
    <cellStyle name="S1 215" xfId="452"/>
    <cellStyle name="S1 216" xfId="453"/>
    <cellStyle name="S1 217" xfId="454"/>
    <cellStyle name="S1 218" xfId="455"/>
    <cellStyle name="S1 219" xfId="456"/>
    <cellStyle name="S1 22" xfId="457"/>
    <cellStyle name="S1 220" xfId="458"/>
    <cellStyle name="S1 221" xfId="459"/>
    <cellStyle name="S1 222" xfId="460"/>
    <cellStyle name="S1 223" xfId="461"/>
    <cellStyle name="S1 224" xfId="462"/>
    <cellStyle name="S1 225" xfId="463"/>
    <cellStyle name="S1 226" xfId="464"/>
    <cellStyle name="S1 227" xfId="465"/>
    <cellStyle name="S1 228" xfId="466"/>
    <cellStyle name="S1 229" xfId="467"/>
    <cellStyle name="S1 23" xfId="468"/>
    <cellStyle name="S1 230" xfId="469"/>
    <cellStyle name="S1 231" xfId="470"/>
    <cellStyle name="S1 232" xfId="471"/>
    <cellStyle name="S1 233" xfId="472"/>
    <cellStyle name="S1 234" xfId="473"/>
    <cellStyle name="S1 235" xfId="474"/>
    <cellStyle name="S1 236" xfId="475"/>
    <cellStyle name="S1 237" xfId="476"/>
    <cellStyle name="S1 238" xfId="477"/>
    <cellStyle name="S1 239" xfId="478"/>
    <cellStyle name="S1 24" xfId="479"/>
    <cellStyle name="S1 240" xfId="480"/>
    <cellStyle name="S1 241" xfId="481"/>
    <cellStyle name="S1 242" xfId="482"/>
    <cellStyle name="S1 243" xfId="483"/>
    <cellStyle name="S1 244" xfId="484"/>
    <cellStyle name="S1 245" xfId="485"/>
    <cellStyle name="S1 246" xfId="486"/>
    <cellStyle name="S1 247" xfId="487"/>
    <cellStyle name="S1 248" xfId="488"/>
    <cellStyle name="S1 249" xfId="489"/>
    <cellStyle name="S1 25" xfId="490"/>
    <cellStyle name="S1 250" xfId="491"/>
    <cellStyle name="S1 251" xfId="492"/>
    <cellStyle name="S1 252" xfId="493"/>
    <cellStyle name="S1 253" xfId="494"/>
    <cellStyle name="S1 254" xfId="495"/>
    <cellStyle name="S1 255" xfId="496"/>
    <cellStyle name="S1 256" xfId="497"/>
    <cellStyle name="S1 257" xfId="498"/>
    <cellStyle name="S1 258" xfId="499"/>
    <cellStyle name="S1 259" xfId="500"/>
    <cellStyle name="S1 26" xfId="501"/>
    <cellStyle name="S1 260" xfId="502"/>
    <cellStyle name="S1 261" xfId="503"/>
    <cellStyle name="S1 262" xfId="504"/>
    <cellStyle name="S1 263" xfId="505"/>
    <cellStyle name="S1 264" xfId="506"/>
    <cellStyle name="S1 265" xfId="507"/>
    <cellStyle name="S1 265 2" xfId="508"/>
    <cellStyle name="S1 266" xfId="509"/>
    <cellStyle name="S1 267" xfId="510"/>
    <cellStyle name="S1 27" xfId="511"/>
    <cellStyle name="S1 28" xfId="512"/>
    <cellStyle name="S1 29" xfId="513"/>
    <cellStyle name="S1 3" xfId="514"/>
    <cellStyle name="S1 30" xfId="515"/>
    <cellStyle name="S1 31" xfId="516"/>
    <cellStyle name="S1 32" xfId="517"/>
    <cellStyle name="S1 33" xfId="518"/>
    <cellStyle name="S1 34" xfId="519"/>
    <cellStyle name="S1 35" xfId="520"/>
    <cellStyle name="S1 36" xfId="521"/>
    <cellStyle name="S1 37" xfId="522"/>
    <cellStyle name="S1 38" xfId="523"/>
    <cellStyle name="S1 39" xfId="524"/>
    <cellStyle name="S1 4" xfId="525"/>
    <cellStyle name="S1 40" xfId="526"/>
    <cellStyle name="S1 41" xfId="527"/>
    <cellStyle name="S1 42" xfId="528"/>
    <cellStyle name="S1 43" xfId="529"/>
    <cellStyle name="S1 44" xfId="530"/>
    <cellStyle name="S1 45" xfId="531"/>
    <cellStyle name="S1 46" xfId="532"/>
    <cellStyle name="S1 47" xfId="533"/>
    <cellStyle name="S1 48" xfId="534"/>
    <cellStyle name="S1 49" xfId="535"/>
    <cellStyle name="S1 5" xfId="536"/>
    <cellStyle name="S1 50" xfId="537"/>
    <cellStyle name="S1 51" xfId="538"/>
    <cellStyle name="S1 52" xfId="539"/>
    <cellStyle name="S1 53" xfId="540"/>
    <cellStyle name="S1 54" xfId="541"/>
    <cellStyle name="S1 55" xfId="542"/>
    <cellStyle name="S1 56" xfId="543"/>
    <cellStyle name="S1 57" xfId="544"/>
    <cellStyle name="S1 58" xfId="545"/>
    <cellStyle name="S1 59" xfId="546"/>
    <cellStyle name="S1 6" xfId="547"/>
    <cellStyle name="S1 60" xfId="548"/>
    <cellStyle name="S1 61" xfId="549"/>
    <cellStyle name="S1 62" xfId="550"/>
    <cellStyle name="S1 63" xfId="551"/>
    <cellStyle name="S1 64" xfId="552"/>
    <cellStyle name="S1 65" xfId="553"/>
    <cellStyle name="S1 66" xfId="554"/>
    <cellStyle name="S1 67" xfId="555"/>
    <cellStyle name="S1 68" xfId="556"/>
    <cellStyle name="S1 69" xfId="557"/>
    <cellStyle name="S1 7" xfId="558"/>
    <cellStyle name="S1 70" xfId="559"/>
    <cellStyle name="S1 71" xfId="560"/>
    <cellStyle name="S1 72" xfId="561"/>
    <cellStyle name="S1 73" xfId="562"/>
    <cellStyle name="S1 74" xfId="563"/>
    <cellStyle name="S1 75" xfId="564"/>
    <cellStyle name="S1 76" xfId="565"/>
    <cellStyle name="S1 77" xfId="566"/>
    <cellStyle name="S1 78" xfId="567"/>
    <cellStyle name="S1 79" xfId="568"/>
    <cellStyle name="S1 8" xfId="569"/>
    <cellStyle name="S1 80" xfId="570"/>
    <cellStyle name="S1 81" xfId="571"/>
    <cellStyle name="S1 82" xfId="572"/>
    <cellStyle name="S1 83" xfId="573"/>
    <cellStyle name="S1 84" xfId="574"/>
    <cellStyle name="S1 85" xfId="575"/>
    <cellStyle name="S1 86" xfId="576"/>
    <cellStyle name="S1 87" xfId="577"/>
    <cellStyle name="S1 88" xfId="578"/>
    <cellStyle name="S1 89" xfId="579"/>
    <cellStyle name="S1 9" xfId="580"/>
    <cellStyle name="S1 90" xfId="581"/>
    <cellStyle name="S1 91" xfId="582"/>
    <cellStyle name="S1 92" xfId="583"/>
    <cellStyle name="S1 93" xfId="584"/>
    <cellStyle name="S1 94" xfId="585"/>
    <cellStyle name="S1 95" xfId="586"/>
    <cellStyle name="S1 96" xfId="587"/>
    <cellStyle name="S1 97" xfId="588"/>
    <cellStyle name="S1 98" xfId="589"/>
    <cellStyle name="S1 99" xfId="590"/>
    <cellStyle name="S1_Pembelian" xfId="591"/>
    <cellStyle name="S10" xfId="592"/>
    <cellStyle name="S10 10" xfId="593"/>
    <cellStyle name="S10 11" xfId="594"/>
    <cellStyle name="S10 12" xfId="595"/>
    <cellStyle name="S10 13" xfId="596"/>
    <cellStyle name="S10 13 2" xfId="597"/>
    <cellStyle name="S10 14" xfId="598"/>
    <cellStyle name="S10 15" xfId="599"/>
    <cellStyle name="S10 16" xfId="600"/>
    <cellStyle name="S10 17" xfId="601"/>
    <cellStyle name="S10 18" xfId="602"/>
    <cellStyle name="S10 19" xfId="603"/>
    <cellStyle name="S10 2" xfId="604"/>
    <cellStyle name="S10 3" xfId="605"/>
    <cellStyle name="S10 3 2" xfId="606"/>
    <cellStyle name="S10 4" xfId="607"/>
    <cellStyle name="S10 5" xfId="608"/>
    <cellStyle name="S10 6" xfId="609"/>
    <cellStyle name="S10 7" xfId="610"/>
    <cellStyle name="S10 8" xfId="611"/>
    <cellStyle name="S10 9" xfId="612"/>
    <cellStyle name="S10_Pembelian" xfId="613"/>
    <cellStyle name="S11" xfId="614"/>
    <cellStyle name="S11 10" xfId="615"/>
    <cellStyle name="S11 10 2" xfId="616"/>
    <cellStyle name="S11 11" xfId="617"/>
    <cellStyle name="S11 12" xfId="618"/>
    <cellStyle name="S11 13" xfId="619"/>
    <cellStyle name="S11 14" xfId="620"/>
    <cellStyle name="S11 14 2" xfId="621"/>
    <cellStyle name="S11 15" xfId="622"/>
    <cellStyle name="S11 16" xfId="623"/>
    <cellStyle name="S11 2" xfId="624"/>
    <cellStyle name="S11 3" xfId="625"/>
    <cellStyle name="S11 3 2" xfId="626"/>
    <cellStyle name="S11 4" xfId="627"/>
    <cellStyle name="S11 5" xfId="628"/>
    <cellStyle name="S11 6" xfId="629"/>
    <cellStyle name="S11 7" xfId="630"/>
    <cellStyle name="S11 8" xfId="631"/>
    <cellStyle name="S11 9" xfId="632"/>
    <cellStyle name="S11_Pembelian" xfId="633"/>
    <cellStyle name="S12" xfId="634"/>
    <cellStyle name="S12 10" xfId="635"/>
    <cellStyle name="S12 11" xfId="636"/>
    <cellStyle name="S12 2" xfId="637"/>
    <cellStyle name="S12 3" xfId="638"/>
    <cellStyle name="S12 4" xfId="639"/>
    <cellStyle name="S12 5" xfId="640"/>
    <cellStyle name="S12 6" xfId="641"/>
    <cellStyle name="S12 6 2" xfId="642"/>
    <cellStyle name="S12 7" xfId="643"/>
    <cellStyle name="S12 8" xfId="644"/>
    <cellStyle name="S12 9" xfId="645"/>
    <cellStyle name="S12_Pembelian" xfId="646"/>
    <cellStyle name="S13" xfId="647"/>
    <cellStyle name="S13 10" xfId="648"/>
    <cellStyle name="S13 11" xfId="649"/>
    <cellStyle name="S13 12" xfId="650"/>
    <cellStyle name="S13 2" xfId="651"/>
    <cellStyle name="S13 3" xfId="652"/>
    <cellStyle name="S13 4" xfId="653"/>
    <cellStyle name="S13 4 2" xfId="654"/>
    <cellStyle name="S13 5" xfId="655"/>
    <cellStyle name="S13 6" xfId="656"/>
    <cellStyle name="S13 7" xfId="657"/>
    <cellStyle name="S13 7 2" xfId="658"/>
    <cellStyle name="S13 8" xfId="659"/>
    <cellStyle name="S13 9" xfId="660"/>
    <cellStyle name="S13_Pembelian" xfId="661"/>
    <cellStyle name="S14" xfId="662"/>
    <cellStyle name="S14 10" xfId="663"/>
    <cellStyle name="S14 2" xfId="664"/>
    <cellStyle name="S14 3" xfId="665"/>
    <cellStyle name="S14 3 2" xfId="666"/>
    <cellStyle name="S14 4" xfId="667"/>
    <cellStyle name="S14 5" xfId="668"/>
    <cellStyle name="S14 6" xfId="669"/>
    <cellStyle name="S14 7" xfId="670"/>
    <cellStyle name="S14 8" xfId="671"/>
    <cellStyle name="S14 9" xfId="672"/>
    <cellStyle name="S14_Pembelian" xfId="673"/>
    <cellStyle name="S15" xfId="674"/>
    <cellStyle name="S15 2" xfId="675"/>
    <cellStyle name="S15 3" xfId="676"/>
    <cellStyle name="S15 3 2" xfId="677"/>
    <cellStyle name="S15 4" xfId="678"/>
    <cellStyle name="S15 4 2" xfId="679"/>
    <cellStyle name="S15 5" xfId="680"/>
    <cellStyle name="S15 6" xfId="681"/>
    <cellStyle name="S15 7" xfId="682"/>
    <cellStyle name="S15_Pembelian" xfId="683"/>
    <cellStyle name="S16" xfId="684"/>
    <cellStyle name="S16 2" xfId="685"/>
    <cellStyle name="S16 3" xfId="686"/>
    <cellStyle name="S16 4" xfId="687"/>
    <cellStyle name="S16 5" xfId="688"/>
    <cellStyle name="S16 6" xfId="689"/>
    <cellStyle name="S16_Pembelian" xfId="690"/>
    <cellStyle name="S17" xfId="691"/>
    <cellStyle name="S17 2" xfId="692"/>
    <cellStyle name="S17 3" xfId="693"/>
    <cellStyle name="S17 4" xfId="694"/>
    <cellStyle name="S17_Pembelian" xfId="695"/>
    <cellStyle name="S18" xfId="696"/>
    <cellStyle name="S18 2" xfId="697"/>
    <cellStyle name="S18 3" xfId="698"/>
    <cellStyle name="S18 4" xfId="699"/>
    <cellStyle name="S18_Pembelian" xfId="700"/>
    <cellStyle name="S2" xfId="701"/>
    <cellStyle name="S2 10" xfId="702"/>
    <cellStyle name="S2 100" xfId="703"/>
    <cellStyle name="S2 101" xfId="704"/>
    <cellStyle name="S2 102" xfId="705"/>
    <cellStyle name="S2 103" xfId="706"/>
    <cellStyle name="S2 104" xfId="707"/>
    <cellStyle name="S2 105" xfId="708"/>
    <cellStyle name="S2 106" xfId="709"/>
    <cellStyle name="S2 107" xfId="710"/>
    <cellStyle name="S2 108" xfId="711"/>
    <cellStyle name="S2 109" xfId="712"/>
    <cellStyle name="S2 11" xfId="713"/>
    <cellStyle name="S2 110" xfId="714"/>
    <cellStyle name="S2 111" xfId="715"/>
    <cellStyle name="S2 112" xfId="716"/>
    <cellStyle name="S2 113" xfId="717"/>
    <cellStyle name="S2 114" xfId="718"/>
    <cellStyle name="S2 115" xfId="719"/>
    <cellStyle name="S2 116" xfId="720"/>
    <cellStyle name="S2 117" xfId="721"/>
    <cellStyle name="S2 118" xfId="722"/>
    <cellStyle name="S2 119" xfId="723"/>
    <cellStyle name="S2 12" xfId="724"/>
    <cellStyle name="S2 120" xfId="725"/>
    <cellStyle name="S2 121" xfId="726"/>
    <cellStyle name="S2 122" xfId="727"/>
    <cellStyle name="S2 123" xfId="728"/>
    <cellStyle name="S2 124" xfId="729"/>
    <cellStyle name="S2 125" xfId="730"/>
    <cellStyle name="S2 126" xfId="731"/>
    <cellStyle name="S2 127" xfId="732"/>
    <cellStyle name="S2 128" xfId="733"/>
    <cellStyle name="S2 129" xfId="734"/>
    <cellStyle name="S2 13" xfId="735"/>
    <cellStyle name="S2 130" xfId="736"/>
    <cellStyle name="S2 131" xfId="737"/>
    <cellStyle name="S2 132" xfId="738"/>
    <cellStyle name="S2 133" xfId="739"/>
    <cellStyle name="S2 134" xfId="740"/>
    <cellStyle name="S2 135" xfId="741"/>
    <cellStyle name="S2 136" xfId="742"/>
    <cellStyle name="S2 137" xfId="743"/>
    <cellStyle name="S2 138" xfId="744"/>
    <cellStyle name="S2 139" xfId="745"/>
    <cellStyle name="S2 14" xfId="746"/>
    <cellStyle name="S2 140" xfId="747"/>
    <cellStyle name="S2 141" xfId="748"/>
    <cellStyle name="S2 142" xfId="749"/>
    <cellStyle name="S2 143" xfId="750"/>
    <cellStyle name="S2 144" xfId="751"/>
    <cellStyle name="S2 145" xfId="752"/>
    <cellStyle name="S2 146" xfId="753"/>
    <cellStyle name="S2 147" xfId="754"/>
    <cellStyle name="S2 148" xfId="755"/>
    <cellStyle name="S2 149" xfId="756"/>
    <cellStyle name="S2 15" xfId="757"/>
    <cellStyle name="S2 150" xfId="758"/>
    <cellStyle name="S2 151" xfId="759"/>
    <cellStyle name="S2 152" xfId="760"/>
    <cellStyle name="S2 153" xfId="761"/>
    <cellStyle name="S2 154" xfId="762"/>
    <cellStyle name="S2 155" xfId="763"/>
    <cellStyle name="S2 156" xfId="764"/>
    <cellStyle name="S2 157" xfId="765"/>
    <cellStyle name="S2 158" xfId="766"/>
    <cellStyle name="S2 159" xfId="767"/>
    <cellStyle name="S2 16" xfId="768"/>
    <cellStyle name="S2 160" xfId="769"/>
    <cellStyle name="S2 161" xfId="770"/>
    <cellStyle name="S2 162" xfId="771"/>
    <cellStyle name="S2 163" xfId="772"/>
    <cellStyle name="S2 164" xfId="773"/>
    <cellStyle name="S2 165" xfId="774"/>
    <cellStyle name="S2 166" xfId="775"/>
    <cellStyle name="S2 167" xfId="776"/>
    <cellStyle name="S2 168" xfId="777"/>
    <cellStyle name="S2 169" xfId="778"/>
    <cellStyle name="S2 17" xfId="779"/>
    <cellStyle name="S2 170" xfId="780"/>
    <cellStyle name="S2 171" xfId="781"/>
    <cellStyle name="S2 172" xfId="782"/>
    <cellStyle name="S2 173" xfId="783"/>
    <cellStyle name="S2 174" xfId="784"/>
    <cellStyle name="S2 175" xfId="785"/>
    <cellStyle name="S2 176" xfId="786"/>
    <cellStyle name="S2 177" xfId="787"/>
    <cellStyle name="S2 178" xfId="788"/>
    <cellStyle name="S2 179" xfId="789"/>
    <cellStyle name="S2 18" xfId="790"/>
    <cellStyle name="S2 180" xfId="791"/>
    <cellStyle name="S2 181" xfId="792"/>
    <cellStyle name="S2 182" xfId="793"/>
    <cellStyle name="S2 183" xfId="794"/>
    <cellStyle name="S2 184" xfId="795"/>
    <cellStyle name="S2 185" xfId="796"/>
    <cellStyle name="S2 186" xfId="797"/>
    <cellStyle name="S2 187" xfId="798"/>
    <cellStyle name="S2 188" xfId="799"/>
    <cellStyle name="S2 189" xfId="800"/>
    <cellStyle name="S2 19" xfId="801"/>
    <cellStyle name="S2 190" xfId="802"/>
    <cellStyle name="S2 191" xfId="803"/>
    <cellStyle name="S2 192" xfId="804"/>
    <cellStyle name="S2 193" xfId="805"/>
    <cellStyle name="S2 194" xfId="806"/>
    <cellStyle name="S2 195" xfId="807"/>
    <cellStyle name="S2 196" xfId="808"/>
    <cellStyle name="S2 197" xfId="809"/>
    <cellStyle name="S2 198" xfId="810"/>
    <cellStyle name="S2 199" xfId="811"/>
    <cellStyle name="S2 2" xfId="812"/>
    <cellStyle name="S2 20" xfId="813"/>
    <cellStyle name="S2 200" xfId="814"/>
    <cellStyle name="S2 201" xfId="815"/>
    <cellStyle name="S2 202" xfId="816"/>
    <cellStyle name="S2 203" xfId="817"/>
    <cellStyle name="S2 204" xfId="818"/>
    <cellStyle name="S2 205" xfId="819"/>
    <cellStyle name="S2 206" xfId="820"/>
    <cellStyle name="S2 207" xfId="821"/>
    <cellStyle name="S2 208" xfId="822"/>
    <cellStyle name="S2 209" xfId="823"/>
    <cellStyle name="S2 21" xfId="824"/>
    <cellStyle name="S2 210" xfId="825"/>
    <cellStyle name="S2 211" xfId="826"/>
    <cellStyle name="S2 212" xfId="827"/>
    <cellStyle name="S2 213" xfId="828"/>
    <cellStyle name="S2 214" xfId="829"/>
    <cellStyle name="S2 215" xfId="830"/>
    <cellStyle name="S2 216" xfId="831"/>
    <cellStyle name="S2 217" xfId="832"/>
    <cellStyle name="S2 218" xfId="833"/>
    <cellStyle name="S2 219" xfId="834"/>
    <cellStyle name="S2 22" xfId="835"/>
    <cellStyle name="S2 220" xfId="836"/>
    <cellStyle name="S2 221" xfId="837"/>
    <cellStyle name="S2 222" xfId="838"/>
    <cellStyle name="S2 223" xfId="839"/>
    <cellStyle name="S2 224" xfId="840"/>
    <cellStyle name="S2 225" xfId="841"/>
    <cellStyle name="S2 226" xfId="842"/>
    <cellStyle name="S2 227" xfId="843"/>
    <cellStyle name="S2 228" xfId="844"/>
    <cellStyle name="S2 229" xfId="845"/>
    <cellStyle name="S2 23" xfId="846"/>
    <cellStyle name="S2 230" xfId="847"/>
    <cellStyle name="S2 231" xfId="848"/>
    <cellStyle name="S2 232" xfId="849"/>
    <cellStyle name="S2 233" xfId="850"/>
    <cellStyle name="S2 234" xfId="851"/>
    <cellStyle name="S2 235" xfId="852"/>
    <cellStyle name="S2 236" xfId="853"/>
    <cellStyle name="S2 237" xfId="854"/>
    <cellStyle name="S2 238" xfId="855"/>
    <cellStyle name="S2 239" xfId="856"/>
    <cellStyle name="S2 24" xfId="857"/>
    <cellStyle name="S2 240" xfId="858"/>
    <cellStyle name="S2 241" xfId="859"/>
    <cellStyle name="S2 242" xfId="860"/>
    <cellStyle name="S2 243" xfId="861"/>
    <cellStyle name="S2 244" xfId="862"/>
    <cellStyle name="S2 245" xfId="863"/>
    <cellStyle name="S2 246" xfId="864"/>
    <cellStyle name="S2 247" xfId="865"/>
    <cellStyle name="S2 248" xfId="866"/>
    <cellStyle name="S2 249" xfId="867"/>
    <cellStyle name="S2 25" xfId="868"/>
    <cellStyle name="S2 250" xfId="869"/>
    <cellStyle name="S2 251" xfId="870"/>
    <cellStyle name="S2 252" xfId="871"/>
    <cellStyle name="S2 253" xfId="872"/>
    <cellStyle name="S2 254" xfId="873"/>
    <cellStyle name="S2 255" xfId="874"/>
    <cellStyle name="S2 256" xfId="875"/>
    <cellStyle name="S2 257" xfId="876"/>
    <cellStyle name="S2 258" xfId="877"/>
    <cellStyle name="S2 259" xfId="878"/>
    <cellStyle name="S2 26" xfId="879"/>
    <cellStyle name="S2 260" xfId="880"/>
    <cellStyle name="S2 261" xfId="881"/>
    <cellStyle name="S2 262" xfId="882"/>
    <cellStyle name="S2 263" xfId="883"/>
    <cellStyle name="S2 264" xfId="884"/>
    <cellStyle name="S2 265" xfId="885"/>
    <cellStyle name="S2 265 2" xfId="886"/>
    <cellStyle name="S2 266" xfId="887"/>
    <cellStyle name="S2 267" xfId="888"/>
    <cellStyle name="S2 27" xfId="889"/>
    <cellStyle name="S2 28" xfId="890"/>
    <cellStyle name="S2 29" xfId="891"/>
    <cellStyle name="S2 3" xfId="892"/>
    <cellStyle name="S2 30" xfId="893"/>
    <cellStyle name="S2 31" xfId="894"/>
    <cellStyle name="S2 32" xfId="895"/>
    <cellStyle name="S2 33" xfId="896"/>
    <cellStyle name="S2 34" xfId="897"/>
    <cellStyle name="S2 35" xfId="898"/>
    <cellStyle name="S2 36" xfId="899"/>
    <cellStyle name="S2 37" xfId="900"/>
    <cellStyle name="S2 38" xfId="901"/>
    <cellStyle name="S2 39" xfId="902"/>
    <cellStyle name="S2 4" xfId="903"/>
    <cellStyle name="S2 40" xfId="904"/>
    <cellStyle name="S2 41" xfId="905"/>
    <cellStyle name="S2 42" xfId="906"/>
    <cellStyle name="S2 43" xfId="907"/>
    <cellStyle name="S2 44" xfId="908"/>
    <cellStyle name="S2 45" xfId="909"/>
    <cellStyle name="S2 46" xfId="910"/>
    <cellStyle name="S2 47" xfId="911"/>
    <cellStyle name="S2 48" xfId="912"/>
    <cellStyle name="S2 49" xfId="913"/>
    <cellStyle name="S2 5" xfId="914"/>
    <cellStyle name="S2 50" xfId="915"/>
    <cellStyle name="S2 51" xfId="916"/>
    <cellStyle name="S2 52" xfId="917"/>
    <cellStyle name="S2 53" xfId="918"/>
    <cellStyle name="S2 54" xfId="919"/>
    <cellStyle name="S2 55" xfId="920"/>
    <cellStyle name="S2 56" xfId="921"/>
    <cellStyle name="S2 57" xfId="922"/>
    <cellStyle name="S2 58" xfId="923"/>
    <cellStyle name="S2 59" xfId="924"/>
    <cellStyle name="S2 6" xfId="925"/>
    <cellStyle name="S2 60" xfId="926"/>
    <cellStyle name="S2 61" xfId="927"/>
    <cellStyle name="S2 62" xfId="928"/>
    <cellStyle name="S2 63" xfId="929"/>
    <cellStyle name="S2 64" xfId="930"/>
    <cellStyle name="S2 65" xfId="931"/>
    <cellStyle name="S2 66" xfId="932"/>
    <cellStyle name="S2 67" xfId="933"/>
    <cellStyle name="S2 68" xfId="934"/>
    <cellStyle name="S2 69" xfId="935"/>
    <cellStyle name="S2 7" xfId="936"/>
    <cellStyle name="S2 70" xfId="937"/>
    <cellStyle name="S2 71" xfId="938"/>
    <cellStyle name="S2 72" xfId="939"/>
    <cellStyle name="S2 73" xfId="940"/>
    <cellStyle name="S2 74" xfId="941"/>
    <cellStyle name="S2 75" xfId="942"/>
    <cellStyle name="S2 76" xfId="943"/>
    <cellStyle name="S2 77" xfId="944"/>
    <cellStyle name="S2 78" xfId="945"/>
    <cellStyle name="S2 79" xfId="946"/>
    <cellStyle name="S2 8" xfId="947"/>
    <cellStyle name="S2 80" xfId="948"/>
    <cellStyle name="S2 81" xfId="949"/>
    <cellStyle name="S2 82" xfId="950"/>
    <cellStyle name="S2 83" xfId="951"/>
    <cellStyle name="S2 84" xfId="952"/>
    <cellStyle name="S2 85" xfId="953"/>
    <cellStyle name="S2 86" xfId="954"/>
    <cellStyle name="S2 87" xfId="955"/>
    <cellStyle name="S2 88" xfId="956"/>
    <cellStyle name="S2 89" xfId="957"/>
    <cellStyle name="S2 9" xfId="958"/>
    <cellStyle name="S2 90" xfId="959"/>
    <cellStyle name="S2 91" xfId="960"/>
    <cellStyle name="S2 92" xfId="961"/>
    <cellStyle name="S2 93" xfId="962"/>
    <cellStyle name="S2 94" xfId="963"/>
    <cellStyle name="S2 95" xfId="964"/>
    <cellStyle name="S2 96" xfId="965"/>
    <cellStyle name="S2 97" xfId="966"/>
    <cellStyle name="S2 98" xfId="967"/>
    <cellStyle name="S2 99" xfId="968"/>
    <cellStyle name="S2_Pembelian" xfId="969"/>
    <cellStyle name="S3" xfId="970"/>
    <cellStyle name="S3 10" xfId="971"/>
    <cellStyle name="S3 11" xfId="972"/>
    <cellStyle name="S3 2" xfId="973"/>
    <cellStyle name="S3 3" xfId="974"/>
    <cellStyle name="S3 4" xfId="975"/>
    <cellStyle name="S3 5" xfId="976"/>
    <cellStyle name="S3 6" xfId="977"/>
    <cellStyle name="S3 7" xfId="978"/>
    <cellStyle name="S3 8" xfId="979"/>
    <cellStyle name="S3 9" xfId="980"/>
    <cellStyle name="S3 9 2" xfId="981"/>
    <cellStyle name="S3_Pembelian" xfId="982"/>
    <cellStyle name="S4" xfId="983"/>
    <cellStyle name="S4 10" xfId="984"/>
    <cellStyle name="S4 11" xfId="985"/>
    <cellStyle name="S4 12" xfId="986"/>
    <cellStyle name="S4 12 2" xfId="987"/>
    <cellStyle name="S4 13" xfId="988"/>
    <cellStyle name="S4 14" xfId="989"/>
    <cellStyle name="S4 14 2" xfId="990"/>
    <cellStyle name="S4 15" xfId="991"/>
    <cellStyle name="S4 16" xfId="992"/>
    <cellStyle name="S4 19" xfId="993"/>
    <cellStyle name="S4 2" xfId="994"/>
    <cellStyle name="S4 3" xfId="995"/>
    <cellStyle name="S4 4" xfId="996"/>
    <cellStyle name="S4 5" xfId="997"/>
    <cellStyle name="S4 6" xfId="998"/>
    <cellStyle name="S4 7" xfId="999"/>
    <cellStyle name="S4 8" xfId="1000"/>
    <cellStyle name="S4 9" xfId="1001"/>
    <cellStyle name="S4 9 2" xfId="1002"/>
    <cellStyle name="S4_Pembelian" xfId="1003"/>
    <cellStyle name="S5" xfId="1004"/>
    <cellStyle name="S5 10" xfId="1005"/>
    <cellStyle name="S5 10 2" xfId="1006"/>
    <cellStyle name="S5 11" xfId="1007"/>
    <cellStyle name="S5 12" xfId="1008"/>
    <cellStyle name="S5 13" xfId="1009"/>
    <cellStyle name="S5 19" xfId="1010"/>
    <cellStyle name="S5 2" xfId="1011"/>
    <cellStyle name="S5 2 2" xfId="1012"/>
    <cellStyle name="S5 3" xfId="1013"/>
    <cellStyle name="S5 3 2" xfId="1014"/>
    <cellStyle name="S5 4" xfId="1015"/>
    <cellStyle name="S5 5" xfId="1016"/>
    <cellStyle name="S5 6" xfId="1017"/>
    <cellStyle name="S5 7" xfId="1018"/>
    <cellStyle name="S5 8" xfId="1019"/>
    <cellStyle name="S5 9" xfId="1020"/>
    <cellStyle name="S5 9 2" xfId="1021"/>
    <cellStyle name="S5_Pembelian" xfId="1022"/>
    <cellStyle name="S6" xfId="1023"/>
    <cellStyle name="S6 10" xfId="1024"/>
    <cellStyle name="S6 11" xfId="1025"/>
    <cellStyle name="S6 11 2" xfId="1026"/>
    <cellStyle name="S6 12" xfId="1027"/>
    <cellStyle name="S6 13" xfId="1028"/>
    <cellStyle name="S6 13 2" xfId="1029"/>
    <cellStyle name="S6 14" xfId="1030"/>
    <cellStyle name="S6 15" xfId="1031"/>
    <cellStyle name="S6 16" xfId="1032"/>
    <cellStyle name="S6 17" xfId="1033"/>
    <cellStyle name="S6 18" xfId="1034"/>
    <cellStyle name="S6 2" xfId="1035"/>
    <cellStyle name="S6 3" xfId="1036"/>
    <cellStyle name="S6 4" xfId="1037"/>
    <cellStyle name="S6 5" xfId="1038"/>
    <cellStyle name="S6 6" xfId="1039"/>
    <cellStyle name="S6 7" xfId="1040"/>
    <cellStyle name="S6 8" xfId="1041"/>
    <cellStyle name="S6 9" xfId="1042"/>
    <cellStyle name="S6_Pembelian" xfId="1043"/>
    <cellStyle name="S7" xfId="1044"/>
    <cellStyle name="S7 10" xfId="1045"/>
    <cellStyle name="S7 10 2" xfId="1046"/>
    <cellStyle name="S7 11" xfId="1047"/>
    <cellStyle name="S7 12" xfId="1048"/>
    <cellStyle name="S7 12 2" xfId="1049"/>
    <cellStyle name="S7 13" xfId="1050"/>
    <cellStyle name="S7 14" xfId="1051"/>
    <cellStyle name="S7 15" xfId="1052"/>
    <cellStyle name="S7 16" xfId="1053"/>
    <cellStyle name="S7 19" xfId="4"/>
    <cellStyle name="S7 19 2" xfId="1054"/>
    <cellStyle name="S7 2" xfId="1055"/>
    <cellStyle name="S7 3" xfId="1056"/>
    <cellStyle name="S7 4" xfId="1057"/>
    <cellStyle name="S7 5" xfId="1058"/>
    <cellStyle name="S7 6" xfId="1059"/>
    <cellStyle name="S7 7" xfId="1060"/>
    <cellStyle name="S7 8" xfId="1061"/>
    <cellStyle name="S7 9" xfId="1062"/>
    <cellStyle name="S7_Pembelian" xfId="1063"/>
    <cellStyle name="S8" xfId="1064"/>
    <cellStyle name="S8 10" xfId="1065"/>
    <cellStyle name="S8 11" xfId="1066"/>
    <cellStyle name="S8 12" xfId="1067"/>
    <cellStyle name="S8 13" xfId="1068"/>
    <cellStyle name="S8 14" xfId="1069"/>
    <cellStyle name="S8 2" xfId="1070"/>
    <cellStyle name="S8 3" xfId="1071"/>
    <cellStyle name="S8 4" xfId="1072"/>
    <cellStyle name="S8 5" xfId="1073"/>
    <cellStyle name="S8 5 2" xfId="1074"/>
    <cellStyle name="S8 6" xfId="1075"/>
    <cellStyle name="S8 7" xfId="1076"/>
    <cellStyle name="S8 8" xfId="3"/>
    <cellStyle name="S8 9" xfId="1077"/>
    <cellStyle name="S8 9 2" xfId="1078"/>
    <cellStyle name="S8_Pembelian" xfId="1079"/>
    <cellStyle name="S9" xfId="1080"/>
    <cellStyle name="S9 10" xfId="1081"/>
    <cellStyle name="S9 11" xfId="1082"/>
    <cellStyle name="S9 11 2" xfId="1083"/>
    <cellStyle name="S9 12" xfId="1084"/>
    <cellStyle name="S9 13" xfId="1085"/>
    <cellStyle name="S9 14" xfId="1086"/>
    <cellStyle name="S9 15" xfId="1087"/>
    <cellStyle name="S9 16" xfId="1088"/>
    <cellStyle name="S9 17" xfId="1089"/>
    <cellStyle name="S9 2" xfId="1090"/>
    <cellStyle name="S9 3" xfId="1091"/>
    <cellStyle name="S9 4" xfId="1092"/>
    <cellStyle name="S9 5" xfId="1093"/>
    <cellStyle name="S9 6" xfId="1094"/>
    <cellStyle name="S9 7" xfId="1095"/>
    <cellStyle name="S9 8" xfId="1096"/>
    <cellStyle name="S9 9" xfId="1097"/>
    <cellStyle name="S9_Pembelian" xfId="10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fin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5"/>
  <sheetViews>
    <sheetView workbookViewId="0">
      <selection activeCell="A10" sqref="A10"/>
    </sheetView>
  </sheetViews>
  <sheetFormatPr defaultRowHeight="15" x14ac:dyDescent="0.25"/>
  <cols>
    <col min="2" max="2" width="10.28515625" style="15" customWidth="1"/>
    <col min="3" max="3" width="17.28515625" style="16" customWidth="1"/>
    <col min="4" max="4" width="11.7109375" customWidth="1"/>
    <col min="5" max="5" width="24.5703125" bestFit="1" customWidth="1"/>
  </cols>
  <sheetData>
    <row r="1" spans="2:5" x14ac:dyDescent="0.25">
      <c r="B1" s="57" t="s">
        <v>0</v>
      </c>
      <c r="C1" s="57"/>
      <c r="D1" s="57"/>
      <c r="E1" s="57"/>
    </row>
    <row r="2" spans="2:5" x14ac:dyDescent="0.25">
      <c r="B2" s="1" t="s">
        <v>1</v>
      </c>
      <c r="C2" s="2" t="s">
        <v>2</v>
      </c>
      <c r="D2" s="2" t="s">
        <v>3</v>
      </c>
      <c r="E2" s="3" t="s">
        <v>4</v>
      </c>
    </row>
    <row r="3" spans="2:5" x14ac:dyDescent="0.25">
      <c r="B3" s="4" t="s">
        <v>5</v>
      </c>
      <c r="C3" s="5"/>
      <c r="D3" s="6"/>
      <c r="E3" s="7"/>
    </row>
    <row r="4" spans="2:5" x14ac:dyDescent="0.25">
      <c r="B4" s="4">
        <v>46083</v>
      </c>
      <c r="C4" s="5">
        <v>1.58</v>
      </c>
      <c r="D4" s="6">
        <v>2.38</v>
      </c>
      <c r="E4" s="7">
        <v>40</v>
      </c>
    </row>
    <row r="5" spans="2:5" x14ac:dyDescent="0.25">
      <c r="B5" s="4">
        <v>46084</v>
      </c>
      <c r="C5" s="5">
        <v>2.12</v>
      </c>
      <c r="D5" s="6">
        <v>2.5099999999999998</v>
      </c>
      <c r="E5" s="7">
        <v>39</v>
      </c>
    </row>
    <row r="6" spans="2:5" x14ac:dyDescent="0.25">
      <c r="B6" s="4">
        <v>46085</v>
      </c>
      <c r="C6" s="5">
        <v>1.36</v>
      </c>
      <c r="D6" s="6">
        <v>3.24</v>
      </c>
      <c r="E6" s="7">
        <v>108</v>
      </c>
    </row>
    <row r="7" spans="2:5" x14ac:dyDescent="0.25">
      <c r="B7" s="4">
        <v>46086</v>
      </c>
      <c r="C7" s="5">
        <v>1.45</v>
      </c>
      <c r="D7" s="6">
        <v>2.2999999999999998</v>
      </c>
      <c r="E7" s="7">
        <v>45</v>
      </c>
    </row>
    <row r="8" spans="2:5" x14ac:dyDescent="0.25">
      <c r="B8" s="4">
        <v>46087</v>
      </c>
      <c r="C8" s="5">
        <v>1.4</v>
      </c>
      <c r="D8" s="6">
        <v>2.06</v>
      </c>
      <c r="E8" s="7">
        <v>26</v>
      </c>
    </row>
    <row r="9" spans="2:5" x14ac:dyDescent="0.25">
      <c r="B9" s="4">
        <v>46088</v>
      </c>
      <c r="C9" s="8">
        <v>1.38</v>
      </c>
      <c r="D9" s="6">
        <v>2.4</v>
      </c>
      <c r="E9" s="9">
        <v>62</v>
      </c>
    </row>
    <row r="10" spans="2:5" x14ac:dyDescent="0.25">
      <c r="B10" s="4" t="s">
        <v>5</v>
      </c>
      <c r="C10" s="5"/>
      <c r="D10" s="6"/>
      <c r="E10" s="7"/>
    </row>
    <row r="11" spans="2:5" x14ac:dyDescent="0.25">
      <c r="B11" s="4">
        <v>46090</v>
      </c>
      <c r="C11" s="5">
        <v>1.54</v>
      </c>
      <c r="D11" s="6">
        <v>3.02</v>
      </c>
      <c r="E11" s="7">
        <v>68</v>
      </c>
    </row>
    <row r="12" spans="2:5" x14ac:dyDescent="0.25">
      <c r="B12" s="4">
        <v>46091</v>
      </c>
      <c r="C12" s="5">
        <v>1.53</v>
      </c>
      <c r="D12" s="6">
        <v>2.4900000000000002</v>
      </c>
      <c r="E12" s="7">
        <v>56</v>
      </c>
    </row>
    <row r="13" spans="2:5" x14ac:dyDescent="0.25">
      <c r="B13" s="4">
        <v>46092</v>
      </c>
      <c r="C13" s="5">
        <v>1.59</v>
      </c>
      <c r="D13" s="6">
        <v>2.5499999999999998</v>
      </c>
      <c r="E13" s="7">
        <v>56</v>
      </c>
    </row>
    <row r="14" spans="2:5" x14ac:dyDescent="0.25">
      <c r="B14" s="4">
        <v>46093</v>
      </c>
      <c r="C14" s="5">
        <v>1.57</v>
      </c>
      <c r="D14" s="6">
        <v>2.41</v>
      </c>
      <c r="E14" s="7">
        <v>44</v>
      </c>
    </row>
    <row r="15" spans="2:5" x14ac:dyDescent="0.25">
      <c r="B15" s="4">
        <v>46094</v>
      </c>
      <c r="C15" s="5">
        <v>1.47</v>
      </c>
      <c r="D15" s="6">
        <v>2.57</v>
      </c>
      <c r="E15" s="7">
        <v>70</v>
      </c>
    </row>
    <row r="16" spans="2:5" x14ac:dyDescent="0.25">
      <c r="B16" s="4">
        <v>46095</v>
      </c>
      <c r="C16" s="5">
        <v>1.0900000000000001</v>
      </c>
      <c r="D16" s="10">
        <v>2.12</v>
      </c>
      <c r="E16" s="7">
        <v>63</v>
      </c>
    </row>
    <row r="17" spans="2:5" x14ac:dyDescent="0.25">
      <c r="B17" s="4" t="s">
        <v>5</v>
      </c>
      <c r="C17" s="5"/>
      <c r="D17" s="6"/>
      <c r="E17" s="7"/>
    </row>
    <row r="18" spans="2:5" x14ac:dyDescent="0.25">
      <c r="B18" s="4">
        <v>46097</v>
      </c>
      <c r="C18" s="5">
        <v>1.46</v>
      </c>
      <c r="D18" s="6">
        <v>2.4300000000000002</v>
      </c>
      <c r="E18" s="7">
        <v>57</v>
      </c>
    </row>
    <row r="19" spans="2:5" x14ac:dyDescent="0.25">
      <c r="B19" s="4">
        <v>46098</v>
      </c>
      <c r="C19" s="5">
        <v>1.25</v>
      </c>
      <c r="D19" s="10">
        <v>2.15</v>
      </c>
      <c r="E19" s="7">
        <v>50</v>
      </c>
    </row>
    <row r="20" spans="2:5" x14ac:dyDescent="0.25">
      <c r="B20" s="4">
        <v>46099</v>
      </c>
      <c r="C20" s="5">
        <v>11.56</v>
      </c>
      <c r="D20" s="10">
        <v>12.36</v>
      </c>
      <c r="E20" s="7">
        <v>40</v>
      </c>
    </row>
    <row r="21" spans="2:5" x14ac:dyDescent="0.25">
      <c r="B21" s="4" t="s">
        <v>7</v>
      </c>
      <c r="C21" s="5"/>
      <c r="D21" s="10"/>
      <c r="E21" s="7"/>
    </row>
    <row r="22" spans="2:5" x14ac:dyDescent="0.25">
      <c r="B22" s="4">
        <v>46107</v>
      </c>
      <c r="C22" s="5">
        <v>1.4</v>
      </c>
      <c r="D22" s="5">
        <v>2.42</v>
      </c>
      <c r="E22" s="7">
        <v>62</v>
      </c>
    </row>
    <row r="23" spans="2:5" x14ac:dyDescent="0.25">
      <c r="B23" s="4">
        <v>46108</v>
      </c>
      <c r="C23" s="5">
        <v>2.06</v>
      </c>
      <c r="D23" s="6">
        <v>2.4300000000000002</v>
      </c>
      <c r="E23" s="7">
        <v>37</v>
      </c>
    </row>
    <row r="24" spans="2:5" x14ac:dyDescent="0.25">
      <c r="B24" s="4">
        <v>46109</v>
      </c>
      <c r="C24" s="5">
        <v>1.28</v>
      </c>
      <c r="D24" s="6">
        <v>2.15</v>
      </c>
      <c r="E24" s="7">
        <v>47</v>
      </c>
    </row>
    <row r="25" spans="2:5" x14ac:dyDescent="0.25">
      <c r="B25" s="11"/>
      <c r="C25" s="12"/>
      <c r="D25" s="13" t="s">
        <v>8</v>
      </c>
      <c r="E25" s="14">
        <f>AVERAGE(E3:E24)</f>
        <v>53.888888888888886</v>
      </c>
    </row>
  </sheetData>
  <mergeCells count="1">
    <mergeCell ref="B1:E1"/>
  </mergeCells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opLeftCell="A16" workbookViewId="0">
      <selection activeCell="D37" sqref="D37"/>
    </sheetView>
  </sheetViews>
  <sheetFormatPr defaultRowHeight="15" x14ac:dyDescent="0.25"/>
  <cols>
    <col min="1" max="1" width="9.42578125" bestFit="1" customWidth="1"/>
    <col min="3" max="8" width="9.140625" style="16" customWidth="1"/>
  </cols>
  <sheetData>
    <row r="1" spans="1:9" x14ac:dyDescent="0.25">
      <c r="B1" s="58" t="s">
        <v>9</v>
      </c>
      <c r="C1" s="60" t="s">
        <v>10</v>
      </c>
      <c r="D1" s="61"/>
      <c r="E1" s="61"/>
      <c r="F1" s="61"/>
      <c r="G1" s="61"/>
      <c r="H1" s="61"/>
    </row>
    <row r="2" spans="1:9" ht="48.75" thickBot="1" x14ac:dyDescent="0.3">
      <c r="B2" s="59"/>
      <c r="C2" s="17" t="s">
        <v>11</v>
      </c>
      <c r="D2" s="17" t="s">
        <v>12</v>
      </c>
      <c r="E2" s="17" t="s">
        <v>13</v>
      </c>
      <c r="F2" s="17" t="s">
        <v>12</v>
      </c>
      <c r="G2" s="17" t="s">
        <v>14</v>
      </c>
      <c r="H2" s="17" t="s">
        <v>12</v>
      </c>
    </row>
    <row r="3" spans="1:9" ht="15.75" thickBot="1" x14ac:dyDescent="0.3">
      <c r="A3" s="18"/>
      <c r="B3" s="19" t="s">
        <v>5</v>
      </c>
      <c r="C3" s="20"/>
      <c r="D3" s="21"/>
      <c r="E3" s="22"/>
      <c r="F3" s="21"/>
      <c r="G3" s="22"/>
      <c r="H3" s="21"/>
    </row>
    <row r="4" spans="1:9" ht="15.75" thickBot="1" x14ac:dyDescent="0.3">
      <c r="A4" s="18"/>
      <c r="B4" s="19">
        <v>46083</v>
      </c>
      <c r="C4" s="20">
        <v>8.5500000000000007</v>
      </c>
      <c r="D4" s="21">
        <v>1</v>
      </c>
      <c r="E4" s="22">
        <v>15.05</v>
      </c>
      <c r="F4" s="21">
        <v>1</v>
      </c>
      <c r="G4" s="22">
        <v>15.09</v>
      </c>
      <c r="H4" s="21">
        <v>1</v>
      </c>
    </row>
    <row r="5" spans="1:9" ht="15.75" thickBot="1" x14ac:dyDescent="0.3">
      <c r="A5" s="18"/>
      <c r="B5" s="19">
        <v>46084</v>
      </c>
      <c r="C5" s="20">
        <v>8.2100000000000009</v>
      </c>
      <c r="D5" s="21">
        <v>1</v>
      </c>
      <c r="E5" s="22">
        <v>8.4600000000000009</v>
      </c>
      <c r="F5" s="21">
        <v>7</v>
      </c>
      <c r="G5" s="22">
        <v>9.01</v>
      </c>
      <c r="H5" s="21">
        <v>7</v>
      </c>
      <c r="I5" t="s">
        <v>15</v>
      </c>
    </row>
    <row r="6" spans="1:9" ht="15.75" thickBot="1" x14ac:dyDescent="0.3">
      <c r="A6" s="18"/>
      <c r="B6" s="19">
        <v>46085</v>
      </c>
      <c r="C6" s="20">
        <v>8.26</v>
      </c>
      <c r="D6" s="21">
        <v>1</v>
      </c>
      <c r="E6" s="22">
        <v>8.4600000000000009</v>
      </c>
      <c r="F6" s="21">
        <v>1</v>
      </c>
      <c r="G6" s="22">
        <v>9.01</v>
      </c>
      <c r="H6" s="21">
        <v>1</v>
      </c>
    </row>
    <row r="7" spans="1:9" ht="15.75" thickBot="1" x14ac:dyDescent="0.3">
      <c r="A7" s="18"/>
      <c r="B7" s="19">
        <v>46086</v>
      </c>
      <c r="C7" s="20">
        <v>8.39</v>
      </c>
      <c r="D7" s="21">
        <v>1</v>
      </c>
      <c r="E7" s="22">
        <v>10.02</v>
      </c>
      <c r="F7" s="21">
        <v>1</v>
      </c>
      <c r="G7" s="22">
        <v>10.09</v>
      </c>
      <c r="H7" s="21">
        <v>1</v>
      </c>
    </row>
    <row r="8" spans="1:9" ht="15.75" thickBot="1" x14ac:dyDescent="0.3">
      <c r="A8" s="18"/>
      <c r="B8" s="19">
        <v>46087</v>
      </c>
      <c r="C8" s="20">
        <v>8.3000000000000007</v>
      </c>
      <c r="D8" s="21">
        <v>1</v>
      </c>
      <c r="E8" s="22">
        <v>14.58</v>
      </c>
      <c r="F8" s="21">
        <v>1</v>
      </c>
      <c r="G8" s="22">
        <v>15.14</v>
      </c>
      <c r="H8" s="21">
        <v>1</v>
      </c>
    </row>
    <row r="9" spans="1:9" ht="15.75" thickBot="1" x14ac:dyDescent="0.3">
      <c r="A9" s="18"/>
      <c r="B9" s="19">
        <v>46088</v>
      </c>
      <c r="C9" s="20">
        <v>9.5</v>
      </c>
      <c r="D9" s="21">
        <v>3</v>
      </c>
      <c r="E9" s="22">
        <v>14.57</v>
      </c>
      <c r="F9" s="21">
        <v>1</v>
      </c>
      <c r="G9" s="22">
        <v>8.3000000000000007</v>
      </c>
      <c r="H9" s="21">
        <v>1</v>
      </c>
    </row>
    <row r="10" spans="1:9" ht="15.75" thickBot="1" x14ac:dyDescent="0.3">
      <c r="A10" s="18" t="s">
        <v>6</v>
      </c>
      <c r="B10" s="19" t="s">
        <v>5</v>
      </c>
      <c r="C10" s="20"/>
      <c r="D10" s="21"/>
      <c r="E10" s="22"/>
      <c r="F10" s="21"/>
      <c r="G10" s="22"/>
      <c r="H10" s="21"/>
    </row>
    <row r="11" spans="1:9" ht="15.75" thickBot="1" x14ac:dyDescent="0.3">
      <c r="A11" s="18"/>
      <c r="B11" s="19">
        <v>46090</v>
      </c>
      <c r="C11" s="20">
        <v>8.25</v>
      </c>
      <c r="D11" s="21">
        <v>1</v>
      </c>
      <c r="E11" s="22">
        <v>15.38</v>
      </c>
      <c r="F11" s="21">
        <v>1</v>
      </c>
      <c r="G11" s="22">
        <v>15.51</v>
      </c>
      <c r="H11" s="21">
        <v>1</v>
      </c>
    </row>
    <row r="12" spans="1:9" ht="15.75" thickBot="1" x14ac:dyDescent="0.3">
      <c r="A12" s="18"/>
      <c r="B12" s="19">
        <v>46091</v>
      </c>
      <c r="C12" s="20">
        <v>8.18</v>
      </c>
      <c r="D12" s="21">
        <v>1</v>
      </c>
      <c r="E12" s="22">
        <v>15.3</v>
      </c>
      <c r="F12" s="21">
        <v>1</v>
      </c>
      <c r="G12" s="22">
        <v>15.49</v>
      </c>
      <c r="H12" s="21">
        <v>1</v>
      </c>
    </row>
    <row r="13" spans="1:9" ht="15.75" thickBot="1" x14ac:dyDescent="0.3">
      <c r="A13" s="18"/>
      <c r="B13" s="19">
        <v>46092</v>
      </c>
      <c r="C13" s="20">
        <v>8.42</v>
      </c>
      <c r="D13" s="21">
        <v>1</v>
      </c>
      <c r="E13" s="22">
        <v>8.5299999999999994</v>
      </c>
      <c r="F13" s="21">
        <v>1</v>
      </c>
      <c r="G13" s="22">
        <v>8.59</v>
      </c>
      <c r="H13" s="21">
        <v>1</v>
      </c>
    </row>
    <row r="14" spans="1:9" ht="15.75" thickBot="1" x14ac:dyDescent="0.3">
      <c r="A14" s="18"/>
      <c r="B14" s="19">
        <v>46093</v>
      </c>
      <c r="C14" s="20">
        <v>8.48</v>
      </c>
      <c r="D14" s="21">
        <v>1</v>
      </c>
      <c r="E14" s="22">
        <v>15.13</v>
      </c>
      <c r="F14" s="21">
        <v>1</v>
      </c>
      <c r="G14" s="22">
        <v>3.23</v>
      </c>
      <c r="H14" s="21">
        <v>1</v>
      </c>
    </row>
    <row r="15" spans="1:9" ht="15.75" thickBot="1" x14ac:dyDescent="0.3">
      <c r="A15" s="18"/>
      <c r="B15" s="19">
        <v>46094</v>
      </c>
      <c r="C15" s="20">
        <v>8.3000000000000007</v>
      </c>
      <c r="D15" s="21">
        <v>1</v>
      </c>
      <c r="E15" s="22">
        <v>9.14</v>
      </c>
      <c r="F15" s="21">
        <v>1</v>
      </c>
      <c r="G15" s="22">
        <v>9.3699999999999992</v>
      </c>
      <c r="H15" s="21">
        <v>1</v>
      </c>
    </row>
    <row r="16" spans="1:9" ht="15.75" thickBot="1" x14ac:dyDescent="0.3">
      <c r="A16" s="18"/>
      <c r="B16" s="19">
        <v>46095</v>
      </c>
      <c r="C16" s="20">
        <v>9.0500000000000007</v>
      </c>
      <c r="D16" s="21">
        <v>1</v>
      </c>
      <c r="E16" s="22">
        <v>9.17</v>
      </c>
      <c r="F16" s="21">
        <v>1</v>
      </c>
      <c r="G16" s="22">
        <v>9.25</v>
      </c>
      <c r="H16" s="21">
        <v>1</v>
      </c>
    </row>
    <row r="17" spans="1:9" ht="15.75" thickBot="1" x14ac:dyDescent="0.3">
      <c r="A17" s="18"/>
      <c r="B17" s="19" t="s">
        <v>5</v>
      </c>
      <c r="C17" s="20"/>
      <c r="D17" s="21"/>
      <c r="E17" s="22"/>
      <c r="F17" s="21"/>
      <c r="G17" s="22"/>
      <c r="H17" s="21"/>
    </row>
    <row r="18" spans="1:9" ht="15.75" thickBot="1" x14ac:dyDescent="0.3">
      <c r="A18" s="18"/>
      <c r="B18" s="19">
        <v>46097</v>
      </c>
      <c r="C18" s="20">
        <v>8.59</v>
      </c>
      <c r="D18" s="22">
        <v>1</v>
      </c>
      <c r="E18" s="22">
        <v>15.18</v>
      </c>
      <c r="F18" s="21">
        <v>1</v>
      </c>
      <c r="G18" s="22">
        <v>15.32</v>
      </c>
      <c r="H18" s="22">
        <v>1</v>
      </c>
    </row>
    <row r="19" spans="1:9" ht="15.75" thickBot="1" x14ac:dyDescent="0.3">
      <c r="A19" s="18"/>
      <c r="B19" s="19">
        <v>46098</v>
      </c>
      <c r="C19" s="20">
        <v>8.42</v>
      </c>
      <c r="D19" s="21">
        <v>1</v>
      </c>
      <c r="E19" s="22">
        <v>15.36</v>
      </c>
      <c r="F19" s="21">
        <v>1</v>
      </c>
      <c r="G19" s="22">
        <v>15.57</v>
      </c>
      <c r="H19" s="21">
        <v>1</v>
      </c>
    </row>
    <row r="20" spans="1:9" ht="15.75" thickBot="1" x14ac:dyDescent="0.3">
      <c r="A20" s="18"/>
      <c r="B20" s="19">
        <v>46099</v>
      </c>
      <c r="C20" s="20">
        <v>8.2100000000000009</v>
      </c>
      <c r="D20" s="21">
        <v>1</v>
      </c>
      <c r="E20" s="22">
        <v>14.58</v>
      </c>
      <c r="F20" s="21">
        <v>1</v>
      </c>
      <c r="G20" s="22">
        <v>15.1</v>
      </c>
      <c r="H20" s="21">
        <v>1</v>
      </c>
    </row>
    <row r="21" spans="1:9" ht="15.75" thickBot="1" x14ac:dyDescent="0.3">
      <c r="A21" s="18"/>
      <c r="B21" s="19" t="s">
        <v>7</v>
      </c>
      <c r="C21" s="20"/>
      <c r="D21" s="21"/>
      <c r="E21" s="22"/>
      <c r="F21" s="21"/>
      <c r="G21" s="22"/>
      <c r="H21" s="21"/>
    </row>
    <row r="22" spans="1:9" ht="15.75" thickBot="1" x14ac:dyDescent="0.3">
      <c r="A22" s="18"/>
      <c r="B22" s="19" t="s">
        <v>7</v>
      </c>
      <c r="C22" s="20"/>
      <c r="D22" s="21"/>
      <c r="E22" s="22"/>
      <c r="F22" s="21"/>
      <c r="G22" s="22"/>
      <c r="H22" s="21"/>
    </row>
    <row r="23" spans="1:9" ht="15.75" thickBot="1" x14ac:dyDescent="0.3">
      <c r="A23" s="18"/>
      <c r="B23" s="19" t="s">
        <v>7</v>
      </c>
      <c r="C23" s="20"/>
      <c r="D23" s="21"/>
      <c r="E23" s="22"/>
      <c r="F23" s="21"/>
      <c r="G23" s="22"/>
      <c r="H23" s="21"/>
    </row>
    <row r="24" spans="1:9" ht="15.75" thickBot="1" x14ac:dyDescent="0.3">
      <c r="A24" s="18"/>
      <c r="B24" s="19" t="s">
        <v>7</v>
      </c>
      <c r="C24" s="20"/>
      <c r="D24" s="21"/>
      <c r="E24" s="22"/>
      <c r="F24" s="21"/>
      <c r="G24" s="22"/>
      <c r="H24" s="21"/>
    </row>
    <row r="25" spans="1:9" ht="15.75" thickBot="1" x14ac:dyDescent="0.3">
      <c r="A25" s="18"/>
      <c r="B25" s="19" t="s">
        <v>7</v>
      </c>
      <c r="C25" s="20"/>
      <c r="D25" s="21"/>
      <c r="E25" s="22"/>
      <c r="F25" s="21"/>
      <c r="G25" s="22"/>
      <c r="H25" s="22"/>
    </row>
    <row r="26" spans="1:9" ht="15.75" thickBot="1" x14ac:dyDescent="0.3">
      <c r="A26" s="18"/>
      <c r="B26" s="19" t="s">
        <v>7</v>
      </c>
      <c r="C26" s="20"/>
      <c r="D26" s="22"/>
      <c r="E26" s="22"/>
      <c r="F26" s="22"/>
      <c r="G26" s="22"/>
      <c r="H26" s="21"/>
    </row>
    <row r="27" spans="1:9" ht="15.75" thickBot="1" x14ac:dyDescent="0.3">
      <c r="A27" s="18"/>
      <c r="B27" s="19" t="s">
        <v>7</v>
      </c>
      <c r="C27" s="20"/>
      <c r="D27" s="21"/>
      <c r="E27" s="22"/>
      <c r="F27" s="21"/>
      <c r="G27" s="22"/>
      <c r="H27" s="21"/>
    </row>
    <row r="28" spans="1:9" ht="15.75" thickBot="1" x14ac:dyDescent="0.3">
      <c r="A28" s="18"/>
      <c r="B28" s="19">
        <v>46107</v>
      </c>
      <c r="C28" s="20">
        <v>9.15</v>
      </c>
      <c r="D28" s="21">
        <v>1</v>
      </c>
      <c r="E28" s="22">
        <v>15.37</v>
      </c>
      <c r="F28" s="21">
        <v>1</v>
      </c>
      <c r="G28" s="22">
        <v>9.1199999999999992</v>
      </c>
      <c r="H28" s="21">
        <v>1</v>
      </c>
    </row>
    <row r="29" spans="1:9" ht="15.75" thickBot="1" x14ac:dyDescent="0.3">
      <c r="A29" s="18"/>
      <c r="B29" s="19">
        <v>46108</v>
      </c>
      <c r="C29" s="20">
        <v>8.48</v>
      </c>
      <c r="D29" s="21">
        <v>1</v>
      </c>
      <c r="E29" s="22">
        <v>8.56</v>
      </c>
      <c r="F29" s="21">
        <v>1</v>
      </c>
      <c r="G29" s="22">
        <v>9.01</v>
      </c>
      <c r="H29" s="21">
        <v>1</v>
      </c>
    </row>
    <row r="30" spans="1:9" ht="15.75" thickBot="1" x14ac:dyDescent="0.3">
      <c r="A30" s="18"/>
      <c r="B30" s="19">
        <v>46109</v>
      </c>
      <c r="C30" s="20">
        <v>8.34</v>
      </c>
      <c r="D30" s="21">
        <v>1</v>
      </c>
      <c r="E30" s="22">
        <v>10.24</v>
      </c>
      <c r="F30" s="21">
        <v>7</v>
      </c>
      <c r="G30" s="22">
        <v>10.53</v>
      </c>
      <c r="H30" s="21">
        <v>7</v>
      </c>
      <c r="I30" t="s">
        <v>16</v>
      </c>
    </row>
    <row r="31" spans="1:9" ht="15.75" thickBot="1" x14ac:dyDescent="0.3">
      <c r="A31" s="18"/>
      <c r="B31" s="19" t="s">
        <v>5</v>
      </c>
      <c r="C31" s="20"/>
      <c r="D31" s="21"/>
      <c r="E31" s="22"/>
      <c r="F31" s="21"/>
      <c r="G31" s="22"/>
      <c r="H31" s="21"/>
    </row>
    <row r="32" spans="1:9" ht="15.75" thickBot="1" x14ac:dyDescent="0.3">
      <c r="A32" s="18"/>
      <c r="B32" s="19">
        <v>46111</v>
      </c>
      <c r="C32" s="20">
        <v>8.23</v>
      </c>
      <c r="D32" s="21">
        <v>1</v>
      </c>
      <c r="E32" s="22">
        <v>10.24</v>
      </c>
      <c r="F32" s="21">
        <v>2</v>
      </c>
      <c r="G32" s="22">
        <v>10.53</v>
      </c>
      <c r="H32" s="21">
        <v>3</v>
      </c>
      <c r="I32" t="s">
        <v>17</v>
      </c>
    </row>
    <row r="33" spans="1:9" ht="15.75" thickBot="1" x14ac:dyDescent="0.3">
      <c r="A33" s="18"/>
      <c r="B33" s="19">
        <v>46112</v>
      </c>
      <c r="C33" s="20">
        <v>9.3699999999999992</v>
      </c>
      <c r="D33" s="21">
        <v>1</v>
      </c>
      <c r="E33" s="22">
        <v>9.4</v>
      </c>
      <c r="F33" s="21">
        <v>1</v>
      </c>
      <c r="G33" s="22">
        <v>9.5</v>
      </c>
      <c r="H33" s="21">
        <v>1</v>
      </c>
    </row>
    <row r="34" spans="1:9" x14ac:dyDescent="0.25">
      <c r="A34" s="18"/>
      <c r="B34" s="23" t="s">
        <v>8</v>
      </c>
      <c r="C34" s="24"/>
      <c r="D34" s="25">
        <f>AVERAGE(D4:D9,D11:D16,D18:D20,D28:D30,D32:D33)</f>
        <v>1.1000000000000001</v>
      </c>
      <c r="E34" s="24"/>
      <c r="F34" s="25">
        <f>AVERAGE(F4:F9,F11:F16,F18:F20,F28:F30,F32:F33)</f>
        <v>1.65</v>
      </c>
      <c r="G34" s="24"/>
      <c r="H34" s="25">
        <f>AVERAGE(H4:H9,H11:H16,H18:H20,H28:H30,H32:H33)</f>
        <v>1.7</v>
      </c>
      <c r="I34" s="26">
        <f>AVERAGE(D34,F34,H34)</f>
        <v>1.4833333333333334</v>
      </c>
    </row>
    <row r="35" spans="1:9" x14ac:dyDescent="0.25">
      <c r="A35" s="18"/>
    </row>
    <row r="36" spans="1:9" x14ac:dyDescent="0.25">
      <c r="A36" s="18"/>
    </row>
    <row r="37" spans="1:9" x14ac:dyDescent="0.25">
      <c r="A37" s="18"/>
    </row>
    <row r="38" spans="1:9" x14ac:dyDescent="0.25">
      <c r="A38" s="18"/>
    </row>
    <row r="39" spans="1:9" x14ac:dyDescent="0.25">
      <c r="A39" s="18"/>
    </row>
  </sheetData>
  <mergeCells count="2">
    <mergeCell ref="B1:B2"/>
    <mergeCell ref="C1:H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G1" sqref="G1"/>
    </sheetView>
  </sheetViews>
  <sheetFormatPr defaultRowHeight="15" x14ac:dyDescent="0.25"/>
  <cols>
    <col min="4" max="4" width="14.7109375" bestFit="1" customWidth="1"/>
    <col min="5" max="5" width="16" customWidth="1"/>
  </cols>
  <sheetData>
    <row r="1" spans="1:7" x14ac:dyDescent="0.25">
      <c r="A1" t="s">
        <v>18</v>
      </c>
      <c r="D1" t="s">
        <v>19</v>
      </c>
      <c r="E1" s="27">
        <v>46094</v>
      </c>
      <c r="F1" t="s">
        <v>20</v>
      </c>
      <c r="G1" t="s">
        <v>86</v>
      </c>
    </row>
    <row r="2" spans="1:7" x14ac:dyDescent="0.25">
      <c r="A2" s="27">
        <v>46087</v>
      </c>
    </row>
    <row r="3" spans="1:7" x14ac:dyDescent="0.25">
      <c r="A3" s="27">
        <v>46091</v>
      </c>
    </row>
    <row r="4" spans="1:7" x14ac:dyDescent="0.25">
      <c r="A4" s="27">
        <v>46093</v>
      </c>
    </row>
    <row r="5" spans="1:7" x14ac:dyDescent="0.25">
      <c r="A5" s="27">
        <v>46098</v>
      </c>
    </row>
    <row r="6" spans="1:7" x14ac:dyDescent="0.25">
      <c r="A6" s="27">
        <v>46099</v>
      </c>
    </row>
    <row r="7" spans="1:7" x14ac:dyDescent="0.25">
      <c r="A7" s="27">
        <v>46108</v>
      </c>
    </row>
    <row r="8" spans="1:7" x14ac:dyDescent="0.25">
      <c r="A8" s="27">
        <v>46111</v>
      </c>
    </row>
    <row r="9" spans="1:7" x14ac:dyDescent="0.25">
      <c r="A9" s="27">
        <v>46112</v>
      </c>
    </row>
    <row r="10" spans="1:7" x14ac:dyDescent="0.25">
      <c r="A10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topLeftCell="A17" workbookViewId="0">
      <selection activeCell="D37" sqref="D37"/>
    </sheetView>
  </sheetViews>
  <sheetFormatPr defaultRowHeight="15" x14ac:dyDescent="0.25"/>
  <cols>
    <col min="2" max="2" width="9.140625" style="18"/>
    <col min="3" max="3" width="11" customWidth="1"/>
    <col min="4" max="4" width="20.85546875" bestFit="1" customWidth="1"/>
    <col min="6" max="6" width="11.7109375" customWidth="1"/>
    <col min="7" max="7" width="10" style="16" bestFit="1" customWidth="1"/>
  </cols>
  <sheetData>
    <row r="1" spans="1:8" ht="22.5" x14ac:dyDescent="0.25">
      <c r="A1" s="28" t="s">
        <v>21</v>
      </c>
      <c r="B1" s="29" t="s">
        <v>1</v>
      </c>
      <c r="C1" s="28" t="s">
        <v>22</v>
      </c>
      <c r="D1" s="28" t="s">
        <v>23</v>
      </c>
      <c r="E1" s="28" t="s">
        <v>24</v>
      </c>
      <c r="F1" s="28" t="s">
        <v>25</v>
      </c>
      <c r="G1" s="30" t="s">
        <v>26</v>
      </c>
    </row>
    <row r="2" spans="1:8" x14ac:dyDescent="0.25">
      <c r="A2" s="31">
        <v>1</v>
      </c>
      <c r="B2" s="32">
        <v>46083</v>
      </c>
      <c r="C2" s="33" t="s">
        <v>27</v>
      </c>
      <c r="D2" s="34" t="s">
        <v>28</v>
      </c>
      <c r="E2" s="32">
        <v>46084</v>
      </c>
      <c r="F2" s="35">
        <v>46085</v>
      </c>
      <c r="G2" s="36">
        <f>+F2-E2</f>
        <v>1</v>
      </c>
    </row>
    <row r="3" spans="1:8" x14ac:dyDescent="0.25">
      <c r="A3" s="31">
        <v>38</v>
      </c>
      <c r="B3" s="32">
        <v>46083</v>
      </c>
      <c r="C3" s="33" t="s">
        <v>29</v>
      </c>
      <c r="D3" s="34" t="s">
        <v>28</v>
      </c>
      <c r="E3" s="32">
        <v>46084</v>
      </c>
      <c r="F3" s="35">
        <v>46085</v>
      </c>
      <c r="G3" s="36">
        <f t="shared" ref="G3:G34" si="0">+F3-E3</f>
        <v>1</v>
      </c>
    </row>
    <row r="4" spans="1:8" ht="15.75" x14ac:dyDescent="0.3">
      <c r="A4" s="31">
        <v>39</v>
      </c>
      <c r="B4" s="32">
        <v>46083</v>
      </c>
      <c r="C4" s="33" t="s">
        <v>30</v>
      </c>
      <c r="D4" s="37" t="s">
        <v>28</v>
      </c>
      <c r="E4" s="32">
        <v>46084</v>
      </c>
      <c r="F4" s="35">
        <v>46085</v>
      </c>
      <c r="G4" s="36">
        <f t="shared" si="0"/>
        <v>1</v>
      </c>
    </row>
    <row r="5" spans="1:8" ht="15.75" x14ac:dyDescent="0.3">
      <c r="A5" s="31">
        <v>42</v>
      </c>
      <c r="B5" s="32">
        <v>46083</v>
      </c>
      <c r="C5" s="33" t="s">
        <v>31</v>
      </c>
      <c r="D5" s="37" t="s">
        <v>32</v>
      </c>
      <c r="E5" s="32">
        <v>46084</v>
      </c>
      <c r="F5" s="35">
        <v>46085</v>
      </c>
      <c r="G5" s="36">
        <f t="shared" si="0"/>
        <v>1</v>
      </c>
    </row>
    <row r="6" spans="1:8" x14ac:dyDescent="0.25">
      <c r="A6" s="31">
        <v>43</v>
      </c>
      <c r="B6" s="38">
        <v>46083</v>
      </c>
      <c r="C6" s="39" t="s">
        <v>33</v>
      </c>
      <c r="D6" s="40" t="s">
        <v>34</v>
      </c>
      <c r="E6" s="38">
        <v>46084</v>
      </c>
      <c r="F6" s="35">
        <v>46085</v>
      </c>
      <c r="G6" s="36">
        <f t="shared" si="0"/>
        <v>1</v>
      </c>
    </row>
    <row r="7" spans="1:8" ht="15.75" x14ac:dyDescent="0.3">
      <c r="A7" s="31">
        <v>44</v>
      </c>
      <c r="B7" s="32">
        <v>46083</v>
      </c>
      <c r="C7" s="33" t="s">
        <v>35</v>
      </c>
      <c r="D7" s="37" t="s">
        <v>36</v>
      </c>
      <c r="E7" s="32">
        <v>46084</v>
      </c>
      <c r="F7" s="35">
        <v>46085</v>
      </c>
      <c r="G7" s="36">
        <f t="shared" si="0"/>
        <v>1</v>
      </c>
    </row>
    <row r="8" spans="1:8" x14ac:dyDescent="0.25">
      <c r="A8" s="41">
        <v>46</v>
      </c>
      <c r="B8" s="35">
        <v>46084</v>
      </c>
      <c r="C8" s="42" t="s">
        <v>37</v>
      </c>
      <c r="D8" s="43" t="s">
        <v>38</v>
      </c>
      <c r="E8" s="35">
        <v>46085</v>
      </c>
      <c r="F8" s="35">
        <v>46086</v>
      </c>
      <c r="G8" s="36">
        <v>0</v>
      </c>
      <c r="H8" t="s">
        <v>39</v>
      </c>
    </row>
    <row r="9" spans="1:8" ht="15.75" x14ac:dyDescent="0.3">
      <c r="A9" s="41">
        <v>47</v>
      </c>
      <c r="B9" s="35">
        <v>46084</v>
      </c>
      <c r="C9" s="42" t="s">
        <v>40</v>
      </c>
      <c r="D9" s="44" t="s">
        <v>41</v>
      </c>
      <c r="E9" s="35">
        <v>46085</v>
      </c>
      <c r="F9" s="35">
        <v>46086</v>
      </c>
      <c r="G9" s="36">
        <v>0</v>
      </c>
      <c r="H9" t="s">
        <v>39</v>
      </c>
    </row>
    <row r="10" spans="1:8" ht="15.75" x14ac:dyDescent="0.3">
      <c r="A10" s="41">
        <v>48</v>
      </c>
      <c r="B10" s="35">
        <v>46084</v>
      </c>
      <c r="C10" s="42" t="s">
        <v>42</v>
      </c>
      <c r="D10" s="44" t="s">
        <v>43</v>
      </c>
      <c r="E10" s="35">
        <v>46085</v>
      </c>
      <c r="F10" s="35">
        <v>46086</v>
      </c>
      <c r="G10" s="36">
        <v>0</v>
      </c>
      <c r="H10" t="s">
        <v>39</v>
      </c>
    </row>
    <row r="11" spans="1:8" ht="15.75" x14ac:dyDescent="0.3">
      <c r="A11" s="45">
        <v>49</v>
      </c>
      <c r="B11" s="35">
        <v>46084</v>
      </c>
      <c r="C11" s="42" t="s">
        <v>44</v>
      </c>
      <c r="D11" s="44" t="s">
        <v>45</v>
      </c>
      <c r="E11" s="35">
        <v>46085</v>
      </c>
      <c r="F11" s="35">
        <v>46086</v>
      </c>
      <c r="G11" s="36">
        <v>0</v>
      </c>
      <c r="H11" t="s">
        <v>39</v>
      </c>
    </row>
    <row r="12" spans="1:8" x14ac:dyDescent="0.25">
      <c r="A12" s="31">
        <v>50</v>
      </c>
      <c r="B12" s="32">
        <v>46086</v>
      </c>
      <c r="C12" s="33" t="s">
        <v>46</v>
      </c>
      <c r="D12" s="34" t="s">
        <v>47</v>
      </c>
      <c r="E12" s="32">
        <v>46088</v>
      </c>
      <c r="F12" s="35">
        <v>46088</v>
      </c>
      <c r="G12" s="36">
        <f t="shared" si="0"/>
        <v>0</v>
      </c>
    </row>
    <row r="13" spans="1:8" ht="15.75" x14ac:dyDescent="0.3">
      <c r="A13" s="31">
        <v>51</v>
      </c>
      <c r="B13" s="32">
        <v>46086</v>
      </c>
      <c r="C13" s="33" t="s">
        <v>48</v>
      </c>
      <c r="D13" s="37" t="s">
        <v>49</v>
      </c>
      <c r="E13" s="32">
        <v>46088</v>
      </c>
      <c r="F13" s="35">
        <v>46088</v>
      </c>
      <c r="G13" s="36">
        <f t="shared" si="0"/>
        <v>0</v>
      </c>
    </row>
    <row r="14" spans="1:8" ht="15.75" x14ac:dyDescent="0.3">
      <c r="A14" s="46">
        <v>53</v>
      </c>
      <c r="B14" s="32">
        <v>46090</v>
      </c>
      <c r="C14" s="33" t="s">
        <v>50</v>
      </c>
      <c r="D14" s="37" t="s">
        <v>51</v>
      </c>
      <c r="E14" s="32">
        <v>46092</v>
      </c>
      <c r="F14" s="35">
        <v>46092</v>
      </c>
      <c r="G14" s="36">
        <f t="shared" si="0"/>
        <v>0</v>
      </c>
    </row>
    <row r="15" spans="1:8" ht="15.75" x14ac:dyDescent="0.3">
      <c r="A15" s="46">
        <v>55</v>
      </c>
      <c r="B15" s="32">
        <v>46090</v>
      </c>
      <c r="C15" s="33" t="s">
        <v>52</v>
      </c>
      <c r="D15" s="37" t="s">
        <v>53</v>
      </c>
      <c r="E15" s="32">
        <v>46092</v>
      </c>
      <c r="F15" s="35">
        <v>46092</v>
      </c>
      <c r="G15" s="36">
        <f t="shared" si="0"/>
        <v>0</v>
      </c>
    </row>
    <row r="16" spans="1:8" x14ac:dyDescent="0.25">
      <c r="A16" s="46">
        <v>56</v>
      </c>
      <c r="B16" s="32">
        <v>46091</v>
      </c>
      <c r="C16" s="33" t="s">
        <v>54</v>
      </c>
      <c r="D16" s="34" t="s">
        <v>55</v>
      </c>
      <c r="E16" s="32">
        <v>46092</v>
      </c>
      <c r="F16" s="35">
        <v>46092</v>
      </c>
      <c r="G16" s="36">
        <f t="shared" si="0"/>
        <v>0</v>
      </c>
    </row>
    <row r="17" spans="1:7" x14ac:dyDescent="0.25">
      <c r="A17" s="46">
        <v>57</v>
      </c>
      <c r="B17" s="32">
        <v>46091</v>
      </c>
      <c r="C17" s="33" t="s">
        <v>56</v>
      </c>
      <c r="D17" s="47" t="s">
        <v>57</v>
      </c>
      <c r="E17" s="32">
        <v>46093</v>
      </c>
      <c r="F17" s="35">
        <v>46093</v>
      </c>
      <c r="G17" s="36">
        <f t="shared" si="0"/>
        <v>0</v>
      </c>
    </row>
    <row r="18" spans="1:7" x14ac:dyDescent="0.25">
      <c r="A18" s="31">
        <v>59</v>
      </c>
      <c r="B18" s="32">
        <v>46094</v>
      </c>
      <c r="C18" s="33" t="s">
        <v>58</v>
      </c>
      <c r="D18" s="34" t="s">
        <v>49</v>
      </c>
      <c r="E18" s="32">
        <v>46095</v>
      </c>
      <c r="F18" s="35">
        <v>46097</v>
      </c>
      <c r="G18" s="36">
        <f t="shared" si="0"/>
        <v>2</v>
      </c>
    </row>
    <row r="19" spans="1:7" x14ac:dyDescent="0.25">
      <c r="A19" s="48">
        <v>60</v>
      </c>
      <c r="B19" s="49">
        <v>46095</v>
      </c>
      <c r="C19" s="50" t="s">
        <v>59</v>
      </c>
      <c r="D19" s="51" t="s">
        <v>60</v>
      </c>
      <c r="E19" s="49">
        <v>46095</v>
      </c>
      <c r="F19" s="35">
        <v>46097</v>
      </c>
      <c r="G19" s="36">
        <f t="shared" si="0"/>
        <v>2</v>
      </c>
    </row>
    <row r="20" spans="1:7" x14ac:dyDescent="0.25">
      <c r="A20" s="52">
        <v>61</v>
      </c>
      <c r="B20" s="38">
        <v>46095</v>
      </c>
      <c r="C20" s="39" t="s">
        <v>61</v>
      </c>
      <c r="D20" s="40" t="s">
        <v>62</v>
      </c>
      <c r="E20" s="32">
        <v>46095</v>
      </c>
      <c r="F20" s="35">
        <v>46097</v>
      </c>
      <c r="G20" s="36">
        <f t="shared" si="0"/>
        <v>2</v>
      </c>
    </row>
    <row r="21" spans="1:7" x14ac:dyDescent="0.25">
      <c r="A21" s="41">
        <v>62</v>
      </c>
      <c r="B21" s="35">
        <v>46095</v>
      </c>
      <c r="C21" s="42" t="s">
        <v>63</v>
      </c>
      <c r="D21" s="43" t="s">
        <v>64</v>
      </c>
      <c r="E21" s="35">
        <v>46095</v>
      </c>
      <c r="F21" s="35">
        <v>46097</v>
      </c>
      <c r="G21" s="36">
        <f t="shared" si="0"/>
        <v>2</v>
      </c>
    </row>
    <row r="22" spans="1:7" x14ac:dyDescent="0.25">
      <c r="A22" s="31">
        <v>63</v>
      </c>
      <c r="B22" s="32">
        <v>46095</v>
      </c>
      <c r="C22" s="33" t="s">
        <v>65</v>
      </c>
      <c r="D22" s="34" t="s">
        <v>28</v>
      </c>
      <c r="E22" s="32">
        <v>46095</v>
      </c>
      <c r="F22" s="35">
        <v>46095</v>
      </c>
      <c r="G22" s="36">
        <f t="shared" si="0"/>
        <v>0</v>
      </c>
    </row>
    <row r="23" spans="1:7" ht="15.75" x14ac:dyDescent="0.3">
      <c r="A23" s="31">
        <v>66</v>
      </c>
      <c r="B23" s="32">
        <v>46095</v>
      </c>
      <c r="C23" s="33" t="s">
        <v>66</v>
      </c>
      <c r="D23" s="37" t="s">
        <v>67</v>
      </c>
      <c r="E23" s="32">
        <v>46098</v>
      </c>
      <c r="F23" s="35">
        <v>46098</v>
      </c>
      <c r="G23" s="36">
        <f t="shared" si="0"/>
        <v>0</v>
      </c>
    </row>
    <row r="24" spans="1:7" x14ac:dyDescent="0.25">
      <c r="A24" s="52">
        <v>67</v>
      </c>
      <c r="B24" s="38">
        <v>46098</v>
      </c>
      <c r="C24" s="39" t="s">
        <v>68</v>
      </c>
      <c r="D24" s="40" t="s">
        <v>69</v>
      </c>
      <c r="E24" s="38">
        <v>46099</v>
      </c>
      <c r="F24" s="35">
        <v>46099</v>
      </c>
      <c r="G24" s="36">
        <f t="shared" si="0"/>
        <v>0</v>
      </c>
    </row>
    <row r="25" spans="1:7" x14ac:dyDescent="0.25">
      <c r="A25" s="41">
        <v>68</v>
      </c>
      <c r="B25" s="35">
        <v>46098</v>
      </c>
      <c r="C25" s="42" t="s">
        <v>70</v>
      </c>
      <c r="D25" s="43" t="s">
        <v>71</v>
      </c>
      <c r="E25" s="35">
        <v>46099</v>
      </c>
      <c r="F25" s="35">
        <v>46099</v>
      </c>
      <c r="G25" s="36">
        <f t="shared" si="0"/>
        <v>0</v>
      </c>
    </row>
    <row r="26" spans="1:7" x14ac:dyDescent="0.25">
      <c r="A26" s="52">
        <v>69</v>
      </c>
      <c r="B26" s="38">
        <v>46099</v>
      </c>
      <c r="C26" s="39" t="s">
        <v>72</v>
      </c>
      <c r="D26" s="40" t="s">
        <v>69</v>
      </c>
      <c r="E26" s="38">
        <v>46099</v>
      </c>
      <c r="F26" s="35">
        <v>46099</v>
      </c>
      <c r="G26" s="36">
        <f t="shared" si="0"/>
        <v>0</v>
      </c>
    </row>
    <row r="27" spans="1:7" x14ac:dyDescent="0.25">
      <c r="A27" s="41">
        <v>70</v>
      </c>
      <c r="B27" s="35">
        <v>46099</v>
      </c>
      <c r="C27" s="42" t="s">
        <v>73</v>
      </c>
      <c r="D27" s="43" t="s">
        <v>74</v>
      </c>
      <c r="E27" s="35">
        <v>46108</v>
      </c>
      <c r="F27" s="35">
        <v>46108</v>
      </c>
      <c r="G27" s="36">
        <f t="shared" si="0"/>
        <v>0</v>
      </c>
    </row>
    <row r="28" spans="1:7" ht="15.75" x14ac:dyDescent="0.3">
      <c r="A28" s="41">
        <v>71</v>
      </c>
      <c r="B28" s="32">
        <v>46107</v>
      </c>
      <c r="C28" s="33" t="s">
        <v>75</v>
      </c>
      <c r="D28" s="37" t="s">
        <v>76</v>
      </c>
      <c r="E28" s="32">
        <v>46108</v>
      </c>
      <c r="F28" s="35">
        <v>46108</v>
      </c>
      <c r="G28" s="36">
        <f t="shared" si="0"/>
        <v>0</v>
      </c>
    </row>
    <row r="29" spans="1:7" ht="15.75" x14ac:dyDescent="0.3">
      <c r="A29" s="41">
        <v>72</v>
      </c>
      <c r="B29" s="32">
        <v>46107</v>
      </c>
      <c r="C29" s="33" t="s">
        <v>77</v>
      </c>
      <c r="D29" s="37" t="s">
        <v>78</v>
      </c>
      <c r="E29" s="32">
        <v>46108</v>
      </c>
      <c r="F29" s="35">
        <v>46108</v>
      </c>
      <c r="G29" s="36">
        <f t="shared" si="0"/>
        <v>0</v>
      </c>
    </row>
    <row r="30" spans="1:7" x14ac:dyDescent="0.25">
      <c r="A30" s="52">
        <v>73</v>
      </c>
      <c r="B30" s="38">
        <v>46111</v>
      </c>
      <c r="C30" s="39" t="s">
        <v>79</v>
      </c>
      <c r="D30" s="40" t="s">
        <v>80</v>
      </c>
      <c r="E30" s="38">
        <v>46111</v>
      </c>
      <c r="F30" s="35">
        <v>46113</v>
      </c>
      <c r="G30" s="36">
        <f t="shared" si="0"/>
        <v>2</v>
      </c>
    </row>
    <row r="31" spans="1:7" x14ac:dyDescent="0.25">
      <c r="A31" s="52">
        <v>74</v>
      </c>
      <c r="B31" s="38">
        <v>46111</v>
      </c>
      <c r="C31" s="39" t="s">
        <v>81</v>
      </c>
      <c r="D31" s="40" t="s">
        <v>80</v>
      </c>
      <c r="E31" s="38">
        <v>46111</v>
      </c>
      <c r="F31" s="35">
        <v>46113</v>
      </c>
      <c r="G31" s="36">
        <f t="shared" si="0"/>
        <v>2</v>
      </c>
    </row>
    <row r="32" spans="1:7" x14ac:dyDescent="0.25">
      <c r="A32" s="31">
        <v>75</v>
      </c>
      <c r="B32" s="32">
        <v>46111</v>
      </c>
      <c r="C32" s="33" t="s">
        <v>82</v>
      </c>
      <c r="D32" s="34" t="s">
        <v>32</v>
      </c>
      <c r="E32" s="32">
        <v>46114</v>
      </c>
      <c r="F32" s="35">
        <v>46114</v>
      </c>
      <c r="G32" s="36">
        <f t="shared" si="0"/>
        <v>0</v>
      </c>
    </row>
    <row r="33" spans="1:7" x14ac:dyDescent="0.25">
      <c r="A33" s="31">
        <v>76</v>
      </c>
      <c r="B33" s="32">
        <v>46111</v>
      </c>
      <c r="C33" s="33" t="s">
        <v>83</v>
      </c>
      <c r="D33" s="34" t="s">
        <v>28</v>
      </c>
      <c r="E33" s="32">
        <v>46114</v>
      </c>
      <c r="F33" s="35">
        <v>46114</v>
      </c>
      <c r="G33" s="36">
        <f t="shared" si="0"/>
        <v>0</v>
      </c>
    </row>
    <row r="34" spans="1:7" ht="15.75" x14ac:dyDescent="0.3">
      <c r="A34" s="31">
        <v>85</v>
      </c>
      <c r="B34" s="32">
        <v>46112</v>
      </c>
      <c r="C34" s="33" t="s">
        <v>84</v>
      </c>
      <c r="D34" s="37" t="s">
        <v>85</v>
      </c>
      <c r="E34" s="32">
        <v>46114</v>
      </c>
      <c r="F34" s="53">
        <v>46114</v>
      </c>
      <c r="G34" s="54">
        <f t="shared" si="0"/>
        <v>0</v>
      </c>
    </row>
    <row r="35" spans="1:7" x14ac:dyDescent="0.25">
      <c r="F35" s="55" t="s">
        <v>8</v>
      </c>
      <c r="G35" s="56">
        <f>AVERAGE(G2:G34)</f>
        <v>0.54545454545454541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Update Penjualan (2)</vt:lpstr>
      <vt:lpstr>Kertas Kerja Harian (2)</vt:lpstr>
      <vt:lpstr>Back Up (2)</vt:lpstr>
      <vt:lpstr>Retur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Mitra</dc:creator>
  <cp:lastModifiedBy>Mitra</cp:lastModifiedBy>
  <dcterms:created xsi:type="dcterms:W3CDTF">2026-04-04T02:32:48Z</dcterms:created>
  <dcterms:modified xsi:type="dcterms:W3CDTF">2026-04-04T02:35:51Z</dcterms:modified>
</cp:coreProperties>
</file>