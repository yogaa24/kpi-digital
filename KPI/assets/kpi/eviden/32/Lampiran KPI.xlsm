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20115" windowHeight="6480" firstSheet="1" activeTab="1"/>
  </bookViews>
  <sheets>
    <sheet name="KPI" sheetId="4" state="hidden" r:id="rId1"/>
    <sheet name="Kertas Kerja" sheetId="82" r:id="rId2"/>
  </sheets>
  <externalReferences>
    <externalReference r:id="rId3"/>
  </externalReferences>
  <definedNames>
    <definedName name="Progresit">'[1]PROGRES TUGAS IT 2020'!$B$3:$L$215</definedName>
    <definedName name="sortsummary">#REF!</definedName>
  </definedNames>
  <calcPr calcId="145621"/>
</workbook>
</file>

<file path=xl/calcChain.xml><?xml version="1.0" encoding="utf-8"?>
<calcChain xmlns="http://schemas.openxmlformats.org/spreadsheetml/2006/main">
  <c r="L174" i="4" l="1"/>
  <c r="L175" i="4" s="1"/>
  <c r="I171" i="4"/>
  <c r="L167" i="4"/>
  <c r="L168" i="4" s="1"/>
  <c r="I164" i="4"/>
  <c r="H148" i="4"/>
  <c r="I148" i="4" s="1"/>
  <c r="I120" i="4"/>
  <c r="I109" i="4"/>
  <c r="I98" i="4"/>
  <c r="I88" i="4"/>
  <c r="I76" i="4"/>
  <c r="I62" i="4"/>
  <c r="I54" i="4"/>
  <c r="I44" i="4"/>
  <c r="I37" i="4"/>
  <c r="I26" i="4"/>
  <c r="O25" i="4"/>
  <c r="Q24" i="4"/>
  <c r="I18" i="4"/>
  <c r="O16" i="4"/>
  <c r="H34" i="4" l="1"/>
  <c r="P13" i="4" s="1"/>
  <c r="Q13" i="4" s="1"/>
  <c r="H177" i="4"/>
  <c r="P15" i="4" s="1"/>
  <c r="Q15" i="4" s="1"/>
  <c r="H129" i="4"/>
  <c r="P23" i="4" s="1"/>
  <c r="Q23" i="4" s="1"/>
  <c r="H71" i="4"/>
  <c r="P22" i="4" s="1"/>
  <c r="Q22" i="4" s="1"/>
  <c r="H95" i="4"/>
  <c r="P14" i="4" s="1"/>
  <c r="Q14" i="4" s="1"/>
  <c r="Q16" i="4" l="1"/>
  <c r="Q19" i="4" s="1"/>
  <c r="Q25" i="4"/>
  <c r="Q28" i="4" s="1"/>
  <c r="P31" i="4" l="1"/>
  <c r="P33" i="4" s="1"/>
</calcChain>
</file>

<file path=xl/sharedStrings.xml><?xml version="1.0" encoding="utf-8"?>
<sst xmlns="http://schemas.openxmlformats.org/spreadsheetml/2006/main" count="383" uniqueCount="147">
  <si>
    <t>DETAIL</t>
  </si>
  <si>
    <t>Nama Karyawan</t>
  </si>
  <si>
    <t>Wahyu Arif Prasetyo</t>
  </si>
  <si>
    <t>Atasan langsung</t>
  </si>
  <si>
    <t>Diana Wulandari</t>
  </si>
  <si>
    <t>Penilai Tambahan</t>
  </si>
  <si>
    <t>Annelia Kartika</t>
  </si>
  <si>
    <t>Tanggal pembuatan</t>
  </si>
  <si>
    <t>Tanggal review triwulan</t>
  </si>
  <si>
    <t>Januari 2020</t>
  </si>
  <si>
    <t>Tanggal review akhir tahun</t>
  </si>
  <si>
    <t>Tujuan - tujuan individu</t>
  </si>
  <si>
    <t>Kapan</t>
  </si>
  <si>
    <r>
      <t xml:space="preserve">Meningkatkan Performa IT </t>
    </r>
    <r>
      <rPr>
        <b/>
        <u/>
        <sz val="10"/>
        <color theme="1"/>
        <rFont val="Arial"/>
        <family val="2"/>
      </rPr>
      <t xml:space="preserve">(BOBOT 40%) </t>
    </r>
  </si>
  <si>
    <t>poor</t>
  </si>
  <si>
    <t>&lt;90</t>
  </si>
  <si>
    <t>WHAT</t>
  </si>
  <si>
    <t>BOBOT</t>
  </si>
  <si>
    <t>Penilaian Bersama</t>
  </si>
  <si>
    <t>NILAI KPI</t>
  </si>
  <si>
    <t>good</t>
  </si>
  <si>
    <t>90-100</t>
  </si>
  <si>
    <t>Meningkatkan performa IT</t>
  </si>
  <si>
    <t>Verygood</t>
  </si>
  <si>
    <t>&gt;100-110</t>
  </si>
  <si>
    <t>Penyelesaian pembuatan/pengembangan program</t>
  </si>
  <si>
    <t>Excelent</t>
  </si>
  <si>
    <t>Kedisiplinan</t>
  </si>
  <si>
    <t>What:</t>
  </si>
  <si>
    <t>Indikator</t>
  </si>
  <si>
    <t>TOTAL NILAI</t>
  </si>
  <si>
    <t xml:space="preserve">Membuat aplikasi sederhana untuk mendukung efektifitas pekerjaan departemen lain, (inisiatif baru harus dapat approval dari kadep dan direktur ) Target Minimal 2 aplikasi baru dalam setahun. (60%)
</t>
  </si>
  <si>
    <t>Nilai</t>
  </si>
  <si>
    <t>What 1 tercapai</t>
  </si>
  <si>
    <t>Applikasi</t>
  </si>
  <si>
    <t>NILAI WHAT</t>
  </si>
  <si>
    <t>HOW</t>
  </si>
  <si>
    <t>Hasil :</t>
  </si>
  <si>
    <t>Sudah ada 4 aplikasi yang di buat (data terlampir 1/1)</t>
  </si>
  <si>
    <t>Efektifitas SOP IT. Target dalam 1 tahun minimal 6 SOP dan 100% dijalankan tanpa pelanggaran (40%)</t>
  </si>
  <si>
    <t>What 2 tercapai</t>
  </si>
  <si>
    <t>Sop</t>
  </si>
  <si>
    <t>2020 ada 8 SOP yang sdh dibuat. Dan semuanya sdh dijalankan, sd saat ini blm ada pelanggaran ( data SOP terlampir 1.2 )</t>
  </si>
  <si>
    <t>NILAI TOTAL KPI</t>
  </si>
  <si>
    <t>WHAT + HOW</t>
  </si>
  <si>
    <t>Summary</t>
  </si>
  <si>
    <t>TOTAL WHAT</t>
  </si>
  <si>
    <t>How</t>
  </si>
  <si>
    <t>Koordinasi dengan masing2 kadep tentang permasalahn IT dan system yg bisa dibantu. Minimal sebulan 1X ditunjukkan dg Form Koordinasi (25%)</t>
  </si>
  <si>
    <t>How 1 tercapai</t>
  </si>
  <si>
    <t>Koordinasi</t>
  </si>
  <si>
    <t>Untuk kordinasi 8 kita sudah jalan dan form koordinasi  (lampiran 1.3)</t>
  </si>
  <si>
    <t>Membuat Planing Project Aplikasi, Nama aplikasi, tujuan, pemakai &amp; timeline utk di ttd atasan dan Direktur. Sbg start pengerjaan. Max H+3 setelah pesanan atau inisiatif disampaikan.(30%)</t>
  </si>
  <si>
    <t>How 2 tercapai</t>
  </si>
  <si>
    <t>1 (98)</t>
  </si>
  <si>
    <t>H+</t>
  </si>
  <si>
    <t>Membuat Planing Project dan untuk timeline masih 1 (multiprice) (Lampiran 1.4)</t>
  </si>
  <si>
    <t>Mereview SOP yang sudah ada, supervisi apakah sudah dijalankan. Minimal dalam 1 bulan melakukan Supervisi 2 SOP, dan dilaporkan kpd atasan dalam bentuk laporan checklist (25%)</t>
  </si>
  <si>
    <t>SOP</t>
  </si>
  <si>
    <t>SOP sudah di jalankan untuk check list (Lampiran 1.2)</t>
  </si>
  <si>
    <t>Membuat SOP baru minimal YTD dalam 1 tahun 6 SOP baru (20%)</t>
  </si>
  <si>
    <t>9 SOP yang sdh dibuat. Dan semuanya sdh dijalankan ( data SOP terlampir 1.2 )</t>
  </si>
  <si>
    <t>TOTAL HOW</t>
  </si>
  <si>
    <r>
      <t>Penyelesaian Pembuatan/Pengembangan Program (pesenan dari kadep)</t>
    </r>
    <r>
      <rPr>
        <u/>
        <sz val="10"/>
        <color rgb="FF002060"/>
        <rFont val="Arial"/>
        <family val="2"/>
      </rPr>
      <t xml:space="preserve"> </t>
    </r>
    <r>
      <rPr>
        <b/>
        <u/>
        <sz val="10"/>
        <color rgb="FF002060"/>
        <rFont val="Arial"/>
        <family val="2"/>
      </rPr>
      <t>(</t>
    </r>
    <r>
      <rPr>
        <b/>
        <u/>
        <sz val="10"/>
        <color rgb="FF548DD4"/>
        <rFont val="Arial"/>
        <family val="2"/>
      </rPr>
      <t>BOBOT 40%)</t>
    </r>
  </si>
  <si>
    <t>What :</t>
  </si>
  <si>
    <t xml:space="preserve">Target Waktu Pembuatan Program selesai pada tanggal  yang telah di sepekati di Meeting management ( Bobot 60%)
Nilai bisa diatas 100 jika 100% selesai sebelum tgl yg disepakati 
Target Waktu Pembuatan Program selesai pada tanggal  yang telah di sepekati di Meeting management ( Bobot 60%) Nilai bisa diatas 100 jika 100% selesai sebelum tgl yg disepakati 
</t>
  </si>
  <si>
    <t>100% selesai , setiap penyelesaian lbh awal +5 point, berlaku kelipatan'</t>
  </si>
  <si>
    <t>100% selesai sesuai tgl = 100</t>
  </si>
  <si>
    <t>Dari data yg terlampir pembuatan program sudah sesuai dengan yg di sepakati / terkecuali yang ada tambahan saat program selesai
13 Program  (lampiran 1.6)</t>
  </si>
  <si>
    <t>Jika ada yg tidak selesai sesuai tgl target, nilai -5 point, berlaku kelipatan</t>
  </si>
  <si>
    <t xml:space="preserve">Program bisa diaplikasikan dan mendapat konfirmasi tertulis dari user.
Target 100% sdh bisa diaplikasikan. ( Bobot 40% )
Nilai bisa diatas 100 jika 100% bisa diaplikasikan dan tanpa Bug
</t>
  </si>
  <si>
    <t>100% diaplikasikan tanpa Bug  = 110</t>
  </si>
  <si>
    <t>100% terselesaikan = 100</t>
  </si>
  <si>
    <t>Setiap program yg blm bisa diaplikasikan -5 point, berlaku kelipatan</t>
  </si>
  <si>
    <t xml:space="preserve">13 Program sudah berjalan (lampiran 1.6) dan konfrim tertulis (lampiran bukti) </t>
  </si>
  <si>
    <t>Mengupdate data progress project semua pekerjaan pembuatan/pengembangan program. Yang dilaporkan ke atasan setiap bulan max H+5 (40%)</t>
  </si>
  <si>
    <t>H+0</t>
  </si>
  <si>
    <t>H+1</t>
  </si>
  <si>
    <t>H+2</t>
  </si>
  <si>
    <t xml:space="preserve">Pengembangan program terus berjalan akan tetapi laporan untuk atasan belum update </t>
  </si>
  <si>
    <t>H+3</t>
  </si>
  <si>
    <t>H+4</t>
  </si>
  <si>
    <t>H+5</t>
  </si>
  <si>
    <t>H+6</t>
  </si>
  <si>
    <t>H+7</t>
  </si>
  <si>
    <t>H+8</t>
  </si>
  <si>
    <t>Membuat time line pembuatan program atau pengembangan program yang dilaporkan sebulan sekali. Max H+5 (30%)</t>
  </si>
  <si>
    <t>Timeline untuk MultiPrice  (Contoh sheet TimeLine MultiPrice)</t>
  </si>
  <si>
    <t>Maintenance program, memastikan semua program yang sudah jalan, bisa berjalan dengan baik, dg membuat laporan kondisi program terupdate. Max H+5 bulan berikutnya (30%)</t>
  </si>
  <si>
    <t xml:space="preserve"> </t>
  </si>
  <si>
    <t>Penurunan biaya pemeliharaan Inventaris yg berhub dg IT (BOBOT 20%) Rencana ditambahkan di KPI 2021</t>
  </si>
  <si>
    <t>Biaya pemeliharaan inventaris IT menurun 5% dari tahun 2019 (100%)</t>
  </si>
  <si>
    <t>Melakukan control Perangkat Komputer Karyawan sesuai jadwal yang sudah ditetapkan. Minimal 1 Bulan semua PC 100% terkontrol</t>
  </si>
  <si>
    <t>Kedisiplinan Bobot 20%</t>
  </si>
  <si>
    <t>Absensi 70%</t>
  </si>
  <si>
    <t>Sisa Cuti</t>
  </si>
  <si>
    <t>Hasil:</t>
  </si>
  <si>
    <t>Absen Sakit</t>
  </si>
  <si>
    <t>Absen 1 dst nilai -5</t>
  </si>
  <si>
    <t>Briefing Pagi 20%</t>
  </si>
  <si>
    <t>Tidak ikut Briefing dan kelipatannya -2.5</t>
  </si>
  <si>
    <t>Tdk ikut briefing 1X start Oktober</t>
  </si>
  <si>
    <t>Senam Pagi 10%</t>
  </si>
  <si>
    <t>Tidak ikut senam pagi dan kelipatannya -2.5</t>
  </si>
  <si>
    <t>Selalu ikut senam pagi start Oktober</t>
  </si>
  <si>
    <r>
      <t xml:space="preserve">Komentar Karyawan:  </t>
    </r>
    <r>
      <rPr>
        <sz val="10"/>
        <rFont val="Arial"/>
        <family val="2"/>
      </rPr>
      <t>Berikan kesimpulan secara keseluruhan dari performance/kinerja anda tahun ini dan komentar-komentar tambahan jika ada.</t>
    </r>
  </si>
  <si>
    <r>
      <t xml:space="preserve">Komentar atasan langsung: </t>
    </r>
    <r>
      <rPr>
        <sz val="10"/>
        <rFont val="Arial"/>
        <family val="2"/>
      </rPr>
      <t>Berikan kesimpulan secara keseluruhan dari performance/kinerja bawahan anda tahun ini dan komentar-komentar tambahan jika ada</t>
    </r>
  </si>
  <si>
    <t>Nilai Kinerja/Performance secara keseluruhan</t>
  </si>
  <si>
    <t>What</t>
  </si>
  <si>
    <t>Biasa</t>
  </si>
  <si>
    <t>Baik</t>
  </si>
  <si>
    <t>Sangat Baik</t>
  </si>
  <si>
    <t>APPROVAL</t>
  </si>
  <si>
    <t>Karyawan :</t>
  </si>
  <si>
    <t>Atasan Langsung :</t>
  </si>
  <si>
    <t>Level Manager Berikutnya</t>
  </si>
  <si>
    <t>Tanggal</t>
  </si>
  <si>
    <t>Mengumpulkan Buku Pendukung untuk Penyusunan Laporan Keuangan</t>
  </si>
  <si>
    <t>Januari</t>
  </si>
  <si>
    <t xml:space="preserve">Februari </t>
  </si>
  <si>
    <t>Maret</t>
  </si>
  <si>
    <t>Mencocokkan data dengan Jurnal</t>
  </si>
  <si>
    <t>Menjawab Pertanyaan dari Malang</t>
  </si>
  <si>
    <t>Membuat Data Retur</t>
  </si>
  <si>
    <t>April</t>
  </si>
  <si>
    <t>Data Barang Kembali</t>
  </si>
  <si>
    <t>Data revisi faktur dan PH</t>
  </si>
  <si>
    <t>Data Gudang Titipan</t>
  </si>
  <si>
    <t>Data Biaya HRDGA dan Operasional</t>
  </si>
  <si>
    <t>Mengumpulkan dan menganalisis setiap data</t>
  </si>
  <si>
    <t>Meminta data dari bagian Jurnal dan bagian Keuangan</t>
  </si>
  <si>
    <t>Bulan</t>
  </si>
  <si>
    <t xml:space="preserve">What </t>
  </si>
  <si>
    <t>Mei</t>
  </si>
  <si>
    <t>Juni</t>
  </si>
  <si>
    <t>menginformasikan data ke bagian terkait</t>
  </si>
  <si>
    <t>Juli</t>
  </si>
  <si>
    <t>Agustus</t>
  </si>
  <si>
    <t>September</t>
  </si>
  <si>
    <t>Oktober</t>
  </si>
  <si>
    <t>November</t>
  </si>
  <si>
    <t>Desember</t>
  </si>
  <si>
    <t>&gt; 3 Bulan</t>
  </si>
  <si>
    <t>Menyetorkan ke malang Data Pendukung utk penyusunan Lap Keu secara lengkap per semester maksimal 2 bulan dari tutup jurnal semester</t>
  </si>
  <si>
    <t>2 Bulan</t>
  </si>
  <si>
    <t>&lt; H+3</t>
  </si>
  <si>
    <t>Belum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</si>
</sst>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_(* #,##0.0_);_(* \(#,##0.0\);_(* &quot;-&quot;??_);_(@_)"/>
    <numFmt numFmtId="165" formatCode="0.0"/>
    <numFmt numFmtId="166" formatCode="[$-409]dd\-mmm\-yy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rgb="FF626469"/>
      <name val="Arial"/>
      <family val="2"/>
    </font>
    <font>
      <b/>
      <sz val="10"/>
      <color rgb="FF626469"/>
      <name val="Arial"/>
      <family val="2"/>
    </font>
    <font>
      <sz val="9.5"/>
      <color rgb="FF000000"/>
      <name val="Arial"/>
      <family val="2"/>
    </font>
    <font>
      <sz val="10"/>
      <color rgb="FF0070C0"/>
      <name val="Arial"/>
      <family val="2"/>
    </font>
    <font>
      <sz val="16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rgb="FF808080"/>
      <name val="Arial"/>
      <family val="2"/>
    </font>
    <font>
      <u/>
      <sz val="10"/>
      <color rgb="FF002060"/>
      <name val="Arial"/>
      <family val="2"/>
    </font>
    <font>
      <b/>
      <u/>
      <sz val="10"/>
      <color rgb="FF002060"/>
      <name val="Arial"/>
      <family val="2"/>
    </font>
    <font>
      <b/>
      <u/>
      <sz val="10"/>
      <color rgb="FF548DD4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94">
    <xf numFmtId="0" fontId="0" fillId="0" borderId="0" xfId="0"/>
    <xf numFmtId="0" fontId="5" fillId="0" borderId="10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17" fontId="6" fillId="0" borderId="10" xfId="0" applyNumberFormat="1" applyFont="1" applyBorder="1" applyAlignment="1">
      <alignment horizontal="left" vertical="top"/>
    </xf>
    <xf numFmtId="0" fontId="7" fillId="0" borderId="10" xfId="0" applyFont="1" applyBorder="1" applyAlignment="1">
      <alignment horizontal="left" vertical="top"/>
    </xf>
    <xf numFmtId="17" fontId="7" fillId="0" borderId="10" xfId="0" applyNumberFormat="1" applyFont="1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2" fillId="0" borderId="7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1" fillId="0" borderId="11" xfId="0" applyFont="1" applyBorder="1" applyAlignment="1">
      <alignment horizontal="left" indent="1"/>
    </xf>
    <xf numFmtId="9" fontId="0" fillId="0" borderId="11" xfId="1" applyFont="1" applyBorder="1" applyAlignment="1">
      <alignment horizontal="center"/>
    </xf>
    <xf numFmtId="0" fontId="0" fillId="0" borderId="11" xfId="1" applyNumberFormat="1" applyFont="1" applyBorder="1" applyAlignment="1">
      <alignment horizontal="center"/>
    </xf>
    <xf numFmtId="164" fontId="0" fillId="0" borderId="11" xfId="2" applyNumberFormat="1" applyFont="1" applyBorder="1" applyAlignment="1">
      <alignment horizontal="center"/>
    </xf>
    <xf numFmtId="0" fontId="11" fillId="0" borderId="12" xfId="0" applyFont="1" applyBorder="1" applyAlignment="1">
      <alignment horizontal="left" indent="1"/>
    </xf>
    <xf numFmtId="9" fontId="0" fillId="0" borderId="13" xfId="1" applyFont="1" applyBorder="1" applyAlignment="1">
      <alignment horizontal="center"/>
    </xf>
    <xf numFmtId="0" fontId="0" fillId="0" borderId="12" xfId="1" applyNumberFormat="1" applyFont="1" applyBorder="1" applyAlignment="1">
      <alignment horizontal="center"/>
    </xf>
    <xf numFmtId="164" fontId="0" fillId="0" borderId="12" xfId="2" applyNumberFormat="1" applyFont="1" applyBorder="1" applyAlignment="1">
      <alignment horizontal="center"/>
    </xf>
    <xf numFmtId="0" fontId="11" fillId="0" borderId="14" xfId="0" applyFont="1" applyBorder="1" applyAlignment="1">
      <alignment horizontal="left" indent="1"/>
    </xf>
    <xf numFmtId="9" fontId="0" fillId="0" borderId="14" xfId="1" applyFont="1" applyBorder="1" applyAlignment="1">
      <alignment horizontal="center"/>
    </xf>
    <xf numFmtId="0" fontId="0" fillId="0" borderId="14" xfId="1" applyNumberFormat="1" applyFont="1" applyBorder="1" applyAlignment="1">
      <alignment horizontal="center"/>
    </xf>
    <xf numFmtId="164" fontId="0" fillId="0" borderId="14" xfId="2" applyNumberFormat="1" applyFont="1" applyBorder="1" applyAlignment="1">
      <alignment horizontal="center"/>
    </xf>
    <xf numFmtId="0" fontId="2" fillId="0" borderId="4" xfId="0" applyFont="1" applyBorder="1" applyAlignment="1">
      <alignment horizontal="left" indent="1"/>
    </xf>
    <xf numFmtId="9" fontId="2" fillId="0" borderId="15" xfId="0" applyNumberFormat="1" applyFont="1" applyBorder="1" applyAlignment="1">
      <alignment horizontal="center"/>
    </xf>
    <xf numFmtId="0" fontId="2" fillId="0" borderId="15" xfId="0" applyFont="1" applyBorder="1" applyAlignment="1">
      <alignment horizontal="right"/>
    </xf>
    <xf numFmtId="0" fontId="2" fillId="0" borderId="0" xfId="0" applyFont="1"/>
    <xf numFmtId="0" fontId="0" fillId="0" borderId="10" xfId="0" applyBorder="1" applyAlignment="1">
      <alignment vertical="top"/>
    </xf>
    <xf numFmtId="9" fontId="0" fillId="0" borderId="10" xfId="0" applyNumberFormat="1" applyBorder="1" applyAlignment="1">
      <alignment vertical="top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0" fontId="2" fillId="0" borderId="0" xfId="0" applyFont="1" applyAlignment="1">
      <alignment horizontal="right"/>
    </xf>
    <xf numFmtId="0" fontId="2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9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0" fillId="0" borderId="10" xfId="0" applyFill="1" applyBorder="1" applyAlignment="1">
      <alignment horizontal="left" vertical="top"/>
    </xf>
    <xf numFmtId="0" fontId="2" fillId="0" borderId="4" xfId="0" applyFont="1" applyBorder="1" applyAlignment="1">
      <alignment horizontal="center"/>
    </xf>
    <xf numFmtId="0" fontId="0" fillId="0" borderId="10" xfId="0" quotePrefix="1" applyBorder="1" applyAlignment="1">
      <alignment horizontal="center"/>
    </xf>
    <xf numFmtId="0" fontId="0" fillId="0" borderId="16" xfId="0" applyBorder="1" applyAlignment="1">
      <alignment horizontal="center" vertical="top"/>
    </xf>
    <xf numFmtId="0" fontId="0" fillId="0" borderId="10" xfId="0" applyBorder="1"/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vertical="top"/>
    </xf>
    <xf numFmtId="0" fontId="0" fillId="0" borderId="15" xfId="0" applyBorder="1" applyAlignment="1">
      <alignment horizontal="center" vertical="top"/>
    </xf>
    <xf numFmtId="0" fontId="0" fillId="0" borderId="10" xfId="0" applyFill="1" applyBorder="1" applyAlignment="1">
      <alignment vertical="top"/>
    </xf>
    <xf numFmtId="165" fontId="0" fillId="0" borderId="10" xfId="0" applyNumberFormat="1" applyFill="1" applyBorder="1" applyAlignment="1">
      <alignment vertical="top"/>
    </xf>
    <xf numFmtId="165" fontId="0" fillId="0" borderId="10" xfId="0" applyNumberFormat="1" applyBorder="1" applyAlignment="1">
      <alignment vertical="top"/>
    </xf>
    <xf numFmtId="0" fontId="18" fillId="0" borderId="0" xfId="0" applyFont="1" applyAlignment="1">
      <alignment vertical="center"/>
    </xf>
    <xf numFmtId="0" fontId="0" fillId="0" borderId="2" xfId="0" applyBorder="1" applyAlignment="1">
      <alignment horizontal="left" vertical="top"/>
    </xf>
    <xf numFmtId="0" fontId="0" fillId="0" borderId="2" xfId="0" applyBorder="1" applyAlignment="1"/>
    <xf numFmtId="0" fontId="0" fillId="0" borderId="3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/>
    <xf numFmtId="0" fontId="0" fillId="0" borderId="19" xfId="0" applyBorder="1"/>
    <xf numFmtId="0" fontId="0" fillId="0" borderId="5" xfId="0" applyBorder="1"/>
    <xf numFmtId="0" fontId="0" fillId="0" borderId="6" xfId="0" applyBorder="1"/>
    <xf numFmtId="0" fontId="0" fillId="3" borderId="0" xfId="0" applyFill="1"/>
    <xf numFmtId="0" fontId="0" fillId="5" borderId="20" xfId="0" applyFill="1" applyBorder="1" applyAlignment="1">
      <alignment horizontal="left" indent="1"/>
    </xf>
    <xf numFmtId="0" fontId="0" fillId="7" borderId="20" xfId="0" applyFill="1" applyBorder="1"/>
    <xf numFmtId="0" fontId="0" fillId="9" borderId="20" xfId="0" applyFill="1" applyBorder="1"/>
    <xf numFmtId="0" fontId="0" fillId="6" borderId="20" xfId="0" applyFill="1" applyBorder="1"/>
    <xf numFmtId="0" fontId="0" fillId="10" borderId="20" xfId="0" applyFill="1" applyBorder="1"/>
    <xf numFmtId="0" fontId="0" fillId="9" borderId="20" xfId="0" applyFill="1" applyBorder="1" applyAlignment="1">
      <alignment horizontal="center"/>
    </xf>
    <xf numFmtId="166" fontId="0" fillId="6" borderId="20" xfId="0" applyNumberFormat="1" applyFill="1" applyBorder="1" applyAlignment="1">
      <alignment horizontal="center"/>
    </xf>
    <xf numFmtId="166" fontId="0" fillId="10" borderId="20" xfId="0" applyNumberFormat="1" applyFill="1" applyBorder="1" applyAlignment="1">
      <alignment horizontal="center"/>
    </xf>
    <xf numFmtId="0" fontId="0" fillId="7" borderId="20" xfId="0" applyFill="1" applyBorder="1" applyAlignment="1">
      <alignment horizontal="center"/>
    </xf>
    <xf numFmtId="0" fontId="0" fillId="5" borderId="20" xfId="0" applyFill="1" applyBorder="1"/>
    <xf numFmtId="0" fontId="0" fillId="0" borderId="20" xfId="0" applyFill="1" applyBorder="1" applyAlignment="1">
      <alignment horizontal="center"/>
    </xf>
    <xf numFmtId="0" fontId="0" fillId="0" borderId="20" xfId="0" applyFill="1" applyBorder="1" applyAlignment="1">
      <alignment horizontal="center" vertical="center" wrapText="1"/>
    </xf>
    <xf numFmtId="0" fontId="0" fillId="0" borderId="20" xfId="0" applyFill="1" applyBorder="1"/>
    <xf numFmtId="0" fontId="0" fillId="5" borderId="20" xfId="0" applyFill="1" applyBorder="1" applyAlignment="1">
      <alignment horizontal="center"/>
    </xf>
    <xf numFmtId="0" fontId="0" fillId="3" borderId="0" xfId="0" applyFill="1" applyAlignment="1">
      <alignment horizontal="center"/>
    </xf>
    <xf numFmtId="14" fontId="0" fillId="7" borderId="20" xfId="0" applyNumberFormat="1" applyFill="1" applyBorder="1" applyAlignment="1">
      <alignment horizontal="center"/>
    </xf>
    <xf numFmtId="14" fontId="0" fillId="9" borderId="20" xfId="0" applyNumberFormat="1" applyFill="1" applyBorder="1" applyAlignment="1">
      <alignment horizontal="center"/>
    </xf>
    <xf numFmtId="0" fontId="3" fillId="2" borderId="1" xfId="0" applyFont="1" applyFill="1" applyBorder="1" applyAlignment="1">
      <alignment horizontal="left" vertical="top" wrapText="1"/>
    </xf>
    <xf numFmtId="0" fontId="3" fillId="2" borderId="2" xfId="0" applyFont="1" applyFill="1" applyBorder="1" applyAlignment="1">
      <alignment horizontal="left" vertical="top" wrapText="1"/>
    </xf>
    <xf numFmtId="0" fontId="3" fillId="2" borderId="3" xfId="0" applyFont="1" applyFill="1" applyBorder="1" applyAlignment="1">
      <alignment horizontal="left" vertical="top" wrapText="1"/>
    </xf>
    <xf numFmtId="0" fontId="3" fillId="2" borderId="4" xfId="0" applyFont="1" applyFill="1" applyBorder="1" applyAlignment="1">
      <alignment horizontal="left" vertical="top" wrapText="1"/>
    </xf>
    <xf numFmtId="0" fontId="3" fillId="2" borderId="5" xfId="0" applyFont="1" applyFill="1" applyBorder="1" applyAlignment="1">
      <alignment horizontal="left" vertical="top" wrapText="1"/>
    </xf>
    <xf numFmtId="0" fontId="3" fillId="2" borderId="6" xfId="0" applyFont="1" applyFill="1" applyBorder="1" applyAlignment="1">
      <alignment horizontal="left" vertical="top" wrapText="1"/>
    </xf>
    <xf numFmtId="0" fontId="4" fillId="0" borderId="7" xfId="0" applyFont="1" applyBorder="1" applyAlignment="1">
      <alignment horizontal="left" vertical="center"/>
    </xf>
    <xf numFmtId="0" fontId="4" fillId="0" borderId="8" xfId="0" applyFont="1" applyBorder="1" applyAlignment="1">
      <alignment horizontal="left" vertical="center"/>
    </xf>
    <xf numFmtId="0" fontId="4" fillId="0" borderId="9" xfId="0" applyFont="1" applyBorder="1" applyAlignment="1">
      <alignment horizontal="left" vertical="center"/>
    </xf>
    <xf numFmtId="0" fontId="0" fillId="0" borderId="10" xfId="0" applyBorder="1" applyAlignment="1">
      <alignment horizontal="left" vertical="top"/>
    </xf>
    <xf numFmtId="0" fontId="0" fillId="0" borderId="10" xfId="0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3" fillId="2" borderId="1" xfId="0" applyFont="1" applyFill="1" applyBorder="1" applyAlignment="1">
      <alignment horizontal="left" vertical="top"/>
    </xf>
    <xf numFmtId="0" fontId="3" fillId="2" borderId="2" xfId="0" applyFont="1" applyFill="1" applyBorder="1" applyAlignment="1">
      <alignment horizontal="left" vertical="top"/>
    </xf>
    <xf numFmtId="0" fontId="3" fillId="2" borderId="4" xfId="0" applyFont="1" applyFill="1" applyBorder="1" applyAlignment="1">
      <alignment horizontal="left" vertical="top"/>
    </xf>
    <xf numFmtId="0" fontId="3" fillId="2" borderId="5" xfId="0" applyFont="1" applyFill="1" applyBorder="1" applyAlignment="1">
      <alignment horizontal="left" vertical="top"/>
    </xf>
    <xf numFmtId="0" fontId="8" fillId="2" borderId="1" xfId="0" applyFont="1" applyFill="1" applyBorder="1" applyAlignment="1">
      <alignment horizontal="left" vertical="top"/>
    </xf>
    <xf numFmtId="0" fontId="8" fillId="2" borderId="2" xfId="0" applyFont="1" applyFill="1" applyBorder="1" applyAlignment="1">
      <alignment horizontal="left" vertical="top"/>
    </xf>
    <xf numFmtId="0" fontId="8" fillId="2" borderId="3" xfId="0" applyFont="1" applyFill="1" applyBorder="1" applyAlignment="1">
      <alignment horizontal="left" vertical="top"/>
    </xf>
    <xf numFmtId="0" fontId="8" fillId="2" borderId="4" xfId="0" applyFont="1" applyFill="1" applyBorder="1" applyAlignment="1">
      <alignment horizontal="left" vertical="top"/>
    </xf>
    <xf numFmtId="0" fontId="8" fillId="2" borderId="5" xfId="0" applyFont="1" applyFill="1" applyBorder="1" applyAlignment="1">
      <alignment horizontal="left" vertical="top"/>
    </xf>
    <xf numFmtId="0" fontId="8" fillId="2" borderId="6" xfId="0" applyFont="1" applyFill="1" applyBorder="1" applyAlignment="1">
      <alignment horizontal="left" vertical="top"/>
    </xf>
    <xf numFmtId="0" fontId="0" fillId="0" borderId="10" xfId="0" applyBorder="1" applyAlignment="1">
      <alignment horizontal="center" vertical="top"/>
    </xf>
    <xf numFmtId="0" fontId="9" fillId="0" borderId="10" xfId="0" applyFont="1" applyBorder="1" applyAlignment="1">
      <alignment horizontal="left" vertical="top"/>
    </xf>
    <xf numFmtId="0" fontId="12" fillId="0" borderId="10" xfId="0" applyFont="1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165" fontId="0" fillId="0" borderId="10" xfId="0" applyNumberFormat="1" applyBorder="1" applyAlignment="1">
      <alignment horizontal="center" vertical="center"/>
    </xf>
    <xf numFmtId="0" fontId="2" fillId="0" borderId="10" xfId="0" applyFont="1" applyBorder="1" applyAlignment="1">
      <alignment horizontal="center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left" vertical="top"/>
    </xf>
    <xf numFmtId="0" fontId="0" fillId="0" borderId="17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0" xfId="0" applyBorder="1" applyAlignment="1">
      <alignment horizontal="center" wrapText="1"/>
    </xf>
    <xf numFmtId="0" fontId="0" fillId="0" borderId="7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6" xfId="0" quotePrefix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1" xfId="0" quotePrefix="1" applyBorder="1" applyAlignment="1">
      <alignment horizontal="left" vertical="top" wrapText="1"/>
    </xf>
    <xf numFmtId="0" fontId="0" fillId="0" borderId="3" xfId="0" quotePrefix="1" applyBorder="1" applyAlignment="1">
      <alignment horizontal="left" vertical="top" wrapText="1"/>
    </xf>
    <xf numFmtId="0" fontId="0" fillId="0" borderId="18" xfId="0" quotePrefix="1" applyBorder="1" applyAlignment="1">
      <alignment horizontal="left" vertical="top" wrapText="1"/>
    </xf>
    <xf numFmtId="0" fontId="0" fillId="0" borderId="19" xfId="0" quotePrefix="1" applyBorder="1" applyAlignment="1">
      <alignment horizontal="left" vertical="top" wrapText="1"/>
    </xf>
    <xf numFmtId="0" fontId="0" fillId="0" borderId="4" xfId="0" quotePrefix="1" applyBorder="1" applyAlignment="1">
      <alignment horizontal="left" vertical="top" wrapText="1"/>
    </xf>
    <xf numFmtId="0" fontId="0" fillId="0" borderId="6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left" vertical="top" wrapText="1"/>
    </xf>
    <xf numFmtId="0" fontId="0" fillId="0" borderId="10" xfId="0" quotePrefix="1" applyBorder="1" applyAlignment="1">
      <alignment horizontal="center" vertical="center"/>
    </xf>
    <xf numFmtId="0" fontId="0" fillId="0" borderId="10" xfId="0" quotePrefix="1" applyBorder="1" applyAlignment="1">
      <alignment horizontal="center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5" xfId="0" applyBorder="1" applyAlignment="1">
      <alignment vertical="top"/>
    </xf>
    <xf numFmtId="0" fontId="0" fillId="0" borderId="1" xfId="0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10" xfId="0" applyBorder="1" applyAlignment="1">
      <alignment vertical="top"/>
    </xf>
    <xf numFmtId="0" fontId="0" fillId="0" borderId="16" xfId="0" applyBorder="1" applyAlignment="1">
      <alignment horizontal="center" vertical="top"/>
    </xf>
    <xf numFmtId="0" fontId="0" fillId="0" borderId="17" xfId="0" applyBorder="1" applyAlignment="1">
      <alignment horizontal="center" vertical="top"/>
    </xf>
    <xf numFmtId="0" fontId="0" fillId="0" borderId="15" xfId="0" applyBorder="1" applyAlignment="1">
      <alignment horizontal="center" vertical="top"/>
    </xf>
    <xf numFmtId="0" fontId="0" fillId="0" borderId="1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19" xfId="0" applyBorder="1" applyAlignment="1">
      <alignment horizontal="center" vertical="top"/>
    </xf>
    <xf numFmtId="0" fontId="16" fillId="0" borderId="10" xfId="0" applyFont="1" applyBorder="1" applyAlignment="1">
      <alignment horizontal="left" vertical="top"/>
    </xf>
    <xf numFmtId="0" fontId="0" fillId="0" borderId="10" xfId="0" applyBorder="1" applyAlignment="1">
      <alignment horizontal="left"/>
    </xf>
    <xf numFmtId="0" fontId="17" fillId="0" borderId="10" xfId="0" applyFont="1" applyBorder="1" applyAlignment="1">
      <alignment horizontal="center" vertical="top"/>
    </xf>
    <xf numFmtId="0" fontId="0" fillId="0" borderId="10" xfId="0" applyBorder="1" applyAlignment="1">
      <alignment vertical="top" wrapText="1"/>
    </xf>
    <xf numFmtId="0" fontId="18" fillId="0" borderId="0" xfId="0" applyFont="1" applyAlignment="1">
      <alignment horizontal="left" vertical="top" wrapText="1"/>
    </xf>
    <xf numFmtId="0" fontId="18" fillId="0" borderId="5" xfId="0" applyFont="1" applyBorder="1" applyAlignment="1">
      <alignment horizontal="left" vertical="top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0" xfId="0" applyFill="1" applyBorder="1" applyAlignment="1">
      <alignment vertical="top" wrapText="1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1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18" xfId="0" applyBorder="1" applyAlignment="1">
      <alignment horizontal="center" vertical="top" wrapText="1"/>
    </xf>
    <xf numFmtId="0" fontId="0" fillId="0" borderId="0" xfId="0" applyBorder="1" applyAlignment="1">
      <alignment horizontal="center" vertical="top" wrapText="1"/>
    </xf>
    <xf numFmtId="0" fontId="0" fillId="0" borderId="2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9" fillId="0" borderId="2" xfId="0" applyFont="1" applyBorder="1" applyAlignment="1">
      <alignment horizontal="left" vertical="top" wrapText="1"/>
    </xf>
    <xf numFmtId="0" fontId="19" fillId="0" borderId="0" xfId="0" applyFont="1" applyBorder="1" applyAlignment="1">
      <alignment horizontal="left" vertical="top" wrapText="1"/>
    </xf>
    <xf numFmtId="0" fontId="0" fillId="5" borderId="20" xfId="0" applyFill="1" applyBorder="1" applyAlignment="1">
      <alignment horizontal="center" vertical="center"/>
    </xf>
    <xf numFmtId="0" fontId="0" fillId="8" borderId="20" xfId="0" applyFill="1" applyBorder="1" applyAlignment="1">
      <alignment horizontal="center" vertical="center" wrapText="1"/>
    </xf>
    <xf numFmtId="0" fontId="0" fillId="11" borderId="20" xfId="0" applyFill="1" applyBorder="1" applyAlignment="1">
      <alignment horizontal="center" vertical="center" wrapText="1"/>
    </xf>
    <xf numFmtId="0" fontId="0" fillId="11" borderId="20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0" xfId="0" applyFill="1" applyBorder="1" applyAlignment="1">
      <alignment horizontal="center" vertical="center" wrapText="1"/>
    </xf>
    <xf numFmtId="0" fontId="0" fillId="12" borderId="20" xfId="0" applyFill="1" applyBorder="1" applyAlignment="1">
      <alignment horizontal="center" vertical="center" wrapText="1"/>
    </xf>
    <xf numFmtId="0" fontId="0" fillId="12" borderId="20" xfId="0" applyFill="1" applyBorder="1" applyAlignment="1">
      <alignment horizontal="center"/>
    </xf>
    <xf numFmtId="0" fontId="0" fillId="8" borderId="20" xfId="0" applyFill="1" applyBorder="1" applyAlignment="1">
      <alignment horizontal="center"/>
    </xf>
  </cellXfs>
  <cellStyles count="3">
    <cellStyle name="Comma 2" xfId="2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A200"/>
      <color rgb="FF008000"/>
      <color rgb="FF0000FF"/>
      <color rgb="FFE75BC2"/>
      <color rgb="FFFFFFCC"/>
      <color rgb="FF44E4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247651</xdr:colOff>
      <xdr:row>196</xdr:row>
      <xdr:rowOff>28574</xdr:rowOff>
    </xdr:from>
    <xdr:to>
      <xdr:col>3</xdr:col>
      <xdr:colOff>1</xdr:colOff>
      <xdr:row>196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xmlns="" id="{BBA8C9C2-CC2D-4BE6-9598-7F133F3A0FFD}"/>
            </a:ext>
          </a:extLst>
        </xdr:cNvPr>
        <xdr:cNvSpPr/>
      </xdr:nvSpPr>
      <xdr:spPr>
        <a:xfrm>
          <a:off x="752476" y="37423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196</xdr:row>
      <xdr:rowOff>19050</xdr:rowOff>
    </xdr:from>
    <xdr:to>
      <xdr:col>4</xdr:col>
      <xdr:colOff>1304925</xdr:colOff>
      <xdr:row>196</xdr:row>
      <xdr:rowOff>152401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xmlns="" id="{46ABDA62-9B15-4E60-A6AB-971150F87606}"/>
            </a:ext>
          </a:extLst>
        </xdr:cNvPr>
        <xdr:cNvSpPr/>
      </xdr:nvSpPr>
      <xdr:spPr>
        <a:xfrm>
          <a:off x="313372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196</xdr:row>
      <xdr:rowOff>19050</xdr:rowOff>
    </xdr:from>
    <xdr:to>
      <xdr:col>8</xdr:col>
      <xdr:colOff>581025</xdr:colOff>
      <xdr:row>196</xdr:row>
      <xdr:rowOff>152401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xmlns="" id="{B391558F-4EEE-49DE-BE10-84F2B7664222}"/>
            </a:ext>
          </a:extLst>
        </xdr:cNvPr>
        <xdr:cNvSpPr/>
      </xdr:nvSpPr>
      <xdr:spPr>
        <a:xfrm>
          <a:off x="5553075" y="37414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247651</xdr:colOff>
      <xdr:row>198</xdr:row>
      <xdr:rowOff>28574</xdr:rowOff>
    </xdr:from>
    <xdr:to>
      <xdr:col>3</xdr:col>
      <xdr:colOff>1</xdr:colOff>
      <xdr:row>198</xdr:row>
      <xdr:rowOff>161925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xmlns="" id="{573B66D8-6CB1-4EDF-AF2F-75F2CDEBC83E}"/>
            </a:ext>
          </a:extLst>
        </xdr:cNvPr>
        <xdr:cNvSpPr/>
      </xdr:nvSpPr>
      <xdr:spPr>
        <a:xfrm>
          <a:off x="752476" y="37804724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1152525</xdr:colOff>
      <xdr:row>198</xdr:row>
      <xdr:rowOff>19050</xdr:rowOff>
    </xdr:from>
    <xdr:to>
      <xdr:col>4</xdr:col>
      <xdr:colOff>1304925</xdr:colOff>
      <xdr:row>198</xdr:row>
      <xdr:rowOff>152401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xmlns="" id="{E3428A55-664A-41D4-AB1F-963FD492F34E}"/>
            </a:ext>
          </a:extLst>
        </xdr:cNvPr>
        <xdr:cNvSpPr/>
      </xdr:nvSpPr>
      <xdr:spPr>
        <a:xfrm>
          <a:off x="313372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428625</xdr:colOff>
      <xdr:row>198</xdr:row>
      <xdr:rowOff>19050</xdr:rowOff>
    </xdr:from>
    <xdr:to>
      <xdr:col>8</xdr:col>
      <xdr:colOff>581025</xdr:colOff>
      <xdr:row>198</xdr:row>
      <xdr:rowOff>152401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xmlns="" id="{7BBA129C-F5EE-40B3-87D1-C06B1F9D7B24}"/>
            </a:ext>
          </a:extLst>
        </xdr:cNvPr>
        <xdr:cNvSpPr/>
      </xdr:nvSpPr>
      <xdr:spPr>
        <a:xfrm>
          <a:off x="5553075" y="37795200"/>
          <a:ext cx="152400" cy="1333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.10.51\wahyu\1Pribadi\KPI%20EXCE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PI"/>
      <sheetName val="PROGRES TUGAS IT 2020"/>
      <sheetName val="Lampiran 1.1"/>
      <sheetName val="Lampiran 1.2"/>
      <sheetName val="Lampiran 1.3"/>
      <sheetName val="Lampiran 1.4"/>
      <sheetName val="Lampiran 1.41"/>
      <sheetName val="Lampiran 1.5"/>
      <sheetName val="Lampiran 1.6"/>
      <sheetName val="NILAIKPI"/>
      <sheetName val="BUKTI"/>
    </sheetNames>
    <sheetDataSet>
      <sheetData sheetId="0"/>
      <sheetData sheetId="1">
        <row r="3">
          <cell r="B3">
            <v>1</v>
          </cell>
          <cell r="C3" t="str">
            <v>B</v>
          </cell>
          <cell r="D3" t="str">
            <v>Backup pc gudang (hardisk penuh)</v>
          </cell>
          <cell r="E3">
            <v>0</v>
          </cell>
          <cell r="F3">
            <v>0</v>
          </cell>
          <cell r="G3">
            <v>0</v>
          </cell>
          <cell r="H3">
            <v>44037</v>
          </cell>
          <cell r="I3">
            <v>44030</v>
          </cell>
          <cell r="J3" t="str">
            <v>Done</v>
          </cell>
          <cell r="K3" t="str">
            <v>sudah ada</v>
          </cell>
          <cell r="L3" t="str">
            <v>sudah ada</v>
          </cell>
        </row>
        <row r="4">
          <cell r="B4">
            <v>2</v>
          </cell>
          <cell r="C4" t="str">
            <v>Up</v>
          </cell>
          <cell r="D4" t="str">
            <v>Update fasilitas dongle lot dan exp cabang</v>
          </cell>
          <cell r="E4">
            <v>0</v>
          </cell>
          <cell r="F4">
            <v>0</v>
          </cell>
          <cell r="G4">
            <v>0</v>
          </cell>
          <cell r="H4">
            <v>44054</v>
          </cell>
          <cell r="I4">
            <v>44033</v>
          </cell>
          <cell r="J4" t="str">
            <v>Done</v>
          </cell>
          <cell r="K4" t="str">
            <v>sudah ada</v>
          </cell>
          <cell r="L4" t="str">
            <v>sudah ada</v>
          </cell>
        </row>
        <row r="5">
          <cell r="B5">
            <v>3</v>
          </cell>
          <cell r="C5">
            <v>4</v>
          </cell>
          <cell r="D5" t="str">
            <v>Input lot dan exp Cabang</v>
          </cell>
          <cell r="E5">
            <v>0</v>
          </cell>
          <cell r="F5">
            <v>0</v>
          </cell>
          <cell r="G5">
            <v>0</v>
          </cell>
          <cell r="H5">
            <v>44083</v>
          </cell>
          <cell r="I5">
            <v>44044</v>
          </cell>
          <cell r="J5" t="str">
            <v>Done</v>
          </cell>
          <cell r="K5" t="str">
            <v>sudah ada</v>
          </cell>
          <cell r="L5" t="str">
            <v>sudah ada</v>
          </cell>
        </row>
        <row r="6">
          <cell r="B6">
            <v>4</v>
          </cell>
          <cell r="C6">
            <v>5</v>
          </cell>
          <cell r="D6" t="str">
            <v>Membuat SOP Perawatan Perangkat</v>
          </cell>
          <cell r="E6">
            <v>0</v>
          </cell>
          <cell r="F6">
            <v>0</v>
          </cell>
          <cell r="G6">
            <v>0</v>
          </cell>
          <cell r="H6">
            <v>44054</v>
          </cell>
          <cell r="I6">
            <v>44044</v>
          </cell>
          <cell r="J6" t="str">
            <v>Done</v>
          </cell>
          <cell r="K6" t="str">
            <v>sudah ada</v>
          </cell>
          <cell r="L6" t="str">
            <v>sudah ada</v>
          </cell>
        </row>
        <row r="7">
          <cell r="B7">
            <v>5</v>
          </cell>
          <cell r="C7">
            <v>6</v>
          </cell>
          <cell r="D7" t="str">
            <v>Perbaikan surat jalan ekspedisi digital</v>
          </cell>
          <cell r="E7">
            <v>0</v>
          </cell>
          <cell r="F7">
            <v>0</v>
          </cell>
          <cell r="G7">
            <v>0</v>
          </cell>
          <cell r="H7">
            <v>44019</v>
          </cell>
          <cell r="I7">
            <v>44013</v>
          </cell>
          <cell r="J7" t="str">
            <v>Done</v>
          </cell>
          <cell r="K7" t="str">
            <v>sudah ada</v>
          </cell>
          <cell r="L7" t="str">
            <v>sudah ada</v>
          </cell>
        </row>
        <row r="8">
          <cell r="B8">
            <v>6</v>
          </cell>
          <cell r="C8">
            <v>7</v>
          </cell>
          <cell r="D8" t="str">
            <v>Perbaikan Sales Tracking</v>
          </cell>
          <cell r="E8">
            <v>0</v>
          </cell>
          <cell r="F8">
            <v>0</v>
          </cell>
          <cell r="G8">
            <v>0</v>
          </cell>
          <cell r="H8">
            <v>44054</v>
          </cell>
          <cell r="I8">
            <v>44083</v>
          </cell>
          <cell r="J8" t="str">
            <v>Done</v>
          </cell>
          <cell r="K8" t="str">
            <v>sudah ada</v>
          </cell>
          <cell r="L8" t="str">
            <v>sudah ada</v>
          </cell>
        </row>
        <row r="9">
          <cell r="B9">
            <v>7</v>
          </cell>
          <cell r="C9">
            <v>8</v>
          </cell>
          <cell r="D9" t="str">
            <v>Pembuatan Design Laporan Zahir penjualan</v>
          </cell>
          <cell r="E9">
            <v>0</v>
          </cell>
          <cell r="F9">
            <v>0</v>
          </cell>
          <cell r="G9">
            <v>0</v>
          </cell>
          <cell r="H9">
            <v>43934</v>
          </cell>
          <cell r="I9">
            <v>43922</v>
          </cell>
          <cell r="J9" t="str">
            <v>Done</v>
          </cell>
          <cell r="K9" t="str">
            <v>sudah ada</v>
          </cell>
          <cell r="L9" t="str">
            <v>sudah ada</v>
          </cell>
        </row>
        <row r="10">
          <cell r="B10">
            <v>8</v>
          </cell>
          <cell r="C10">
            <v>9</v>
          </cell>
          <cell r="D10" t="str">
            <v>Pembuatan Design Laporan Zahir Lot Penjualan</v>
          </cell>
          <cell r="E10">
            <v>0</v>
          </cell>
          <cell r="F10">
            <v>0</v>
          </cell>
          <cell r="G10">
            <v>0</v>
          </cell>
          <cell r="H10">
            <v>43934</v>
          </cell>
          <cell r="I10">
            <v>43922</v>
          </cell>
          <cell r="J10" t="str">
            <v>Done</v>
          </cell>
          <cell r="K10" t="str">
            <v>sudah ada</v>
          </cell>
          <cell r="L10" t="str">
            <v>sudah ada</v>
          </cell>
        </row>
        <row r="11">
          <cell r="B11">
            <v>9</v>
          </cell>
          <cell r="C11">
            <v>10</v>
          </cell>
          <cell r="D11" t="str">
            <v>Pembuatan Design Laporan Zahir Lot Mutasi</v>
          </cell>
          <cell r="E11">
            <v>0</v>
          </cell>
          <cell r="F11">
            <v>0</v>
          </cell>
          <cell r="G11">
            <v>0</v>
          </cell>
          <cell r="H11">
            <v>44054</v>
          </cell>
          <cell r="I11">
            <v>44044</v>
          </cell>
          <cell r="J11" t="str">
            <v>Done</v>
          </cell>
          <cell r="K11" t="str">
            <v>sudah ada</v>
          </cell>
          <cell r="L11" t="str">
            <v>sudah ada</v>
          </cell>
        </row>
        <row r="12">
          <cell r="B12">
            <v>10</v>
          </cell>
          <cell r="C12">
            <v>11</v>
          </cell>
          <cell r="D12" t="str">
            <v>Pembuatan Program Pendukung ACC (mitra)</v>
          </cell>
          <cell r="E12">
            <v>0</v>
          </cell>
          <cell r="F12">
            <v>0</v>
          </cell>
          <cell r="G12">
            <v>0</v>
          </cell>
          <cell r="H12">
            <v>44026</v>
          </cell>
          <cell r="I12">
            <v>44003</v>
          </cell>
          <cell r="J12" t="str">
            <v>Done</v>
          </cell>
          <cell r="K12" t="str">
            <v>sudah ada</v>
          </cell>
          <cell r="L12" t="str">
            <v>sudah ada</v>
          </cell>
        </row>
        <row r="13">
          <cell r="B13">
            <v>11</v>
          </cell>
          <cell r="C13">
            <v>12</v>
          </cell>
          <cell r="D13" t="str">
            <v>Pembuatan Program Pendukung ACC (Fairin)</v>
          </cell>
          <cell r="E13">
            <v>0</v>
          </cell>
          <cell r="F13">
            <v>0</v>
          </cell>
          <cell r="G13">
            <v>0</v>
          </cell>
          <cell r="H13">
            <v>44026</v>
          </cell>
          <cell r="I13">
            <v>44003</v>
          </cell>
          <cell r="J13" t="str">
            <v>Done</v>
          </cell>
          <cell r="K13" t="str">
            <v>sudah ada</v>
          </cell>
          <cell r="L13" t="str">
            <v>sudah ada</v>
          </cell>
        </row>
        <row r="14">
          <cell r="B14">
            <v>12</v>
          </cell>
          <cell r="C14">
            <v>13</v>
          </cell>
          <cell r="D14" t="str">
            <v>Pembuatan Laporan Pemeblian Lot (pak supri)</v>
          </cell>
          <cell r="E14">
            <v>0</v>
          </cell>
          <cell r="F14">
            <v>0</v>
          </cell>
          <cell r="G14">
            <v>0</v>
          </cell>
          <cell r="H14">
            <v>43934</v>
          </cell>
          <cell r="I14">
            <v>43923</v>
          </cell>
          <cell r="J14" t="str">
            <v>Done</v>
          </cell>
          <cell r="K14" t="str">
            <v>sudah ada</v>
          </cell>
          <cell r="L14" t="str">
            <v>sudah ada</v>
          </cell>
        </row>
        <row r="15">
          <cell r="B15">
            <v>13</v>
          </cell>
          <cell r="C15">
            <v>14</v>
          </cell>
          <cell r="D15" t="str">
            <v>Perubahan Jalur Jaringan untuk Ruang Direktur</v>
          </cell>
          <cell r="E15">
            <v>0</v>
          </cell>
          <cell r="F15">
            <v>0</v>
          </cell>
          <cell r="G15">
            <v>0</v>
          </cell>
          <cell r="H15">
            <v>44054</v>
          </cell>
          <cell r="I15">
            <v>44013</v>
          </cell>
          <cell r="J15" t="str">
            <v>Done</v>
          </cell>
          <cell r="K15" t="str">
            <v>sudah ada</v>
          </cell>
          <cell r="L15" t="str">
            <v>sudah ada</v>
          </cell>
        </row>
        <row r="16">
          <cell r="B16">
            <v>14</v>
          </cell>
          <cell r="C16">
            <v>15</v>
          </cell>
          <cell r="D16" t="str">
            <v>Perbaikan Jalur CCTV Belakang Gudang</v>
          </cell>
          <cell r="E16">
            <v>0</v>
          </cell>
          <cell r="F16">
            <v>0</v>
          </cell>
          <cell r="G16">
            <v>0</v>
          </cell>
          <cell r="H16">
            <v>44054</v>
          </cell>
          <cell r="I16">
            <v>44013</v>
          </cell>
          <cell r="J16" t="str">
            <v>Done</v>
          </cell>
          <cell r="K16" t="str">
            <v>sudah ada</v>
          </cell>
          <cell r="L16" t="str">
            <v>sudah ada</v>
          </cell>
        </row>
        <row r="17">
          <cell r="B17">
            <v>15</v>
          </cell>
          <cell r="C17">
            <v>16</v>
          </cell>
          <cell r="D17" t="str">
            <v>Pembuatan Script untuk penjualan (lot)</v>
          </cell>
          <cell r="E17">
            <v>0</v>
          </cell>
          <cell r="F17">
            <v>0</v>
          </cell>
          <cell r="G17">
            <v>0</v>
          </cell>
          <cell r="H17">
            <v>44054</v>
          </cell>
          <cell r="I17">
            <v>44039</v>
          </cell>
          <cell r="J17" t="str">
            <v>Done</v>
          </cell>
          <cell r="K17" t="str">
            <v>sudah ada</v>
          </cell>
          <cell r="L17" t="str">
            <v>sudah ada</v>
          </cell>
        </row>
        <row r="18">
          <cell r="B18">
            <v>16</v>
          </cell>
          <cell r="C18">
            <v>17</v>
          </cell>
          <cell r="D18" t="str">
            <v>Pembuatan Script untuk pembelian (lot)</v>
          </cell>
          <cell r="E18">
            <v>0</v>
          </cell>
          <cell r="F18">
            <v>0</v>
          </cell>
          <cell r="G18">
            <v>0</v>
          </cell>
          <cell r="H18">
            <v>44054</v>
          </cell>
          <cell r="I18">
            <v>44039</v>
          </cell>
          <cell r="J18" t="str">
            <v>Done</v>
          </cell>
          <cell r="K18" t="str">
            <v>sudah ada</v>
          </cell>
          <cell r="L18" t="str">
            <v>sudah ada</v>
          </cell>
        </row>
        <row r="19">
          <cell r="B19">
            <v>17</v>
          </cell>
          <cell r="C19">
            <v>18</v>
          </cell>
          <cell r="D19" t="str">
            <v>Pembuatan Script untuk Mutasi (lot)</v>
          </cell>
          <cell r="E19">
            <v>0</v>
          </cell>
          <cell r="F19">
            <v>0</v>
          </cell>
          <cell r="G19">
            <v>0</v>
          </cell>
          <cell r="H19">
            <v>44054</v>
          </cell>
          <cell r="I19">
            <v>44038</v>
          </cell>
          <cell r="J19" t="str">
            <v>Done</v>
          </cell>
          <cell r="K19" t="str">
            <v>sudah ada</v>
          </cell>
          <cell r="L19" t="str">
            <v>sudah ada</v>
          </cell>
        </row>
        <row r="20">
          <cell r="B20">
            <v>29</v>
          </cell>
          <cell r="C20">
            <v>0</v>
          </cell>
          <cell r="D20" t="str">
            <v>log call hp kantor</v>
          </cell>
          <cell r="E20">
            <v>0</v>
          </cell>
          <cell r="F20">
            <v>0</v>
          </cell>
          <cell r="G20">
            <v>0</v>
          </cell>
          <cell r="H20">
            <v>44136</v>
          </cell>
          <cell r="I20">
            <v>44129</v>
          </cell>
          <cell r="J20" t="str">
            <v>Done</v>
          </cell>
          <cell r="K20" t="str">
            <v>sudah ada</v>
          </cell>
          <cell r="L20" t="str">
            <v>sudah ada</v>
          </cell>
        </row>
        <row r="21">
          <cell r="B21">
            <v>19</v>
          </cell>
          <cell r="C21">
            <v>20</v>
          </cell>
          <cell r="D21" t="str">
            <v>Pembuatan Jalur Jaringan untuk Team Keuangan 2</v>
          </cell>
          <cell r="E21">
            <v>0</v>
          </cell>
          <cell r="F21">
            <v>0</v>
          </cell>
          <cell r="G21">
            <v>0</v>
          </cell>
          <cell r="H21">
            <v>44083</v>
          </cell>
          <cell r="I21">
            <v>44075</v>
          </cell>
          <cell r="J21" t="str">
            <v>Done</v>
          </cell>
          <cell r="K21" t="str">
            <v>sudah ada</v>
          </cell>
          <cell r="L21" t="str">
            <v>sudah ada</v>
          </cell>
        </row>
        <row r="22">
          <cell r="B22">
            <v>22</v>
          </cell>
          <cell r="C22">
            <v>23</v>
          </cell>
          <cell r="D22" t="str">
            <v>Pembuatan Multiprice / trial multiprice</v>
          </cell>
          <cell r="E22">
            <v>0</v>
          </cell>
          <cell r="F22">
            <v>0</v>
          </cell>
          <cell r="G22">
            <v>0</v>
          </cell>
          <cell r="H22">
            <v>44151</v>
          </cell>
          <cell r="I22">
            <v>44134</v>
          </cell>
          <cell r="J22" t="str">
            <v>Done</v>
          </cell>
          <cell r="K22" t="str">
            <v>sudah ada</v>
          </cell>
          <cell r="L22" t="str">
            <v>sudah ada</v>
          </cell>
        </row>
        <row r="23">
          <cell r="B23">
            <v>74</v>
          </cell>
          <cell r="C23">
            <v>0</v>
          </cell>
          <cell r="D23" t="str">
            <v>AJAGU51Jagung DK 959 20 X 1 Kg (Bisi) Maintenance LOTSUPPLIER</v>
          </cell>
          <cell r="E23">
            <v>0</v>
          </cell>
          <cell r="F23">
            <v>0</v>
          </cell>
          <cell r="G23">
            <v>0</v>
          </cell>
          <cell r="H23">
            <v>44137</v>
          </cell>
          <cell r="I23">
            <v>44137</v>
          </cell>
          <cell r="J23" t="str">
            <v>Done</v>
          </cell>
          <cell r="K23" t="str">
            <v>sudah ada</v>
          </cell>
          <cell r="L23" t="str">
            <v>sudah ada</v>
          </cell>
        </row>
        <row r="24">
          <cell r="B24">
            <v>75</v>
          </cell>
          <cell r="C24">
            <v>0</v>
          </cell>
          <cell r="D24" t="str">
            <v>QJAGU40Jagung DK 959 20 X 1 Kg (Bisi) Maintenance LOTTITIPAN</v>
          </cell>
          <cell r="E24">
            <v>0</v>
          </cell>
          <cell r="F24">
            <v>0</v>
          </cell>
          <cell r="G24">
            <v>0</v>
          </cell>
          <cell r="H24">
            <v>44137</v>
          </cell>
          <cell r="I24">
            <v>44137</v>
          </cell>
          <cell r="J24" t="str">
            <v>Done</v>
          </cell>
          <cell r="K24" t="str">
            <v>sudah ada</v>
          </cell>
          <cell r="L24" t="str">
            <v>sudah ada</v>
          </cell>
        </row>
        <row r="25">
          <cell r="B25">
            <v>76</v>
          </cell>
          <cell r="C25">
            <v>0</v>
          </cell>
          <cell r="D25" t="str">
            <v>AJAGU51Jagung DK 959 20 X 1 Kg (Bisi) Maintenance LOTSUPPLIER</v>
          </cell>
          <cell r="E25">
            <v>0</v>
          </cell>
          <cell r="F25">
            <v>0</v>
          </cell>
          <cell r="G25">
            <v>0</v>
          </cell>
          <cell r="H25">
            <v>44137</v>
          </cell>
          <cell r="I25">
            <v>44137</v>
          </cell>
          <cell r="J25" t="str">
            <v>Done</v>
          </cell>
          <cell r="K25" t="str">
            <v>sudah ada</v>
          </cell>
          <cell r="L25" t="str">
            <v>sudah ada</v>
          </cell>
        </row>
        <row r="26">
          <cell r="B26">
            <v>77</v>
          </cell>
          <cell r="C26">
            <v>0</v>
          </cell>
          <cell r="D26" t="str">
            <v>QJAGU40Jagung DK 959 20 X 1 Kg (Bisi) Maintenance LOTAJUNG BISI 2</v>
          </cell>
          <cell r="E26">
            <v>0</v>
          </cell>
          <cell r="F26">
            <v>0</v>
          </cell>
          <cell r="G26">
            <v>0</v>
          </cell>
          <cell r="H26">
            <v>44137</v>
          </cell>
          <cell r="I26">
            <v>44137</v>
          </cell>
          <cell r="J26" t="str">
            <v>Done</v>
          </cell>
          <cell r="K26" t="str">
            <v>sudah ada</v>
          </cell>
          <cell r="L26" t="str">
            <v>sudah ada</v>
          </cell>
        </row>
        <row r="27">
          <cell r="B27">
            <v>28</v>
          </cell>
          <cell r="C27">
            <v>0</v>
          </cell>
          <cell r="D27" t="str">
            <v>INSTALL ULANG OS DAN PENATAAN ULANG HD LOW SPACE . SETTING ULANG JARINGAN DAN DATABASE . PENGGANTIAN NAMA PC (BARCODE MENJADI KIUGUDANG)</v>
          </cell>
          <cell r="E27">
            <v>0</v>
          </cell>
          <cell r="F27">
            <v>0</v>
          </cell>
          <cell r="G27">
            <v>0</v>
          </cell>
          <cell r="H27">
            <v>44142</v>
          </cell>
          <cell r="I27">
            <v>44139</v>
          </cell>
          <cell r="J27" t="str">
            <v>Done</v>
          </cell>
          <cell r="K27" t="str">
            <v>sudah ada</v>
          </cell>
          <cell r="L27" t="str">
            <v>sudah ada</v>
          </cell>
        </row>
        <row r="28">
          <cell r="B28">
            <v>30</v>
          </cell>
          <cell r="C28">
            <v>0</v>
          </cell>
          <cell r="D28" t="str">
            <v>Install ulang OS Dan Install applikasi Standart Karisma untuk Sales Analys</v>
          </cell>
          <cell r="E28">
            <v>0</v>
          </cell>
          <cell r="F28">
            <v>0</v>
          </cell>
          <cell r="G28">
            <v>0</v>
          </cell>
          <cell r="H28">
            <v>44141</v>
          </cell>
          <cell r="I28">
            <v>44139</v>
          </cell>
          <cell r="J28" t="str">
            <v>Done</v>
          </cell>
          <cell r="K28" t="str">
            <v>sudah ada</v>
          </cell>
          <cell r="L28" t="str">
            <v>sudah ada</v>
          </cell>
        </row>
        <row r="29">
          <cell r="B29">
            <v>78</v>
          </cell>
          <cell r="C29">
            <v>0</v>
          </cell>
          <cell r="D29" t="str">
            <v>AJAGU39Jagung Pertiwi 6 20 X 1 Kg Maintenance LOTSUPPLIER</v>
          </cell>
          <cell r="E29">
            <v>0</v>
          </cell>
          <cell r="F29">
            <v>0</v>
          </cell>
          <cell r="G29">
            <v>0</v>
          </cell>
          <cell r="H29">
            <v>44139</v>
          </cell>
          <cell r="I29">
            <v>44139</v>
          </cell>
          <cell r="J29" t="str">
            <v>Done</v>
          </cell>
          <cell r="K29" t="str">
            <v>sudah ada</v>
          </cell>
          <cell r="L29" t="str">
            <v>sudah ada</v>
          </cell>
        </row>
        <row r="30">
          <cell r="B30">
            <v>79</v>
          </cell>
          <cell r="C30">
            <v>0</v>
          </cell>
          <cell r="D30" t="str">
            <v>QJAGU25Jagung Pertiwi 6 20 X 1 Kg Maintenance LOTINDUK</v>
          </cell>
          <cell r="E30">
            <v>0</v>
          </cell>
          <cell r="F30">
            <v>0</v>
          </cell>
          <cell r="G30">
            <v>0</v>
          </cell>
          <cell r="H30">
            <v>44139</v>
          </cell>
          <cell r="I30">
            <v>44139</v>
          </cell>
          <cell r="J30" t="str">
            <v>Done</v>
          </cell>
          <cell r="K30" t="str">
            <v>sudah ada</v>
          </cell>
          <cell r="L30" t="str">
            <v>sudah ada</v>
          </cell>
        </row>
        <row r="31">
          <cell r="B31">
            <v>80</v>
          </cell>
          <cell r="C31">
            <v>0</v>
          </cell>
          <cell r="D31" t="str">
            <v>QAKAL02Akalis 550 SC 20 X 500 ml Maintenance LOTINDUK</v>
          </cell>
          <cell r="E31">
            <v>0</v>
          </cell>
          <cell r="F31">
            <v>0</v>
          </cell>
          <cell r="G31">
            <v>0</v>
          </cell>
          <cell r="H31">
            <v>44139</v>
          </cell>
          <cell r="I31">
            <v>44139</v>
          </cell>
          <cell r="J31" t="str">
            <v>Done</v>
          </cell>
          <cell r="K31" t="str">
            <v>sudah ada</v>
          </cell>
          <cell r="L31" t="str">
            <v>sudah ada</v>
          </cell>
        </row>
        <row r="32">
          <cell r="B32">
            <v>81</v>
          </cell>
          <cell r="C32">
            <v>0</v>
          </cell>
          <cell r="D32" t="str">
            <v>QATHO01Athos 240 SC 100 X 100 ml Maintenance LOTINDUK</v>
          </cell>
          <cell r="E32">
            <v>0</v>
          </cell>
          <cell r="F32">
            <v>0</v>
          </cell>
          <cell r="G32">
            <v>0</v>
          </cell>
          <cell r="H32">
            <v>44139</v>
          </cell>
          <cell r="I32">
            <v>44139</v>
          </cell>
          <cell r="J32" t="str">
            <v>Done</v>
          </cell>
          <cell r="K32" t="str">
            <v>sudah ada</v>
          </cell>
          <cell r="L32" t="str">
            <v>sudah ada</v>
          </cell>
        </row>
        <row r="33">
          <cell r="B33">
            <v>82</v>
          </cell>
          <cell r="C33">
            <v>0</v>
          </cell>
          <cell r="D33" t="str">
            <v>QRIMO01 Rimon Fast 100 SC 100 X 100 ml Maintenance LOT SUPPLIER</v>
          </cell>
          <cell r="E33">
            <v>0</v>
          </cell>
          <cell r="F33">
            <v>0</v>
          </cell>
          <cell r="G33">
            <v>0</v>
          </cell>
          <cell r="H33">
            <v>44139</v>
          </cell>
          <cell r="I33">
            <v>44139</v>
          </cell>
          <cell r="J33" t="str">
            <v>Done</v>
          </cell>
          <cell r="K33" t="str">
            <v>sudah ada</v>
          </cell>
          <cell r="L33" t="str">
            <v>sudah ada</v>
          </cell>
        </row>
        <row r="34">
          <cell r="B34">
            <v>31</v>
          </cell>
          <cell r="C34">
            <v>0</v>
          </cell>
          <cell r="D34" t="str">
            <v>Topida 25 WP 100 X 100 gr (GDG Suplier) ATOPI01 Maintenance LOT</v>
          </cell>
          <cell r="E34">
            <v>0</v>
          </cell>
          <cell r="F34">
            <v>0</v>
          </cell>
          <cell r="G34">
            <v>0</v>
          </cell>
          <cell r="H34">
            <v>44105</v>
          </cell>
          <cell r="I34">
            <v>44105</v>
          </cell>
          <cell r="J34" t="str">
            <v>Done</v>
          </cell>
          <cell r="K34" t="str">
            <v>sudah ada</v>
          </cell>
          <cell r="L34">
            <v>0</v>
          </cell>
        </row>
        <row r="35">
          <cell r="B35">
            <v>32</v>
          </cell>
          <cell r="C35">
            <v>0</v>
          </cell>
          <cell r="D35" t="str">
            <v>Karimazu 590 EC 25 X 400 ml (GDG Suplier) QKARI06 AKARI08 Maintenance LOT</v>
          </cell>
          <cell r="E35">
            <v>0</v>
          </cell>
          <cell r="F35">
            <v>0</v>
          </cell>
          <cell r="G35">
            <v>0</v>
          </cell>
          <cell r="H35">
            <v>44107</v>
          </cell>
          <cell r="I35">
            <v>44107</v>
          </cell>
          <cell r="J35" t="str">
            <v>Done</v>
          </cell>
          <cell r="K35" t="str">
            <v>sudah ada</v>
          </cell>
          <cell r="L35">
            <v>0</v>
          </cell>
        </row>
        <row r="36">
          <cell r="B36">
            <v>33</v>
          </cell>
          <cell r="C36">
            <v>0</v>
          </cell>
          <cell r="D36" t="str">
            <v>Jagung DK 771 20 X 1 kg (Bisi)  Gdg. Supplier  AJAGU52 QJAGU42 Maintenance LOT</v>
          </cell>
          <cell r="E36">
            <v>0</v>
          </cell>
          <cell r="F36">
            <v>0</v>
          </cell>
          <cell r="G36">
            <v>0</v>
          </cell>
          <cell r="H36">
            <v>44110</v>
          </cell>
          <cell r="I36">
            <v>44110</v>
          </cell>
          <cell r="J36" t="str">
            <v>Done</v>
          </cell>
          <cell r="K36" t="str">
            <v>sudah ada</v>
          </cell>
          <cell r="L36">
            <v>0</v>
          </cell>
        </row>
        <row r="37">
          <cell r="B37">
            <v>34</v>
          </cell>
          <cell r="C37">
            <v>0</v>
          </cell>
          <cell r="D37" t="str">
            <v>Jagung Bisi 18 20 X 1 kg Gdg. Supplier AJAGU03 Maintenance LOT</v>
          </cell>
          <cell r="E37">
            <v>0</v>
          </cell>
          <cell r="F37">
            <v>0</v>
          </cell>
          <cell r="G37">
            <v>0</v>
          </cell>
          <cell r="H37">
            <v>44110</v>
          </cell>
          <cell r="I37">
            <v>44110</v>
          </cell>
          <cell r="J37" t="str">
            <v>Done</v>
          </cell>
          <cell r="K37" t="str">
            <v>sudah ada</v>
          </cell>
          <cell r="L37">
            <v>0</v>
          </cell>
        </row>
        <row r="38">
          <cell r="B38">
            <v>35</v>
          </cell>
          <cell r="C38">
            <v>0</v>
          </cell>
          <cell r="D38" t="str">
            <v>Jagung Bisi 18 20 X 1 kg Gdg. Expired QJAGU03 Maintenance LOT</v>
          </cell>
          <cell r="E38">
            <v>0</v>
          </cell>
          <cell r="F38">
            <v>0</v>
          </cell>
          <cell r="G38">
            <v>0</v>
          </cell>
          <cell r="H38">
            <v>44110</v>
          </cell>
          <cell r="I38">
            <v>44110</v>
          </cell>
          <cell r="J38" t="str">
            <v>Done</v>
          </cell>
          <cell r="K38" t="str">
            <v>sudah ada</v>
          </cell>
          <cell r="L38">
            <v>0</v>
          </cell>
        </row>
        <row r="39">
          <cell r="B39">
            <v>36</v>
          </cell>
          <cell r="C39">
            <v>0</v>
          </cell>
          <cell r="D39" t="str">
            <v>Emacel 30 EC 20 X 500 ml (GDG Supplier) QEMAC03 Maintenance LOT</v>
          </cell>
          <cell r="E39">
            <v>0</v>
          </cell>
          <cell r="F39">
            <v>0</v>
          </cell>
          <cell r="G39">
            <v>0</v>
          </cell>
          <cell r="H39">
            <v>44113</v>
          </cell>
          <cell r="I39">
            <v>44113</v>
          </cell>
          <cell r="J39" t="str">
            <v>Done</v>
          </cell>
          <cell r="K39" t="str">
            <v>sudah ada</v>
          </cell>
          <cell r="L39">
            <v>0</v>
          </cell>
        </row>
        <row r="40">
          <cell r="B40">
            <v>37</v>
          </cell>
          <cell r="C40">
            <v>0</v>
          </cell>
          <cell r="D40" t="str">
            <v>Padi Janger Inpari-32 4 x 5 kg (GDG Supplier) Maintenance LOT</v>
          </cell>
          <cell r="E40">
            <v>0</v>
          </cell>
          <cell r="F40">
            <v>0</v>
          </cell>
          <cell r="G40">
            <v>0</v>
          </cell>
          <cell r="H40">
            <v>44117</v>
          </cell>
          <cell r="I40">
            <v>44117</v>
          </cell>
          <cell r="J40" t="str">
            <v>Done</v>
          </cell>
          <cell r="K40" t="str">
            <v>sudah ada</v>
          </cell>
          <cell r="L40">
            <v>0</v>
          </cell>
        </row>
        <row r="41">
          <cell r="B41">
            <v>38</v>
          </cell>
          <cell r="C41">
            <v>0</v>
          </cell>
          <cell r="D41" t="str">
            <v>Padi Janger Ciherang 4 x 5 kg (GDG Supplier) Maintenance LOT</v>
          </cell>
          <cell r="E41">
            <v>0</v>
          </cell>
          <cell r="F41">
            <v>0</v>
          </cell>
          <cell r="G41">
            <v>0</v>
          </cell>
          <cell r="H41">
            <v>44117</v>
          </cell>
          <cell r="I41">
            <v>44117</v>
          </cell>
          <cell r="J41" t="str">
            <v>Done</v>
          </cell>
          <cell r="K41" t="str">
            <v>sudah ada</v>
          </cell>
          <cell r="L41">
            <v>0</v>
          </cell>
        </row>
        <row r="42">
          <cell r="B42">
            <v>39</v>
          </cell>
          <cell r="C42">
            <v>0</v>
          </cell>
          <cell r="D42" t="str">
            <v>Padi Janger Logawa 4 x 5 kg (GDG Supplier) Maintenance LOT</v>
          </cell>
          <cell r="E42">
            <v>0</v>
          </cell>
          <cell r="F42">
            <v>0</v>
          </cell>
          <cell r="G42">
            <v>0</v>
          </cell>
          <cell r="H42">
            <v>44117</v>
          </cell>
          <cell r="I42">
            <v>44117</v>
          </cell>
          <cell r="J42" t="str">
            <v>Done</v>
          </cell>
          <cell r="K42" t="str">
            <v>sudah ada</v>
          </cell>
          <cell r="L42">
            <v>0</v>
          </cell>
        </row>
        <row r="43">
          <cell r="B43">
            <v>40</v>
          </cell>
          <cell r="C43">
            <v>0</v>
          </cell>
          <cell r="D43" t="str">
            <v>Jagung DK 959 20 X 1 Kg (Bisi) AJAGU51 Maintenance LOT</v>
          </cell>
          <cell r="E43">
            <v>0</v>
          </cell>
          <cell r="F43">
            <v>0</v>
          </cell>
          <cell r="G43">
            <v>0</v>
          </cell>
          <cell r="H43">
            <v>44118</v>
          </cell>
          <cell r="I43">
            <v>44118</v>
          </cell>
          <cell r="J43" t="str">
            <v>Done</v>
          </cell>
          <cell r="K43" t="str">
            <v>sudah ada</v>
          </cell>
          <cell r="L43">
            <v>0</v>
          </cell>
        </row>
        <row r="44">
          <cell r="B44">
            <v>41</v>
          </cell>
          <cell r="C44">
            <v>0</v>
          </cell>
          <cell r="D44" t="str">
            <v>Jagung DK 959 20 X 1 Kg (Bisi) QJAGU40 Maintenance LOT</v>
          </cell>
          <cell r="E44">
            <v>0</v>
          </cell>
          <cell r="F44">
            <v>0</v>
          </cell>
          <cell r="G44">
            <v>0</v>
          </cell>
          <cell r="H44">
            <v>44118</v>
          </cell>
          <cell r="I44">
            <v>44118</v>
          </cell>
          <cell r="J44" t="str">
            <v>Done</v>
          </cell>
          <cell r="K44" t="str">
            <v>sudah ada</v>
          </cell>
          <cell r="L44">
            <v>0</v>
          </cell>
        </row>
        <row r="45">
          <cell r="B45">
            <v>42</v>
          </cell>
          <cell r="C45">
            <v>0</v>
          </cell>
          <cell r="D45" t="str">
            <v>Ludes 50 EC 30 X 250 ml QLUDE02 Maintenance LOT</v>
          </cell>
          <cell r="E45">
            <v>0</v>
          </cell>
          <cell r="F45">
            <v>0</v>
          </cell>
          <cell r="G45">
            <v>0</v>
          </cell>
          <cell r="H45">
            <v>44120</v>
          </cell>
          <cell r="I45">
            <v>44120</v>
          </cell>
          <cell r="J45" t="str">
            <v>Done</v>
          </cell>
          <cell r="K45" t="str">
            <v>sudah ada</v>
          </cell>
          <cell r="L45">
            <v>0</v>
          </cell>
        </row>
        <row r="46">
          <cell r="B46">
            <v>43</v>
          </cell>
          <cell r="C46">
            <v>0</v>
          </cell>
          <cell r="D46" t="str">
            <v>GG Bunga 50 X 100 ml QGOLD09 (GDG SUPPLIER) Maintenance LOT</v>
          </cell>
          <cell r="E46">
            <v>0</v>
          </cell>
          <cell r="F46">
            <v>0</v>
          </cell>
          <cell r="G46">
            <v>0</v>
          </cell>
          <cell r="H46">
            <v>44120</v>
          </cell>
          <cell r="I46">
            <v>44120</v>
          </cell>
          <cell r="J46" t="str">
            <v>Done</v>
          </cell>
          <cell r="K46" t="str">
            <v>sudah ada</v>
          </cell>
          <cell r="L46">
            <v>0</v>
          </cell>
        </row>
        <row r="47">
          <cell r="B47">
            <v>44</v>
          </cell>
          <cell r="C47">
            <v>0</v>
          </cell>
          <cell r="D47" t="str">
            <v>GG Daun 50 X 100 ml (M2U) QGOLD10 (GDG SUPPLIER) Maintenance LOT</v>
          </cell>
          <cell r="E47">
            <v>0</v>
          </cell>
          <cell r="F47">
            <v>0</v>
          </cell>
          <cell r="G47">
            <v>0</v>
          </cell>
          <cell r="H47">
            <v>44120</v>
          </cell>
          <cell r="I47">
            <v>44120</v>
          </cell>
          <cell r="J47" t="str">
            <v>Done</v>
          </cell>
          <cell r="K47" t="str">
            <v>sudah ada</v>
          </cell>
          <cell r="L47">
            <v>0</v>
          </cell>
        </row>
        <row r="48">
          <cell r="B48">
            <v>45</v>
          </cell>
          <cell r="C48">
            <v>0</v>
          </cell>
          <cell r="D48" t="str">
            <v>Aneto 50 EC 30 X 500 ml + Neptune 8 gr (M2U) QANET07  (GDG SUPPLIER) Maintenance LOT</v>
          </cell>
          <cell r="E48">
            <v>0</v>
          </cell>
          <cell r="F48">
            <v>0</v>
          </cell>
          <cell r="G48">
            <v>0</v>
          </cell>
          <cell r="H48">
            <v>44120</v>
          </cell>
          <cell r="I48">
            <v>44120</v>
          </cell>
          <cell r="J48" t="str">
            <v>Done</v>
          </cell>
          <cell r="K48" t="str">
            <v>sudah ada</v>
          </cell>
          <cell r="L48">
            <v>0</v>
          </cell>
        </row>
        <row r="49">
          <cell r="B49">
            <v>46</v>
          </cell>
          <cell r="C49">
            <v>0</v>
          </cell>
          <cell r="D49" t="str">
            <v>SG.05 200 X 100 gr (M2U) QSG0502 (GDG Supplier)</v>
          </cell>
          <cell r="E49">
            <v>0</v>
          </cell>
          <cell r="F49">
            <v>0</v>
          </cell>
          <cell r="G49">
            <v>0</v>
          </cell>
          <cell r="H49">
            <v>44123</v>
          </cell>
          <cell r="I49">
            <v>44123</v>
          </cell>
          <cell r="J49" t="str">
            <v>Done</v>
          </cell>
          <cell r="K49" t="str">
            <v>sudah ada</v>
          </cell>
          <cell r="L49">
            <v>0</v>
          </cell>
        </row>
        <row r="50">
          <cell r="B50">
            <v>47</v>
          </cell>
          <cell r="C50">
            <v>0</v>
          </cell>
          <cell r="D50" t="str">
            <v>Japra 400 SE 20 X 1 ltr (M2U) QJAPR03 (GDG Supplier)</v>
          </cell>
          <cell r="E50">
            <v>0</v>
          </cell>
          <cell r="F50">
            <v>0</v>
          </cell>
          <cell r="G50">
            <v>0</v>
          </cell>
          <cell r="H50">
            <v>44123</v>
          </cell>
          <cell r="I50">
            <v>44123</v>
          </cell>
          <cell r="J50" t="str">
            <v>Done</v>
          </cell>
          <cell r="K50" t="str">
            <v>sudah ada</v>
          </cell>
          <cell r="L50">
            <v>0</v>
          </cell>
        </row>
        <row r="51">
          <cell r="B51">
            <v>48</v>
          </cell>
          <cell r="C51">
            <v>0</v>
          </cell>
          <cell r="D51" t="str">
            <v>Neptune 25 WP 50 X 50 gr QNEPT01 (GDG Supplier)</v>
          </cell>
          <cell r="E51">
            <v>0</v>
          </cell>
          <cell r="F51">
            <v>0</v>
          </cell>
          <cell r="G51">
            <v>0</v>
          </cell>
          <cell r="H51">
            <v>44123</v>
          </cell>
          <cell r="I51">
            <v>44123</v>
          </cell>
          <cell r="J51" t="str">
            <v>Done</v>
          </cell>
          <cell r="K51" t="str">
            <v>sudah ada</v>
          </cell>
          <cell r="L51">
            <v>0</v>
          </cell>
        </row>
        <row r="52">
          <cell r="B52">
            <v>49</v>
          </cell>
          <cell r="C52">
            <v>0</v>
          </cell>
          <cell r="D52" t="str">
            <v>Gerbera 100 EC 40 X 200 ml QGERB01 (GDG Supplier)</v>
          </cell>
          <cell r="E52">
            <v>0</v>
          </cell>
          <cell r="F52">
            <v>0</v>
          </cell>
          <cell r="G52">
            <v>0</v>
          </cell>
          <cell r="H52">
            <v>44123</v>
          </cell>
          <cell r="I52">
            <v>44123</v>
          </cell>
          <cell r="J52" t="str">
            <v>Done</v>
          </cell>
          <cell r="K52" t="str">
            <v>sudah ada</v>
          </cell>
          <cell r="L52">
            <v>0</v>
          </cell>
        </row>
        <row r="53">
          <cell r="B53">
            <v>50</v>
          </cell>
          <cell r="C53">
            <v>0</v>
          </cell>
          <cell r="D53" t="str">
            <v>Gerbera 100 EC 20 X 500 ml QGERB02 (GDG Supplier)</v>
          </cell>
          <cell r="E53">
            <v>0</v>
          </cell>
          <cell r="F53">
            <v>0</v>
          </cell>
          <cell r="G53">
            <v>0</v>
          </cell>
          <cell r="H53">
            <v>44123</v>
          </cell>
          <cell r="I53">
            <v>44123</v>
          </cell>
          <cell r="J53" t="str">
            <v>Done</v>
          </cell>
          <cell r="K53" t="str">
            <v>sudah ada</v>
          </cell>
          <cell r="L53">
            <v>0</v>
          </cell>
        </row>
        <row r="54">
          <cell r="B54">
            <v>51</v>
          </cell>
          <cell r="C54">
            <v>0</v>
          </cell>
          <cell r="D54" t="str">
            <v>Bernas 250 EC 50 X 250 ml (M2U) QBERN03 (GDG Supplier)</v>
          </cell>
          <cell r="E54">
            <v>0</v>
          </cell>
          <cell r="F54">
            <v>0</v>
          </cell>
          <cell r="G54">
            <v>0</v>
          </cell>
          <cell r="H54">
            <v>44123</v>
          </cell>
          <cell r="I54">
            <v>44123</v>
          </cell>
          <cell r="J54" t="str">
            <v>Done</v>
          </cell>
          <cell r="K54" t="str">
            <v>sudah ada</v>
          </cell>
          <cell r="L54">
            <v>0</v>
          </cell>
        </row>
        <row r="55">
          <cell r="B55">
            <v>52</v>
          </cell>
          <cell r="C55">
            <v>0</v>
          </cell>
          <cell r="D55" t="str">
            <v>Bernas 250 EC 50 X 100 ml (M2U) QBERN04 (GDG Supplier)</v>
          </cell>
          <cell r="E55">
            <v>0</v>
          </cell>
          <cell r="F55">
            <v>0</v>
          </cell>
          <cell r="G55">
            <v>0</v>
          </cell>
          <cell r="H55">
            <v>44123</v>
          </cell>
          <cell r="I55">
            <v>44123</v>
          </cell>
          <cell r="J55" t="str">
            <v>Done</v>
          </cell>
          <cell r="K55" t="str">
            <v>sudah ada</v>
          </cell>
          <cell r="L55">
            <v>0</v>
          </cell>
        </row>
        <row r="56">
          <cell r="B56">
            <v>53</v>
          </cell>
          <cell r="C56">
            <v>0</v>
          </cell>
          <cell r="D56" t="str">
            <v>Aneto 50 EC 50 X 100 ml (M2U) QANET04 (GDG Supplier)</v>
          </cell>
          <cell r="E56">
            <v>0</v>
          </cell>
          <cell r="F56">
            <v>0</v>
          </cell>
          <cell r="G56">
            <v>0</v>
          </cell>
          <cell r="H56">
            <v>44123</v>
          </cell>
          <cell r="I56">
            <v>44123</v>
          </cell>
          <cell r="J56" t="str">
            <v>Done</v>
          </cell>
          <cell r="K56" t="str">
            <v>sudah ada</v>
          </cell>
          <cell r="L56">
            <v>0</v>
          </cell>
        </row>
        <row r="57">
          <cell r="B57">
            <v>54</v>
          </cell>
          <cell r="C57">
            <v>0</v>
          </cell>
          <cell r="D57" t="str">
            <v>Aneto 50 EC 50 X 250 ml + Neptune 8 gr (M2U)  QANET08 (GDG Supplier)</v>
          </cell>
          <cell r="E57">
            <v>0</v>
          </cell>
          <cell r="F57">
            <v>0</v>
          </cell>
          <cell r="G57">
            <v>0</v>
          </cell>
          <cell r="H57">
            <v>44123</v>
          </cell>
          <cell r="I57">
            <v>44123</v>
          </cell>
          <cell r="J57" t="str">
            <v>Done</v>
          </cell>
          <cell r="K57" t="str">
            <v>sudah ada</v>
          </cell>
          <cell r="L57">
            <v>0</v>
          </cell>
        </row>
        <row r="58">
          <cell r="B58">
            <v>55</v>
          </cell>
          <cell r="C58">
            <v>0</v>
          </cell>
          <cell r="D58" t="str">
            <v>Jagung Bisi 18 20 X 1 kg QJAGU03  Gdg. Ajung Bisi 2</v>
          </cell>
          <cell r="E58">
            <v>0</v>
          </cell>
          <cell r="F58">
            <v>0</v>
          </cell>
          <cell r="G58">
            <v>0</v>
          </cell>
          <cell r="H58">
            <v>44124</v>
          </cell>
          <cell r="I58">
            <v>44124</v>
          </cell>
          <cell r="J58" t="str">
            <v>Done</v>
          </cell>
          <cell r="K58" t="str">
            <v>sudah ada</v>
          </cell>
          <cell r="L58">
            <v>0</v>
          </cell>
        </row>
        <row r="59">
          <cell r="B59">
            <v>56</v>
          </cell>
          <cell r="C59">
            <v>0</v>
          </cell>
          <cell r="D59" t="str">
            <v>Jagung Bisi 18 20 X 1 kg AJAGU03 Gdg. Supplier</v>
          </cell>
          <cell r="E59">
            <v>0</v>
          </cell>
          <cell r="F59">
            <v>0</v>
          </cell>
          <cell r="G59">
            <v>0</v>
          </cell>
          <cell r="H59">
            <v>44124</v>
          </cell>
          <cell r="I59">
            <v>44124</v>
          </cell>
          <cell r="J59" t="str">
            <v>Done</v>
          </cell>
          <cell r="K59" t="str">
            <v>sudah ada</v>
          </cell>
          <cell r="L59">
            <v>0</v>
          </cell>
        </row>
        <row r="60">
          <cell r="B60">
            <v>57</v>
          </cell>
          <cell r="C60">
            <v>0</v>
          </cell>
          <cell r="D60" t="str">
            <v>Jagung Bisi 18 20 X 1 kg QJAGU03 Gdg. Expired</v>
          </cell>
          <cell r="E60">
            <v>0</v>
          </cell>
          <cell r="F60">
            <v>0</v>
          </cell>
          <cell r="G60">
            <v>0</v>
          </cell>
          <cell r="H60">
            <v>44124</v>
          </cell>
          <cell r="I60">
            <v>44124</v>
          </cell>
          <cell r="J60" t="str">
            <v>Done</v>
          </cell>
          <cell r="K60" t="str">
            <v>sudah ada</v>
          </cell>
          <cell r="L60">
            <v>0</v>
          </cell>
        </row>
        <row r="61">
          <cell r="B61">
            <v>58</v>
          </cell>
          <cell r="C61">
            <v>0</v>
          </cell>
          <cell r="D61" t="str">
            <v>Jagung Bisi 2 20 X 1 kg (gdg Induk)</v>
          </cell>
          <cell r="E61">
            <v>0</v>
          </cell>
          <cell r="F61">
            <v>0</v>
          </cell>
          <cell r="G61">
            <v>0</v>
          </cell>
          <cell r="H61">
            <v>44128</v>
          </cell>
          <cell r="I61">
            <v>44128</v>
          </cell>
          <cell r="J61" t="str">
            <v>Done</v>
          </cell>
          <cell r="K61" t="str">
            <v>sudah ada</v>
          </cell>
          <cell r="L61">
            <v>0</v>
          </cell>
        </row>
        <row r="62">
          <cell r="B62">
            <v>59</v>
          </cell>
          <cell r="C62">
            <v>0</v>
          </cell>
          <cell r="D62" t="str">
            <v>Jagung Bisi 2 20 X 1 kg AJAGU05 Gdg. Supplier</v>
          </cell>
          <cell r="E62">
            <v>0</v>
          </cell>
          <cell r="F62">
            <v>0</v>
          </cell>
          <cell r="G62">
            <v>0</v>
          </cell>
          <cell r="H62">
            <v>44128</v>
          </cell>
          <cell r="I62">
            <v>44128</v>
          </cell>
          <cell r="J62" t="str">
            <v>Done</v>
          </cell>
          <cell r="K62" t="str">
            <v>sudah ada</v>
          </cell>
          <cell r="L62">
            <v>0</v>
          </cell>
        </row>
        <row r="63">
          <cell r="B63">
            <v>60</v>
          </cell>
          <cell r="C63">
            <v>0</v>
          </cell>
          <cell r="D63" t="str">
            <v>Jagung Bisi 2 20 X 1 kg QJAGU04Gdg. Titipan</v>
          </cell>
          <cell r="E63">
            <v>0</v>
          </cell>
          <cell r="F63">
            <v>0</v>
          </cell>
          <cell r="G63">
            <v>0</v>
          </cell>
          <cell r="H63">
            <v>44128</v>
          </cell>
          <cell r="I63">
            <v>44128</v>
          </cell>
          <cell r="J63" t="str">
            <v>Done</v>
          </cell>
          <cell r="K63" t="str">
            <v>sudah ada</v>
          </cell>
          <cell r="L63">
            <v>0</v>
          </cell>
        </row>
        <row r="64">
          <cell r="B64">
            <v>61</v>
          </cell>
          <cell r="C64">
            <v>0</v>
          </cell>
          <cell r="D64" t="str">
            <v>Padi Q-989 Inpari 32 4 X 5 kg APADI23 (GDG SUPPLIER)</v>
          </cell>
          <cell r="E64">
            <v>0</v>
          </cell>
          <cell r="F64">
            <v>0</v>
          </cell>
          <cell r="G64">
            <v>0</v>
          </cell>
          <cell r="H64">
            <v>44128</v>
          </cell>
          <cell r="I64">
            <v>44128</v>
          </cell>
          <cell r="J64" t="str">
            <v>Done</v>
          </cell>
          <cell r="K64" t="str">
            <v>sudah ada</v>
          </cell>
          <cell r="L64">
            <v>0</v>
          </cell>
        </row>
        <row r="65">
          <cell r="B65">
            <v>62</v>
          </cell>
          <cell r="C65">
            <v>0</v>
          </cell>
          <cell r="D65" t="str">
            <v>Padi Q-989 Inpari 32 4 X 5 kg QPADI23 (GDG SUPPLIER)</v>
          </cell>
          <cell r="E65">
            <v>0</v>
          </cell>
          <cell r="F65">
            <v>0</v>
          </cell>
          <cell r="G65">
            <v>0</v>
          </cell>
          <cell r="H65">
            <v>44128</v>
          </cell>
          <cell r="I65">
            <v>44128</v>
          </cell>
          <cell r="J65" t="str">
            <v>Done</v>
          </cell>
          <cell r="K65" t="str">
            <v>sudah ada</v>
          </cell>
          <cell r="L65">
            <v>0</v>
          </cell>
        </row>
        <row r="66">
          <cell r="B66">
            <v>63</v>
          </cell>
          <cell r="C66">
            <v>0</v>
          </cell>
          <cell r="D66" t="str">
            <v>Cabe Imperial 20 X 12 X 10 gr QCABE09 (GDG INDUK)</v>
          </cell>
          <cell r="E66">
            <v>0</v>
          </cell>
          <cell r="F66">
            <v>0</v>
          </cell>
          <cell r="G66">
            <v>0</v>
          </cell>
          <cell r="H66">
            <v>44130</v>
          </cell>
          <cell r="I66">
            <v>44130</v>
          </cell>
          <cell r="J66" t="str">
            <v>Done</v>
          </cell>
          <cell r="K66" t="str">
            <v>sudah ada</v>
          </cell>
          <cell r="L66">
            <v>0</v>
          </cell>
        </row>
        <row r="67">
          <cell r="B67">
            <v>64</v>
          </cell>
          <cell r="C67">
            <v>0</v>
          </cell>
          <cell r="D67" t="str">
            <v>Cabe Imperial 20 X 12 X 10 gr QCABE09 (GDG INDUK)</v>
          </cell>
          <cell r="E67">
            <v>0</v>
          </cell>
          <cell r="F67">
            <v>0</v>
          </cell>
          <cell r="G67">
            <v>0</v>
          </cell>
          <cell r="H67">
            <v>44130</v>
          </cell>
          <cell r="I67">
            <v>44130</v>
          </cell>
          <cell r="J67" t="str">
            <v>Done</v>
          </cell>
          <cell r="K67" t="str">
            <v>sudah ada</v>
          </cell>
          <cell r="L67">
            <v>0</v>
          </cell>
        </row>
        <row r="68">
          <cell r="B68">
            <v>65</v>
          </cell>
          <cell r="C68">
            <v>0</v>
          </cell>
          <cell r="D68" t="str">
            <v>Edit Surat Asuransi MAG Ke Ecel</v>
          </cell>
          <cell r="E68">
            <v>0</v>
          </cell>
          <cell r="F68">
            <v>0</v>
          </cell>
          <cell r="G68">
            <v>0</v>
          </cell>
          <cell r="H68">
            <v>44130</v>
          </cell>
          <cell r="I68">
            <v>44130</v>
          </cell>
          <cell r="J68" t="str">
            <v>Done</v>
          </cell>
          <cell r="K68" t="str">
            <v>sudah ada</v>
          </cell>
          <cell r="L68">
            <v>0</v>
          </cell>
        </row>
        <row r="69">
          <cell r="B69">
            <v>66</v>
          </cell>
          <cell r="C69">
            <v>0</v>
          </cell>
          <cell r="D69" t="str">
            <v>Gibgro 20 T 10 X 10 X 5 gr QGIBG02</v>
          </cell>
          <cell r="E69">
            <v>0</v>
          </cell>
          <cell r="F69">
            <v>0</v>
          </cell>
          <cell r="G69">
            <v>0</v>
          </cell>
          <cell r="H69">
            <v>44134</v>
          </cell>
          <cell r="I69">
            <v>44134</v>
          </cell>
          <cell r="J69" t="str">
            <v>Done</v>
          </cell>
          <cell r="K69" t="str">
            <v>sudah ada</v>
          </cell>
          <cell r="L69">
            <v>0</v>
          </cell>
        </row>
        <row r="70">
          <cell r="B70">
            <v>67</v>
          </cell>
          <cell r="C70">
            <v>0</v>
          </cell>
          <cell r="D70" t="str">
            <v>Jagung Bisi 18 20 X 1 kg AJAGU03 Gdg. Supplier</v>
          </cell>
          <cell r="E70">
            <v>0</v>
          </cell>
          <cell r="F70">
            <v>0</v>
          </cell>
          <cell r="G70">
            <v>0</v>
          </cell>
          <cell r="H70">
            <v>44134</v>
          </cell>
          <cell r="I70">
            <v>44134</v>
          </cell>
          <cell r="J70" t="str">
            <v>Done</v>
          </cell>
          <cell r="K70" t="str">
            <v>sudah ada</v>
          </cell>
          <cell r="L70">
            <v>0</v>
          </cell>
        </row>
        <row r="71">
          <cell r="B71">
            <v>68</v>
          </cell>
          <cell r="C71">
            <v>0</v>
          </cell>
          <cell r="D71" t="str">
            <v xml:space="preserve">Jagung Bisi 18 20 X 1 kg QJAGU03 Gdg. Ajung Bisi 2 </v>
          </cell>
          <cell r="E71">
            <v>0</v>
          </cell>
          <cell r="F71">
            <v>0</v>
          </cell>
          <cell r="G71">
            <v>0</v>
          </cell>
          <cell r="H71">
            <v>44134</v>
          </cell>
          <cell r="I71">
            <v>44134</v>
          </cell>
          <cell r="J71" t="str">
            <v>Done</v>
          </cell>
          <cell r="K71" t="str">
            <v>sudah ada</v>
          </cell>
          <cell r="L71">
            <v>0</v>
          </cell>
        </row>
        <row r="72">
          <cell r="B72">
            <v>83</v>
          </cell>
          <cell r="C72">
            <v>0</v>
          </cell>
          <cell r="D72" t="str">
            <v>ARIMO01 Rimon Fast 100 SC 100 X 100 ml Maintenance LOT SUPPLIER</v>
          </cell>
          <cell r="E72">
            <v>0</v>
          </cell>
          <cell r="F72">
            <v>0</v>
          </cell>
          <cell r="G72">
            <v>0</v>
          </cell>
          <cell r="H72">
            <v>44139</v>
          </cell>
          <cell r="I72">
            <v>44139</v>
          </cell>
          <cell r="J72" t="str">
            <v>Done</v>
          </cell>
          <cell r="K72" t="str">
            <v>sudah ada</v>
          </cell>
          <cell r="L72" t="str">
            <v>sudah ada</v>
          </cell>
        </row>
        <row r="73">
          <cell r="B73">
            <v>24</v>
          </cell>
          <cell r="C73">
            <v>25</v>
          </cell>
          <cell r="D73" t="str">
            <v>Penyelesaian kontrak program</v>
          </cell>
          <cell r="E73">
            <v>0</v>
          </cell>
          <cell r="F73">
            <v>0</v>
          </cell>
          <cell r="G73">
            <v>0</v>
          </cell>
          <cell r="H73">
            <v>44148</v>
          </cell>
          <cell r="I73">
            <v>44140</v>
          </cell>
          <cell r="J73" t="str">
            <v>Done</v>
          </cell>
          <cell r="K73" t="str">
            <v>sudah ada</v>
          </cell>
          <cell r="L73" t="str">
            <v>sudah ada</v>
          </cell>
        </row>
        <row r="74">
          <cell r="B74">
            <v>117</v>
          </cell>
          <cell r="C74">
            <v>0</v>
          </cell>
          <cell r="D74" t="str">
            <v>tambah ram pc (jaya)</v>
          </cell>
          <cell r="E74">
            <v>0</v>
          </cell>
          <cell r="F74">
            <v>0</v>
          </cell>
          <cell r="G74">
            <v>0</v>
          </cell>
          <cell r="H74">
            <v>44140</v>
          </cell>
          <cell r="I74">
            <v>44140</v>
          </cell>
          <cell r="J74" t="str">
            <v>Done</v>
          </cell>
          <cell r="K74" t="str">
            <v>sudah ada</v>
          </cell>
          <cell r="L74" t="str">
            <v>sudah ada</v>
          </cell>
        </row>
        <row r="75">
          <cell r="B75">
            <v>84</v>
          </cell>
          <cell r="C75">
            <v>0</v>
          </cell>
          <cell r="D75" t="str">
            <v>AJAGU62 Jagung Bisi 220 4 X 1 paket Maintenance LOT SUPPLIER</v>
          </cell>
          <cell r="E75">
            <v>0</v>
          </cell>
          <cell r="F75">
            <v>0</v>
          </cell>
          <cell r="G75">
            <v>0</v>
          </cell>
          <cell r="H75">
            <v>44142</v>
          </cell>
          <cell r="I75">
            <v>44142</v>
          </cell>
          <cell r="J75" t="str">
            <v>Done</v>
          </cell>
          <cell r="K75" t="str">
            <v>sudah ada</v>
          </cell>
          <cell r="L75" t="str">
            <v>sudah ada</v>
          </cell>
        </row>
        <row r="76">
          <cell r="B76">
            <v>85</v>
          </cell>
          <cell r="C76">
            <v>0</v>
          </cell>
          <cell r="D76" t="str">
            <v>QJAGU53 Jagung Bisi 220 4 X 1 paket Maintenance  LOT EXPIRED</v>
          </cell>
          <cell r="E76">
            <v>0</v>
          </cell>
          <cell r="F76">
            <v>0</v>
          </cell>
          <cell r="G76">
            <v>0</v>
          </cell>
          <cell r="H76">
            <v>44142</v>
          </cell>
          <cell r="I76">
            <v>44142</v>
          </cell>
          <cell r="J76" t="str">
            <v>Done</v>
          </cell>
          <cell r="K76" t="str">
            <v>sudah ada</v>
          </cell>
          <cell r="L76" t="str">
            <v>sudah ada</v>
          </cell>
        </row>
        <row r="77">
          <cell r="B77">
            <v>86</v>
          </cell>
          <cell r="C77">
            <v>0</v>
          </cell>
          <cell r="D77" t="str">
            <v>AJAGU60 Jagung Bisi 99 20 X 1 kg Maintenance LOTSUPPLIER</v>
          </cell>
          <cell r="E77">
            <v>0</v>
          </cell>
          <cell r="F77">
            <v>0</v>
          </cell>
          <cell r="G77">
            <v>0</v>
          </cell>
          <cell r="H77">
            <v>44142</v>
          </cell>
          <cell r="I77">
            <v>44142</v>
          </cell>
          <cell r="J77" t="str">
            <v>Done</v>
          </cell>
          <cell r="K77" t="str">
            <v>sudah ada</v>
          </cell>
          <cell r="L77" t="str">
            <v>sudah ada</v>
          </cell>
        </row>
        <row r="78">
          <cell r="B78">
            <v>87</v>
          </cell>
          <cell r="C78">
            <v>0</v>
          </cell>
          <cell r="D78" t="str">
            <v>QJAGU53Jagung Bisi 99 20 X 1 kg Maintenance LOTEXPIRED</v>
          </cell>
          <cell r="E78">
            <v>0</v>
          </cell>
          <cell r="F78">
            <v>0</v>
          </cell>
          <cell r="G78">
            <v>0</v>
          </cell>
          <cell r="H78">
            <v>44142</v>
          </cell>
          <cell r="I78">
            <v>44142</v>
          </cell>
          <cell r="J78" t="str">
            <v>Done</v>
          </cell>
          <cell r="K78" t="str">
            <v>sudah ada</v>
          </cell>
          <cell r="L78" t="str">
            <v>sudah ada</v>
          </cell>
        </row>
        <row r="79">
          <cell r="B79">
            <v>107</v>
          </cell>
          <cell r="C79">
            <v>0</v>
          </cell>
          <cell r="D79" t="str">
            <v>zahir kode barang QRATO01 mengalami minus saldo barang (NITA)</v>
          </cell>
          <cell r="E79">
            <v>0</v>
          </cell>
          <cell r="F79">
            <v>0</v>
          </cell>
          <cell r="G79">
            <v>0</v>
          </cell>
          <cell r="H79">
            <v>44142</v>
          </cell>
          <cell r="I79">
            <v>44142</v>
          </cell>
          <cell r="J79" t="str">
            <v>Done</v>
          </cell>
          <cell r="K79" t="str">
            <v>sudah ada</v>
          </cell>
          <cell r="L79" t="str">
            <v>sudah ada</v>
          </cell>
        </row>
        <row r="80">
          <cell r="B80">
            <v>116</v>
          </cell>
          <cell r="C80">
            <v>0</v>
          </cell>
          <cell r="D80" t="str">
            <v>LAN  bermasalah (YOSSY)</v>
          </cell>
          <cell r="E80">
            <v>0</v>
          </cell>
          <cell r="F80">
            <v>0</v>
          </cell>
          <cell r="G80">
            <v>0</v>
          </cell>
          <cell r="H80">
            <v>44144</v>
          </cell>
          <cell r="I80">
            <v>44144</v>
          </cell>
          <cell r="J80" t="str">
            <v>Done</v>
          </cell>
          <cell r="K80" t="str">
            <v>sudah ada</v>
          </cell>
          <cell r="L80" t="str">
            <v>sudah ada</v>
          </cell>
        </row>
        <row r="81">
          <cell r="B81">
            <v>88</v>
          </cell>
          <cell r="C81">
            <v>0</v>
          </cell>
          <cell r="D81" t="str">
            <v>QTIMU06Timun Wuku Maintenance LOTINDUK</v>
          </cell>
          <cell r="E81">
            <v>0</v>
          </cell>
          <cell r="F81">
            <v>0</v>
          </cell>
          <cell r="G81">
            <v>0</v>
          </cell>
          <cell r="H81">
            <v>44145</v>
          </cell>
          <cell r="I81">
            <v>44145</v>
          </cell>
          <cell r="J81" t="str">
            <v>Done</v>
          </cell>
          <cell r="K81" t="str">
            <v>sudah ada</v>
          </cell>
          <cell r="L81" t="str">
            <v>sudah ada</v>
          </cell>
        </row>
        <row r="82">
          <cell r="B82">
            <v>89</v>
          </cell>
          <cell r="C82">
            <v>0</v>
          </cell>
          <cell r="D82" t="str">
            <v>QTOMA02TOMAT MAWAR 12 X 15 X 10 GR Maintenance LOTINDUK</v>
          </cell>
          <cell r="E82">
            <v>0</v>
          </cell>
          <cell r="F82">
            <v>0</v>
          </cell>
          <cell r="G82">
            <v>0</v>
          </cell>
          <cell r="H82">
            <v>44148</v>
          </cell>
          <cell r="I82">
            <v>44148</v>
          </cell>
          <cell r="J82" t="str">
            <v>Done</v>
          </cell>
          <cell r="K82" t="str">
            <v>sudah ada</v>
          </cell>
          <cell r="L82" t="str">
            <v>sudah ada</v>
          </cell>
        </row>
        <row r="83">
          <cell r="B83">
            <v>90</v>
          </cell>
          <cell r="C83">
            <v>0</v>
          </cell>
          <cell r="D83" t="str">
            <v>QSAWI02SAWI DORA 12 X 15 X 25 GR Maintenance LOTINDUK</v>
          </cell>
          <cell r="E83">
            <v>0</v>
          </cell>
          <cell r="F83">
            <v>0</v>
          </cell>
          <cell r="G83">
            <v>0</v>
          </cell>
          <cell r="H83">
            <v>44148</v>
          </cell>
          <cell r="I83">
            <v>44148</v>
          </cell>
          <cell r="J83" t="str">
            <v>Done</v>
          </cell>
          <cell r="K83" t="str">
            <v>sudah ada</v>
          </cell>
          <cell r="L83" t="str">
            <v>sudah ada</v>
          </cell>
        </row>
        <row r="84">
          <cell r="B84">
            <v>108</v>
          </cell>
          <cell r="C84">
            <v>0</v>
          </cell>
          <cell r="D84" t="str">
            <v>Instal OS Windows PC bermasalah  (sylvia)</v>
          </cell>
          <cell r="E84">
            <v>0</v>
          </cell>
          <cell r="F84">
            <v>0</v>
          </cell>
          <cell r="G84">
            <v>0</v>
          </cell>
          <cell r="H84">
            <v>44149</v>
          </cell>
          <cell r="I84">
            <v>44149</v>
          </cell>
          <cell r="J84" t="str">
            <v>Done</v>
          </cell>
          <cell r="K84" t="str">
            <v>sudah ada</v>
          </cell>
          <cell r="L84" t="str">
            <v>sudah ada</v>
          </cell>
        </row>
        <row r="85">
          <cell r="B85">
            <v>91</v>
          </cell>
          <cell r="C85">
            <v>0</v>
          </cell>
          <cell r="D85" t="str">
            <v>QKUBI11Kubis Green Crown 10 X 20 ml Maintenance LOTINDUK</v>
          </cell>
          <cell r="E85">
            <v>0</v>
          </cell>
          <cell r="F85">
            <v>0</v>
          </cell>
          <cell r="G85">
            <v>0</v>
          </cell>
          <cell r="H85">
            <v>44151</v>
          </cell>
          <cell r="I85">
            <v>44151</v>
          </cell>
          <cell r="J85" t="str">
            <v>Done</v>
          </cell>
          <cell r="K85" t="str">
            <v>sudah ada</v>
          </cell>
          <cell r="L85" t="str">
            <v>sudah ada</v>
          </cell>
        </row>
        <row r="86">
          <cell r="B86">
            <v>92</v>
          </cell>
          <cell r="C86">
            <v>0</v>
          </cell>
          <cell r="D86" t="str">
            <v>QKUBI12Kubis Green Crown 100 X 100 gr Maintenance LOTINDUK</v>
          </cell>
          <cell r="E86">
            <v>0</v>
          </cell>
          <cell r="F86">
            <v>0</v>
          </cell>
          <cell r="G86">
            <v>0</v>
          </cell>
          <cell r="H86">
            <v>44151</v>
          </cell>
          <cell r="I86">
            <v>44151</v>
          </cell>
          <cell r="J86" t="str">
            <v>Done</v>
          </cell>
          <cell r="K86" t="str">
            <v>sudah ada</v>
          </cell>
          <cell r="L86" t="str">
            <v>sudah ada</v>
          </cell>
        </row>
        <row r="87">
          <cell r="B87">
            <v>109</v>
          </cell>
          <cell r="C87">
            <v>0</v>
          </cell>
          <cell r="D87" t="str">
            <v>smc , sheet printer tidak bisa (Naily)</v>
          </cell>
          <cell r="E87">
            <v>0</v>
          </cell>
          <cell r="F87">
            <v>0</v>
          </cell>
          <cell r="G87">
            <v>0</v>
          </cell>
          <cell r="H87">
            <v>44151</v>
          </cell>
          <cell r="I87">
            <v>44151</v>
          </cell>
          <cell r="J87" t="str">
            <v>Done</v>
          </cell>
          <cell r="K87" t="str">
            <v>sudah ada</v>
          </cell>
          <cell r="L87" t="str">
            <v>sudah ada</v>
          </cell>
        </row>
        <row r="88">
          <cell r="B88">
            <v>93</v>
          </cell>
          <cell r="C88">
            <v>0</v>
          </cell>
          <cell r="D88" t="str">
            <v>QCABE36CABE SIGANTUNG 12 X 15 X 10 GR Maintenance LOTINDUK</v>
          </cell>
          <cell r="E88">
            <v>0</v>
          </cell>
          <cell r="F88">
            <v>0</v>
          </cell>
          <cell r="G88">
            <v>0</v>
          </cell>
          <cell r="H88">
            <v>44152</v>
          </cell>
          <cell r="I88">
            <v>44152</v>
          </cell>
          <cell r="J88" t="str">
            <v>Done</v>
          </cell>
          <cell r="K88" t="str">
            <v>sudah ada</v>
          </cell>
          <cell r="L88" t="str">
            <v>sudah ada</v>
          </cell>
        </row>
        <row r="89">
          <cell r="B89">
            <v>118</v>
          </cell>
          <cell r="C89">
            <v>0</v>
          </cell>
          <cell r="D89" t="str">
            <v>batrei ups rusak (hendrik)</v>
          </cell>
          <cell r="E89">
            <v>0</v>
          </cell>
          <cell r="F89">
            <v>0</v>
          </cell>
          <cell r="G89">
            <v>0</v>
          </cell>
          <cell r="H89">
            <v>44152</v>
          </cell>
          <cell r="I89">
            <v>44152</v>
          </cell>
          <cell r="J89" t="str">
            <v>Done</v>
          </cell>
          <cell r="K89" t="str">
            <v>sudah ada</v>
          </cell>
          <cell r="L89" t="str">
            <v>sudah ada</v>
          </cell>
        </row>
        <row r="90">
          <cell r="B90">
            <v>119</v>
          </cell>
          <cell r="C90">
            <v>0</v>
          </cell>
          <cell r="D90" t="str">
            <v>batrei ups rusak (doni)</v>
          </cell>
          <cell r="E90">
            <v>0</v>
          </cell>
          <cell r="F90">
            <v>0</v>
          </cell>
          <cell r="G90">
            <v>0</v>
          </cell>
          <cell r="H90">
            <v>44152</v>
          </cell>
          <cell r="I90">
            <v>44152</v>
          </cell>
          <cell r="J90" t="str">
            <v>Done</v>
          </cell>
          <cell r="K90" t="str">
            <v>sudah ada</v>
          </cell>
          <cell r="L90" t="str">
            <v>sudah ada</v>
          </cell>
        </row>
        <row r="91">
          <cell r="B91">
            <v>120</v>
          </cell>
          <cell r="C91">
            <v>0</v>
          </cell>
          <cell r="D91" t="str">
            <v>cmos batrei rusak (sylvia)</v>
          </cell>
          <cell r="E91">
            <v>0</v>
          </cell>
          <cell r="F91">
            <v>0</v>
          </cell>
          <cell r="G91">
            <v>0</v>
          </cell>
          <cell r="H91">
            <v>44152</v>
          </cell>
          <cell r="I91">
            <v>44152</v>
          </cell>
          <cell r="J91" t="str">
            <v>Done</v>
          </cell>
          <cell r="K91" t="str">
            <v>sudah ada</v>
          </cell>
          <cell r="L91" t="str">
            <v>sudah ada</v>
          </cell>
        </row>
        <row r="92">
          <cell r="B92">
            <v>121</v>
          </cell>
          <cell r="C92">
            <v>0</v>
          </cell>
          <cell r="D92" t="str">
            <v>keyboard eror (tika)</v>
          </cell>
          <cell r="E92">
            <v>0</v>
          </cell>
          <cell r="F92">
            <v>0</v>
          </cell>
          <cell r="G92">
            <v>0</v>
          </cell>
          <cell r="H92">
            <v>44152</v>
          </cell>
          <cell r="I92">
            <v>44152</v>
          </cell>
          <cell r="J92" t="str">
            <v>Done</v>
          </cell>
          <cell r="K92" t="str">
            <v>sudah ada</v>
          </cell>
          <cell r="L92" t="str">
            <v>sudah ada</v>
          </cell>
        </row>
        <row r="93">
          <cell r="B93">
            <v>122</v>
          </cell>
          <cell r="C93">
            <v>0</v>
          </cell>
          <cell r="D93" t="str">
            <v>printer eror scanner (nadia)</v>
          </cell>
          <cell r="E93">
            <v>0</v>
          </cell>
          <cell r="F93">
            <v>0</v>
          </cell>
          <cell r="G93">
            <v>0</v>
          </cell>
          <cell r="H93">
            <v>44152</v>
          </cell>
          <cell r="I93">
            <v>44152</v>
          </cell>
          <cell r="J93" t="str">
            <v>Done</v>
          </cell>
          <cell r="K93" t="str">
            <v>sudah ada</v>
          </cell>
          <cell r="L93" t="str">
            <v>sudah ada</v>
          </cell>
        </row>
        <row r="94">
          <cell r="B94">
            <v>123</v>
          </cell>
          <cell r="C94">
            <v>0</v>
          </cell>
          <cell r="D94" t="str">
            <v>printer eror ngeprint (nita)</v>
          </cell>
          <cell r="E94">
            <v>0</v>
          </cell>
          <cell r="F94">
            <v>0</v>
          </cell>
          <cell r="G94">
            <v>0</v>
          </cell>
          <cell r="H94">
            <v>44152</v>
          </cell>
          <cell r="I94">
            <v>44152</v>
          </cell>
          <cell r="J94" t="str">
            <v>Done</v>
          </cell>
          <cell r="K94" t="str">
            <v>sudah ada</v>
          </cell>
          <cell r="L94" t="str">
            <v>sudah ada</v>
          </cell>
        </row>
        <row r="95">
          <cell r="B95">
            <v>124</v>
          </cell>
          <cell r="C95">
            <v>0</v>
          </cell>
          <cell r="D95" t="str">
            <v>tambah pasang ups (laili)</v>
          </cell>
          <cell r="E95">
            <v>0</v>
          </cell>
          <cell r="F95">
            <v>0</v>
          </cell>
          <cell r="G95">
            <v>0</v>
          </cell>
          <cell r="H95">
            <v>44152</v>
          </cell>
          <cell r="I95">
            <v>44152</v>
          </cell>
          <cell r="J95" t="str">
            <v>Done</v>
          </cell>
          <cell r="K95" t="str">
            <v>sudah ada</v>
          </cell>
          <cell r="L95" t="str">
            <v>sudah ada</v>
          </cell>
        </row>
        <row r="96">
          <cell r="B96">
            <v>125</v>
          </cell>
          <cell r="C96">
            <v>0</v>
          </cell>
          <cell r="D96" t="str">
            <v>tambah pasang ups (elok)</v>
          </cell>
          <cell r="E96">
            <v>0</v>
          </cell>
          <cell r="F96">
            <v>0</v>
          </cell>
          <cell r="G96">
            <v>0</v>
          </cell>
          <cell r="H96">
            <v>44152</v>
          </cell>
          <cell r="I96">
            <v>44152</v>
          </cell>
          <cell r="J96" t="str">
            <v>Done</v>
          </cell>
          <cell r="K96" t="str">
            <v>sudah ada</v>
          </cell>
          <cell r="L96" t="str">
            <v>sudah ada</v>
          </cell>
        </row>
        <row r="97">
          <cell r="B97">
            <v>126</v>
          </cell>
          <cell r="C97">
            <v>0</v>
          </cell>
          <cell r="D97" t="str">
            <v>tambah pasang ups (naili)</v>
          </cell>
          <cell r="E97">
            <v>0</v>
          </cell>
          <cell r="F97">
            <v>0</v>
          </cell>
          <cell r="G97">
            <v>0</v>
          </cell>
          <cell r="H97">
            <v>44152</v>
          </cell>
          <cell r="I97">
            <v>44152</v>
          </cell>
          <cell r="J97" t="str">
            <v>Done</v>
          </cell>
          <cell r="K97" t="str">
            <v>sudah ada</v>
          </cell>
          <cell r="L97" t="str">
            <v>sudah ada</v>
          </cell>
        </row>
        <row r="98">
          <cell r="B98">
            <v>127</v>
          </cell>
          <cell r="C98">
            <v>0</v>
          </cell>
          <cell r="D98" t="str">
            <v>tambah pasang ups (proyektor)</v>
          </cell>
          <cell r="E98">
            <v>0</v>
          </cell>
          <cell r="F98">
            <v>0</v>
          </cell>
          <cell r="G98">
            <v>0</v>
          </cell>
          <cell r="H98">
            <v>44152</v>
          </cell>
          <cell r="I98">
            <v>44152</v>
          </cell>
          <cell r="J98" t="str">
            <v>Done</v>
          </cell>
          <cell r="K98" t="str">
            <v>sudah ada</v>
          </cell>
          <cell r="L98" t="str">
            <v>sudah ada</v>
          </cell>
        </row>
        <row r="99">
          <cell r="B99">
            <v>128</v>
          </cell>
          <cell r="C99">
            <v>0</v>
          </cell>
          <cell r="D99" t="str">
            <v>tambah pasang ups (kiugudang)</v>
          </cell>
          <cell r="E99">
            <v>0</v>
          </cell>
          <cell r="F99">
            <v>0</v>
          </cell>
          <cell r="G99">
            <v>0</v>
          </cell>
          <cell r="H99">
            <v>44152</v>
          </cell>
          <cell r="I99">
            <v>44152</v>
          </cell>
          <cell r="J99" t="str">
            <v>Done</v>
          </cell>
          <cell r="K99" t="str">
            <v>sudah ada</v>
          </cell>
          <cell r="L99" t="str">
            <v>sudah ada</v>
          </cell>
        </row>
        <row r="100">
          <cell r="B100">
            <v>129</v>
          </cell>
          <cell r="C100">
            <v>0</v>
          </cell>
          <cell r="D100" t="str">
            <v>batrei ups rusak (evi)</v>
          </cell>
          <cell r="E100">
            <v>0</v>
          </cell>
          <cell r="F100">
            <v>0</v>
          </cell>
          <cell r="G100">
            <v>0</v>
          </cell>
          <cell r="H100">
            <v>44152</v>
          </cell>
          <cell r="I100">
            <v>44152</v>
          </cell>
          <cell r="J100" t="str">
            <v>Done</v>
          </cell>
          <cell r="K100" t="str">
            <v>sudah ada</v>
          </cell>
          <cell r="L100" t="str">
            <v>sudah ada</v>
          </cell>
        </row>
        <row r="101">
          <cell r="B101">
            <v>94</v>
          </cell>
          <cell r="C101">
            <v>0</v>
          </cell>
          <cell r="D101" t="str">
            <v>QTERO05TERONG WELUT 12 X 15 X 10 GR Maintenance LOTINDUK</v>
          </cell>
          <cell r="E101">
            <v>0</v>
          </cell>
          <cell r="F101">
            <v>0</v>
          </cell>
          <cell r="G101">
            <v>0</v>
          </cell>
          <cell r="H101">
            <v>44154</v>
          </cell>
          <cell r="I101">
            <v>44154</v>
          </cell>
          <cell r="J101" t="str">
            <v>Done</v>
          </cell>
          <cell r="K101" t="str">
            <v>sudah ada</v>
          </cell>
          <cell r="L101" t="str">
            <v>sudah ada</v>
          </cell>
        </row>
        <row r="102">
          <cell r="B102">
            <v>95</v>
          </cell>
          <cell r="C102">
            <v>0</v>
          </cell>
          <cell r="D102" t="str">
            <v>QMACE02MACERIO 52 WP 50 X 250 gr Maintenance LOTSUPPLIER</v>
          </cell>
          <cell r="E102">
            <v>0</v>
          </cell>
          <cell r="F102">
            <v>0</v>
          </cell>
          <cell r="G102">
            <v>0</v>
          </cell>
          <cell r="H102">
            <v>44154</v>
          </cell>
          <cell r="I102">
            <v>44154</v>
          </cell>
          <cell r="J102" t="str">
            <v>Done</v>
          </cell>
          <cell r="K102" t="str">
            <v>sudah ada</v>
          </cell>
          <cell r="L102" t="str">
            <v>sudah ada</v>
          </cell>
        </row>
        <row r="103">
          <cell r="B103">
            <v>96</v>
          </cell>
          <cell r="C103">
            <v>0</v>
          </cell>
          <cell r="D103" t="str">
            <v>AMACE03MACERIO 52 WP 50 X 250 gr Maintenance LOTSUPPLIER</v>
          </cell>
          <cell r="E103">
            <v>0</v>
          </cell>
          <cell r="F103">
            <v>0</v>
          </cell>
          <cell r="G103">
            <v>0</v>
          </cell>
          <cell r="H103">
            <v>44154</v>
          </cell>
          <cell r="I103">
            <v>44154</v>
          </cell>
          <cell r="J103" t="str">
            <v>Done</v>
          </cell>
          <cell r="K103" t="str">
            <v>sudah ada</v>
          </cell>
          <cell r="L103" t="str">
            <v>sudah ada</v>
          </cell>
        </row>
        <row r="104">
          <cell r="B104">
            <v>97</v>
          </cell>
          <cell r="C104">
            <v>0</v>
          </cell>
          <cell r="D104" t="str">
            <v>QEMAC04Emacel 30 EC 10 X 1 ltr Maintenance LOTSUPPLIER</v>
          </cell>
          <cell r="E104">
            <v>0</v>
          </cell>
          <cell r="F104">
            <v>0</v>
          </cell>
          <cell r="G104">
            <v>0</v>
          </cell>
          <cell r="H104">
            <v>44154</v>
          </cell>
          <cell r="I104">
            <v>44154</v>
          </cell>
          <cell r="J104" t="str">
            <v>Done</v>
          </cell>
          <cell r="K104" t="str">
            <v>sudah ada</v>
          </cell>
          <cell r="L104" t="str">
            <v>sudah ada</v>
          </cell>
        </row>
        <row r="105">
          <cell r="B105">
            <v>110</v>
          </cell>
          <cell r="C105">
            <v>0</v>
          </cell>
          <cell r="D105" t="str">
            <v>zahir not responding (nina )</v>
          </cell>
          <cell r="E105">
            <v>0</v>
          </cell>
          <cell r="F105">
            <v>0</v>
          </cell>
          <cell r="G105">
            <v>0</v>
          </cell>
          <cell r="H105">
            <v>44154</v>
          </cell>
          <cell r="I105">
            <v>44154</v>
          </cell>
          <cell r="J105" t="str">
            <v>Done</v>
          </cell>
          <cell r="K105" t="str">
            <v>sudah ada</v>
          </cell>
          <cell r="L105" t="str">
            <v>sudah ada</v>
          </cell>
        </row>
        <row r="106">
          <cell r="B106">
            <v>130</v>
          </cell>
          <cell r="C106">
            <v>0</v>
          </cell>
          <cell r="D106" t="str">
            <v>LAN  bermasalah (naili )</v>
          </cell>
          <cell r="E106">
            <v>0</v>
          </cell>
          <cell r="F106">
            <v>0</v>
          </cell>
          <cell r="G106">
            <v>0</v>
          </cell>
          <cell r="H106">
            <v>44154</v>
          </cell>
          <cell r="I106">
            <v>44154</v>
          </cell>
          <cell r="J106" t="str">
            <v>Done</v>
          </cell>
          <cell r="K106" t="str">
            <v>sudah ada</v>
          </cell>
          <cell r="L106" t="str">
            <v>sudah ada</v>
          </cell>
        </row>
        <row r="107">
          <cell r="B107">
            <v>98</v>
          </cell>
          <cell r="C107">
            <v>0</v>
          </cell>
          <cell r="D107" t="str">
            <v>QJAGU40JAGUNG DK 959 20 X 1 KG (BISI) Maintenance LOTINDUK</v>
          </cell>
          <cell r="E107">
            <v>0</v>
          </cell>
          <cell r="F107">
            <v>0</v>
          </cell>
          <cell r="G107">
            <v>0</v>
          </cell>
          <cell r="H107">
            <v>44155</v>
          </cell>
          <cell r="I107">
            <v>44155</v>
          </cell>
          <cell r="J107" t="str">
            <v>Done</v>
          </cell>
          <cell r="K107" t="str">
            <v>sudah ada</v>
          </cell>
          <cell r="L107" t="str">
            <v>sudah ada</v>
          </cell>
        </row>
        <row r="108">
          <cell r="B108">
            <v>99</v>
          </cell>
          <cell r="C108">
            <v>0</v>
          </cell>
          <cell r="D108" t="str">
            <v>QSAWI01SAWI CHRISTINA 20 X 10 X 25 GR Maintenance LOTINDUK</v>
          </cell>
          <cell r="E108">
            <v>0</v>
          </cell>
          <cell r="F108">
            <v>0</v>
          </cell>
          <cell r="G108">
            <v>0</v>
          </cell>
          <cell r="H108">
            <v>44156</v>
          </cell>
          <cell r="I108">
            <v>44156</v>
          </cell>
          <cell r="J108" t="str">
            <v>Done</v>
          </cell>
          <cell r="K108" t="str">
            <v>sudah ada</v>
          </cell>
          <cell r="L108" t="str">
            <v>sudah ada</v>
          </cell>
        </row>
        <row r="109">
          <cell r="B109">
            <v>111</v>
          </cell>
          <cell r="C109">
            <v>0</v>
          </cell>
          <cell r="D109" t="str">
            <v>excel no responding (elok)</v>
          </cell>
          <cell r="E109">
            <v>0</v>
          </cell>
          <cell r="F109">
            <v>0</v>
          </cell>
          <cell r="G109">
            <v>0</v>
          </cell>
          <cell r="H109">
            <v>44156</v>
          </cell>
          <cell r="I109">
            <v>44156</v>
          </cell>
          <cell r="J109" t="str">
            <v>Done</v>
          </cell>
          <cell r="K109" t="str">
            <v>sudah ada</v>
          </cell>
          <cell r="L109" t="str">
            <v>sudah ada</v>
          </cell>
        </row>
        <row r="110">
          <cell r="B110">
            <v>112</v>
          </cell>
          <cell r="C110">
            <v>0</v>
          </cell>
          <cell r="D110" t="str">
            <v>excel install tab excel (elok)</v>
          </cell>
          <cell r="E110">
            <v>0</v>
          </cell>
          <cell r="F110">
            <v>0</v>
          </cell>
          <cell r="G110">
            <v>0</v>
          </cell>
          <cell r="H110">
            <v>44156</v>
          </cell>
          <cell r="I110">
            <v>44156</v>
          </cell>
          <cell r="J110" t="str">
            <v>Done</v>
          </cell>
          <cell r="K110" t="str">
            <v>sudah ada</v>
          </cell>
          <cell r="L110" t="str">
            <v>sudah ada</v>
          </cell>
        </row>
        <row r="111">
          <cell r="B111">
            <v>113</v>
          </cell>
          <cell r="C111">
            <v>0</v>
          </cell>
          <cell r="D111" t="str">
            <v>Posting TTBP (desi)</v>
          </cell>
          <cell r="E111">
            <v>0</v>
          </cell>
          <cell r="F111">
            <v>0</v>
          </cell>
          <cell r="G111">
            <v>0</v>
          </cell>
          <cell r="H111">
            <v>44157</v>
          </cell>
          <cell r="I111">
            <v>44157</v>
          </cell>
          <cell r="J111" t="str">
            <v>Done</v>
          </cell>
          <cell r="K111" t="str">
            <v>sudah ada</v>
          </cell>
          <cell r="L111" t="str">
            <v>sudah ada</v>
          </cell>
        </row>
        <row r="112">
          <cell r="B112">
            <v>114</v>
          </cell>
          <cell r="C112">
            <v>0</v>
          </cell>
          <cell r="D112" t="str">
            <v>Zahir kode barang  QPLENOL  mengalami minus saldo barang (NINA)</v>
          </cell>
          <cell r="E112">
            <v>0</v>
          </cell>
          <cell r="F112">
            <v>0</v>
          </cell>
          <cell r="G112">
            <v>0</v>
          </cell>
          <cell r="H112">
            <v>44158</v>
          </cell>
          <cell r="I112">
            <v>44158</v>
          </cell>
          <cell r="J112" t="str">
            <v>Done</v>
          </cell>
          <cell r="K112" t="str">
            <v>sudah ada</v>
          </cell>
          <cell r="L112" t="str">
            <v>sudah ada</v>
          </cell>
        </row>
        <row r="113">
          <cell r="B113">
            <v>115</v>
          </cell>
          <cell r="C113">
            <v>0</v>
          </cell>
          <cell r="D113" t="str">
            <v>Wifi gudang Trobel , Reboot system (ahmad)</v>
          </cell>
          <cell r="E113">
            <v>0</v>
          </cell>
          <cell r="F113">
            <v>0</v>
          </cell>
          <cell r="G113">
            <v>0</v>
          </cell>
          <cell r="H113">
            <v>44158</v>
          </cell>
          <cell r="I113">
            <v>44158</v>
          </cell>
          <cell r="J113" t="str">
            <v>Done</v>
          </cell>
          <cell r="K113" t="str">
            <v>sudah ada</v>
          </cell>
          <cell r="L113" t="str">
            <v>sudah ada</v>
          </cell>
        </row>
        <row r="114">
          <cell r="B114">
            <v>132</v>
          </cell>
          <cell r="C114">
            <v>0</v>
          </cell>
          <cell r="D114" t="str">
            <v>Setting resolusi layar pc16 byte true color (evi)</v>
          </cell>
          <cell r="E114">
            <v>0</v>
          </cell>
          <cell r="F114">
            <v>0</v>
          </cell>
          <cell r="G114">
            <v>0</v>
          </cell>
          <cell r="H114">
            <v>44158</v>
          </cell>
          <cell r="I114">
            <v>44158</v>
          </cell>
          <cell r="J114" t="str">
            <v>Done</v>
          </cell>
          <cell r="K114" t="str">
            <v>sudah ada</v>
          </cell>
          <cell r="L114" t="str">
            <v>sudah ada</v>
          </cell>
        </row>
        <row r="115">
          <cell r="B115">
            <v>100</v>
          </cell>
          <cell r="C115">
            <v>0</v>
          </cell>
          <cell r="D115" t="str">
            <v>QQIUV04Qiuvita Hijau 32.11.11 20 X 500 gr Maintenance LOTAJUNG</v>
          </cell>
          <cell r="E115">
            <v>0</v>
          </cell>
          <cell r="F115">
            <v>0</v>
          </cell>
          <cell r="G115">
            <v>0</v>
          </cell>
          <cell r="H115">
            <v>44160</v>
          </cell>
          <cell r="I115">
            <v>44160</v>
          </cell>
          <cell r="J115" t="str">
            <v>Done</v>
          </cell>
          <cell r="K115" t="str">
            <v>sudah ada</v>
          </cell>
          <cell r="L115" t="str">
            <v>sudah ada</v>
          </cell>
        </row>
        <row r="116">
          <cell r="B116">
            <v>101</v>
          </cell>
          <cell r="C116">
            <v>0</v>
          </cell>
          <cell r="D116" t="str">
            <v>QKICK03Kick Off 36 EC 20 X 500 ml Maintenance LOTINDUK</v>
          </cell>
          <cell r="E116">
            <v>0</v>
          </cell>
          <cell r="F116">
            <v>0</v>
          </cell>
          <cell r="G116">
            <v>0</v>
          </cell>
          <cell r="H116">
            <v>44160</v>
          </cell>
          <cell r="I116">
            <v>44160</v>
          </cell>
          <cell r="J116" t="str">
            <v>Done</v>
          </cell>
          <cell r="K116" t="str">
            <v>sudah ada</v>
          </cell>
          <cell r="L116" t="str">
            <v>sudah ada</v>
          </cell>
        </row>
        <row r="117">
          <cell r="B117">
            <v>133</v>
          </cell>
          <cell r="C117">
            <v>0</v>
          </cell>
          <cell r="D117" t="str">
            <v>CCTV (imam bonjol) Skring listrik putus</v>
          </cell>
          <cell r="E117">
            <v>0</v>
          </cell>
          <cell r="F117">
            <v>0</v>
          </cell>
          <cell r="G117">
            <v>0</v>
          </cell>
          <cell r="H117">
            <v>44161</v>
          </cell>
          <cell r="I117">
            <v>44161</v>
          </cell>
          <cell r="J117" t="str">
            <v>Done</v>
          </cell>
          <cell r="K117" t="str">
            <v>sudah ada</v>
          </cell>
          <cell r="L117" t="str">
            <v>sudah ada</v>
          </cell>
        </row>
        <row r="118">
          <cell r="B118">
            <v>18</v>
          </cell>
          <cell r="C118">
            <v>19</v>
          </cell>
          <cell r="D118" t="str">
            <v>Pembuatan DO digabung dengan lot</v>
          </cell>
          <cell r="E118">
            <v>0</v>
          </cell>
          <cell r="F118">
            <v>0</v>
          </cell>
          <cell r="G118">
            <v>0</v>
          </cell>
          <cell r="H118">
            <v>44206</v>
          </cell>
          <cell r="I118">
            <v>44162</v>
          </cell>
          <cell r="J118" t="str">
            <v>Done</v>
          </cell>
          <cell r="K118" t="str">
            <v>sudah ada</v>
          </cell>
          <cell r="L118" t="str">
            <v>sudah ada</v>
          </cell>
        </row>
        <row r="119">
          <cell r="B119">
            <v>20</v>
          </cell>
          <cell r="C119">
            <v>21</v>
          </cell>
          <cell r="D119" t="str">
            <v>Pembuatan ulang ICS bulanan</v>
          </cell>
          <cell r="E119">
            <v>0</v>
          </cell>
          <cell r="F119">
            <v>0</v>
          </cell>
          <cell r="G119">
            <v>0</v>
          </cell>
          <cell r="H119">
            <v>44206</v>
          </cell>
          <cell r="I119">
            <v>44162</v>
          </cell>
          <cell r="J119" t="str">
            <v>Done</v>
          </cell>
          <cell r="K119" t="str">
            <v>sudah ada</v>
          </cell>
          <cell r="L119" t="str">
            <v>sudah ada</v>
          </cell>
        </row>
        <row r="120">
          <cell r="B120">
            <v>0</v>
          </cell>
          <cell r="C120">
            <v>0</v>
          </cell>
          <cell r="D120" t="str">
            <v>Pembuatan ulang ICS  Mini</v>
          </cell>
          <cell r="E120">
            <v>0</v>
          </cell>
          <cell r="F120">
            <v>0</v>
          </cell>
          <cell r="G120">
            <v>0</v>
          </cell>
          <cell r="H120">
            <v>44206</v>
          </cell>
          <cell r="I120">
            <v>44162</v>
          </cell>
          <cell r="J120" t="str">
            <v>Done</v>
          </cell>
          <cell r="K120" t="str">
            <v>sudah ada</v>
          </cell>
          <cell r="L120" t="str">
            <v>sudah ada</v>
          </cell>
        </row>
        <row r="121">
          <cell r="B121">
            <v>23</v>
          </cell>
          <cell r="C121">
            <v>24</v>
          </cell>
          <cell r="D121" t="str">
            <v xml:space="preserve">Centang lot zahir semua </v>
          </cell>
          <cell r="E121">
            <v>0</v>
          </cell>
          <cell r="F121">
            <v>0</v>
          </cell>
          <cell r="G121">
            <v>0</v>
          </cell>
          <cell r="H121">
            <v>44165</v>
          </cell>
          <cell r="I121">
            <v>44162</v>
          </cell>
          <cell r="J121" t="str">
            <v>Done</v>
          </cell>
          <cell r="K121" t="str">
            <v>sudah ada</v>
          </cell>
          <cell r="L121" t="str">
            <v>sudah ada</v>
          </cell>
        </row>
        <row r="122">
          <cell r="B122">
            <v>102</v>
          </cell>
          <cell r="C122">
            <v>0</v>
          </cell>
          <cell r="D122" t="str">
            <v>QKACA01Kac. Panj. Katrina 30 X 500 gr Maintenance LOTINDUK</v>
          </cell>
          <cell r="E122">
            <v>0</v>
          </cell>
          <cell r="F122">
            <v>0</v>
          </cell>
          <cell r="G122">
            <v>0</v>
          </cell>
          <cell r="H122">
            <v>44162</v>
          </cell>
          <cell r="I122">
            <v>44162</v>
          </cell>
          <cell r="J122" t="str">
            <v>Done</v>
          </cell>
          <cell r="K122" t="str">
            <v>sudah ada</v>
          </cell>
          <cell r="L122" t="str">
            <v>sudah ada</v>
          </cell>
        </row>
        <row r="123">
          <cell r="B123">
            <v>25</v>
          </cell>
          <cell r="C123">
            <v>26</v>
          </cell>
          <cell r="D123" t="str">
            <v>Sales tracking penempurnaan (evi,yuni,yuyun) grafik</v>
          </cell>
          <cell r="E123">
            <v>0</v>
          </cell>
          <cell r="F123">
            <v>0</v>
          </cell>
          <cell r="G123">
            <v>0</v>
          </cell>
          <cell r="H123">
            <v>44166</v>
          </cell>
          <cell r="I123">
            <v>44163</v>
          </cell>
          <cell r="J123" t="str">
            <v>Done</v>
          </cell>
          <cell r="K123" t="str">
            <v>sudah ada</v>
          </cell>
          <cell r="L123" t="str">
            <v>sudah ada</v>
          </cell>
        </row>
        <row r="124">
          <cell r="B124">
            <v>103</v>
          </cell>
          <cell r="C124">
            <v>0</v>
          </cell>
          <cell r="D124" t="str">
            <v>QTIMU24Timun Pesona 20 20 X 6 X 20 gr  Maintenance LOTSUPPLIER</v>
          </cell>
          <cell r="E124">
            <v>0</v>
          </cell>
          <cell r="F124">
            <v>0</v>
          </cell>
          <cell r="G124">
            <v>0</v>
          </cell>
          <cell r="H124">
            <v>44163</v>
          </cell>
          <cell r="I124">
            <v>44163</v>
          </cell>
          <cell r="J124" t="str">
            <v>Done</v>
          </cell>
          <cell r="K124" t="str">
            <v>sudah ada</v>
          </cell>
          <cell r="L124" t="str">
            <v>sudah ada</v>
          </cell>
        </row>
        <row r="125">
          <cell r="B125">
            <v>104</v>
          </cell>
          <cell r="C125">
            <v>0</v>
          </cell>
          <cell r="D125" t="str">
            <v>QTIMU20 Timun Hercules Plus 20 X 6 X 20 gr Maintenance LOT SUPPLIER</v>
          </cell>
          <cell r="E125">
            <v>0</v>
          </cell>
          <cell r="F125">
            <v>0</v>
          </cell>
          <cell r="G125">
            <v>0</v>
          </cell>
          <cell r="H125">
            <v>44163</v>
          </cell>
          <cell r="I125">
            <v>44163</v>
          </cell>
          <cell r="J125" t="str">
            <v>Done</v>
          </cell>
          <cell r="K125" t="str">
            <v>sudah ada</v>
          </cell>
          <cell r="L125" t="str">
            <v>sudah ada</v>
          </cell>
        </row>
        <row r="126">
          <cell r="B126">
            <v>105</v>
          </cell>
          <cell r="C126">
            <v>0</v>
          </cell>
          <cell r="D126" t="str">
            <v>QLOGR01 Logran 75 WG 20 X 50 X 1.5 gr Maintenance LOT INDUK</v>
          </cell>
          <cell r="E126">
            <v>0</v>
          </cell>
          <cell r="F126">
            <v>0</v>
          </cell>
          <cell r="G126">
            <v>0</v>
          </cell>
          <cell r="H126">
            <v>44163</v>
          </cell>
          <cell r="I126">
            <v>44163</v>
          </cell>
          <cell r="J126" t="str">
            <v>Done</v>
          </cell>
          <cell r="K126" t="str">
            <v>sudah ada</v>
          </cell>
          <cell r="L126" t="str">
            <v>sudah ada</v>
          </cell>
        </row>
        <row r="127">
          <cell r="B127">
            <v>134</v>
          </cell>
          <cell r="C127">
            <v>0</v>
          </cell>
          <cell r="D127" t="str">
            <v>kabel lan 6 M untuk HRDGA (arip)</v>
          </cell>
          <cell r="E127">
            <v>0</v>
          </cell>
          <cell r="F127">
            <v>0</v>
          </cell>
          <cell r="G127">
            <v>0</v>
          </cell>
          <cell r="H127">
            <v>44163</v>
          </cell>
          <cell r="I127">
            <v>44163</v>
          </cell>
          <cell r="J127" t="str">
            <v>Done</v>
          </cell>
          <cell r="K127" t="str">
            <v>sudah ada</v>
          </cell>
          <cell r="L127" t="str">
            <v>sudah ada</v>
          </cell>
        </row>
        <row r="128">
          <cell r="B128">
            <v>135</v>
          </cell>
          <cell r="C128">
            <v>0</v>
          </cell>
          <cell r="D128" t="str">
            <v>LAN bermasalah (Elok)</v>
          </cell>
          <cell r="E128">
            <v>0</v>
          </cell>
          <cell r="F128">
            <v>0</v>
          </cell>
          <cell r="G128">
            <v>0</v>
          </cell>
          <cell r="H128">
            <v>44164</v>
          </cell>
          <cell r="I128">
            <v>44164</v>
          </cell>
          <cell r="J128" t="str">
            <v>Done</v>
          </cell>
          <cell r="K128" t="str">
            <v>sudah ada</v>
          </cell>
          <cell r="L128" t="str">
            <v>sudah ada</v>
          </cell>
        </row>
        <row r="129">
          <cell r="B129">
            <v>106</v>
          </cell>
          <cell r="C129">
            <v>0</v>
          </cell>
          <cell r="D129" t="str">
            <v>QABEN02 Abenz 22 EC 40 X 250 ml Maintenance LOT SUPPLIER</v>
          </cell>
          <cell r="E129">
            <v>0</v>
          </cell>
          <cell r="F129">
            <v>0</v>
          </cell>
          <cell r="G129">
            <v>0</v>
          </cell>
          <cell r="H129">
            <v>44165</v>
          </cell>
          <cell r="I129">
            <v>44165</v>
          </cell>
          <cell r="J129" t="str">
            <v>Done</v>
          </cell>
          <cell r="K129" t="str">
            <v>sudah ada</v>
          </cell>
          <cell r="L129" t="str">
            <v>sudah ada</v>
          </cell>
        </row>
        <row r="130">
          <cell r="B130">
            <v>136</v>
          </cell>
          <cell r="C130">
            <v>0</v>
          </cell>
          <cell r="D130" t="str">
            <v>Setting pindah PC (Riza)</v>
          </cell>
          <cell r="E130">
            <v>0</v>
          </cell>
          <cell r="F130">
            <v>0</v>
          </cell>
          <cell r="G130">
            <v>0</v>
          </cell>
          <cell r="H130">
            <v>44165</v>
          </cell>
          <cell r="I130">
            <v>44165</v>
          </cell>
          <cell r="J130" t="str">
            <v>Done</v>
          </cell>
          <cell r="K130" t="str">
            <v>sudah ada</v>
          </cell>
          <cell r="L130" t="str">
            <v>sudah ada</v>
          </cell>
        </row>
        <row r="131">
          <cell r="B131">
            <v>137</v>
          </cell>
          <cell r="C131">
            <v>0</v>
          </cell>
          <cell r="D131" t="str">
            <v>Setting pindah PC (Ria)</v>
          </cell>
          <cell r="E131">
            <v>0</v>
          </cell>
          <cell r="F131">
            <v>0</v>
          </cell>
          <cell r="G131">
            <v>0</v>
          </cell>
          <cell r="H131">
            <v>44165</v>
          </cell>
          <cell r="I131">
            <v>44165</v>
          </cell>
          <cell r="J131" t="str">
            <v>Done</v>
          </cell>
          <cell r="K131" t="str">
            <v>sudah ada</v>
          </cell>
          <cell r="L131" t="str">
            <v>sudah ada</v>
          </cell>
        </row>
        <row r="132">
          <cell r="B132">
            <v>138</v>
          </cell>
          <cell r="C132">
            <v>0</v>
          </cell>
          <cell r="D132" t="str">
            <v>Setting ulang printer (dewi)</v>
          </cell>
          <cell r="E132">
            <v>0</v>
          </cell>
          <cell r="F132">
            <v>0</v>
          </cell>
          <cell r="G132">
            <v>0</v>
          </cell>
          <cell r="H132">
            <v>44165</v>
          </cell>
          <cell r="I132">
            <v>44165</v>
          </cell>
          <cell r="J132" t="str">
            <v>Done</v>
          </cell>
          <cell r="K132" t="str">
            <v>sudah ada</v>
          </cell>
          <cell r="L132" t="str">
            <v>sudah ada</v>
          </cell>
        </row>
        <row r="133">
          <cell r="B133">
            <v>139</v>
          </cell>
          <cell r="C133">
            <v>0</v>
          </cell>
          <cell r="D133" t="str">
            <v>Setting ulang printer (fairin)</v>
          </cell>
          <cell r="E133">
            <v>0</v>
          </cell>
          <cell r="F133">
            <v>0</v>
          </cell>
          <cell r="G133">
            <v>0</v>
          </cell>
          <cell r="H133">
            <v>44165</v>
          </cell>
          <cell r="I133">
            <v>44165</v>
          </cell>
          <cell r="J133" t="str">
            <v>Done</v>
          </cell>
          <cell r="K133" t="str">
            <v>sudah ada</v>
          </cell>
          <cell r="L133" t="str">
            <v>sudah ada</v>
          </cell>
        </row>
        <row r="134">
          <cell r="B134">
            <v>70</v>
          </cell>
          <cell r="C134">
            <v>0</v>
          </cell>
          <cell r="D134" t="str">
            <v>SOP mengeluarkan barang dari gudang LOT (draft)</v>
          </cell>
          <cell r="E134">
            <v>0</v>
          </cell>
          <cell r="F134">
            <v>0</v>
          </cell>
          <cell r="G134">
            <v>0</v>
          </cell>
          <cell r="H134">
            <v>44181</v>
          </cell>
          <cell r="I134">
            <v>44167</v>
          </cell>
          <cell r="J134" t="str">
            <v>Done</v>
          </cell>
          <cell r="K134" t="str">
            <v>sudah ada</v>
          </cell>
          <cell r="L134" t="str">
            <v>sudah ada</v>
          </cell>
        </row>
        <row r="135">
          <cell r="B135">
            <v>26</v>
          </cell>
          <cell r="C135">
            <v>27</v>
          </cell>
          <cell r="D135" t="str">
            <v>KPI digital</v>
          </cell>
          <cell r="E135">
            <v>0</v>
          </cell>
          <cell r="F135" t="str">
            <v>Yus Kordinasi dengan bu diana langsung</v>
          </cell>
          <cell r="G135">
            <v>0</v>
          </cell>
          <cell r="H135">
            <v>0</v>
          </cell>
          <cell r="I135">
            <v>0</v>
          </cell>
          <cell r="J135" t="str">
            <v xml:space="preserve"> </v>
          </cell>
          <cell r="K135">
            <v>0</v>
          </cell>
          <cell r="L135">
            <v>0</v>
          </cell>
        </row>
        <row r="136">
          <cell r="B136">
            <v>21</v>
          </cell>
          <cell r="C136">
            <v>22</v>
          </cell>
          <cell r="D136" t="str">
            <v>Pembuatan Website (ONLINE SHOP &amp; PROFILE - REC)</v>
          </cell>
          <cell r="E136" t="str">
            <v>pak jaya masih inprogres meyiapkan bahan untuk yang akan di letakan pada website tersebut</v>
          </cell>
          <cell r="F136" t="str">
            <v>Inprogres kolaborasi dengan p.jaya / membahas ulang yang akan di tampilkan dengan rekan kadep2</v>
          </cell>
          <cell r="G136" t="str">
            <v>Jaya</v>
          </cell>
          <cell r="H136">
            <v>44240</v>
          </cell>
          <cell r="I136">
            <v>0</v>
          </cell>
          <cell r="J136" t="str">
            <v xml:space="preserve"> </v>
          </cell>
          <cell r="K136">
            <v>0</v>
          </cell>
          <cell r="L136">
            <v>0</v>
          </cell>
        </row>
        <row r="137">
          <cell r="B137">
            <v>27</v>
          </cell>
          <cell r="C137">
            <v>0</v>
          </cell>
          <cell r="D137" t="str">
            <v>Program Multiprice Berjalan</v>
          </cell>
          <cell r="E137" t="str">
            <v>koordinasi ulang tentang harga yang akan di tampilkan harga terendah atau harga tertinggi (bu diana &amp; bu Anne) tanggal 21/12/2020 , Masih menunggu bu diana nanti di kabari</v>
          </cell>
          <cell r="F137" t="str">
            <v>Masih menunggu pricelist harga dari keuangan dan di check ulang oleh sales</v>
          </cell>
          <cell r="G137" t="str">
            <v>Mitra &amp; Sales</v>
          </cell>
          <cell r="H137">
            <v>0</v>
          </cell>
          <cell r="I137">
            <v>0</v>
          </cell>
          <cell r="J137" t="str">
            <v xml:space="preserve"> </v>
          </cell>
          <cell r="K137">
            <v>0</v>
          </cell>
          <cell r="L137">
            <v>0</v>
          </cell>
        </row>
        <row r="138">
          <cell r="B138">
            <v>69</v>
          </cell>
          <cell r="C138">
            <v>0</v>
          </cell>
          <cell r="D138" t="str">
            <v>penyempurnaan daily od target dan pencapaian masing2 collection</v>
          </cell>
          <cell r="E138" t="str">
            <v>max hari 21 sudah terselesaikan dengan icha bnn</v>
          </cell>
          <cell r="F138" t="str">
            <v>Masih Menunggu Data Master Daily od Di Rapikan</v>
          </cell>
          <cell r="G138" t="str">
            <v>Icha</v>
          </cell>
          <cell r="H138">
            <v>44199</v>
          </cell>
          <cell r="I138">
            <v>0</v>
          </cell>
          <cell r="J138" t="str">
            <v xml:space="preserve"> </v>
          </cell>
          <cell r="K138">
            <v>0</v>
          </cell>
          <cell r="L138">
            <v>0</v>
          </cell>
        </row>
        <row r="139">
          <cell r="B139">
            <v>71</v>
          </cell>
          <cell r="C139">
            <v>0</v>
          </cell>
          <cell r="D139" t="str">
            <v>ex tlpn belum terupdate (PABX)</v>
          </cell>
          <cell r="E139" t="str">
            <v>menunggu progress yg lain teselesai yg sudah terjadwal</v>
          </cell>
          <cell r="F139">
            <v>0</v>
          </cell>
          <cell r="G139" t="str">
            <v>Yuss</v>
          </cell>
          <cell r="H139">
            <v>44212</v>
          </cell>
          <cell r="I139">
            <v>0</v>
          </cell>
          <cell r="J139" t="str">
            <v xml:space="preserve"> </v>
          </cell>
          <cell r="K139">
            <v>0</v>
          </cell>
          <cell r="L139">
            <v>0</v>
          </cell>
        </row>
        <row r="140">
          <cell r="B140">
            <v>72</v>
          </cell>
          <cell r="C140">
            <v>0</v>
          </cell>
          <cell r="D140" t="str">
            <v>sop backup untuk maintance pc sebelum di ambil oleh it</v>
          </cell>
          <cell r="E140">
            <v>0</v>
          </cell>
          <cell r="F140" t="str">
            <v>sudah di sampaikan kepada bu diana tgl 12/01/2021 by outlook</v>
          </cell>
          <cell r="G140">
            <v>0</v>
          </cell>
          <cell r="H140">
            <v>44215</v>
          </cell>
          <cell r="I140">
            <v>44208</v>
          </cell>
          <cell r="J140" t="str">
            <v>Done</v>
          </cell>
          <cell r="K140">
            <v>0</v>
          </cell>
          <cell r="L140">
            <v>0</v>
          </cell>
        </row>
        <row r="141">
          <cell r="B141">
            <v>73</v>
          </cell>
          <cell r="C141">
            <v>0</v>
          </cell>
          <cell r="D141" t="str">
            <v>inventaris all hardware yg bersangkutan dengan IT</v>
          </cell>
          <cell r="E141">
            <v>0</v>
          </cell>
          <cell r="F141" t="str">
            <v>inprogres</v>
          </cell>
          <cell r="G141" t="str">
            <v>Yuss</v>
          </cell>
          <cell r="H141">
            <v>44215</v>
          </cell>
          <cell r="I141">
            <v>0</v>
          </cell>
          <cell r="J141" t="str">
            <v xml:space="preserve"> </v>
          </cell>
          <cell r="K141">
            <v>0</v>
          </cell>
          <cell r="L141">
            <v>0</v>
          </cell>
        </row>
        <row r="142">
          <cell r="B142">
            <v>140</v>
          </cell>
          <cell r="C142">
            <v>0</v>
          </cell>
          <cell r="D142" t="str">
            <v>Sales tracking penempurnaan Table Target dan pak Wira</v>
          </cell>
          <cell r="E142" t="str">
            <v>menunggu SOP Backup selesai</v>
          </cell>
          <cell r="F142">
            <v>0</v>
          </cell>
          <cell r="G142">
            <v>0</v>
          </cell>
          <cell r="H142">
            <v>44211</v>
          </cell>
          <cell r="I142">
            <v>0</v>
          </cell>
          <cell r="J142" t="str">
            <v xml:space="preserve"> </v>
          </cell>
          <cell r="K142">
            <v>0</v>
          </cell>
          <cell r="L142">
            <v>0</v>
          </cell>
        </row>
        <row r="143">
          <cell r="B143">
            <v>141</v>
          </cell>
          <cell r="C143">
            <v>0</v>
          </cell>
          <cell r="D143" t="str">
            <v>Pembuatan Design Laporan Zahir Untuk Pembelian</v>
          </cell>
          <cell r="E143" t="str">
            <v>koordinasi menentukan bulan minggu ke 1 bulan januari</v>
          </cell>
          <cell r="F143">
            <v>0</v>
          </cell>
          <cell r="G143">
            <v>0</v>
          </cell>
          <cell r="H143">
            <v>43871</v>
          </cell>
          <cell r="I143">
            <v>0</v>
          </cell>
          <cell r="J143" t="str">
            <v xml:space="preserve"> </v>
          </cell>
          <cell r="K143">
            <v>0</v>
          </cell>
          <cell r="L143">
            <v>0</v>
          </cell>
        </row>
        <row r="144">
          <cell r="B144">
            <v>142</v>
          </cell>
          <cell r="C144">
            <v>0</v>
          </cell>
          <cell r="D144" t="str">
            <v>Penmabahan dan Pembuatan Jalur Jaringan CCTV Baru Kantin Dan FKA</v>
          </cell>
          <cell r="E144" t="str">
            <v>Pengajuan SPP Perangkat CCTV Belum Lengkap (ACC Pelengkapan) akan di buat TimeLine</v>
          </cell>
          <cell r="F144">
            <v>0</v>
          </cell>
          <cell r="G144" t="str">
            <v>Yuss</v>
          </cell>
          <cell r="H144">
            <v>0</v>
          </cell>
          <cell r="I144">
            <v>0</v>
          </cell>
          <cell r="J144" t="str">
            <v xml:space="preserve"> </v>
          </cell>
          <cell r="K144">
            <v>0</v>
          </cell>
          <cell r="L144">
            <v>0</v>
          </cell>
        </row>
        <row r="145">
          <cell r="B145">
            <v>143</v>
          </cell>
          <cell r="C145">
            <v>0</v>
          </cell>
          <cell r="D145" t="str">
            <v xml:space="preserve">Prioritas no 1 Penambahan Kontrak Program SE (Go ahead dan Go dan Delay)  pada masing masing sc </v>
          </cell>
          <cell r="E145" t="str">
            <v>Price List Kontrak Tidak Update, akan diadakan koordinasi dengan pak heru langsung (tgl 16 /12/20)</v>
          </cell>
          <cell r="F145" t="str">
            <v>Menunggu Price List</v>
          </cell>
          <cell r="G145" t="str">
            <v>Sales</v>
          </cell>
          <cell r="H145">
            <v>0</v>
          </cell>
          <cell r="I145">
            <v>0</v>
          </cell>
          <cell r="J145" t="str">
            <v xml:space="preserve"> </v>
          </cell>
          <cell r="K145">
            <v>0</v>
          </cell>
          <cell r="L145">
            <v>0</v>
          </cell>
        </row>
        <row r="146">
          <cell r="B146">
            <v>144</v>
          </cell>
          <cell r="C146">
            <v>0</v>
          </cell>
          <cell r="D146" t="str">
            <v>PROGRAM KPI UNTUK KARIYAWAN (MASING ROW 10 WHATS / HOW )</v>
          </cell>
          <cell r="E146">
            <v>0</v>
          </cell>
          <cell r="F146">
            <v>0</v>
          </cell>
          <cell r="G146" t="str">
            <v>Yuss</v>
          </cell>
          <cell r="H146">
            <v>44195</v>
          </cell>
          <cell r="I146">
            <v>0</v>
          </cell>
          <cell r="J146" t="str">
            <v xml:space="preserve"> </v>
          </cell>
          <cell r="K146">
            <v>0</v>
          </cell>
          <cell r="L146">
            <v>0</v>
          </cell>
        </row>
        <row r="147">
          <cell r="B147">
            <v>145</v>
          </cell>
          <cell r="C147">
            <v>0</v>
          </cell>
          <cell r="D147" t="str">
            <v>DATABASE KARIYAWAN KARISMA (MACRO EXCEL) PAK YANTO</v>
          </cell>
          <cell r="E147" t="str">
            <v>koordinasi ulang untuk design dan penempatan database bulan januari minggu ke 1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 t="str">
            <v xml:space="preserve"> </v>
          </cell>
          <cell r="K147">
            <v>0</v>
          </cell>
          <cell r="L147">
            <v>0</v>
          </cell>
        </row>
        <row r="148">
          <cell r="B148">
            <v>146</v>
          </cell>
          <cell r="C148">
            <v>0</v>
          </cell>
          <cell r="D148" t="str">
            <v>Pending delivery</v>
          </cell>
          <cell r="E148" t="str">
            <v>koordinasi dengan no 143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 t="str">
            <v xml:space="preserve"> </v>
          </cell>
          <cell r="K148">
            <v>0</v>
          </cell>
          <cell r="L148">
            <v>0</v>
          </cell>
        </row>
        <row r="149">
          <cell r="B149">
            <v>147</v>
          </cell>
          <cell r="C149">
            <v>0</v>
          </cell>
          <cell r="D149" t="str">
            <v xml:space="preserve">tukar Posisi TV owner </v>
          </cell>
          <cell r="E149">
            <v>0</v>
          </cell>
          <cell r="F149">
            <v>0</v>
          </cell>
          <cell r="G149">
            <v>0</v>
          </cell>
          <cell r="H149">
            <v>44181</v>
          </cell>
          <cell r="I149">
            <v>44180</v>
          </cell>
          <cell r="J149" t="str">
            <v>Done</v>
          </cell>
          <cell r="K149">
            <v>0</v>
          </cell>
          <cell r="L149">
            <v>0</v>
          </cell>
        </row>
        <row r="150">
          <cell r="B150">
            <v>148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 t="str">
            <v xml:space="preserve"> </v>
          </cell>
          <cell r="K150">
            <v>0</v>
          </cell>
          <cell r="L150">
            <v>0</v>
          </cell>
        </row>
        <row r="151">
          <cell r="B151">
            <v>149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 t="str">
            <v xml:space="preserve"> </v>
          </cell>
          <cell r="K151">
            <v>0</v>
          </cell>
          <cell r="L151">
            <v>0</v>
          </cell>
        </row>
        <row r="152">
          <cell r="B152">
            <v>150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</row>
        <row r="153">
          <cell r="B153">
            <v>151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</row>
        <row r="154">
          <cell r="B154">
            <v>152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</row>
        <row r="155">
          <cell r="B155">
            <v>153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</row>
        <row r="156">
          <cell r="B156">
            <v>154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0</v>
          </cell>
          <cell r="K156">
            <v>0</v>
          </cell>
          <cell r="L156">
            <v>0</v>
          </cell>
        </row>
        <row r="157">
          <cell r="B157">
            <v>155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</row>
        <row r="158">
          <cell r="B158">
            <v>156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</row>
        <row r="159">
          <cell r="B159">
            <v>157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0</v>
          </cell>
        </row>
        <row r="160">
          <cell r="B160">
            <v>158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</row>
        <row r="161">
          <cell r="B161">
            <v>159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</row>
        <row r="162">
          <cell r="B162">
            <v>160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</row>
        <row r="163">
          <cell r="B163">
            <v>161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</row>
        <row r="164">
          <cell r="B164">
            <v>162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</row>
        <row r="165">
          <cell r="B165">
            <v>163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</row>
        <row r="166">
          <cell r="B166">
            <v>164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</row>
        <row r="167">
          <cell r="B167">
            <v>165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</row>
        <row r="168">
          <cell r="B168">
            <v>166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</row>
        <row r="169">
          <cell r="B169">
            <v>167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</row>
        <row r="170">
          <cell r="B170">
            <v>168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0</v>
          </cell>
          <cell r="K170">
            <v>0</v>
          </cell>
          <cell r="L170">
            <v>0</v>
          </cell>
        </row>
        <row r="171">
          <cell r="B171">
            <v>169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</row>
        <row r="172">
          <cell r="B172">
            <v>170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</row>
        <row r="173">
          <cell r="B173">
            <v>171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</row>
        <row r="174">
          <cell r="B174">
            <v>172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</row>
        <row r="175">
          <cell r="B175">
            <v>173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0</v>
          </cell>
          <cell r="L175">
            <v>0</v>
          </cell>
        </row>
        <row r="176">
          <cell r="B176">
            <v>174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</row>
        <row r="177">
          <cell r="B177">
            <v>175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</row>
        <row r="178">
          <cell r="B178">
            <v>176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</row>
        <row r="179">
          <cell r="B179">
            <v>177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0</v>
          </cell>
        </row>
        <row r="180">
          <cell r="B180">
            <v>178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</row>
        <row r="181">
          <cell r="B181">
            <v>179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</row>
        <row r="182">
          <cell r="B182">
            <v>180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</row>
        <row r="183">
          <cell r="B183">
            <v>181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0</v>
          </cell>
        </row>
        <row r="184">
          <cell r="B184">
            <v>182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0</v>
          </cell>
          <cell r="L184">
            <v>0</v>
          </cell>
        </row>
        <row r="185">
          <cell r="B185">
            <v>183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</row>
        <row r="186">
          <cell r="B186">
            <v>184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0</v>
          </cell>
        </row>
        <row r="187">
          <cell r="B187">
            <v>185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</row>
        <row r="188">
          <cell r="B188">
            <v>186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</row>
        <row r="189">
          <cell r="B189">
            <v>187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</row>
        <row r="190">
          <cell r="B190">
            <v>188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</row>
        <row r="191">
          <cell r="B191">
            <v>189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</row>
        <row r="192">
          <cell r="B192">
            <v>190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</row>
        <row r="193">
          <cell r="B193">
            <v>191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0</v>
          </cell>
        </row>
        <row r="194">
          <cell r="B194">
            <v>192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</row>
        <row r="195">
          <cell r="B195">
            <v>193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</row>
        <row r="196">
          <cell r="B196">
            <v>194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</row>
        <row r="197">
          <cell r="B197">
            <v>195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</row>
        <row r="198">
          <cell r="B198">
            <v>196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</row>
        <row r="199">
          <cell r="B199">
            <v>197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</row>
        <row r="200">
          <cell r="B200">
            <v>198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</row>
        <row r="201">
          <cell r="B201">
            <v>199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</row>
        <row r="202">
          <cell r="B202">
            <v>200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</row>
        <row r="203">
          <cell r="B203">
            <v>201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</row>
        <row r="204">
          <cell r="B204">
            <v>202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</row>
        <row r="205">
          <cell r="B205">
            <v>203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0</v>
          </cell>
        </row>
        <row r="206">
          <cell r="B206">
            <v>204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</row>
        <row r="207">
          <cell r="B207">
            <v>205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</row>
        <row r="208">
          <cell r="B208">
            <v>206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</row>
        <row r="209">
          <cell r="B209">
            <v>207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0</v>
          </cell>
          <cell r="L209">
            <v>0</v>
          </cell>
        </row>
        <row r="210">
          <cell r="B210">
            <v>208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</row>
        <row r="211">
          <cell r="B211">
            <v>209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</row>
        <row r="212">
          <cell r="B212">
            <v>210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</row>
        <row r="213">
          <cell r="B213">
            <v>211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</row>
        <row r="214">
          <cell r="B214">
            <v>212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</row>
        <row r="215">
          <cell r="B215">
            <v>213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autoPageBreaks="0"/>
  </sheetPr>
  <dimension ref="B1:Y204"/>
  <sheetViews>
    <sheetView showGridLines="0" topLeftCell="L16" workbookViewId="0">
      <selection activeCell="Q19" sqref="Q19"/>
    </sheetView>
  </sheetViews>
  <sheetFormatPr defaultRowHeight="15" x14ac:dyDescent="0.25"/>
  <cols>
    <col min="1" max="1" width="3" customWidth="1"/>
    <col min="2" max="2" width="4.5703125" customWidth="1"/>
    <col min="3" max="3" width="6" customWidth="1"/>
    <col min="4" max="4" width="16.140625" customWidth="1"/>
    <col min="5" max="5" width="19.7109375" bestFit="1" customWidth="1"/>
    <col min="10" max="10" width="5.5703125" bestFit="1" customWidth="1"/>
    <col min="11" max="11" width="9.5703125" bestFit="1" customWidth="1"/>
    <col min="12" max="12" width="11.140625" customWidth="1"/>
    <col min="14" max="14" width="42.85546875" bestFit="1" customWidth="1"/>
    <col min="15" max="15" width="15.140625" bestFit="1" customWidth="1"/>
    <col min="16" max="16" width="17.5703125" bestFit="1" customWidth="1"/>
    <col min="17" max="17" width="11.7109375" bestFit="1" customWidth="1"/>
  </cols>
  <sheetData>
    <row r="1" spans="2:18" x14ac:dyDescent="0.25">
      <c r="B1" s="73" t="s">
        <v>0</v>
      </c>
      <c r="C1" s="74"/>
      <c r="D1" s="74"/>
      <c r="E1" s="75"/>
    </row>
    <row r="2" spans="2:18" x14ac:dyDescent="0.25">
      <c r="B2" s="76"/>
      <c r="C2" s="77"/>
      <c r="D2" s="77"/>
      <c r="E2" s="78"/>
    </row>
    <row r="3" spans="2:18" x14ac:dyDescent="0.25">
      <c r="B3" s="79" t="s">
        <v>1</v>
      </c>
      <c r="C3" s="80"/>
      <c r="D3" s="81"/>
      <c r="E3" s="1" t="s">
        <v>2</v>
      </c>
    </row>
    <row r="4" spans="2:18" x14ac:dyDescent="0.25">
      <c r="B4" s="79" t="s">
        <v>3</v>
      </c>
      <c r="C4" s="80"/>
      <c r="D4" s="81"/>
      <c r="E4" s="2" t="s">
        <v>4</v>
      </c>
    </row>
    <row r="5" spans="2:18" x14ac:dyDescent="0.25">
      <c r="B5" s="79" t="s">
        <v>5</v>
      </c>
      <c r="C5" s="80"/>
      <c r="D5" s="81"/>
      <c r="E5" s="2" t="s">
        <v>6</v>
      </c>
    </row>
    <row r="6" spans="2:18" x14ac:dyDescent="0.25">
      <c r="B6" s="79" t="s">
        <v>7</v>
      </c>
      <c r="C6" s="80"/>
      <c r="D6" s="81"/>
      <c r="E6" s="3">
        <v>44075</v>
      </c>
    </row>
    <row r="7" spans="2:18" x14ac:dyDescent="0.25">
      <c r="B7" s="79" t="s">
        <v>8</v>
      </c>
      <c r="C7" s="80"/>
      <c r="D7" s="81"/>
      <c r="E7" s="4" t="s">
        <v>9</v>
      </c>
    </row>
    <row r="8" spans="2:18" x14ac:dyDescent="0.25">
      <c r="B8" s="79" t="s">
        <v>10</v>
      </c>
      <c r="C8" s="80"/>
      <c r="D8" s="81"/>
      <c r="E8" s="5">
        <v>44136</v>
      </c>
    </row>
    <row r="10" spans="2:18" x14ac:dyDescent="0.25">
      <c r="B10" s="85" t="s">
        <v>11</v>
      </c>
      <c r="C10" s="86"/>
      <c r="D10" s="86"/>
      <c r="E10" s="86"/>
      <c r="F10" s="86"/>
      <c r="G10" s="86"/>
      <c r="H10" s="89" t="s">
        <v>12</v>
      </c>
      <c r="I10" s="90"/>
      <c r="J10" s="90"/>
      <c r="K10" s="90"/>
      <c r="L10" s="91"/>
    </row>
    <row r="11" spans="2:18" x14ac:dyDescent="0.25">
      <c r="B11" s="87"/>
      <c r="C11" s="88"/>
      <c r="D11" s="88"/>
      <c r="E11" s="88"/>
      <c r="F11" s="88"/>
      <c r="G11" s="88"/>
      <c r="H11" s="92"/>
      <c r="I11" s="93"/>
      <c r="J11" s="93"/>
      <c r="K11" s="93"/>
      <c r="L11" s="94"/>
    </row>
    <row r="12" spans="2:18" x14ac:dyDescent="0.25">
      <c r="B12" s="95">
        <v>1</v>
      </c>
      <c r="C12" s="96" t="s">
        <v>13</v>
      </c>
      <c r="D12" s="96"/>
      <c r="E12" s="96"/>
      <c r="F12" s="96"/>
      <c r="G12" s="96"/>
      <c r="H12" s="82" t="s">
        <v>14</v>
      </c>
      <c r="I12" s="82"/>
      <c r="J12" s="82"/>
      <c r="K12" s="82"/>
      <c r="L12" s="6" t="s">
        <v>15</v>
      </c>
      <c r="N12" s="7" t="s">
        <v>16</v>
      </c>
      <c r="O12" s="8" t="s">
        <v>17</v>
      </c>
      <c r="P12" s="8" t="s">
        <v>18</v>
      </c>
      <c r="Q12" s="8" t="s">
        <v>19</v>
      </c>
      <c r="R12" s="9"/>
    </row>
    <row r="13" spans="2:18" x14ac:dyDescent="0.25">
      <c r="B13" s="95"/>
      <c r="C13" s="96"/>
      <c r="D13" s="96"/>
      <c r="E13" s="96"/>
      <c r="F13" s="96"/>
      <c r="G13" s="96"/>
      <c r="H13" s="82" t="s">
        <v>20</v>
      </c>
      <c r="I13" s="82"/>
      <c r="J13" s="82"/>
      <c r="K13" s="82"/>
      <c r="L13" s="6" t="s">
        <v>21</v>
      </c>
      <c r="N13" s="10" t="s">
        <v>22</v>
      </c>
      <c r="O13" s="11">
        <v>0.4</v>
      </c>
      <c r="P13" s="12">
        <f>H34</f>
        <v>108.80000000000001</v>
      </c>
      <c r="Q13" s="13">
        <f>O13*P13</f>
        <v>43.52000000000001</v>
      </c>
    </row>
    <row r="14" spans="2:18" x14ac:dyDescent="0.25">
      <c r="B14" s="95"/>
      <c r="C14" s="96"/>
      <c r="D14" s="96"/>
      <c r="E14" s="96"/>
      <c r="F14" s="96"/>
      <c r="G14" s="96"/>
      <c r="H14" s="82" t="s">
        <v>23</v>
      </c>
      <c r="I14" s="82"/>
      <c r="J14" s="82"/>
      <c r="K14" s="82"/>
      <c r="L14" s="6" t="s">
        <v>24</v>
      </c>
      <c r="N14" s="14" t="s">
        <v>25</v>
      </c>
      <c r="O14" s="15">
        <v>0.4</v>
      </c>
      <c r="P14" s="16">
        <f>H95</f>
        <v>143</v>
      </c>
      <c r="Q14" s="17">
        <f>O14*P14</f>
        <v>57.2</v>
      </c>
    </row>
    <row r="15" spans="2:18" x14ac:dyDescent="0.25">
      <c r="B15" s="95"/>
      <c r="C15" s="96"/>
      <c r="D15" s="96"/>
      <c r="E15" s="96"/>
      <c r="F15" s="96"/>
      <c r="G15" s="96"/>
      <c r="H15" s="82" t="s">
        <v>26</v>
      </c>
      <c r="I15" s="82"/>
      <c r="J15" s="82"/>
      <c r="K15" s="82"/>
      <c r="L15" s="6">
        <v>110</v>
      </c>
      <c r="N15" s="18" t="s">
        <v>27</v>
      </c>
      <c r="O15" s="19">
        <v>0.2</v>
      </c>
      <c r="P15" s="20">
        <f>H177</f>
        <v>104</v>
      </c>
      <c r="Q15" s="21">
        <f>O15*P15</f>
        <v>20.8</v>
      </c>
    </row>
    <row r="16" spans="2:18" ht="15.75" customHeight="1" x14ac:dyDescent="0.25">
      <c r="B16" s="95"/>
      <c r="C16" s="97" t="s">
        <v>28</v>
      </c>
      <c r="D16" s="97"/>
      <c r="E16" s="97"/>
      <c r="F16" s="97"/>
      <c r="G16" s="97"/>
      <c r="H16" s="82" t="s">
        <v>29</v>
      </c>
      <c r="I16" s="82"/>
      <c r="J16" s="82"/>
      <c r="K16" s="82"/>
      <c r="L16" s="82"/>
      <c r="N16" s="22" t="s">
        <v>30</v>
      </c>
      <c r="O16" s="23">
        <f>SUM(O13:O15)</f>
        <v>1</v>
      </c>
      <c r="P16" s="24"/>
      <c r="Q16" s="24">
        <f>SUM(Q13:Q15)</f>
        <v>121.52000000000001</v>
      </c>
      <c r="R16" s="25"/>
    </row>
    <row r="17" spans="2:25" ht="15.75" customHeight="1" x14ac:dyDescent="0.25">
      <c r="B17" s="95"/>
      <c r="C17" s="82">
        <v>1</v>
      </c>
      <c r="D17" s="83" t="s">
        <v>31</v>
      </c>
      <c r="E17" s="83"/>
      <c r="F17" s="83"/>
      <c r="G17" s="83"/>
      <c r="H17" s="26" t="s">
        <v>32</v>
      </c>
      <c r="I17" s="27">
        <v>0.6</v>
      </c>
      <c r="J17" s="82" t="s">
        <v>33</v>
      </c>
      <c r="K17" s="82"/>
      <c r="L17" s="82"/>
      <c r="N17" s="28"/>
      <c r="O17" s="29"/>
      <c r="P17" s="30"/>
      <c r="Q17" s="30"/>
      <c r="R17" s="25"/>
    </row>
    <row r="18" spans="2:25" ht="15" customHeight="1" x14ac:dyDescent="0.25">
      <c r="B18" s="95"/>
      <c r="C18" s="82"/>
      <c r="D18" s="83"/>
      <c r="E18" s="83"/>
      <c r="F18" s="83"/>
      <c r="G18" s="83"/>
      <c r="H18" s="84">
        <v>4</v>
      </c>
      <c r="I18" s="84">
        <f>VLOOKUP(H18,$J$18:$L$23,3,0)*I17</f>
        <v>66</v>
      </c>
      <c r="J18" s="6">
        <v>5</v>
      </c>
      <c r="K18" s="6" t="s">
        <v>34</v>
      </c>
      <c r="L18" s="6">
        <v>115</v>
      </c>
      <c r="N18" s="28"/>
      <c r="O18" s="107" t="s">
        <v>16</v>
      </c>
      <c r="P18" s="31" t="s">
        <v>17</v>
      </c>
      <c r="Q18" s="31" t="s">
        <v>35</v>
      </c>
      <c r="R18" s="28"/>
      <c r="W18" s="32"/>
      <c r="X18" s="32"/>
      <c r="Y18" s="32"/>
    </row>
    <row r="19" spans="2:25" x14ac:dyDescent="0.25">
      <c r="B19" s="95"/>
      <c r="C19" s="82"/>
      <c r="D19" s="83"/>
      <c r="E19" s="83"/>
      <c r="F19" s="83"/>
      <c r="G19" s="83"/>
      <c r="H19" s="84"/>
      <c r="I19" s="84"/>
      <c r="J19" s="6">
        <v>4</v>
      </c>
      <c r="K19" s="6" t="s">
        <v>34</v>
      </c>
      <c r="L19" s="6">
        <v>110</v>
      </c>
      <c r="N19" s="32"/>
      <c r="O19" s="108"/>
      <c r="P19" s="33">
        <v>0.6</v>
      </c>
      <c r="Q19" s="34">
        <f>P19*Q16</f>
        <v>72.912000000000006</v>
      </c>
    </row>
    <row r="20" spans="2:25" x14ac:dyDescent="0.25">
      <c r="B20" s="95"/>
      <c r="C20" s="82"/>
      <c r="D20" s="83"/>
      <c r="E20" s="83"/>
      <c r="F20" s="83"/>
      <c r="G20" s="83"/>
      <c r="H20" s="84"/>
      <c r="I20" s="84"/>
      <c r="J20" s="6">
        <v>3</v>
      </c>
      <c r="K20" s="6" t="s">
        <v>34</v>
      </c>
      <c r="L20" s="6">
        <v>105</v>
      </c>
    </row>
    <row r="21" spans="2:25" x14ac:dyDescent="0.25">
      <c r="B21" s="95"/>
      <c r="C21" s="82"/>
      <c r="D21" s="83"/>
      <c r="E21" s="83"/>
      <c r="F21" s="83"/>
      <c r="G21" s="83"/>
      <c r="H21" s="84"/>
      <c r="I21" s="84"/>
      <c r="J21" s="6">
        <v>2</v>
      </c>
      <c r="K21" s="6" t="s">
        <v>34</v>
      </c>
      <c r="L21" s="6">
        <v>100</v>
      </c>
      <c r="N21" s="7" t="s">
        <v>36</v>
      </c>
      <c r="O21" s="8" t="s">
        <v>17</v>
      </c>
      <c r="P21" s="8" t="s">
        <v>18</v>
      </c>
      <c r="Q21" s="8" t="s">
        <v>19</v>
      </c>
    </row>
    <row r="22" spans="2:25" ht="18.75" customHeight="1" x14ac:dyDescent="0.25">
      <c r="B22" s="95"/>
      <c r="C22" s="82"/>
      <c r="D22" s="82" t="s">
        <v>37</v>
      </c>
      <c r="E22" s="82"/>
      <c r="F22" s="82"/>
      <c r="G22" s="82"/>
      <c r="H22" s="84"/>
      <c r="I22" s="84"/>
      <c r="J22" s="35">
        <v>1</v>
      </c>
      <c r="K22" s="6" t="s">
        <v>34</v>
      </c>
      <c r="L22" s="6">
        <v>90</v>
      </c>
      <c r="N22" s="10" t="s">
        <v>22</v>
      </c>
      <c r="O22" s="11">
        <v>0.4</v>
      </c>
      <c r="P22" s="12">
        <f>H71</f>
        <v>109.55000000000001</v>
      </c>
      <c r="Q22" s="13">
        <f>O22*P22</f>
        <v>43.820000000000007</v>
      </c>
    </row>
    <row r="23" spans="2:25" x14ac:dyDescent="0.25">
      <c r="B23" s="95"/>
      <c r="C23" s="82"/>
      <c r="D23" s="82" t="s">
        <v>38</v>
      </c>
      <c r="E23" s="82"/>
      <c r="F23" s="82"/>
      <c r="G23" s="82"/>
      <c r="H23" s="84"/>
      <c r="I23" s="84"/>
      <c r="J23" s="6">
        <v>0</v>
      </c>
      <c r="K23" s="6" t="s">
        <v>34</v>
      </c>
      <c r="L23" s="6">
        <v>50</v>
      </c>
      <c r="N23" s="14" t="s">
        <v>25</v>
      </c>
      <c r="O23" s="15">
        <v>0.4</v>
      </c>
      <c r="P23" s="16">
        <f>H129</f>
        <v>98.6</v>
      </c>
      <c r="Q23" s="17">
        <f>O23*P23</f>
        <v>39.44</v>
      </c>
    </row>
    <row r="24" spans="2:25" x14ac:dyDescent="0.25">
      <c r="B24" s="95"/>
      <c r="C24" s="82"/>
      <c r="D24" s="82"/>
      <c r="E24" s="82"/>
      <c r="F24" s="82"/>
      <c r="G24" s="82"/>
      <c r="H24" s="82" t="s">
        <v>29</v>
      </c>
      <c r="I24" s="82"/>
      <c r="J24" s="82"/>
      <c r="K24" s="82"/>
      <c r="L24" s="82"/>
      <c r="N24" s="18" t="s">
        <v>27</v>
      </c>
      <c r="O24" s="19">
        <v>0.2</v>
      </c>
      <c r="P24" s="20">
        <v>104</v>
      </c>
      <c r="Q24" s="21">
        <f>O24*P24</f>
        <v>20.8</v>
      </c>
    </row>
    <row r="25" spans="2:25" x14ac:dyDescent="0.25">
      <c r="B25" s="95"/>
      <c r="C25" s="82">
        <v>2</v>
      </c>
      <c r="D25" s="83" t="s">
        <v>39</v>
      </c>
      <c r="E25" s="83"/>
      <c r="F25" s="83"/>
      <c r="G25" s="83"/>
      <c r="H25" s="26" t="s">
        <v>32</v>
      </c>
      <c r="I25" s="27">
        <v>0.4</v>
      </c>
      <c r="J25" s="82" t="s">
        <v>40</v>
      </c>
      <c r="K25" s="82"/>
      <c r="L25" s="82"/>
      <c r="N25" s="36" t="s">
        <v>30</v>
      </c>
      <c r="O25" s="23">
        <f>SUM(O22:O24)</f>
        <v>1</v>
      </c>
      <c r="P25" s="24"/>
      <c r="Q25" s="24">
        <f>SUM(Q22:Q24)</f>
        <v>104.06</v>
      </c>
    </row>
    <row r="26" spans="2:25" x14ac:dyDescent="0.25">
      <c r="B26" s="95"/>
      <c r="C26" s="82"/>
      <c r="D26" s="83"/>
      <c r="E26" s="83"/>
      <c r="F26" s="83"/>
      <c r="G26" s="83"/>
      <c r="H26" s="117">
        <v>9</v>
      </c>
      <c r="I26" s="84">
        <f>VLOOKUP(H26,$J$26:$L$33,3,0)*I25</f>
        <v>42.800000000000004</v>
      </c>
      <c r="J26" s="6">
        <v>10</v>
      </c>
      <c r="K26" s="6" t="s">
        <v>41</v>
      </c>
      <c r="L26" s="6">
        <v>110</v>
      </c>
      <c r="N26" s="28"/>
      <c r="O26" s="29"/>
      <c r="P26" s="30"/>
      <c r="Q26" s="30"/>
    </row>
    <row r="27" spans="2:25" x14ac:dyDescent="0.25">
      <c r="B27" s="95"/>
      <c r="C27" s="82"/>
      <c r="D27" s="82" t="s">
        <v>37</v>
      </c>
      <c r="E27" s="82"/>
      <c r="F27" s="82"/>
      <c r="G27" s="82"/>
      <c r="H27" s="118"/>
      <c r="I27" s="84"/>
      <c r="J27" s="6">
        <v>9</v>
      </c>
      <c r="K27" s="6" t="s">
        <v>41</v>
      </c>
      <c r="L27" s="6">
        <v>107</v>
      </c>
      <c r="N27" s="28"/>
      <c r="O27" s="107" t="s">
        <v>36</v>
      </c>
      <c r="P27" s="31" t="s">
        <v>17</v>
      </c>
      <c r="Q27" s="31" t="s">
        <v>35</v>
      </c>
    </row>
    <row r="28" spans="2:25" x14ac:dyDescent="0.25">
      <c r="B28" s="95"/>
      <c r="C28" s="82"/>
      <c r="D28" s="83" t="s">
        <v>42</v>
      </c>
      <c r="E28" s="83"/>
      <c r="F28" s="83"/>
      <c r="G28" s="83"/>
      <c r="H28" s="118"/>
      <c r="I28" s="84"/>
      <c r="J28" s="6">
        <v>8</v>
      </c>
      <c r="K28" s="6" t="s">
        <v>41</v>
      </c>
      <c r="L28" s="6">
        <v>105</v>
      </c>
      <c r="N28" s="32"/>
      <c r="O28" s="108"/>
      <c r="P28" s="33">
        <v>0.4</v>
      </c>
      <c r="Q28" s="34">
        <f>P28*Q25</f>
        <v>41.624000000000002</v>
      </c>
    </row>
    <row r="29" spans="2:25" x14ac:dyDescent="0.25">
      <c r="B29" s="95"/>
      <c r="C29" s="82"/>
      <c r="D29" s="83"/>
      <c r="E29" s="83"/>
      <c r="F29" s="83"/>
      <c r="G29" s="83"/>
      <c r="H29" s="118"/>
      <c r="I29" s="84"/>
      <c r="J29" s="6">
        <v>7</v>
      </c>
      <c r="K29" s="6" t="s">
        <v>41</v>
      </c>
      <c r="L29" s="6">
        <v>102</v>
      </c>
    </row>
    <row r="30" spans="2:25" x14ac:dyDescent="0.25">
      <c r="B30" s="95"/>
      <c r="C30" s="82"/>
      <c r="D30" s="83"/>
      <c r="E30" s="83"/>
      <c r="F30" s="83"/>
      <c r="G30" s="83"/>
      <c r="H30" s="118"/>
      <c r="I30" s="84"/>
      <c r="J30" s="6">
        <v>6</v>
      </c>
      <c r="K30" s="6" t="s">
        <v>41</v>
      </c>
      <c r="L30" s="6">
        <v>100</v>
      </c>
    </row>
    <row r="31" spans="2:25" x14ac:dyDescent="0.25">
      <c r="B31" s="95"/>
      <c r="C31" s="82"/>
      <c r="D31" s="83"/>
      <c r="E31" s="83"/>
      <c r="F31" s="83"/>
      <c r="G31" s="83"/>
      <c r="H31" s="118"/>
      <c r="I31" s="84"/>
      <c r="J31" s="6">
        <v>5</v>
      </c>
      <c r="K31" s="6" t="s">
        <v>41</v>
      </c>
      <c r="L31" s="6">
        <v>95</v>
      </c>
      <c r="N31" s="9"/>
      <c r="O31" s="8" t="s">
        <v>43</v>
      </c>
      <c r="P31" s="109">
        <f>Q19+Q28</f>
        <v>114.536</v>
      </c>
      <c r="Q31" s="109"/>
    </row>
    <row r="32" spans="2:25" ht="15" customHeight="1" x14ac:dyDescent="0.25">
      <c r="B32" s="95"/>
      <c r="C32" s="82"/>
      <c r="D32" s="83"/>
      <c r="E32" s="83"/>
      <c r="F32" s="83"/>
      <c r="G32" s="83"/>
      <c r="H32" s="118"/>
      <c r="I32" s="84"/>
      <c r="J32" s="6">
        <v>4</v>
      </c>
      <c r="K32" s="6" t="s">
        <v>41</v>
      </c>
      <c r="L32" s="35">
        <v>90</v>
      </c>
      <c r="O32" s="37" t="s">
        <v>44</v>
      </c>
      <c r="P32" s="109"/>
      <c r="Q32" s="109"/>
    </row>
    <row r="33" spans="2:17" x14ac:dyDescent="0.25">
      <c r="B33" s="95"/>
      <c r="C33" s="82"/>
      <c r="D33" s="83"/>
      <c r="E33" s="83"/>
      <c r="F33" s="83"/>
      <c r="G33" s="83"/>
      <c r="H33" s="119"/>
      <c r="I33" s="84"/>
      <c r="J33" s="6">
        <v>3</v>
      </c>
      <c r="K33" s="6" t="s">
        <v>41</v>
      </c>
      <c r="L33" s="35">
        <v>85</v>
      </c>
      <c r="O33" s="31" t="s">
        <v>45</v>
      </c>
      <c r="P33" s="110" t="str">
        <f>IF(P31&lt;90,"POOR",IF(P31&lt;=100,"GOOD",IF(P31&lt;=110,"Very Good",IF(P31&gt;110,"Excellent"))))</f>
        <v>Excellent</v>
      </c>
      <c r="Q33" s="110"/>
    </row>
    <row r="34" spans="2:17" x14ac:dyDescent="0.25">
      <c r="B34" s="95"/>
      <c r="C34" s="111" t="s">
        <v>46</v>
      </c>
      <c r="D34" s="112"/>
      <c r="E34" s="112"/>
      <c r="F34" s="112"/>
      <c r="G34" s="113"/>
      <c r="H34" s="114">
        <f>SUM(I18,I26)</f>
        <v>108.80000000000001</v>
      </c>
      <c r="I34" s="115"/>
      <c r="J34" s="115"/>
      <c r="K34" s="115"/>
      <c r="L34" s="116"/>
    </row>
    <row r="35" spans="2:17" x14ac:dyDescent="0.25">
      <c r="B35" s="95"/>
      <c r="C35" s="82" t="s">
        <v>47</v>
      </c>
      <c r="D35" s="82"/>
      <c r="E35" s="82"/>
      <c r="F35" s="82"/>
      <c r="G35" s="82"/>
      <c r="H35" s="82" t="s">
        <v>29</v>
      </c>
      <c r="I35" s="82"/>
      <c r="J35" s="82"/>
      <c r="K35" s="82"/>
      <c r="L35" s="82"/>
    </row>
    <row r="36" spans="2:17" ht="15" customHeight="1" x14ac:dyDescent="0.25">
      <c r="B36" s="95"/>
      <c r="C36" s="82">
        <v>1</v>
      </c>
      <c r="D36" s="83" t="s">
        <v>48</v>
      </c>
      <c r="E36" s="83"/>
      <c r="F36" s="83"/>
      <c r="G36" s="83"/>
      <c r="H36" s="26" t="s">
        <v>32</v>
      </c>
      <c r="I36" s="27">
        <v>0.25</v>
      </c>
      <c r="J36" s="82" t="s">
        <v>49</v>
      </c>
      <c r="K36" s="82"/>
      <c r="L36" s="82"/>
    </row>
    <row r="37" spans="2:17" x14ac:dyDescent="0.25">
      <c r="B37" s="95"/>
      <c r="C37" s="82"/>
      <c r="D37" s="83"/>
      <c r="E37" s="83"/>
      <c r="F37" s="83"/>
      <c r="G37" s="83"/>
      <c r="H37" s="84">
        <v>8</v>
      </c>
      <c r="I37" s="84">
        <f>115*I36</f>
        <v>28.75</v>
      </c>
      <c r="J37" s="35">
        <v>4</v>
      </c>
      <c r="K37" s="35" t="s">
        <v>50</v>
      </c>
      <c r="L37" s="35">
        <v>115</v>
      </c>
    </row>
    <row r="38" spans="2:17" x14ac:dyDescent="0.25">
      <c r="B38" s="95"/>
      <c r="C38" s="82"/>
      <c r="D38" s="83"/>
      <c r="E38" s="83"/>
      <c r="F38" s="83"/>
      <c r="G38" s="83"/>
      <c r="H38" s="84"/>
      <c r="I38" s="84"/>
      <c r="J38" s="35">
        <v>3</v>
      </c>
      <c r="K38" s="35" t="s">
        <v>50</v>
      </c>
      <c r="L38" s="35">
        <v>110</v>
      </c>
    </row>
    <row r="39" spans="2:17" x14ac:dyDescent="0.25">
      <c r="B39" s="95"/>
      <c r="C39" s="82"/>
      <c r="D39" s="120" t="s">
        <v>37</v>
      </c>
      <c r="E39" s="121"/>
      <c r="F39" s="121"/>
      <c r="G39" s="122"/>
      <c r="H39" s="84"/>
      <c r="I39" s="84"/>
      <c r="J39" s="35">
        <v>2</v>
      </c>
      <c r="K39" s="35" t="s">
        <v>50</v>
      </c>
      <c r="L39" s="35">
        <v>105</v>
      </c>
    </row>
    <row r="40" spans="2:17" ht="15" customHeight="1" x14ac:dyDescent="0.25">
      <c r="B40" s="95"/>
      <c r="C40" s="82"/>
      <c r="D40" s="83" t="s">
        <v>51</v>
      </c>
      <c r="E40" s="83"/>
      <c r="F40" s="83"/>
      <c r="G40" s="83"/>
      <c r="H40" s="84"/>
      <c r="I40" s="84"/>
      <c r="J40" s="35">
        <v>1</v>
      </c>
      <c r="K40" s="35" t="s">
        <v>50</v>
      </c>
      <c r="L40" s="35">
        <v>100</v>
      </c>
    </row>
    <row r="41" spans="2:17" x14ac:dyDescent="0.25">
      <c r="B41" s="95"/>
      <c r="C41" s="82"/>
      <c r="D41" s="83"/>
      <c r="E41" s="83"/>
      <c r="F41" s="83"/>
      <c r="G41" s="83"/>
      <c r="H41" s="84"/>
      <c r="I41" s="84"/>
      <c r="J41" s="35">
        <v>0</v>
      </c>
      <c r="K41" s="35" t="s">
        <v>50</v>
      </c>
      <c r="L41" s="35">
        <v>50</v>
      </c>
    </row>
    <row r="42" spans="2:17" x14ac:dyDescent="0.25">
      <c r="B42" s="95"/>
      <c r="C42" s="82"/>
      <c r="D42" s="83"/>
      <c r="E42" s="83"/>
      <c r="F42" s="83"/>
      <c r="G42" s="83"/>
      <c r="H42" s="82" t="s">
        <v>29</v>
      </c>
      <c r="I42" s="82"/>
      <c r="J42" s="82"/>
      <c r="K42" s="82"/>
      <c r="L42" s="82"/>
    </row>
    <row r="43" spans="2:17" ht="15" customHeight="1" x14ac:dyDescent="0.25">
      <c r="B43" s="95"/>
      <c r="C43" s="82">
        <v>2</v>
      </c>
      <c r="D43" s="98" t="s">
        <v>52</v>
      </c>
      <c r="E43" s="99"/>
      <c r="F43" s="99"/>
      <c r="G43" s="100"/>
      <c r="H43" s="26" t="s">
        <v>32</v>
      </c>
      <c r="I43" s="27">
        <v>0.3</v>
      </c>
      <c r="J43" s="82" t="s">
        <v>53</v>
      </c>
      <c r="K43" s="82"/>
      <c r="L43" s="82"/>
    </row>
    <row r="44" spans="2:17" x14ac:dyDescent="0.25">
      <c r="B44" s="95"/>
      <c r="C44" s="82"/>
      <c r="D44" s="101"/>
      <c r="E44" s="102"/>
      <c r="F44" s="102"/>
      <c r="G44" s="103"/>
      <c r="H44" s="84" t="s">
        <v>54</v>
      </c>
      <c r="I44" s="84">
        <f>98*I43</f>
        <v>29.4</v>
      </c>
      <c r="J44" s="35">
        <v>0</v>
      </c>
      <c r="K44" s="35" t="s">
        <v>55</v>
      </c>
      <c r="L44" s="35">
        <v>120</v>
      </c>
    </row>
    <row r="45" spans="2:17" x14ac:dyDescent="0.25">
      <c r="B45" s="95"/>
      <c r="C45" s="82"/>
      <c r="D45" s="101"/>
      <c r="E45" s="102"/>
      <c r="F45" s="102"/>
      <c r="G45" s="103"/>
      <c r="H45" s="84"/>
      <c r="I45" s="84"/>
      <c r="J45" s="35">
        <v>1</v>
      </c>
      <c r="K45" s="35" t="s">
        <v>55</v>
      </c>
      <c r="L45" s="35">
        <v>110</v>
      </c>
    </row>
    <row r="46" spans="2:17" ht="15" customHeight="1" x14ac:dyDescent="0.25">
      <c r="B46" s="95"/>
      <c r="C46" s="82"/>
      <c r="D46" s="104"/>
      <c r="E46" s="105"/>
      <c r="F46" s="105"/>
      <c r="G46" s="106"/>
      <c r="H46" s="84"/>
      <c r="I46" s="84"/>
      <c r="J46" s="35">
        <v>2</v>
      </c>
      <c r="K46" s="35" t="s">
        <v>55</v>
      </c>
      <c r="L46" s="35">
        <v>105</v>
      </c>
    </row>
    <row r="47" spans="2:17" ht="14.25" customHeight="1" x14ac:dyDescent="0.25">
      <c r="B47" s="95"/>
      <c r="C47" s="82"/>
      <c r="D47" s="98" t="s">
        <v>56</v>
      </c>
      <c r="E47" s="99"/>
      <c r="F47" s="99"/>
      <c r="G47" s="100"/>
      <c r="H47" s="84"/>
      <c r="I47" s="84"/>
      <c r="J47" s="35">
        <v>3</v>
      </c>
      <c r="K47" s="35" t="s">
        <v>55</v>
      </c>
      <c r="L47" s="35">
        <v>100</v>
      </c>
    </row>
    <row r="48" spans="2:17" x14ac:dyDescent="0.25">
      <c r="B48" s="95"/>
      <c r="C48" s="82"/>
      <c r="D48" s="101"/>
      <c r="E48" s="102"/>
      <c r="F48" s="102"/>
      <c r="G48" s="103"/>
      <c r="H48" s="84"/>
      <c r="I48" s="84"/>
      <c r="J48" s="35">
        <v>4</v>
      </c>
      <c r="K48" s="35" t="s">
        <v>55</v>
      </c>
      <c r="L48" s="35">
        <v>95</v>
      </c>
    </row>
    <row r="49" spans="2:12" x14ac:dyDescent="0.25">
      <c r="B49" s="95"/>
      <c r="C49" s="82"/>
      <c r="D49" s="101"/>
      <c r="E49" s="102"/>
      <c r="F49" s="102"/>
      <c r="G49" s="103"/>
      <c r="H49" s="84"/>
      <c r="I49" s="84"/>
      <c r="J49" s="35">
        <v>5</v>
      </c>
      <c r="K49" s="35" t="s">
        <v>55</v>
      </c>
      <c r="L49" s="35">
        <v>90</v>
      </c>
    </row>
    <row r="50" spans="2:12" x14ac:dyDescent="0.25">
      <c r="B50" s="95"/>
      <c r="C50" s="82"/>
      <c r="D50" s="101"/>
      <c r="E50" s="102"/>
      <c r="F50" s="102"/>
      <c r="G50" s="103"/>
      <c r="H50" s="84"/>
      <c r="I50" s="84"/>
      <c r="J50" s="35">
        <v>6</v>
      </c>
      <c r="K50" s="35" t="s">
        <v>55</v>
      </c>
      <c r="L50" s="35">
        <v>85</v>
      </c>
    </row>
    <row r="51" spans="2:12" x14ac:dyDescent="0.25">
      <c r="B51" s="95"/>
      <c r="C51" s="82"/>
      <c r="D51" s="101"/>
      <c r="E51" s="102"/>
      <c r="F51" s="102"/>
      <c r="G51" s="103"/>
      <c r="H51" s="84"/>
      <c r="I51" s="84"/>
      <c r="J51" s="35">
        <v>7</v>
      </c>
      <c r="K51" s="35" t="s">
        <v>55</v>
      </c>
      <c r="L51" s="35">
        <v>80</v>
      </c>
    </row>
    <row r="52" spans="2:12" x14ac:dyDescent="0.25">
      <c r="B52" s="95"/>
      <c r="C52" s="82"/>
      <c r="D52" s="104"/>
      <c r="E52" s="105"/>
      <c r="F52" s="105"/>
      <c r="G52" s="106"/>
      <c r="H52" s="82" t="s">
        <v>29</v>
      </c>
      <c r="I52" s="82"/>
      <c r="J52" s="82"/>
      <c r="K52" s="82"/>
      <c r="L52" s="82"/>
    </row>
    <row r="53" spans="2:12" ht="15" customHeight="1" x14ac:dyDescent="0.25">
      <c r="B53" s="95"/>
      <c r="C53" s="82">
        <v>3</v>
      </c>
      <c r="D53" s="83" t="s">
        <v>57</v>
      </c>
      <c r="E53" s="83"/>
      <c r="F53" s="83"/>
      <c r="G53" s="83"/>
      <c r="H53" s="26" t="s">
        <v>32</v>
      </c>
      <c r="I53" s="27">
        <v>0.25</v>
      </c>
      <c r="J53" s="82" t="s">
        <v>53</v>
      </c>
      <c r="K53" s="82"/>
      <c r="L53" s="82"/>
    </row>
    <row r="54" spans="2:12" x14ac:dyDescent="0.25">
      <c r="B54" s="95"/>
      <c r="C54" s="82"/>
      <c r="D54" s="83"/>
      <c r="E54" s="83"/>
      <c r="F54" s="83"/>
      <c r="G54" s="83"/>
      <c r="H54" s="84">
        <v>5</v>
      </c>
      <c r="I54" s="84">
        <f>VLOOKUP(H54,$J$54:$L$59,3,0)*I53</f>
        <v>30</v>
      </c>
      <c r="J54" s="35">
        <v>5</v>
      </c>
      <c r="K54" s="35" t="s">
        <v>58</v>
      </c>
      <c r="L54" s="35">
        <v>120</v>
      </c>
    </row>
    <row r="55" spans="2:12" x14ac:dyDescent="0.25">
      <c r="B55" s="95"/>
      <c r="C55" s="82"/>
      <c r="D55" s="83"/>
      <c r="E55" s="83"/>
      <c r="F55" s="83"/>
      <c r="G55" s="83"/>
      <c r="H55" s="84"/>
      <c r="I55" s="84"/>
      <c r="J55" s="35">
        <v>4</v>
      </c>
      <c r="K55" s="35" t="s">
        <v>58</v>
      </c>
      <c r="L55" s="35">
        <v>110</v>
      </c>
    </row>
    <row r="56" spans="2:12" x14ac:dyDescent="0.25">
      <c r="B56" s="95"/>
      <c r="C56" s="82"/>
      <c r="D56" s="83"/>
      <c r="E56" s="83"/>
      <c r="F56" s="83"/>
      <c r="G56" s="83"/>
      <c r="H56" s="84"/>
      <c r="I56" s="84"/>
      <c r="J56" s="35">
        <v>3</v>
      </c>
      <c r="K56" s="35" t="s">
        <v>58</v>
      </c>
      <c r="L56" s="35">
        <v>105</v>
      </c>
    </row>
    <row r="57" spans="2:12" x14ac:dyDescent="0.25">
      <c r="B57" s="95"/>
      <c r="C57" s="82"/>
      <c r="D57" s="123" t="s">
        <v>37</v>
      </c>
      <c r="E57" s="123"/>
      <c r="F57" s="123"/>
      <c r="G57" s="123"/>
      <c r="H57" s="84"/>
      <c r="I57" s="84"/>
      <c r="J57" s="35">
        <v>2</v>
      </c>
      <c r="K57" s="35" t="s">
        <v>58</v>
      </c>
      <c r="L57" s="35">
        <v>100</v>
      </c>
    </row>
    <row r="58" spans="2:12" ht="15" customHeight="1" x14ac:dyDescent="0.25">
      <c r="B58" s="95"/>
      <c r="C58" s="82"/>
      <c r="D58" s="83" t="s">
        <v>59</v>
      </c>
      <c r="E58" s="83"/>
      <c r="F58" s="83"/>
      <c r="G58" s="83"/>
      <c r="H58" s="84"/>
      <c r="I58" s="84"/>
      <c r="J58" s="35">
        <v>1</v>
      </c>
      <c r="K58" s="35" t="s">
        <v>58</v>
      </c>
      <c r="L58" s="35">
        <v>95</v>
      </c>
    </row>
    <row r="59" spans="2:12" x14ac:dyDescent="0.25">
      <c r="B59" s="95"/>
      <c r="C59" s="82"/>
      <c r="D59" s="83"/>
      <c r="E59" s="83"/>
      <c r="F59" s="83"/>
      <c r="G59" s="83"/>
      <c r="H59" s="84"/>
      <c r="I59" s="84"/>
      <c r="J59" s="35">
        <v>0</v>
      </c>
      <c r="K59" s="35" t="s">
        <v>58</v>
      </c>
      <c r="L59" s="35">
        <v>50</v>
      </c>
    </row>
    <row r="60" spans="2:12" x14ac:dyDescent="0.25">
      <c r="B60" s="95"/>
      <c r="C60" s="82"/>
      <c r="D60" s="83"/>
      <c r="E60" s="83"/>
      <c r="F60" s="83"/>
      <c r="G60" s="83"/>
      <c r="H60" s="82" t="s">
        <v>29</v>
      </c>
      <c r="I60" s="82"/>
      <c r="J60" s="82"/>
      <c r="K60" s="82"/>
      <c r="L60" s="82"/>
    </row>
    <row r="61" spans="2:12" x14ac:dyDescent="0.25">
      <c r="B61" s="95"/>
      <c r="C61" s="82">
        <v>4</v>
      </c>
      <c r="D61" s="83" t="s">
        <v>60</v>
      </c>
      <c r="E61" s="83"/>
      <c r="F61" s="83"/>
      <c r="G61" s="83"/>
      <c r="H61" s="26" t="s">
        <v>32</v>
      </c>
      <c r="I61" s="27">
        <v>0.2</v>
      </c>
      <c r="J61" s="82" t="s">
        <v>53</v>
      </c>
      <c r="K61" s="82"/>
      <c r="L61" s="82"/>
    </row>
    <row r="62" spans="2:12" x14ac:dyDescent="0.25">
      <c r="B62" s="95"/>
      <c r="C62" s="82"/>
      <c r="D62" s="83"/>
      <c r="E62" s="83"/>
      <c r="F62" s="83"/>
      <c r="G62" s="83"/>
      <c r="H62" s="84">
        <v>9</v>
      </c>
      <c r="I62" s="84">
        <f>VLOOKUP(H62,$J$62:$L$70,3,0)*I61</f>
        <v>21.400000000000002</v>
      </c>
      <c r="J62" s="35">
        <v>10</v>
      </c>
      <c r="K62" s="35" t="s">
        <v>58</v>
      </c>
      <c r="L62" s="35">
        <v>110</v>
      </c>
    </row>
    <row r="63" spans="2:12" x14ac:dyDescent="0.25">
      <c r="B63" s="95"/>
      <c r="C63" s="82"/>
      <c r="D63" s="82" t="s">
        <v>37</v>
      </c>
      <c r="E63" s="82"/>
      <c r="F63" s="82"/>
      <c r="G63" s="82"/>
      <c r="H63" s="84"/>
      <c r="I63" s="84"/>
      <c r="J63" s="35">
        <v>9</v>
      </c>
      <c r="K63" s="35" t="s">
        <v>58</v>
      </c>
      <c r="L63" s="35">
        <v>107</v>
      </c>
    </row>
    <row r="64" spans="2:12" x14ac:dyDescent="0.25">
      <c r="B64" s="95"/>
      <c r="C64" s="82"/>
      <c r="D64" s="83" t="s">
        <v>61</v>
      </c>
      <c r="E64" s="83"/>
      <c r="F64" s="83"/>
      <c r="G64" s="83"/>
      <c r="H64" s="84"/>
      <c r="I64" s="84"/>
      <c r="J64" s="35">
        <v>8</v>
      </c>
      <c r="K64" s="35" t="s">
        <v>58</v>
      </c>
      <c r="L64" s="35">
        <v>105</v>
      </c>
    </row>
    <row r="65" spans="2:12" x14ac:dyDescent="0.25">
      <c r="B65" s="95"/>
      <c r="C65" s="82"/>
      <c r="D65" s="83"/>
      <c r="E65" s="83"/>
      <c r="F65" s="83"/>
      <c r="G65" s="83"/>
      <c r="H65" s="84"/>
      <c r="I65" s="84"/>
      <c r="J65" s="35">
        <v>7</v>
      </c>
      <c r="K65" s="35" t="s">
        <v>58</v>
      </c>
      <c r="L65" s="35">
        <v>102</v>
      </c>
    </row>
    <row r="66" spans="2:12" x14ac:dyDescent="0.25">
      <c r="B66" s="95"/>
      <c r="C66" s="82"/>
      <c r="D66" s="83"/>
      <c r="E66" s="83"/>
      <c r="F66" s="83"/>
      <c r="G66" s="83"/>
      <c r="H66" s="84"/>
      <c r="I66" s="84"/>
      <c r="J66" s="35">
        <v>6</v>
      </c>
      <c r="K66" s="35" t="s">
        <v>58</v>
      </c>
      <c r="L66" s="35">
        <v>10</v>
      </c>
    </row>
    <row r="67" spans="2:12" x14ac:dyDescent="0.25">
      <c r="B67" s="95"/>
      <c r="C67" s="82"/>
      <c r="D67" s="83"/>
      <c r="E67" s="83"/>
      <c r="F67" s="83"/>
      <c r="G67" s="83"/>
      <c r="H67" s="84"/>
      <c r="I67" s="84"/>
      <c r="J67" s="35">
        <v>5</v>
      </c>
      <c r="K67" s="35" t="s">
        <v>58</v>
      </c>
      <c r="L67" s="35">
        <v>95</v>
      </c>
    </row>
    <row r="68" spans="2:12" x14ac:dyDescent="0.25">
      <c r="B68" s="95"/>
      <c r="C68" s="82"/>
      <c r="D68" s="83"/>
      <c r="E68" s="83"/>
      <c r="F68" s="83"/>
      <c r="G68" s="83"/>
      <c r="H68" s="84"/>
      <c r="I68" s="84"/>
      <c r="J68" s="35">
        <v>4</v>
      </c>
      <c r="K68" s="35" t="s">
        <v>58</v>
      </c>
      <c r="L68" s="35">
        <v>90</v>
      </c>
    </row>
    <row r="69" spans="2:12" x14ac:dyDescent="0.25">
      <c r="B69" s="95"/>
      <c r="C69" s="82"/>
      <c r="D69" s="83"/>
      <c r="E69" s="83"/>
      <c r="F69" s="83"/>
      <c r="G69" s="83"/>
      <c r="H69" s="84"/>
      <c r="I69" s="84"/>
      <c r="J69" s="35"/>
      <c r="K69" s="35"/>
      <c r="L69" s="35"/>
    </row>
    <row r="70" spans="2:12" x14ac:dyDescent="0.25">
      <c r="B70" s="95"/>
      <c r="C70" s="82"/>
      <c r="D70" s="83"/>
      <c r="E70" s="83"/>
      <c r="F70" s="83"/>
      <c r="G70" s="83"/>
      <c r="H70" s="84"/>
      <c r="I70" s="84"/>
      <c r="J70" s="35">
        <v>3</v>
      </c>
      <c r="K70" s="35" t="s">
        <v>58</v>
      </c>
      <c r="L70" s="35">
        <v>82</v>
      </c>
    </row>
    <row r="71" spans="2:12" x14ac:dyDescent="0.25">
      <c r="B71" s="38"/>
      <c r="C71" s="111" t="s">
        <v>62</v>
      </c>
      <c r="D71" s="112"/>
      <c r="E71" s="112"/>
      <c r="F71" s="112"/>
      <c r="G71" s="113"/>
      <c r="H71" s="114">
        <f>I37+I44+I54+I62</f>
        <v>109.55000000000001</v>
      </c>
      <c r="I71" s="115"/>
      <c r="J71" s="115"/>
      <c r="K71" s="115"/>
      <c r="L71" s="116"/>
    </row>
    <row r="72" spans="2:12" ht="15" customHeight="1" x14ac:dyDescent="0.25">
      <c r="B72" s="124">
        <v>2</v>
      </c>
      <c r="C72" s="83" t="s">
        <v>63</v>
      </c>
      <c r="D72" s="83"/>
      <c r="E72" s="83"/>
      <c r="F72" s="83"/>
      <c r="G72" s="83"/>
      <c r="H72" s="127"/>
      <c r="I72" s="127"/>
      <c r="J72" s="127"/>
      <c r="K72" s="127"/>
      <c r="L72" s="127"/>
    </row>
    <row r="73" spans="2:12" x14ac:dyDescent="0.25">
      <c r="B73" s="125"/>
      <c r="C73" s="83"/>
      <c r="D73" s="83"/>
      <c r="E73" s="83"/>
      <c r="F73" s="83"/>
      <c r="G73" s="83"/>
      <c r="H73" s="127"/>
      <c r="I73" s="127"/>
      <c r="J73" s="127"/>
      <c r="K73" s="127"/>
      <c r="L73" s="127"/>
    </row>
    <row r="74" spans="2:12" x14ac:dyDescent="0.25">
      <c r="B74" s="125"/>
      <c r="C74" s="128" t="s">
        <v>64</v>
      </c>
      <c r="D74" s="129"/>
      <c r="E74" s="129"/>
      <c r="F74" s="129"/>
      <c r="G74" s="130"/>
      <c r="H74" s="82" t="s">
        <v>29</v>
      </c>
      <c r="I74" s="82"/>
      <c r="J74" s="82"/>
      <c r="K74" s="82"/>
      <c r="L74" s="82"/>
    </row>
    <row r="75" spans="2:12" ht="15" customHeight="1" x14ac:dyDescent="0.25">
      <c r="B75" s="125"/>
      <c r="C75" s="82">
        <v>1</v>
      </c>
      <c r="D75" s="98" t="s">
        <v>65</v>
      </c>
      <c r="E75" s="99"/>
      <c r="F75" s="99"/>
      <c r="G75" s="100"/>
      <c r="H75" s="26" t="s">
        <v>32</v>
      </c>
      <c r="I75" s="27">
        <v>0.6</v>
      </c>
      <c r="J75" s="82" t="s">
        <v>40</v>
      </c>
      <c r="K75" s="82"/>
      <c r="L75" s="82"/>
    </row>
    <row r="76" spans="2:12" ht="15" customHeight="1" x14ac:dyDescent="0.25">
      <c r="B76" s="125"/>
      <c r="C76" s="82"/>
      <c r="D76" s="101"/>
      <c r="E76" s="102"/>
      <c r="F76" s="102"/>
      <c r="G76" s="103"/>
      <c r="H76" s="84">
        <v>13</v>
      </c>
      <c r="I76" s="84">
        <f>((H76*5)+100)*I75</f>
        <v>99</v>
      </c>
      <c r="J76" s="131">
        <v>5</v>
      </c>
      <c r="K76" s="134" t="s">
        <v>66</v>
      </c>
      <c r="L76" s="135"/>
    </row>
    <row r="77" spans="2:12" x14ac:dyDescent="0.25">
      <c r="B77" s="125"/>
      <c r="C77" s="82"/>
      <c r="D77" s="101"/>
      <c r="E77" s="102"/>
      <c r="F77" s="102"/>
      <c r="G77" s="103"/>
      <c r="H77" s="84"/>
      <c r="I77" s="84"/>
      <c r="J77" s="132"/>
      <c r="K77" s="136"/>
      <c r="L77" s="137"/>
    </row>
    <row r="78" spans="2:12" x14ac:dyDescent="0.25">
      <c r="B78" s="125"/>
      <c r="C78" s="82"/>
      <c r="D78" s="101"/>
      <c r="E78" s="102"/>
      <c r="F78" s="102"/>
      <c r="G78" s="103"/>
      <c r="H78" s="84"/>
      <c r="I78" s="84"/>
      <c r="J78" s="132"/>
      <c r="K78" s="136"/>
      <c r="L78" s="137"/>
    </row>
    <row r="79" spans="2:12" x14ac:dyDescent="0.25">
      <c r="B79" s="125"/>
      <c r="C79" s="82"/>
      <c r="D79" s="104"/>
      <c r="E79" s="105"/>
      <c r="F79" s="105"/>
      <c r="G79" s="106"/>
      <c r="H79" s="84"/>
      <c r="I79" s="84"/>
      <c r="J79" s="133"/>
      <c r="K79" s="138"/>
      <c r="L79" s="139"/>
    </row>
    <row r="80" spans="2:12" x14ac:dyDescent="0.25">
      <c r="B80" s="125"/>
      <c r="C80" s="82"/>
      <c r="D80" s="83" t="s">
        <v>37</v>
      </c>
      <c r="E80" s="83"/>
      <c r="F80" s="83"/>
      <c r="G80" s="83"/>
      <c r="H80" s="84"/>
      <c r="I80" s="84"/>
      <c r="J80" s="84">
        <v>100</v>
      </c>
      <c r="K80" s="140" t="s">
        <v>67</v>
      </c>
      <c r="L80" s="140"/>
    </row>
    <row r="81" spans="2:12" ht="15" customHeight="1" x14ac:dyDescent="0.25">
      <c r="B81" s="125"/>
      <c r="C81" s="82"/>
      <c r="D81" s="83" t="s">
        <v>68</v>
      </c>
      <c r="E81" s="83"/>
      <c r="F81" s="83"/>
      <c r="G81" s="83"/>
      <c r="H81" s="84"/>
      <c r="I81" s="84"/>
      <c r="J81" s="84"/>
      <c r="K81" s="140"/>
      <c r="L81" s="140"/>
    </row>
    <row r="82" spans="2:12" x14ac:dyDescent="0.25">
      <c r="B82" s="125"/>
      <c r="C82" s="82"/>
      <c r="D82" s="83"/>
      <c r="E82" s="83"/>
      <c r="F82" s="83"/>
      <c r="G82" s="83"/>
      <c r="H82" s="84"/>
      <c r="I82" s="84"/>
      <c r="J82" s="141">
        <v>-5</v>
      </c>
      <c r="K82" s="83" t="s">
        <v>69</v>
      </c>
      <c r="L82" s="83"/>
    </row>
    <row r="83" spans="2:12" x14ac:dyDescent="0.25">
      <c r="B83" s="125"/>
      <c r="C83" s="82"/>
      <c r="D83" s="83"/>
      <c r="E83" s="83"/>
      <c r="F83" s="83"/>
      <c r="G83" s="83"/>
      <c r="H83" s="84"/>
      <c r="I83" s="84"/>
      <c r="J83" s="141"/>
      <c r="K83" s="83"/>
      <c r="L83" s="83"/>
    </row>
    <row r="84" spans="2:12" x14ac:dyDescent="0.25">
      <c r="B84" s="125"/>
      <c r="C84" s="82"/>
      <c r="D84" s="83"/>
      <c r="E84" s="83"/>
      <c r="F84" s="83"/>
      <c r="G84" s="83"/>
      <c r="H84" s="84"/>
      <c r="I84" s="84"/>
      <c r="J84" s="141"/>
      <c r="K84" s="83"/>
      <c r="L84" s="83"/>
    </row>
    <row r="85" spans="2:12" x14ac:dyDescent="0.25">
      <c r="B85" s="125"/>
      <c r="C85" s="82"/>
      <c r="D85" s="83"/>
      <c r="E85" s="83"/>
      <c r="F85" s="83"/>
      <c r="G85" s="83"/>
      <c r="H85" s="84"/>
      <c r="I85" s="84"/>
      <c r="J85" s="141"/>
      <c r="K85" s="83"/>
      <c r="L85" s="83"/>
    </row>
    <row r="86" spans="2:12" x14ac:dyDescent="0.25">
      <c r="B86" s="125"/>
      <c r="C86" s="82"/>
      <c r="D86" s="83"/>
      <c r="E86" s="83"/>
      <c r="F86" s="83"/>
      <c r="G86" s="83"/>
      <c r="H86" s="82" t="s">
        <v>29</v>
      </c>
      <c r="I86" s="82"/>
      <c r="J86" s="82"/>
      <c r="K86" s="82"/>
      <c r="L86" s="82"/>
    </row>
    <row r="87" spans="2:12" x14ac:dyDescent="0.25">
      <c r="B87" s="125"/>
      <c r="C87" s="82">
        <v>2</v>
      </c>
      <c r="D87" s="83" t="s">
        <v>70</v>
      </c>
      <c r="E87" s="83"/>
      <c r="F87" s="83"/>
      <c r="G87" s="83"/>
      <c r="H87" s="26" t="s">
        <v>32</v>
      </c>
      <c r="I87" s="27">
        <v>0.4</v>
      </c>
      <c r="J87" s="82" t="s">
        <v>40</v>
      </c>
      <c r="K87" s="82"/>
      <c r="L87" s="82"/>
    </row>
    <row r="88" spans="2:12" x14ac:dyDescent="0.25">
      <c r="B88" s="125"/>
      <c r="C88" s="82"/>
      <c r="D88" s="83"/>
      <c r="E88" s="83"/>
      <c r="F88" s="83"/>
      <c r="G88" s="83"/>
      <c r="H88" s="84">
        <v>13</v>
      </c>
      <c r="I88" s="84">
        <f>110*I87</f>
        <v>44</v>
      </c>
      <c r="J88" s="82">
        <v>110</v>
      </c>
      <c r="K88" s="83" t="s">
        <v>71</v>
      </c>
      <c r="L88" s="83"/>
    </row>
    <row r="89" spans="2:12" x14ac:dyDescent="0.25">
      <c r="B89" s="125"/>
      <c r="C89" s="82"/>
      <c r="D89" s="83"/>
      <c r="E89" s="83"/>
      <c r="F89" s="83"/>
      <c r="G89" s="83"/>
      <c r="H89" s="84"/>
      <c r="I89" s="84"/>
      <c r="J89" s="82"/>
      <c r="K89" s="83"/>
      <c r="L89" s="83"/>
    </row>
    <row r="90" spans="2:12" x14ac:dyDescent="0.25">
      <c r="B90" s="125"/>
      <c r="C90" s="82"/>
      <c r="D90" s="83"/>
      <c r="E90" s="83"/>
      <c r="F90" s="83"/>
      <c r="G90" s="83"/>
      <c r="H90" s="84"/>
      <c r="I90" s="84"/>
      <c r="J90" s="123">
        <v>100</v>
      </c>
      <c r="K90" s="83" t="s">
        <v>72</v>
      </c>
      <c r="L90" s="83"/>
    </row>
    <row r="91" spans="2:12" x14ac:dyDescent="0.25">
      <c r="B91" s="125"/>
      <c r="C91" s="82"/>
      <c r="D91" s="83"/>
      <c r="E91" s="83"/>
      <c r="F91" s="83"/>
      <c r="G91" s="83"/>
      <c r="H91" s="84"/>
      <c r="I91" s="84"/>
      <c r="J91" s="123"/>
      <c r="K91" s="83"/>
      <c r="L91" s="83"/>
    </row>
    <row r="92" spans="2:12" x14ac:dyDescent="0.25">
      <c r="B92" s="125"/>
      <c r="C92" s="82"/>
      <c r="D92" s="82" t="s">
        <v>37</v>
      </c>
      <c r="E92" s="82"/>
      <c r="F92" s="82"/>
      <c r="G92" s="82"/>
      <c r="H92" s="84"/>
      <c r="I92" s="84"/>
      <c r="J92" s="142">
        <v>-5</v>
      </c>
      <c r="K92" s="83" t="s">
        <v>73</v>
      </c>
      <c r="L92" s="83"/>
    </row>
    <row r="93" spans="2:12" ht="15" customHeight="1" x14ac:dyDescent="0.25">
      <c r="B93" s="125"/>
      <c r="C93" s="82"/>
      <c r="D93" s="83" t="s">
        <v>74</v>
      </c>
      <c r="E93" s="83"/>
      <c r="F93" s="83"/>
      <c r="G93" s="83"/>
      <c r="H93" s="84"/>
      <c r="I93" s="84"/>
      <c r="J93" s="142"/>
      <c r="K93" s="83"/>
      <c r="L93" s="83"/>
    </row>
    <row r="94" spans="2:12" x14ac:dyDescent="0.25">
      <c r="B94" s="125"/>
      <c r="C94" s="82"/>
      <c r="D94" s="83"/>
      <c r="E94" s="83"/>
      <c r="F94" s="83"/>
      <c r="G94" s="83"/>
      <c r="H94" s="84"/>
      <c r="I94" s="84"/>
      <c r="J94" s="142"/>
      <c r="K94" s="83"/>
      <c r="L94" s="83"/>
    </row>
    <row r="95" spans="2:12" x14ac:dyDescent="0.25">
      <c r="B95" s="125"/>
      <c r="C95" s="111" t="s">
        <v>46</v>
      </c>
      <c r="D95" s="112"/>
      <c r="E95" s="112"/>
      <c r="F95" s="112"/>
      <c r="G95" s="113"/>
      <c r="H95" s="114">
        <f>I76+I88</f>
        <v>143</v>
      </c>
      <c r="I95" s="115"/>
      <c r="J95" s="115"/>
      <c r="K95" s="115"/>
      <c r="L95" s="116"/>
    </row>
    <row r="96" spans="2:12" x14ac:dyDescent="0.25">
      <c r="B96" s="125"/>
      <c r="C96" s="128" t="s">
        <v>47</v>
      </c>
      <c r="D96" s="129"/>
      <c r="E96" s="129"/>
      <c r="F96" s="129"/>
      <c r="G96" s="130"/>
      <c r="H96" s="82" t="s">
        <v>29</v>
      </c>
      <c r="I96" s="82"/>
      <c r="J96" s="82"/>
      <c r="K96" s="82"/>
      <c r="L96" s="82"/>
    </row>
    <row r="97" spans="2:12" x14ac:dyDescent="0.25">
      <c r="B97" s="125"/>
      <c r="C97" s="124">
        <v>1</v>
      </c>
      <c r="D97" s="83" t="s">
        <v>75</v>
      </c>
      <c r="E97" s="83"/>
      <c r="F97" s="83"/>
      <c r="G97" s="83"/>
      <c r="H97" s="26" t="s">
        <v>32</v>
      </c>
      <c r="I97" s="27">
        <v>0.4</v>
      </c>
      <c r="J97" s="82" t="s">
        <v>40</v>
      </c>
      <c r="K97" s="82"/>
      <c r="L97" s="82"/>
    </row>
    <row r="98" spans="2:12" x14ac:dyDescent="0.25">
      <c r="B98" s="125"/>
      <c r="C98" s="125"/>
      <c r="D98" s="83"/>
      <c r="E98" s="83"/>
      <c r="F98" s="83"/>
      <c r="G98" s="83"/>
      <c r="H98" s="117">
        <v>98</v>
      </c>
      <c r="I98" s="117">
        <f>H98*I97</f>
        <v>39.200000000000003</v>
      </c>
      <c r="J98" s="39">
        <v>120</v>
      </c>
      <c r="K98" s="39" t="s">
        <v>34</v>
      </c>
      <c r="L98" s="39" t="s">
        <v>76</v>
      </c>
    </row>
    <row r="99" spans="2:12" x14ac:dyDescent="0.25">
      <c r="B99" s="125"/>
      <c r="C99" s="125"/>
      <c r="D99" s="83"/>
      <c r="E99" s="83"/>
      <c r="F99" s="83"/>
      <c r="G99" s="83"/>
      <c r="H99" s="118"/>
      <c r="I99" s="118"/>
      <c r="J99" s="39">
        <v>110</v>
      </c>
      <c r="K99" s="39" t="s">
        <v>34</v>
      </c>
      <c r="L99" s="39" t="s">
        <v>77</v>
      </c>
    </row>
    <row r="100" spans="2:12" x14ac:dyDescent="0.25">
      <c r="B100" s="125"/>
      <c r="C100" s="125"/>
      <c r="D100" s="128" t="s">
        <v>37</v>
      </c>
      <c r="E100" s="129"/>
      <c r="F100" s="129"/>
      <c r="G100" s="130"/>
      <c r="H100" s="118"/>
      <c r="I100" s="118"/>
      <c r="J100" s="39">
        <v>108</v>
      </c>
      <c r="K100" s="39" t="s">
        <v>34</v>
      </c>
      <c r="L100" s="39" t="s">
        <v>78</v>
      </c>
    </row>
    <row r="101" spans="2:12" x14ac:dyDescent="0.25">
      <c r="B101" s="125"/>
      <c r="C101" s="125"/>
      <c r="D101" s="98" t="s">
        <v>79</v>
      </c>
      <c r="E101" s="99"/>
      <c r="F101" s="99"/>
      <c r="G101" s="100"/>
      <c r="H101" s="118"/>
      <c r="I101" s="118"/>
      <c r="J101" s="39">
        <v>105</v>
      </c>
      <c r="K101" s="39" t="s">
        <v>34</v>
      </c>
      <c r="L101" s="39" t="s">
        <v>80</v>
      </c>
    </row>
    <row r="102" spans="2:12" x14ac:dyDescent="0.25">
      <c r="B102" s="125"/>
      <c r="C102" s="125"/>
      <c r="D102" s="101"/>
      <c r="E102" s="102"/>
      <c r="F102" s="102"/>
      <c r="G102" s="103"/>
      <c r="H102" s="118"/>
      <c r="I102" s="118"/>
      <c r="J102" s="39">
        <v>103</v>
      </c>
      <c r="K102" s="39" t="s">
        <v>34</v>
      </c>
      <c r="L102" s="39" t="s">
        <v>81</v>
      </c>
    </row>
    <row r="103" spans="2:12" x14ac:dyDescent="0.25">
      <c r="B103" s="125"/>
      <c r="C103" s="125"/>
      <c r="D103" s="101"/>
      <c r="E103" s="102"/>
      <c r="F103" s="102"/>
      <c r="G103" s="103"/>
      <c r="H103" s="118"/>
      <c r="I103" s="118"/>
      <c r="J103" s="39">
        <v>100</v>
      </c>
      <c r="K103" s="39" t="s">
        <v>34</v>
      </c>
      <c r="L103" s="39" t="s">
        <v>82</v>
      </c>
    </row>
    <row r="104" spans="2:12" x14ac:dyDescent="0.25">
      <c r="B104" s="125"/>
      <c r="C104" s="125"/>
      <c r="D104" s="101"/>
      <c r="E104" s="102"/>
      <c r="F104" s="102"/>
      <c r="G104" s="103"/>
      <c r="H104" s="118"/>
      <c r="I104" s="118"/>
      <c r="J104" s="39">
        <v>98</v>
      </c>
      <c r="K104" s="39" t="s">
        <v>34</v>
      </c>
      <c r="L104" s="39" t="s">
        <v>83</v>
      </c>
    </row>
    <row r="105" spans="2:12" x14ac:dyDescent="0.25">
      <c r="B105" s="125"/>
      <c r="C105" s="125"/>
      <c r="D105" s="101"/>
      <c r="E105" s="102"/>
      <c r="F105" s="102"/>
      <c r="G105" s="103"/>
      <c r="H105" s="118"/>
      <c r="I105" s="118"/>
      <c r="J105" s="39">
        <v>95</v>
      </c>
      <c r="K105" s="39" t="s">
        <v>34</v>
      </c>
      <c r="L105" s="39" t="s">
        <v>84</v>
      </c>
    </row>
    <row r="106" spans="2:12" x14ac:dyDescent="0.25">
      <c r="B106" s="125"/>
      <c r="C106" s="125"/>
      <c r="D106" s="101"/>
      <c r="E106" s="102"/>
      <c r="F106" s="102"/>
      <c r="G106" s="103"/>
      <c r="H106" s="119"/>
      <c r="I106" s="119"/>
      <c r="J106" s="39">
        <v>93</v>
      </c>
      <c r="K106" s="39" t="s">
        <v>34</v>
      </c>
      <c r="L106" s="39" t="s">
        <v>85</v>
      </c>
    </row>
    <row r="107" spans="2:12" x14ac:dyDescent="0.25">
      <c r="B107" s="125"/>
      <c r="C107" s="126"/>
      <c r="D107" s="104"/>
      <c r="E107" s="105"/>
      <c r="F107" s="105"/>
      <c r="G107" s="106"/>
      <c r="H107" s="82" t="s">
        <v>29</v>
      </c>
      <c r="I107" s="82"/>
      <c r="J107" s="82"/>
      <c r="K107" s="82"/>
      <c r="L107" s="82"/>
    </row>
    <row r="108" spans="2:12" x14ac:dyDescent="0.25">
      <c r="B108" s="125"/>
      <c r="C108" s="124">
        <v>2</v>
      </c>
      <c r="D108" s="83" t="s">
        <v>86</v>
      </c>
      <c r="E108" s="83"/>
      <c r="F108" s="83"/>
      <c r="G108" s="83"/>
      <c r="H108" s="26" t="s">
        <v>32</v>
      </c>
      <c r="I108" s="27">
        <v>0.3</v>
      </c>
      <c r="J108" s="82" t="s">
        <v>40</v>
      </c>
      <c r="K108" s="82"/>
      <c r="L108" s="82"/>
    </row>
    <row r="109" spans="2:12" x14ac:dyDescent="0.25">
      <c r="B109" s="125"/>
      <c r="C109" s="125"/>
      <c r="D109" s="83"/>
      <c r="E109" s="83"/>
      <c r="F109" s="83"/>
      <c r="G109" s="83"/>
      <c r="H109" s="117">
        <v>100</v>
      </c>
      <c r="I109" s="117">
        <f>H109*I108</f>
        <v>30</v>
      </c>
      <c r="J109" s="39">
        <v>120</v>
      </c>
      <c r="K109" s="39" t="s">
        <v>34</v>
      </c>
      <c r="L109" s="39" t="s">
        <v>76</v>
      </c>
    </row>
    <row r="110" spans="2:12" x14ac:dyDescent="0.25">
      <c r="B110" s="125"/>
      <c r="C110" s="125"/>
      <c r="D110" s="83"/>
      <c r="E110" s="83"/>
      <c r="F110" s="83"/>
      <c r="G110" s="83"/>
      <c r="H110" s="118"/>
      <c r="I110" s="118"/>
      <c r="J110" s="39">
        <v>110</v>
      </c>
      <c r="K110" s="39" t="s">
        <v>34</v>
      </c>
      <c r="L110" s="39" t="s">
        <v>77</v>
      </c>
    </row>
    <row r="111" spans="2:12" x14ac:dyDescent="0.25">
      <c r="B111" s="125"/>
      <c r="C111" s="125"/>
      <c r="D111" s="83"/>
      <c r="E111" s="83"/>
      <c r="F111" s="83"/>
      <c r="G111" s="83"/>
      <c r="H111" s="118"/>
      <c r="I111" s="118"/>
      <c r="J111" s="39">
        <v>108</v>
      </c>
      <c r="K111" s="39" t="s">
        <v>34</v>
      </c>
      <c r="L111" s="39" t="s">
        <v>78</v>
      </c>
    </row>
    <row r="112" spans="2:12" x14ac:dyDescent="0.25">
      <c r="B112" s="125"/>
      <c r="C112" s="125"/>
      <c r="D112" s="98" t="s">
        <v>37</v>
      </c>
      <c r="E112" s="99"/>
      <c r="F112" s="99"/>
      <c r="G112" s="100"/>
      <c r="H112" s="118"/>
      <c r="I112" s="118"/>
      <c r="J112" s="39">
        <v>105</v>
      </c>
      <c r="K112" s="39" t="s">
        <v>34</v>
      </c>
      <c r="L112" s="39" t="s">
        <v>80</v>
      </c>
    </row>
    <row r="113" spans="2:12" x14ac:dyDescent="0.25">
      <c r="B113" s="125"/>
      <c r="C113" s="125"/>
      <c r="D113" s="101" t="s">
        <v>87</v>
      </c>
      <c r="E113" s="102"/>
      <c r="F113" s="102"/>
      <c r="G113" s="103"/>
      <c r="H113" s="118"/>
      <c r="I113" s="118"/>
      <c r="J113" s="39">
        <v>103</v>
      </c>
      <c r="K113" s="39" t="s">
        <v>34</v>
      </c>
      <c r="L113" s="39" t="s">
        <v>81</v>
      </c>
    </row>
    <row r="114" spans="2:12" x14ac:dyDescent="0.25">
      <c r="B114" s="125"/>
      <c r="C114" s="125"/>
      <c r="D114" s="101"/>
      <c r="E114" s="102"/>
      <c r="F114" s="102"/>
      <c r="G114" s="103"/>
      <c r="H114" s="118"/>
      <c r="I114" s="118"/>
      <c r="J114" s="39">
        <v>100</v>
      </c>
      <c r="K114" s="39" t="s">
        <v>34</v>
      </c>
      <c r="L114" s="39" t="s">
        <v>82</v>
      </c>
    </row>
    <row r="115" spans="2:12" x14ac:dyDescent="0.25">
      <c r="B115" s="125"/>
      <c r="C115" s="125"/>
      <c r="D115" s="101"/>
      <c r="E115" s="102"/>
      <c r="F115" s="102"/>
      <c r="G115" s="103"/>
      <c r="H115" s="118"/>
      <c r="I115" s="118"/>
      <c r="J115" s="39">
        <v>98</v>
      </c>
      <c r="K115" s="39" t="s">
        <v>34</v>
      </c>
      <c r="L115" s="39" t="s">
        <v>83</v>
      </c>
    </row>
    <row r="116" spans="2:12" x14ac:dyDescent="0.25">
      <c r="B116" s="125"/>
      <c r="C116" s="125"/>
      <c r="D116" s="101"/>
      <c r="E116" s="102"/>
      <c r="F116" s="102"/>
      <c r="G116" s="103"/>
      <c r="H116" s="118"/>
      <c r="I116" s="118"/>
      <c r="J116" s="39">
        <v>95</v>
      </c>
      <c r="K116" s="39" t="s">
        <v>34</v>
      </c>
      <c r="L116" s="39" t="s">
        <v>84</v>
      </c>
    </row>
    <row r="117" spans="2:12" x14ac:dyDescent="0.25">
      <c r="B117" s="125"/>
      <c r="C117" s="125"/>
      <c r="D117" s="101"/>
      <c r="E117" s="102"/>
      <c r="F117" s="102"/>
      <c r="G117" s="103"/>
      <c r="H117" s="119"/>
      <c r="I117" s="119"/>
      <c r="J117" s="39">
        <v>93</v>
      </c>
      <c r="K117" s="39" t="s">
        <v>34</v>
      </c>
      <c r="L117" s="39" t="s">
        <v>85</v>
      </c>
    </row>
    <row r="118" spans="2:12" x14ac:dyDescent="0.25">
      <c r="B118" s="125"/>
      <c r="C118" s="126"/>
      <c r="D118" s="104"/>
      <c r="E118" s="105"/>
      <c r="F118" s="105"/>
      <c r="G118" s="106"/>
      <c r="H118" s="82" t="s">
        <v>29</v>
      </c>
      <c r="I118" s="82"/>
      <c r="J118" s="82"/>
      <c r="K118" s="82"/>
      <c r="L118" s="82"/>
    </row>
    <row r="119" spans="2:12" ht="15" customHeight="1" x14ac:dyDescent="0.25">
      <c r="B119" s="125"/>
      <c r="C119" s="124">
        <v>3</v>
      </c>
      <c r="D119" s="98" t="s">
        <v>88</v>
      </c>
      <c r="E119" s="99"/>
      <c r="F119" s="99"/>
      <c r="G119" s="100"/>
      <c r="H119" s="26" t="s">
        <v>32</v>
      </c>
      <c r="I119" s="27">
        <v>0.3</v>
      </c>
      <c r="J119" s="82" t="s">
        <v>40</v>
      </c>
      <c r="K119" s="82"/>
      <c r="L119" s="82"/>
    </row>
    <row r="120" spans="2:12" x14ac:dyDescent="0.25">
      <c r="B120" s="125"/>
      <c r="C120" s="125"/>
      <c r="D120" s="101"/>
      <c r="E120" s="102"/>
      <c r="F120" s="102"/>
      <c r="G120" s="103"/>
      <c r="H120" s="117">
        <v>98</v>
      </c>
      <c r="I120" s="117">
        <f>H120*I119</f>
        <v>29.4</v>
      </c>
      <c r="J120" s="39">
        <v>120</v>
      </c>
      <c r="K120" s="39" t="s">
        <v>34</v>
      </c>
      <c r="L120" s="39" t="s">
        <v>76</v>
      </c>
    </row>
    <row r="121" spans="2:12" x14ac:dyDescent="0.25">
      <c r="B121" s="125"/>
      <c r="C121" s="125"/>
      <c r="D121" s="101"/>
      <c r="E121" s="102"/>
      <c r="F121" s="102"/>
      <c r="G121" s="103"/>
      <c r="H121" s="118"/>
      <c r="I121" s="118"/>
      <c r="J121" s="39">
        <v>110</v>
      </c>
      <c r="K121" s="39" t="s">
        <v>34</v>
      </c>
      <c r="L121" s="39" t="s">
        <v>77</v>
      </c>
    </row>
    <row r="122" spans="2:12" x14ac:dyDescent="0.25">
      <c r="B122" s="125"/>
      <c r="C122" s="125"/>
      <c r="D122" s="104"/>
      <c r="E122" s="105"/>
      <c r="F122" s="105"/>
      <c r="G122" s="106"/>
      <c r="H122" s="118"/>
      <c r="I122" s="118"/>
      <c r="J122" s="39">
        <v>108</v>
      </c>
      <c r="K122" s="39" t="s">
        <v>34</v>
      </c>
      <c r="L122" s="39" t="s">
        <v>78</v>
      </c>
    </row>
    <row r="123" spans="2:12" x14ac:dyDescent="0.25">
      <c r="B123" s="125"/>
      <c r="C123" s="125"/>
      <c r="D123" s="128" t="s">
        <v>37</v>
      </c>
      <c r="E123" s="129"/>
      <c r="F123" s="129"/>
      <c r="G123" s="130"/>
      <c r="H123" s="118"/>
      <c r="I123" s="118"/>
      <c r="J123" s="39">
        <v>105</v>
      </c>
      <c r="K123" s="39" t="s">
        <v>34</v>
      </c>
      <c r="L123" s="39" t="s">
        <v>80</v>
      </c>
    </row>
    <row r="124" spans="2:12" x14ac:dyDescent="0.25">
      <c r="B124" s="125"/>
      <c r="C124" s="125"/>
      <c r="D124" s="98" t="s">
        <v>89</v>
      </c>
      <c r="E124" s="99"/>
      <c r="F124" s="99"/>
      <c r="G124" s="100"/>
      <c r="H124" s="118"/>
      <c r="I124" s="118"/>
      <c r="J124" s="39">
        <v>103</v>
      </c>
      <c r="K124" s="39" t="s">
        <v>34</v>
      </c>
      <c r="L124" s="39" t="s">
        <v>81</v>
      </c>
    </row>
    <row r="125" spans="2:12" x14ac:dyDescent="0.25">
      <c r="B125" s="125"/>
      <c r="C125" s="125"/>
      <c r="D125" s="101"/>
      <c r="E125" s="102"/>
      <c r="F125" s="102"/>
      <c r="G125" s="103"/>
      <c r="H125" s="118"/>
      <c r="I125" s="118"/>
      <c r="J125" s="39">
        <v>100</v>
      </c>
      <c r="K125" s="39" t="s">
        <v>34</v>
      </c>
      <c r="L125" s="39" t="s">
        <v>82</v>
      </c>
    </row>
    <row r="126" spans="2:12" x14ac:dyDescent="0.25">
      <c r="B126" s="125"/>
      <c r="C126" s="125"/>
      <c r="D126" s="101"/>
      <c r="E126" s="102"/>
      <c r="F126" s="102"/>
      <c r="G126" s="103"/>
      <c r="H126" s="118"/>
      <c r="I126" s="118"/>
      <c r="J126" s="39">
        <v>98</v>
      </c>
      <c r="K126" s="39" t="s">
        <v>34</v>
      </c>
      <c r="L126" s="39" t="s">
        <v>83</v>
      </c>
    </row>
    <row r="127" spans="2:12" x14ac:dyDescent="0.25">
      <c r="B127" s="125"/>
      <c r="C127" s="125"/>
      <c r="D127" s="101"/>
      <c r="E127" s="102"/>
      <c r="F127" s="102"/>
      <c r="G127" s="103"/>
      <c r="H127" s="118"/>
      <c r="I127" s="118"/>
      <c r="J127" s="39">
        <v>95</v>
      </c>
      <c r="K127" s="39" t="s">
        <v>34</v>
      </c>
      <c r="L127" s="39" t="s">
        <v>84</v>
      </c>
    </row>
    <row r="128" spans="2:12" x14ac:dyDescent="0.25">
      <c r="B128" s="126"/>
      <c r="C128" s="126"/>
      <c r="D128" s="104"/>
      <c r="E128" s="105"/>
      <c r="F128" s="105"/>
      <c r="G128" s="106"/>
      <c r="H128" s="119"/>
      <c r="I128" s="119"/>
      <c r="J128" s="39">
        <v>93</v>
      </c>
      <c r="K128" s="39" t="s">
        <v>34</v>
      </c>
      <c r="L128" s="39" t="s">
        <v>85</v>
      </c>
    </row>
    <row r="129" spans="2:12" x14ac:dyDescent="0.25">
      <c r="B129" s="40"/>
      <c r="C129" s="111" t="s">
        <v>62</v>
      </c>
      <c r="D129" s="112"/>
      <c r="E129" s="112"/>
      <c r="F129" s="112"/>
      <c r="G129" s="113"/>
      <c r="H129" s="114">
        <f>I98+I109+I120</f>
        <v>98.6</v>
      </c>
      <c r="I129" s="115"/>
      <c r="J129" s="115"/>
      <c r="K129" s="115"/>
      <c r="L129" s="116"/>
    </row>
    <row r="130" spans="2:12" x14ac:dyDescent="0.25">
      <c r="B130" s="143">
        <v>3</v>
      </c>
      <c r="C130" s="98" t="s">
        <v>90</v>
      </c>
      <c r="D130" s="99"/>
      <c r="E130" s="99"/>
      <c r="F130" s="99"/>
      <c r="G130" s="100"/>
      <c r="H130" s="146"/>
      <c r="I130" s="147"/>
      <c r="J130" s="147"/>
      <c r="K130" s="147"/>
      <c r="L130" s="148"/>
    </row>
    <row r="131" spans="2:12" x14ac:dyDescent="0.25">
      <c r="B131" s="144"/>
      <c r="C131" s="104"/>
      <c r="D131" s="105"/>
      <c r="E131" s="105"/>
      <c r="F131" s="105"/>
      <c r="G131" s="106"/>
      <c r="H131" s="149"/>
      <c r="I131" s="150"/>
      <c r="J131" s="150"/>
      <c r="K131" s="150"/>
      <c r="L131" s="151"/>
    </row>
    <row r="132" spans="2:12" x14ac:dyDescent="0.25">
      <c r="B132" s="144"/>
      <c r="C132" s="128" t="s">
        <v>64</v>
      </c>
      <c r="D132" s="129"/>
      <c r="E132" s="129"/>
      <c r="F132" s="129"/>
      <c r="G132" s="130"/>
      <c r="H132" s="152" t="s">
        <v>29</v>
      </c>
      <c r="I132" s="152"/>
      <c r="J132" s="152"/>
      <c r="K132" s="152"/>
      <c r="L132" s="152"/>
    </row>
    <row r="133" spans="2:12" x14ac:dyDescent="0.25">
      <c r="B133" s="144"/>
      <c r="C133" s="124">
        <v>1</v>
      </c>
      <c r="D133" s="98" t="s">
        <v>91</v>
      </c>
      <c r="E133" s="99"/>
      <c r="F133" s="99"/>
      <c r="G133" s="100"/>
      <c r="H133" s="26" t="s">
        <v>32</v>
      </c>
      <c r="I133" s="27">
        <v>0.25</v>
      </c>
      <c r="J133" s="152" t="s">
        <v>40</v>
      </c>
      <c r="K133" s="152"/>
      <c r="L133" s="152"/>
    </row>
    <row r="134" spans="2:12" x14ac:dyDescent="0.25">
      <c r="B134" s="144"/>
      <c r="C134" s="125"/>
      <c r="D134" s="104"/>
      <c r="E134" s="105"/>
      <c r="F134" s="105"/>
      <c r="G134" s="106"/>
      <c r="H134" s="153"/>
      <c r="I134" s="153"/>
      <c r="J134" s="26"/>
      <c r="K134" s="26"/>
      <c r="L134" s="26"/>
    </row>
    <row r="135" spans="2:12" x14ac:dyDescent="0.25">
      <c r="B135" s="144"/>
      <c r="C135" s="125"/>
      <c r="D135" s="128" t="s">
        <v>37</v>
      </c>
      <c r="E135" s="129"/>
      <c r="F135" s="129"/>
      <c r="G135" s="130"/>
      <c r="H135" s="154"/>
      <c r="I135" s="154"/>
      <c r="J135" s="26"/>
      <c r="K135" s="26"/>
      <c r="L135" s="26"/>
    </row>
    <row r="136" spans="2:12" x14ac:dyDescent="0.25">
      <c r="B136" s="144"/>
      <c r="C136" s="126"/>
      <c r="D136" s="111"/>
      <c r="E136" s="112"/>
      <c r="F136" s="112"/>
      <c r="G136" s="113"/>
      <c r="H136" s="155"/>
      <c r="I136" s="155"/>
      <c r="J136" s="26"/>
      <c r="K136" s="26"/>
      <c r="L136" s="26"/>
    </row>
    <row r="137" spans="2:12" x14ac:dyDescent="0.25">
      <c r="B137" s="144"/>
      <c r="C137" s="128" t="s">
        <v>47</v>
      </c>
      <c r="D137" s="129"/>
      <c r="E137" s="129"/>
      <c r="F137" s="129"/>
      <c r="G137" s="130"/>
      <c r="H137" s="152" t="s">
        <v>29</v>
      </c>
      <c r="I137" s="152"/>
      <c r="J137" s="152"/>
      <c r="K137" s="152"/>
      <c r="L137" s="152"/>
    </row>
    <row r="138" spans="2:12" ht="15" customHeight="1" x14ac:dyDescent="0.25">
      <c r="B138" s="144"/>
      <c r="C138" s="124">
        <v>1</v>
      </c>
      <c r="D138" s="98" t="s">
        <v>92</v>
      </c>
      <c r="E138" s="99"/>
      <c r="F138" s="99"/>
      <c r="G138" s="100"/>
      <c r="H138" s="26" t="s">
        <v>32</v>
      </c>
      <c r="I138" s="27">
        <v>0.25</v>
      </c>
      <c r="J138" s="152" t="s">
        <v>40</v>
      </c>
      <c r="K138" s="152"/>
      <c r="L138" s="152"/>
    </row>
    <row r="139" spans="2:12" x14ac:dyDescent="0.25">
      <c r="B139" s="144"/>
      <c r="C139" s="125"/>
      <c r="D139" s="101"/>
      <c r="E139" s="102"/>
      <c r="F139" s="102"/>
      <c r="G139" s="103"/>
      <c r="H139" s="153"/>
      <c r="I139" s="153"/>
      <c r="J139" s="26"/>
      <c r="K139" s="26"/>
      <c r="L139" s="26"/>
    </row>
    <row r="140" spans="2:12" x14ac:dyDescent="0.25">
      <c r="B140" s="144"/>
      <c r="C140" s="125"/>
      <c r="D140" s="104"/>
      <c r="E140" s="105"/>
      <c r="F140" s="105"/>
      <c r="G140" s="106"/>
      <c r="H140" s="154"/>
      <c r="I140" s="154"/>
      <c r="J140" s="26"/>
      <c r="K140" s="26"/>
      <c r="L140" s="26"/>
    </row>
    <row r="141" spans="2:12" x14ac:dyDescent="0.25">
      <c r="B141" s="144"/>
      <c r="C141" s="125"/>
      <c r="D141" s="120" t="s">
        <v>37</v>
      </c>
      <c r="E141" s="121"/>
      <c r="F141" s="121"/>
      <c r="G141" s="122"/>
      <c r="H141" s="154"/>
      <c r="I141" s="154"/>
      <c r="J141" s="26"/>
      <c r="K141" s="26"/>
      <c r="L141" s="26"/>
    </row>
    <row r="142" spans="2:12" x14ac:dyDescent="0.25">
      <c r="B142" s="144"/>
      <c r="C142" s="125"/>
      <c r="D142" s="146"/>
      <c r="E142" s="147"/>
      <c r="F142" s="147"/>
      <c r="G142" s="148"/>
      <c r="H142" s="154"/>
      <c r="I142" s="154"/>
      <c r="J142" s="26"/>
      <c r="K142" s="26"/>
      <c r="L142" s="26"/>
    </row>
    <row r="143" spans="2:12" x14ac:dyDescent="0.25">
      <c r="B143" s="144"/>
      <c r="C143" s="125"/>
      <c r="D143" s="156"/>
      <c r="E143" s="157"/>
      <c r="F143" s="157"/>
      <c r="G143" s="158"/>
      <c r="H143" s="154"/>
      <c r="I143" s="154"/>
      <c r="J143" s="26"/>
      <c r="K143" s="26"/>
      <c r="L143" s="26"/>
    </row>
    <row r="144" spans="2:12" x14ac:dyDescent="0.25">
      <c r="B144" s="145"/>
      <c r="C144" s="126"/>
      <c r="D144" s="149"/>
      <c r="E144" s="150"/>
      <c r="F144" s="150"/>
      <c r="G144" s="151"/>
      <c r="H144" s="155"/>
      <c r="I144" s="155"/>
      <c r="J144" s="26"/>
      <c r="K144" s="26"/>
      <c r="L144" s="26"/>
    </row>
    <row r="145" spans="2:12" x14ac:dyDescent="0.25">
      <c r="B145" s="41"/>
      <c r="C145" s="111" t="s">
        <v>46</v>
      </c>
      <c r="D145" s="112"/>
      <c r="E145" s="112"/>
      <c r="F145" s="112"/>
      <c r="G145" s="113"/>
      <c r="H145" s="42"/>
      <c r="I145" s="42"/>
      <c r="J145" s="26"/>
      <c r="K145" s="26"/>
      <c r="L145" s="26"/>
    </row>
    <row r="146" spans="2:12" x14ac:dyDescent="0.25">
      <c r="B146" s="95">
        <v>4</v>
      </c>
      <c r="C146" s="6" t="s">
        <v>93</v>
      </c>
      <c r="D146" s="6"/>
      <c r="E146" s="6"/>
      <c r="F146" s="6"/>
      <c r="G146" s="6"/>
      <c r="H146" s="152" t="s">
        <v>29</v>
      </c>
      <c r="I146" s="152"/>
      <c r="J146" s="152"/>
      <c r="K146" s="152"/>
      <c r="L146" s="152"/>
    </row>
    <row r="147" spans="2:12" x14ac:dyDescent="0.25">
      <c r="B147" s="95"/>
      <c r="C147" s="82" t="s">
        <v>64</v>
      </c>
      <c r="D147" s="82"/>
      <c r="E147" s="82"/>
      <c r="F147" s="82"/>
      <c r="G147" s="82"/>
      <c r="H147" s="26" t="s">
        <v>32</v>
      </c>
      <c r="I147" s="27">
        <v>0.7</v>
      </c>
      <c r="J147" s="152" t="s">
        <v>40</v>
      </c>
      <c r="K147" s="152"/>
      <c r="L147" s="152"/>
    </row>
    <row r="148" spans="2:12" x14ac:dyDescent="0.25">
      <c r="B148" s="95"/>
      <c r="C148" s="82">
        <v>1</v>
      </c>
      <c r="D148" s="159" t="s">
        <v>94</v>
      </c>
      <c r="E148" s="159"/>
      <c r="F148" s="159"/>
      <c r="G148" s="159"/>
      <c r="H148" s="117">
        <f>12-E150-E156</f>
        <v>1</v>
      </c>
      <c r="I148" s="117">
        <f>VLOOKUP(H148,J148:L161,3,0)*I147</f>
        <v>73.5</v>
      </c>
      <c r="J148" s="26">
        <v>12</v>
      </c>
      <c r="K148" s="26" t="s">
        <v>95</v>
      </c>
      <c r="L148" s="26">
        <v>160</v>
      </c>
    </row>
    <row r="149" spans="2:12" x14ac:dyDescent="0.25">
      <c r="B149" s="95"/>
      <c r="C149" s="82"/>
      <c r="D149" s="160" t="s">
        <v>96</v>
      </c>
      <c r="E149" s="160"/>
      <c r="F149" s="160"/>
      <c r="G149" s="160"/>
      <c r="H149" s="118"/>
      <c r="I149" s="118"/>
      <c r="J149" s="26">
        <v>11</v>
      </c>
      <c r="K149" s="26" t="s">
        <v>95</v>
      </c>
      <c r="L149" s="26">
        <v>155</v>
      </c>
    </row>
    <row r="150" spans="2:12" x14ac:dyDescent="0.25">
      <c r="B150" s="95"/>
      <c r="C150" s="82"/>
      <c r="D150" s="82" t="s">
        <v>97</v>
      </c>
      <c r="E150" s="161">
        <v>7</v>
      </c>
      <c r="F150" s="161"/>
      <c r="G150" s="161"/>
      <c r="H150" s="118"/>
      <c r="I150" s="118"/>
      <c r="J150" s="26">
        <v>10</v>
      </c>
      <c r="K150" s="26" t="s">
        <v>95</v>
      </c>
      <c r="L150" s="26">
        <v>150</v>
      </c>
    </row>
    <row r="151" spans="2:12" x14ac:dyDescent="0.25">
      <c r="B151" s="95"/>
      <c r="C151" s="82"/>
      <c r="D151" s="82"/>
      <c r="E151" s="161"/>
      <c r="F151" s="161"/>
      <c r="G151" s="161"/>
      <c r="H151" s="118"/>
      <c r="I151" s="118"/>
      <c r="J151" s="26">
        <v>9</v>
      </c>
      <c r="K151" s="26" t="s">
        <v>95</v>
      </c>
      <c r="L151" s="26">
        <v>145</v>
      </c>
    </row>
    <row r="152" spans="2:12" x14ac:dyDescent="0.25">
      <c r="B152" s="95"/>
      <c r="C152" s="82"/>
      <c r="D152" s="82"/>
      <c r="E152" s="161"/>
      <c r="F152" s="161"/>
      <c r="G152" s="161"/>
      <c r="H152" s="118"/>
      <c r="I152" s="118"/>
      <c r="J152" s="26">
        <v>8</v>
      </c>
      <c r="K152" s="26" t="s">
        <v>95</v>
      </c>
      <c r="L152" s="26">
        <v>140</v>
      </c>
    </row>
    <row r="153" spans="2:12" x14ac:dyDescent="0.25">
      <c r="B153" s="95"/>
      <c r="C153" s="82"/>
      <c r="D153" s="82"/>
      <c r="E153" s="161"/>
      <c r="F153" s="161"/>
      <c r="G153" s="161"/>
      <c r="H153" s="118"/>
      <c r="I153" s="118"/>
      <c r="J153" s="26">
        <v>7</v>
      </c>
      <c r="K153" s="26" t="s">
        <v>95</v>
      </c>
      <c r="L153" s="26">
        <v>135</v>
      </c>
    </row>
    <row r="154" spans="2:12" x14ac:dyDescent="0.25">
      <c r="B154" s="95"/>
      <c r="C154" s="82"/>
      <c r="D154" s="82"/>
      <c r="E154" s="161"/>
      <c r="F154" s="161"/>
      <c r="G154" s="161"/>
      <c r="H154" s="118"/>
      <c r="I154" s="118"/>
      <c r="J154" s="26">
        <v>6</v>
      </c>
      <c r="K154" s="26" t="s">
        <v>95</v>
      </c>
      <c r="L154" s="26">
        <v>130</v>
      </c>
    </row>
    <row r="155" spans="2:12" x14ac:dyDescent="0.25">
      <c r="B155" s="95"/>
      <c r="C155" s="82"/>
      <c r="D155" s="82"/>
      <c r="E155" s="161"/>
      <c r="F155" s="161"/>
      <c r="G155" s="161"/>
      <c r="H155" s="118"/>
      <c r="I155" s="118"/>
      <c r="J155" s="26">
        <v>5</v>
      </c>
      <c r="K155" s="26" t="s">
        <v>95</v>
      </c>
      <c r="L155" s="26">
        <v>125</v>
      </c>
    </row>
    <row r="156" spans="2:12" x14ac:dyDescent="0.25">
      <c r="B156" s="95"/>
      <c r="C156" s="82"/>
      <c r="D156" s="152" t="s">
        <v>95</v>
      </c>
      <c r="E156" s="95">
        <v>4</v>
      </c>
      <c r="F156" s="95"/>
      <c r="G156" s="95"/>
      <c r="H156" s="118"/>
      <c r="I156" s="118"/>
      <c r="J156" s="26">
        <v>4</v>
      </c>
      <c r="K156" s="26" t="s">
        <v>95</v>
      </c>
      <c r="L156" s="26">
        <v>120</v>
      </c>
    </row>
    <row r="157" spans="2:12" x14ac:dyDescent="0.25">
      <c r="B157" s="95"/>
      <c r="C157" s="82"/>
      <c r="D157" s="152"/>
      <c r="E157" s="95"/>
      <c r="F157" s="95"/>
      <c r="G157" s="95"/>
      <c r="H157" s="118"/>
      <c r="I157" s="118"/>
      <c r="J157" s="26">
        <v>3</v>
      </c>
      <c r="K157" s="26" t="s">
        <v>95</v>
      </c>
      <c r="L157" s="26">
        <v>115</v>
      </c>
    </row>
    <row r="158" spans="2:12" x14ac:dyDescent="0.25">
      <c r="B158" s="95"/>
      <c r="C158" s="82"/>
      <c r="D158" s="152"/>
      <c r="E158" s="95"/>
      <c r="F158" s="95"/>
      <c r="G158" s="95"/>
      <c r="H158" s="118"/>
      <c r="I158" s="118"/>
      <c r="J158" s="26">
        <v>2</v>
      </c>
      <c r="K158" s="26" t="s">
        <v>95</v>
      </c>
      <c r="L158" s="26">
        <v>110</v>
      </c>
    </row>
    <row r="159" spans="2:12" x14ac:dyDescent="0.25">
      <c r="B159" s="95"/>
      <c r="C159" s="82"/>
      <c r="D159" s="152"/>
      <c r="E159" s="95"/>
      <c r="F159" s="95"/>
      <c r="G159" s="95"/>
      <c r="H159" s="118"/>
      <c r="I159" s="118"/>
      <c r="J159" s="26">
        <v>1</v>
      </c>
      <c r="K159" s="26" t="s">
        <v>95</v>
      </c>
      <c r="L159" s="26">
        <v>105</v>
      </c>
    </row>
    <row r="160" spans="2:12" x14ac:dyDescent="0.25">
      <c r="B160" s="95"/>
      <c r="C160" s="82"/>
      <c r="D160" s="152"/>
      <c r="E160" s="95"/>
      <c r="F160" s="95"/>
      <c r="G160" s="95"/>
      <c r="H160" s="118"/>
      <c r="I160" s="118"/>
      <c r="J160" s="26">
        <v>0</v>
      </c>
      <c r="K160" s="26" t="s">
        <v>95</v>
      </c>
      <c r="L160" s="26">
        <v>100</v>
      </c>
    </row>
    <row r="161" spans="2:12" x14ac:dyDescent="0.25">
      <c r="B161" s="95"/>
      <c r="C161" s="82"/>
      <c r="D161" s="152"/>
      <c r="E161" s="95"/>
      <c r="F161" s="95"/>
      <c r="G161" s="95"/>
      <c r="H161" s="119"/>
      <c r="I161" s="119"/>
      <c r="J161" s="26">
        <v>1</v>
      </c>
      <c r="K161" s="26" t="s">
        <v>98</v>
      </c>
      <c r="L161" s="26">
        <v>-5</v>
      </c>
    </row>
    <row r="162" spans="2:12" x14ac:dyDescent="0.25">
      <c r="B162" s="95"/>
      <c r="C162" s="82"/>
      <c r="D162" s="152"/>
      <c r="E162" s="95"/>
      <c r="F162" s="95"/>
      <c r="G162" s="95"/>
      <c r="H162" s="152" t="s">
        <v>29</v>
      </c>
      <c r="I162" s="152"/>
      <c r="J162" s="152"/>
      <c r="K162" s="152"/>
      <c r="L162" s="152"/>
    </row>
    <row r="163" spans="2:12" x14ac:dyDescent="0.25">
      <c r="B163" s="95"/>
      <c r="C163" s="83">
        <v>2</v>
      </c>
      <c r="D163" s="82" t="s">
        <v>99</v>
      </c>
      <c r="E163" s="82"/>
      <c r="F163" s="82"/>
      <c r="G163" s="82"/>
      <c r="H163" s="26" t="s">
        <v>32</v>
      </c>
      <c r="I163" s="27">
        <v>0.2</v>
      </c>
      <c r="J163" s="152" t="s">
        <v>40</v>
      </c>
      <c r="K163" s="152"/>
      <c r="L163" s="152"/>
    </row>
    <row r="164" spans="2:12" ht="15" customHeight="1" x14ac:dyDescent="0.25">
      <c r="B164" s="95"/>
      <c r="C164" s="83"/>
      <c r="D164" s="82" t="s">
        <v>96</v>
      </c>
      <c r="E164" s="82"/>
      <c r="F164" s="82"/>
      <c r="G164" s="82"/>
      <c r="H164" s="153">
        <v>1</v>
      </c>
      <c r="I164" s="153">
        <f>VLOOKUP(H164,$J$164:$L$168,3,0)*I163</f>
        <v>19.5</v>
      </c>
      <c r="J164" s="43">
        <v>0</v>
      </c>
      <c r="K164" s="174" t="s">
        <v>100</v>
      </c>
      <c r="L164" s="44">
        <v>110</v>
      </c>
    </row>
    <row r="165" spans="2:12" x14ac:dyDescent="0.25">
      <c r="B165" s="95"/>
      <c r="C165" s="83"/>
      <c r="D165" s="82" t="s">
        <v>101</v>
      </c>
      <c r="E165" s="82"/>
      <c r="F165" s="82"/>
      <c r="G165" s="82"/>
      <c r="H165" s="154"/>
      <c r="I165" s="154"/>
      <c r="J165" s="43">
        <v>1</v>
      </c>
      <c r="K165" s="174"/>
      <c r="L165" s="44">
        <v>97.5</v>
      </c>
    </row>
    <row r="166" spans="2:12" x14ac:dyDescent="0.25">
      <c r="B166" s="95"/>
      <c r="C166" s="83"/>
      <c r="D166" s="82"/>
      <c r="E166" s="82"/>
      <c r="F166" s="82"/>
      <c r="G166" s="82"/>
      <c r="H166" s="154"/>
      <c r="I166" s="154"/>
      <c r="J166" s="43">
        <v>2</v>
      </c>
      <c r="K166" s="174"/>
      <c r="L166" s="45">
        <v>95</v>
      </c>
    </row>
    <row r="167" spans="2:12" x14ac:dyDescent="0.25">
      <c r="B167" s="95"/>
      <c r="C167" s="83"/>
      <c r="D167" s="82"/>
      <c r="E167" s="82"/>
      <c r="F167" s="82"/>
      <c r="G167" s="82"/>
      <c r="H167" s="154"/>
      <c r="I167" s="154"/>
      <c r="J167" s="43">
        <v>3</v>
      </c>
      <c r="K167" s="174"/>
      <c r="L167" s="45">
        <f>L166-2.5</f>
        <v>92.5</v>
      </c>
    </row>
    <row r="168" spans="2:12" x14ac:dyDescent="0.25">
      <c r="B168" s="95"/>
      <c r="C168" s="83"/>
      <c r="D168" s="82"/>
      <c r="E168" s="82"/>
      <c r="F168" s="82"/>
      <c r="G168" s="82"/>
      <c r="H168" s="155"/>
      <c r="I168" s="155"/>
      <c r="J168" s="43">
        <v>4</v>
      </c>
      <c r="K168" s="174"/>
      <c r="L168" s="45">
        <f>L167-2.5</f>
        <v>90</v>
      </c>
    </row>
    <row r="169" spans="2:12" x14ac:dyDescent="0.25">
      <c r="B169" s="95"/>
      <c r="C169" s="83"/>
      <c r="D169" s="82"/>
      <c r="E169" s="82"/>
      <c r="F169" s="82"/>
      <c r="G169" s="82"/>
      <c r="H169" s="152" t="s">
        <v>29</v>
      </c>
      <c r="I169" s="152"/>
      <c r="J169" s="152"/>
      <c r="K169" s="152"/>
      <c r="L169" s="152"/>
    </row>
    <row r="170" spans="2:12" x14ac:dyDescent="0.25">
      <c r="B170" s="95"/>
      <c r="C170" s="82">
        <v>3</v>
      </c>
      <c r="D170" s="82" t="s">
        <v>102</v>
      </c>
      <c r="E170" s="82"/>
      <c r="F170" s="82"/>
      <c r="G170" s="82"/>
      <c r="H170" s="26" t="s">
        <v>32</v>
      </c>
      <c r="I170" s="27">
        <v>0.1</v>
      </c>
      <c r="J170" s="152" t="s">
        <v>40</v>
      </c>
      <c r="K170" s="152"/>
      <c r="L170" s="152"/>
    </row>
    <row r="171" spans="2:12" ht="15" customHeight="1" x14ac:dyDescent="0.25">
      <c r="B171" s="95"/>
      <c r="C171" s="82"/>
      <c r="D171" s="82" t="s">
        <v>96</v>
      </c>
      <c r="E171" s="82"/>
      <c r="F171" s="82"/>
      <c r="G171" s="82"/>
      <c r="H171" s="117">
        <v>0</v>
      </c>
      <c r="I171" s="117">
        <f>VLOOKUP(H171,$J$171:$L$176,3,0)*I170</f>
        <v>11</v>
      </c>
      <c r="J171" s="43">
        <v>0</v>
      </c>
      <c r="K171" s="162" t="s">
        <v>103</v>
      </c>
      <c r="L171" s="44">
        <v>110</v>
      </c>
    </row>
    <row r="172" spans="2:12" x14ac:dyDescent="0.25">
      <c r="B172" s="95"/>
      <c r="C172" s="82"/>
      <c r="D172" s="82" t="s">
        <v>104</v>
      </c>
      <c r="E172" s="82"/>
      <c r="F172" s="82"/>
      <c r="G172" s="82"/>
      <c r="H172" s="118"/>
      <c r="I172" s="118"/>
      <c r="J172" s="43">
        <v>1</v>
      </c>
      <c r="K172" s="162"/>
      <c r="L172" s="44">
        <v>97.5</v>
      </c>
    </row>
    <row r="173" spans="2:12" x14ac:dyDescent="0.25">
      <c r="B173" s="95"/>
      <c r="C173" s="82"/>
      <c r="D173" s="82"/>
      <c r="E173" s="82"/>
      <c r="F173" s="82"/>
      <c r="G173" s="82"/>
      <c r="H173" s="118"/>
      <c r="I173" s="118"/>
      <c r="J173" s="43">
        <v>2</v>
      </c>
      <c r="K173" s="162"/>
      <c r="L173" s="45">
        <v>95</v>
      </c>
    </row>
    <row r="174" spans="2:12" x14ac:dyDescent="0.25">
      <c r="B174" s="95"/>
      <c r="C174" s="82"/>
      <c r="D174" s="82"/>
      <c r="E174" s="82"/>
      <c r="F174" s="82"/>
      <c r="G174" s="82"/>
      <c r="H174" s="118"/>
      <c r="I174" s="118"/>
      <c r="J174" s="43">
        <v>3</v>
      </c>
      <c r="K174" s="162"/>
      <c r="L174" s="45">
        <f>L173-2.5</f>
        <v>92.5</v>
      </c>
    </row>
    <row r="175" spans="2:12" x14ac:dyDescent="0.25">
      <c r="B175" s="95"/>
      <c r="C175" s="82"/>
      <c r="D175" s="82"/>
      <c r="E175" s="82"/>
      <c r="F175" s="82"/>
      <c r="G175" s="82"/>
      <c r="H175" s="118"/>
      <c r="I175" s="118"/>
      <c r="J175" s="43">
        <v>4</v>
      </c>
      <c r="K175" s="162"/>
      <c r="L175" s="45">
        <f>L174-2.5</f>
        <v>90</v>
      </c>
    </row>
    <row r="176" spans="2:12" x14ac:dyDescent="0.25">
      <c r="B176" s="95"/>
      <c r="C176" s="82"/>
      <c r="D176" s="82"/>
      <c r="E176" s="82"/>
      <c r="F176" s="82"/>
      <c r="G176" s="82"/>
      <c r="H176" s="119"/>
      <c r="I176" s="119"/>
      <c r="J176" s="26"/>
      <c r="K176" s="162"/>
      <c r="L176" s="26"/>
    </row>
    <row r="177" spans="2:12" x14ac:dyDescent="0.25">
      <c r="B177" s="95"/>
      <c r="C177" s="95" t="s">
        <v>46</v>
      </c>
      <c r="D177" s="95"/>
      <c r="E177" s="95"/>
      <c r="F177" s="95"/>
      <c r="G177" s="95"/>
      <c r="H177" s="84">
        <f>I148+I164+I171</f>
        <v>104</v>
      </c>
      <c r="I177" s="84"/>
      <c r="J177" s="84"/>
      <c r="K177" s="84"/>
      <c r="L177" s="84"/>
    </row>
    <row r="180" spans="2:12" x14ac:dyDescent="0.25">
      <c r="B180" s="163" t="s">
        <v>105</v>
      </c>
      <c r="C180" s="163"/>
      <c r="D180" s="163"/>
      <c r="E180" s="163"/>
      <c r="F180" s="163"/>
      <c r="G180" s="163"/>
      <c r="H180" s="163"/>
      <c r="I180" s="163"/>
      <c r="J180" s="163"/>
      <c r="K180" s="163"/>
      <c r="L180" s="163"/>
    </row>
    <row r="181" spans="2:12" x14ac:dyDescent="0.25">
      <c r="B181" s="164"/>
      <c r="C181" s="164"/>
      <c r="D181" s="164"/>
      <c r="E181" s="164"/>
      <c r="F181" s="164"/>
      <c r="G181" s="164"/>
      <c r="H181" s="164"/>
      <c r="I181" s="164"/>
      <c r="J181" s="164"/>
      <c r="K181" s="164"/>
      <c r="L181" s="164"/>
    </row>
    <row r="182" spans="2:12" x14ac:dyDescent="0.25">
      <c r="B182" s="165"/>
      <c r="C182" s="166"/>
      <c r="D182" s="166"/>
      <c r="E182" s="166"/>
      <c r="F182" s="166"/>
      <c r="G182" s="166"/>
      <c r="H182" s="166"/>
      <c r="I182" s="166"/>
      <c r="J182" s="166"/>
      <c r="K182" s="166"/>
      <c r="L182" s="167"/>
    </row>
    <row r="183" spans="2:12" x14ac:dyDescent="0.25">
      <c r="B183" s="168"/>
      <c r="C183" s="169"/>
      <c r="D183" s="169"/>
      <c r="E183" s="169"/>
      <c r="F183" s="169"/>
      <c r="G183" s="169"/>
      <c r="H183" s="169"/>
      <c r="I183" s="169"/>
      <c r="J183" s="169"/>
      <c r="K183" s="169"/>
      <c r="L183" s="170"/>
    </row>
    <row r="184" spans="2:12" x14ac:dyDescent="0.25">
      <c r="B184" s="168"/>
      <c r="C184" s="169"/>
      <c r="D184" s="169"/>
      <c r="E184" s="169"/>
      <c r="F184" s="169"/>
      <c r="G184" s="169"/>
      <c r="H184" s="169"/>
      <c r="I184" s="169"/>
      <c r="J184" s="169"/>
      <c r="K184" s="169"/>
      <c r="L184" s="170"/>
    </row>
    <row r="185" spans="2:12" x14ac:dyDescent="0.25">
      <c r="B185" s="171"/>
      <c r="C185" s="172"/>
      <c r="D185" s="172"/>
      <c r="E185" s="172"/>
      <c r="F185" s="172"/>
      <c r="G185" s="172"/>
      <c r="H185" s="172"/>
      <c r="I185" s="172"/>
      <c r="J185" s="172"/>
      <c r="K185" s="172"/>
      <c r="L185" s="173"/>
    </row>
    <row r="187" spans="2:12" x14ac:dyDescent="0.25">
      <c r="B187" s="163" t="s">
        <v>106</v>
      </c>
      <c r="C187" s="163"/>
      <c r="D187" s="163"/>
      <c r="E187" s="163"/>
      <c r="F187" s="163"/>
      <c r="G187" s="163"/>
      <c r="H187" s="163"/>
      <c r="I187" s="163"/>
      <c r="J187" s="163"/>
      <c r="K187" s="163"/>
      <c r="L187" s="163"/>
    </row>
    <row r="188" spans="2:12" x14ac:dyDescent="0.25">
      <c r="B188" s="163"/>
      <c r="C188" s="163"/>
      <c r="D188" s="163"/>
      <c r="E188" s="163"/>
      <c r="F188" s="163"/>
      <c r="G188" s="163"/>
      <c r="H188" s="163"/>
      <c r="I188" s="163"/>
      <c r="J188" s="163"/>
      <c r="K188" s="163"/>
      <c r="L188" s="163"/>
    </row>
    <row r="189" spans="2:12" x14ac:dyDescent="0.25">
      <c r="B189" s="123"/>
      <c r="C189" s="123"/>
      <c r="D189" s="123"/>
      <c r="E189" s="123"/>
      <c r="F189" s="123"/>
      <c r="G189" s="123"/>
      <c r="H189" s="123"/>
      <c r="I189" s="123"/>
      <c r="J189" s="123"/>
      <c r="K189" s="123"/>
      <c r="L189" s="123"/>
    </row>
    <row r="190" spans="2:12" x14ac:dyDescent="0.25">
      <c r="B190" s="123"/>
      <c r="C190" s="123"/>
      <c r="D190" s="123"/>
      <c r="E190" s="123"/>
      <c r="F190" s="123"/>
      <c r="G190" s="123"/>
      <c r="H190" s="123"/>
      <c r="I190" s="123"/>
      <c r="J190" s="123"/>
      <c r="K190" s="123"/>
      <c r="L190" s="123"/>
    </row>
    <row r="191" spans="2:12" x14ac:dyDescent="0.25">
      <c r="B191" s="123"/>
      <c r="C191" s="123"/>
      <c r="D191" s="123"/>
      <c r="E191" s="123"/>
      <c r="F191" s="123"/>
      <c r="G191" s="123"/>
      <c r="H191" s="123"/>
      <c r="I191" s="123"/>
      <c r="J191" s="123"/>
      <c r="K191" s="123"/>
      <c r="L191" s="123"/>
    </row>
    <row r="192" spans="2:12" x14ac:dyDescent="0.25">
      <c r="B192" s="123"/>
      <c r="C192" s="123"/>
      <c r="D192" s="123"/>
      <c r="E192" s="123"/>
      <c r="F192" s="123"/>
      <c r="G192" s="123"/>
      <c r="H192" s="123"/>
      <c r="I192" s="123"/>
      <c r="J192" s="123"/>
      <c r="K192" s="123"/>
      <c r="L192" s="123"/>
    </row>
    <row r="193" spans="2:12" x14ac:dyDescent="0.25">
      <c r="B193" s="123"/>
      <c r="C193" s="123"/>
      <c r="D193" s="123"/>
      <c r="E193" s="123"/>
      <c r="F193" s="123"/>
      <c r="G193" s="123"/>
      <c r="H193" s="123"/>
      <c r="I193" s="123"/>
      <c r="J193" s="123"/>
      <c r="K193" s="123"/>
      <c r="L193" s="123"/>
    </row>
    <row r="195" spans="2:12" x14ac:dyDescent="0.25">
      <c r="B195" s="46" t="s">
        <v>107</v>
      </c>
    </row>
    <row r="197" spans="2:12" x14ac:dyDescent="0.25">
      <c r="B197" t="s">
        <v>108</v>
      </c>
      <c r="D197" t="s">
        <v>109</v>
      </c>
      <c r="F197" t="s">
        <v>110</v>
      </c>
      <c r="J197" t="s">
        <v>111</v>
      </c>
    </row>
    <row r="199" spans="2:12" x14ac:dyDescent="0.25">
      <c r="B199" t="s">
        <v>47</v>
      </c>
      <c r="D199" t="s">
        <v>109</v>
      </c>
      <c r="F199" t="s">
        <v>110</v>
      </c>
      <c r="J199" t="s">
        <v>111</v>
      </c>
    </row>
    <row r="201" spans="2:12" x14ac:dyDescent="0.25">
      <c r="B201" t="s">
        <v>112</v>
      </c>
    </row>
    <row r="202" spans="2:12" x14ac:dyDescent="0.25">
      <c r="B202" s="177" t="s">
        <v>113</v>
      </c>
      <c r="C202" s="178"/>
      <c r="D202" s="47"/>
      <c r="E202" s="181" t="s">
        <v>114</v>
      </c>
      <c r="F202" s="99" t="s">
        <v>4</v>
      </c>
      <c r="G202" s="48"/>
      <c r="H202" s="48"/>
      <c r="I202" s="99" t="s">
        <v>115</v>
      </c>
      <c r="J202" s="99"/>
      <c r="K202" s="183" t="s">
        <v>6</v>
      </c>
      <c r="L202" s="49"/>
    </row>
    <row r="203" spans="2:12" x14ac:dyDescent="0.25">
      <c r="B203" s="179"/>
      <c r="C203" s="180"/>
      <c r="D203" s="50"/>
      <c r="E203" s="182"/>
      <c r="F203" s="102"/>
      <c r="G203" s="51"/>
      <c r="H203" s="51"/>
      <c r="I203" s="102"/>
      <c r="J203" s="102"/>
      <c r="K203" s="184"/>
      <c r="L203" s="52"/>
    </row>
    <row r="204" spans="2:12" x14ac:dyDescent="0.25">
      <c r="B204" s="175" t="s">
        <v>116</v>
      </c>
      <c r="C204" s="176"/>
      <c r="D204" s="53"/>
      <c r="E204" s="176" t="s">
        <v>116</v>
      </c>
      <c r="F204" s="176"/>
      <c r="G204" s="53"/>
      <c r="H204" s="53"/>
      <c r="I204" s="176" t="s">
        <v>116</v>
      </c>
      <c r="J204" s="176"/>
      <c r="K204" s="53"/>
      <c r="L204" s="54"/>
    </row>
  </sheetData>
  <mergeCells count="200">
    <mergeCell ref="B204:C204"/>
    <mergeCell ref="E204:F204"/>
    <mergeCell ref="I204:J204"/>
    <mergeCell ref="B187:L188"/>
    <mergeCell ref="B189:L193"/>
    <mergeCell ref="B202:C203"/>
    <mergeCell ref="E202:E203"/>
    <mergeCell ref="F202:F203"/>
    <mergeCell ref="I202:J203"/>
    <mergeCell ref="K202:K203"/>
    <mergeCell ref="B180:L181"/>
    <mergeCell ref="B182:L185"/>
    <mergeCell ref="I164:I168"/>
    <mergeCell ref="K164:K168"/>
    <mergeCell ref="D165:G169"/>
    <mergeCell ref="H169:L169"/>
    <mergeCell ref="C170:C176"/>
    <mergeCell ref="D170:G170"/>
    <mergeCell ref="J170:L170"/>
    <mergeCell ref="D171:G171"/>
    <mergeCell ref="H171:H176"/>
    <mergeCell ref="I171:I176"/>
    <mergeCell ref="C145:G145"/>
    <mergeCell ref="B146:B177"/>
    <mergeCell ref="H146:L146"/>
    <mergeCell ref="C147:G147"/>
    <mergeCell ref="J147:L147"/>
    <mergeCell ref="C148:C162"/>
    <mergeCell ref="D148:G148"/>
    <mergeCell ref="H148:H161"/>
    <mergeCell ref="I148:I161"/>
    <mergeCell ref="D149:G149"/>
    <mergeCell ref="D150:D155"/>
    <mergeCell ref="E150:G155"/>
    <mergeCell ref="D156:D162"/>
    <mergeCell ref="E156:G162"/>
    <mergeCell ref="H162:L162"/>
    <mergeCell ref="C163:C169"/>
    <mergeCell ref="D163:G163"/>
    <mergeCell ref="J163:L163"/>
    <mergeCell ref="D164:G164"/>
    <mergeCell ref="H164:H168"/>
    <mergeCell ref="K171:K176"/>
    <mergeCell ref="D172:G176"/>
    <mergeCell ref="C177:G177"/>
    <mergeCell ref="H177:L177"/>
    <mergeCell ref="C129:G129"/>
    <mergeCell ref="H129:L129"/>
    <mergeCell ref="B130:B144"/>
    <mergeCell ref="C130:G131"/>
    <mergeCell ref="H130:L131"/>
    <mergeCell ref="C132:G132"/>
    <mergeCell ref="H132:L132"/>
    <mergeCell ref="C133:C136"/>
    <mergeCell ref="D133:G134"/>
    <mergeCell ref="J133:L133"/>
    <mergeCell ref="C138:C144"/>
    <mergeCell ref="D138:G140"/>
    <mergeCell ref="J138:L138"/>
    <mergeCell ref="H139:H144"/>
    <mergeCell ref="I139:I144"/>
    <mergeCell ref="D141:G141"/>
    <mergeCell ref="D142:G144"/>
    <mergeCell ref="H134:H136"/>
    <mergeCell ref="I134:I136"/>
    <mergeCell ref="D135:G135"/>
    <mergeCell ref="D136:G136"/>
    <mergeCell ref="C137:G137"/>
    <mergeCell ref="H137:L137"/>
    <mergeCell ref="C119:C128"/>
    <mergeCell ref="D119:G122"/>
    <mergeCell ref="J119:L119"/>
    <mergeCell ref="H120:H128"/>
    <mergeCell ref="I120:I128"/>
    <mergeCell ref="D123:G123"/>
    <mergeCell ref="D124:G128"/>
    <mergeCell ref="C108:C118"/>
    <mergeCell ref="D108:G111"/>
    <mergeCell ref="J108:L108"/>
    <mergeCell ref="H109:H117"/>
    <mergeCell ref="I109:I117"/>
    <mergeCell ref="D112:G112"/>
    <mergeCell ref="D113:G118"/>
    <mergeCell ref="H118:L118"/>
    <mergeCell ref="C96:G96"/>
    <mergeCell ref="H96:L96"/>
    <mergeCell ref="C97:C107"/>
    <mergeCell ref="D97:G99"/>
    <mergeCell ref="J97:L97"/>
    <mergeCell ref="H98:H106"/>
    <mergeCell ref="I98:I106"/>
    <mergeCell ref="D100:G100"/>
    <mergeCell ref="D101:G107"/>
    <mergeCell ref="H107:L107"/>
    <mergeCell ref="C95:G95"/>
    <mergeCell ref="H95:L95"/>
    <mergeCell ref="H86:L86"/>
    <mergeCell ref="C87:C94"/>
    <mergeCell ref="D87:G91"/>
    <mergeCell ref="J87:L87"/>
    <mergeCell ref="H88:H94"/>
    <mergeCell ref="I88:I94"/>
    <mergeCell ref="J88:J89"/>
    <mergeCell ref="K88:L89"/>
    <mergeCell ref="J90:J91"/>
    <mergeCell ref="K90:L91"/>
    <mergeCell ref="C71:G71"/>
    <mergeCell ref="H71:L71"/>
    <mergeCell ref="B72:B128"/>
    <mergeCell ref="C72:G73"/>
    <mergeCell ref="H72:L73"/>
    <mergeCell ref="C74:G74"/>
    <mergeCell ref="H74:L74"/>
    <mergeCell ref="C75:C86"/>
    <mergeCell ref="D75:G79"/>
    <mergeCell ref="J75:L75"/>
    <mergeCell ref="H76:H85"/>
    <mergeCell ref="I76:I85"/>
    <mergeCell ref="J76:J79"/>
    <mergeCell ref="K76:L79"/>
    <mergeCell ref="D80:G80"/>
    <mergeCell ref="J80:J81"/>
    <mergeCell ref="K80:L81"/>
    <mergeCell ref="D81:G86"/>
    <mergeCell ref="J82:J85"/>
    <mergeCell ref="K82:L85"/>
    <mergeCell ref="D92:G92"/>
    <mergeCell ref="J92:J94"/>
    <mergeCell ref="K92:L94"/>
    <mergeCell ref="D93:G94"/>
    <mergeCell ref="C61:C70"/>
    <mergeCell ref="D61:G62"/>
    <mergeCell ref="J61:L61"/>
    <mergeCell ref="H62:H70"/>
    <mergeCell ref="I62:I70"/>
    <mergeCell ref="D63:G63"/>
    <mergeCell ref="D64:G70"/>
    <mergeCell ref="C53:C60"/>
    <mergeCell ref="D53:G56"/>
    <mergeCell ref="J53:L53"/>
    <mergeCell ref="H54:H59"/>
    <mergeCell ref="I54:I59"/>
    <mergeCell ref="D57:G57"/>
    <mergeCell ref="D58:G60"/>
    <mergeCell ref="H60:L60"/>
    <mergeCell ref="J43:L43"/>
    <mergeCell ref="H44:H51"/>
    <mergeCell ref="I44:I51"/>
    <mergeCell ref="D47:G52"/>
    <mergeCell ref="H52:L52"/>
    <mergeCell ref="C35:G35"/>
    <mergeCell ref="H35:L35"/>
    <mergeCell ref="C36:C42"/>
    <mergeCell ref="D36:G38"/>
    <mergeCell ref="J36:L36"/>
    <mergeCell ref="H37:H41"/>
    <mergeCell ref="I37:I41"/>
    <mergeCell ref="D39:G39"/>
    <mergeCell ref="D40:G42"/>
    <mergeCell ref="H42:L42"/>
    <mergeCell ref="O27:O28"/>
    <mergeCell ref="D28:G33"/>
    <mergeCell ref="P31:Q32"/>
    <mergeCell ref="P33:Q33"/>
    <mergeCell ref="C34:G34"/>
    <mergeCell ref="H34:L34"/>
    <mergeCell ref="O18:O19"/>
    <mergeCell ref="D22:G22"/>
    <mergeCell ref="D23:G24"/>
    <mergeCell ref="H24:L24"/>
    <mergeCell ref="C25:C33"/>
    <mergeCell ref="D25:G26"/>
    <mergeCell ref="J25:L25"/>
    <mergeCell ref="H26:H33"/>
    <mergeCell ref="I26:I33"/>
    <mergeCell ref="D27:G27"/>
    <mergeCell ref="B1:E2"/>
    <mergeCell ref="B3:D3"/>
    <mergeCell ref="B4:D4"/>
    <mergeCell ref="B5:D5"/>
    <mergeCell ref="B6:D6"/>
    <mergeCell ref="B7:D7"/>
    <mergeCell ref="H16:L16"/>
    <mergeCell ref="C17:C24"/>
    <mergeCell ref="D17:G21"/>
    <mergeCell ref="J17:L17"/>
    <mergeCell ref="H18:H23"/>
    <mergeCell ref="I18:I23"/>
    <mergeCell ref="B8:D8"/>
    <mergeCell ref="B10:G11"/>
    <mergeCell ref="H10:L11"/>
    <mergeCell ref="B12:B70"/>
    <mergeCell ref="C12:G15"/>
    <mergeCell ref="H12:K12"/>
    <mergeCell ref="H13:K13"/>
    <mergeCell ref="H14:K14"/>
    <mergeCell ref="H15:K15"/>
    <mergeCell ref="C16:G16"/>
    <mergeCell ref="C43:C52"/>
    <mergeCell ref="D43:G46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9"/>
  <sheetViews>
    <sheetView tabSelected="1" workbookViewId="0">
      <selection activeCell="A10" sqref="A10"/>
    </sheetView>
  </sheetViews>
  <sheetFormatPr defaultRowHeight="15" x14ac:dyDescent="0.25"/>
  <cols>
    <col min="1" max="1" width="9.140625" style="55"/>
    <col min="2" max="2" width="32.28515625" style="55" customWidth="1"/>
    <col min="3" max="3" width="23.7109375" style="55" customWidth="1"/>
    <col min="4" max="4" width="19.85546875" style="55" customWidth="1"/>
    <col min="5" max="5" width="23.5703125" style="55" customWidth="1"/>
    <col min="6" max="6" width="1" style="55" customWidth="1"/>
    <col min="7" max="7" width="15.28515625" style="55" customWidth="1"/>
    <col min="8" max="8" width="11.85546875" style="55" customWidth="1"/>
    <col min="9" max="9" width="13.42578125" style="55" customWidth="1"/>
    <col min="10" max="10" width="11.5703125" style="55" customWidth="1"/>
    <col min="11" max="11" width="18.7109375" style="55" customWidth="1"/>
    <col min="12" max="12" width="24" style="55" customWidth="1"/>
    <col min="13" max="13" width="35.42578125" style="55" customWidth="1"/>
    <col min="14" max="14" width="25.28515625" style="55" customWidth="1"/>
    <col min="15" max="16384" width="9.140625" style="55"/>
  </cols>
  <sheetData>
    <row r="3" spans="1:14" x14ac:dyDescent="0.25">
      <c r="A3" s="185" t="s">
        <v>131</v>
      </c>
      <c r="B3" s="188" t="s">
        <v>132</v>
      </c>
      <c r="C3" s="188"/>
      <c r="D3" s="189" t="s">
        <v>47</v>
      </c>
      <c r="E3" s="189"/>
      <c r="F3" s="66"/>
      <c r="G3" s="193" t="s">
        <v>108</v>
      </c>
      <c r="H3" s="193"/>
      <c r="I3" s="193"/>
      <c r="J3" s="193"/>
      <c r="K3" s="193"/>
      <c r="L3" s="192" t="s">
        <v>47</v>
      </c>
      <c r="M3" s="192"/>
      <c r="N3" s="192"/>
    </row>
    <row r="4" spans="1:14" x14ac:dyDescent="0.25">
      <c r="A4" s="185"/>
      <c r="B4" s="187" t="s">
        <v>117</v>
      </c>
      <c r="C4" s="187" t="s">
        <v>143</v>
      </c>
      <c r="D4" s="190" t="s">
        <v>121</v>
      </c>
      <c r="E4" s="190" t="s">
        <v>122</v>
      </c>
      <c r="F4" s="67"/>
      <c r="G4" s="186" t="s">
        <v>123</v>
      </c>
      <c r="H4" s="186" t="s">
        <v>125</v>
      </c>
      <c r="I4" s="186" t="s">
        <v>126</v>
      </c>
      <c r="J4" s="186" t="s">
        <v>127</v>
      </c>
      <c r="K4" s="186" t="s">
        <v>128</v>
      </c>
      <c r="L4" s="191" t="s">
        <v>129</v>
      </c>
      <c r="M4" s="191" t="s">
        <v>135</v>
      </c>
      <c r="N4" s="191" t="s">
        <v>130</v>
      </c>
    </row>
    <row r="5" spans="1:14" ht="32.25" customHeight="1" x14ac:dyDescent="0.25">
      <c r="A5" s="185"/>
      <c r="B5" s="187"/>
      <c r="C5" s="187"/>
      <c r="D5" s="190"/>
      <c r="E5" s="190"/>
      <c r="F5" s="67"/>
      <c r="G5" s="186"/>
      <c r="H5" s="186"/>
      <c r="I5" s="186"/>
      <c r="J5" s="186"/>
      <c r="K5" s="186"/>
      <c r="L5" s="191"/>
      <c r="M5" s="191"/>
      <c r="N5" s="191"/>
    </row>
    <row r="6" spans="1:14" x14ac:dyDescent="0.25">
      <c r="A6" s="56" t="s">
        <v>118</v>
      </c>
      <c r="B6" s="57" t="s">
        <v>142</v>
      </c>
      <c r="C6" s="57" t="s">
        <v>142</v>
      </c>
      <c r="D6" s="58" t="s">
        <v>142</v>
      </c>
      <c r="E6" s="58" t="s">
        <v>78</v>
      </c>
      <c r="F6" s="68"/>
      <c r="G6" s="62" t="s">
        <v>81</v>
      </c>
      <c r="H6" s="62" t="s">
        <v>81</v>
      </c>
      <c r="I6" s="62" t="s">
        <v>81</v>
      </c>
      <c r="J6" s="62" t="s">
        <v>81</v>
      </c>
      <c r="K6" s="62" t="s">
        <v>81</v>
      </c>
      <c r="L6" s="63" t="s">
        <v>81</v>
      </c>
      <c r="M6" s="63" t="s">
        <v>83</v>
      </c>
      <c r="N6" s="63" t="s">
        <v>81</v>
      </c>
    </row>
    <row r="7" spans="1:14" x14ac:dyDescent="0.25">
      <c r="A7" s="56" t="s">
        <v>119</v>
      </c>
      <c r="B7" s="71" t="s">
        <v>144</v>
      </c>
      <c r="C7" s="57" t="s">
        <v>144</v>
      </c>
      <c r="D7" s="72" t="s">
        <v>144</v>
      </c>
      <c r="E7" s="61" t="s">
        <v>76</v>
      </c>
      <c r="F7" s="66"/>
      <c r="G7" s="62" t="s">
        <v>81</v>
      </c>
      <c r="H7" s="62" t="s">
        <v>81</v>
      </c>
      <c r="I7" s="62" t="s">
        <v>81</v>
      </c>
      <c r="J7" s="62" t="s">
        <v>81</v>
      </c>
      <c r="K7" s="62" t="s">
        <v>81</v>
      </c>
      <c r="L7" s="63" t="s">
        <v>145</v>
      </c>
      <c r="M7" s="63" t="s">
        <v>81</v>
      </c>
      <c r="N7" s="63" t="s">
        <v>145</v>
      </c>
    </row>
    <row r="8" spans="1:14" x14ac:dyDescent="0.25">
      <c r="A8" s="56" t="s">
        <v>120</v>
      </c>
      <c r="B8" s="64" t="s">
        <v>144</v>
      </c>
      <c r="C8" s="57" t="s">
        <v>144</v>
      </c>
      <c r="D8" s="61" t="s">
        <v>144</v>
      </c>
      <c r="E8" s="61" t="s">
        <v>76</v>
      </c>
      <c r="F8" s="66"/>
      <c r="G8" s="62" t="s">
        <v>81</v>
      </c>
      <c r="H8" s="62" t="s">
        <v>81</v>
      </c>
      <c r="I8" s="62" t="s">
        <v>81</v>
      </c>
      <c r="J8" s="62" t="s">
        <v>81</v>
      </c>
      <c r="K8" s="62" t="s">
        <v>81</v>
      </c>
      <c r="L8" s="63" t="s">
        <v>145</v>
      </c>
      <c r="M8" s="63" t="s">
        <v>81</v>
      </c>
      <c r="N8" s="63" t="s">
        <v>145</v>
      </c>
    </row>
    <row r="9" spans="1:14" x14ac:dyDescent="0.25">
      <c r="A9" s="56" t="s">
        <v>124</v>
      </c>
      <c r="B9" s="64" t="s">
        <v>144</v>
      </c>
      <c r="C9" s="57" t="s">
        <v>144</v>
      </c>
      <c r="D9" s="61" t="s">
        <v>144</v>
      </c>
      <c r="E9" s="61" t="s">
        <v>76</v>
      </c>
      <c r="F9" s="66"/>
      <c r="G9" s="62" t="s">
        <v>78</v>
      </c>
      <c r="H9" s="62" t="s">
        <v>77</v>
      </c>
      <c r="I9" s="62" t="s">
        <v>78</v>
      </c>
      <c r="J9" s="62" t="s">
        <v>78</v>
      </c>
      <c r="K9" s="62" t="s">
        <v>80</v>
      </c>
      <c r="L9" s="63" t="s">
        <v>78</v>
      </c>
      <c r="M9" s="63" t="s">
        <v>81</v>
      </c>
      <c r="N9" s="63" t="s">
        <v>78</v>
      </c>
    </row>
    <row r="10" spans="1:14" x14ac:dyDescent="0.25">
      <c r="A10" s="56" t="s">
        <v>133</v>
      </c>
      <c r="B10" s="64" t="s">
        <v>146</v>
      </c>
      <c r="C10" s="64" t="s">
        <v>146</v>
      </c>
      <c r="D10" s="61" t="s">
        <v>146</v>
      </c>
      <c r="E10" s="61" t="s">
        <v>76</v>
      </c>
      <c r="F10" s="68"/>
      <c r="G10" s="62" t="s">
        <v>78</v>
      </c>
      <c r="H10" s="62" t="s">
        <v>77</v>
      </c>
      <c r="I10" s="62" t="s">
        <v>78</v>
      </c>
      <c r="J10" s="62" t="s">
        <v>78</v>
      </c>
      <c r="K10" s="62" t="s">
        <v>78</v>
      </c>
      <c r="L10" s="63" t="s">
        <v>78</v>
      </c>
      <c r="M10" s="63" t="s">
        <v>80</v>
      </c>
      <c r="N10" s="63" t="s">
        <v>78</v>
      </c>
    </row>
    <row r="11" spans="1:14" x14ac:dyDescent="0.25">
      <c r="A11" s="56" t="s">
        <v>134</v>
      </c>
      <c r="B11" s="64"/>
      <c r="C11" s="57"/>
      <c r="D11" s="61"/>
      <c r="E11" s="61"/>
      <c r="F11" s="68"/>
      <c r="G11" s="62"/>
      <c r="H11" s="62"/>
      <c r="I11" s="62"/>
      <c r="J11" s="62"/>
      <c r="K11" s="62"/>
      <c r="L11" s="63"/>
      <c r="M11" s="63"/>
      <c r="N11" s="63"/>
    </row>
    <row r="12" spans="1:14" x14ac:dyDescent="0.25">
      <c r="A12" s="56" t="s">
        <v>136</v>
      </c>
      <c r="B12" s="64"/>
      <c r="C12" s="57"/>
      <c r="D12" s="61"/>
      <c r="E12" s="61"/>
      <c r="F12" s="68"/>
      <c r="G12" s="62"/>
      <c r="H12" s="62"/>
      <c r="I12" s="62"/>
      <c r="J12" s="62"/>
      <c r="K12" s="62"/>
      <c r="L12" s="63"/>
      <c r="M12" s="63"/>
      <c r="N12" s="63"/>
    </row>
    <row r="13" spans="1:14" x14ac:dyDescent="0.25">
      <c r="A13" s="65" t="s">
        <v>137</v>
      </c>
      <c r="B13" s="64"/>
      <c r="C13" s="57"/>
      <c r="D13" s="61"/>
      <c r="E13" s="61"/>
      <c r="F13" s="68"/>
      <c r="G13" s="62"/>
      <c r="H13" s="62"/>
      <c r="I13" s="62"/>
      <c r="J13" s="62"/>
      <c r="K13" s="62"/>
      <c r="L13" s="63"/>
      <c r="M13" s="63"/>
      <c r="N13" s="63"/>
    </row>
    <row r="14" spans="1:14" x14ac:dyDescent="0.25">
      <c r="A14" s="65" t="s">
        <v>138</v>
      </c>
      <c r="B14" s="64"/>
      <c r="C14" s="57"/>
      <c r="D14" s="61"/>
      <c r="E14" s="61"/>
      <c r="F14" s="68"/>
      <c r="G14" s="62"/>
      <c r="H14" s="62"/>
      <c r="I14" s="62"/>
      <c r="J14" s="62"/>
      <c r="K14" s="62"/>
      <c r="L14" s="63"/>
      <c r="M14" s="63"/>
      <c r="N14" s="63"/>
    </row>
    <row r="15" spans="1:14" x14ac:dyDescent="0.25">
      <c r="A15" s="65" t="s">
        <v>139</v>
      </c>
      <c r="B15" s="64"/>
      <c r="C15" s="57"/>
      <c r="D15" s="61"/>
      <c r="E15" s="61"/>
      <c r="F15" s="68"/>
      <c r="G15" s="59"/>
      <c r="H15" s="59"/>
      <c r="I15" s="59"/>
      <c r="J15" s="59"/>
      <c r="K15" s="59"/>
      <c r="L15" s="60"/>
      <c r="M15" s="60"/>
      <c r="N15" s="60"/>
    </row>
    <row r="16" spans="1:14" s="70" customFormat="1" x14ac:dyDescent="0.25">
      <c r="A16" s="69" t="s">
        <v>140</v>
      </c>
      <c r="B16" s="64"/>
      <c r="C16" s="64"/>
      <c r="D16" s="61"/>
      <c r="E16" s="61"/>
      <c r="F16" s="66"/>
      <c r="G16" s="62"/>
      <c r="H16" s="62"/>
      <c r="I16" s="62"/>
      <c r="J16" s="62"/>
      <c r="K16" s="62"/>
      <c r="L16" s="63"/>
      <c r="M16" s="63"/>
      <c r="N16" s="63"/>
    </row>
    <row r="17" spans="1:14" x14ac:dyDescent="0.25">
      <c r="A17" s="65" t="s">
        <v>141</v>
      </c>
      <c r="B17" s="64"/>
      <c r="C17" s="57"/>
      <c r="D17" s="61"/>
      <c r="E17" s="61"/>
      <c r="F17" s="68"/>
      <c r="G17" s="62"/>
      <c r="H17" s="62"/>
      <c r="I17" s="62"/>
      <c r="J17" s="62"/>
      <c r="K17" s="62"/>
      <c r="L17" s="63"/>
      <c r="M17" s="63"/>
      <c r="N17" s="63"/>
    </row>
    <row r="18" spans="1:14" x14ac:dyDescent="0.25">
      <c r="A18" s="65"/>
      <c r="B18" s="57"/>
      <c r="C18" s="57"/>
      <c r="D18" s="58"/>
      <c r="E18" s="58"/>
      <c r="F18" s="68"/>
      <c r="G18" s="59"/>
      <c r="H18" s="59"/>
      <c r="I18" s="59"/>
      <c r="J18" s="59"/>
      <c r="K18" s="59"/>
      <c r="L18" s="60"/>
      <c r="M18" s="60"/>
      <c r="N18" s="60"/>
    </row>
    <row r="19" spans="1:14" x14ac:dyDescent="0.25">
      <c r="A19" s="65"/>
      <c r="B19" s="57"/>
      <c r="C19" s="57"/>
      <c r="D19" s="58"/>
      <c r="E19" s="58"/>
      <c r="F19" s="68"/>
      <c r="G19" s="59"/>
      <c r="H19" s="59"/>
      <c r="I19" s="59"/>
      <c r="J19" s="59"/>
      <c r="K19" s="59"/>
      <c r="L19" s="60"/>
      <c r="M19" s="60"/>
      <c r="N19" s="60"/>
    </row>
    <row r="20" spans="1:14" x14ac:dyDescent="0.25">
      <c r="A20" s="65"/>
      <c r="B20" s="57"/>
      <c r="C20" s="57"/>
      <c r="D20" s="58"/>
      <c r="E20" s="58"/>
      <c r="F20" s="68"/>
      <c r="G20" s="59"/>
      <c r="H20" s="59"/>
      <c r="I20" s="59"/>
      <c r="J20" s="59"/>
      <c r="K20" s="59"/>
      <c r="L20" s="60"/>
      <c r="M20" s="60"/>
      <c r="N20" s="60"/>
    </row>
    <row r="21" spans="1:14" x14ac:dyDescent="0.25">
      <c r="A21" s="65"/>
      <c r="B21" s="57"/>
      <c r="C21" s="57"/>
      <c r="D21" s="58"/>
      <c r="E21" s="58"/>
      <c r="F21" s="68"/>
      <c r="G21" s="59"/>
      <c r="H21" s="59"/>
      <c r="I21" s="59"/>
      <c r="J21" s="59"/>
      <c r="K21" s="59"/>
      <c r="L21" s="60"/>
      <c r="M21" s="60"/>
      <c r="N21" s="60"/>
    </row>
    <row r="22" spans="1:14" x14ac:dyDescent="0.25">
      <c r="A22" s="65"/>
      <c r="B22" s="57"/>
      <c r="C22" s="57"/>
      <c r="D22" s="58"/>
      <c r="E22" s="58"/>
      <c r="F22" s="68"/>
      <c r="G22" s="59"/>
      <c r="H22" s="59"/>
      <c r="I22" s="59"/>
      <c r="J22" s="59"/>
      <c r="K22" s="59"/>
      <c r="L22" s="60"/>
      <c r="M22" s="60"/>
      <c r="N22" s="60"/>
    </row>
    <row r="23" spans="1:14" x14ac:dyDescent="0.25">
      <c r="A23" s="65"/>
      <c r="B23" s="57"/>
      <c r="C23" s="57"/>
      <c r="D23" s="58"/>
      <c r="E23" s="58"/>
      <c r="F23" s="68"/>
      <c r="G23" s="59"/>
      <c r="H23" s="59"/>
      <c r="I23" s="59"/>
      <c r="J23" s="59"/>
      <c r="K23" s="59"/>
      <c r="L23" s="60"/>
      <c r="M23" s="60"/>
      <c r="N23" s="60"/>
    </row>
    <row r="24" spans="1:14" x14ac:dyDescent="0.25">
      <c r="A24" s="65"/>
      <c r="B24" s="57"/>
      <c r="C24" s="57"/>
      <c r="D24" s="58"/>
      <c r="E24" s="58"/>
      <c r="F24" s="68"/>
      <c r="G24" s="59"/>
      <c r="H24" s="59"/>
      <c r="I24" s="59"/>
      <c r="J24" s="59"/>
      <c r="K24" s="59"/>
      <c r="L24" s="60"/>
      <c r="M24" s="60"/>
      <c r="N24" s="60"/>
    </row>
    <row r="25" spans="1:14" x14ac:dyDescent="0.25">
      <c r="A25" s="65"/>
      <c r="B25" s="57"/>
      <c r="C25" s="57"/>
      <c r="D25" s="58"/>
      <c r="E25" s="58"/>
      <c r="F25" s="68"/>
      <c r="G25" s="59"/>
      <c r="H25" s="59"/>
      <c r="I25" s="59"/>
      <c r="J25" s="59"/>
      <c r="K25" s="59"/>
      <c r="L25" s="60"/>
      <c r="M25" s="60"/>
      <c r="N25" s="60"/>
    </row>
    <row r="26" spans="1:14" x14ac:dyDescent="0.25">
      <c r="A26" s="65"/>
      <c r="B26" s="57"/>
      <c r="C26" s="57"/>
      <c r="D26" s="58"/>
      <c r="E26" s="58"/>
      <c r="F26" s="68"/>
      <c r="G26" s="59"/>
      <c r="H26" s="59"/>
      <c r="I26" s="59"/>
      <c r="J26" s="59"/>
      <c r="K26" s="59"/>
      <c r="L26" s="60"/>
      <c r="M26" s="60"/>
      <c r="N26" s="60"/>
    </row>
    <row r="27" spans="1:14" x14ac:dyDescent="0.25">
      <c r="A27" s="65"/>
      <c r="B27" s="57"/>
      <c r="C27" s="57"/>
      <c r="D27" s="58"/>
      <c r="E27" s="58"/>
      <c r="F27" s="68"/>
      <c r="G27" s="59"/>
      <c r="H27" s="59"/>
      <c r="I27" s="59"/>
      <c r="J27" s="59"/>
      <c r="K27" s="59"/>
      <c r="L27" s="60"/>
      <c r="M27" s="60"/>
      <c r="N27" s="60"/>
    </row>
    <row r="28" spans="1:14" x14ac:dyDescent="0.25">
      <c r="A28" s="65"/>
      <c r="B28" s="57"/>
      <c r="C28" s="57"/>
      <c r="D28" s="58"/>
      <c r="E28" s="58"/>
      <c r="F28" s="68"/>
      <c r="G28" s="59"/>
      <c r="H28" s="59"/>
      <c r="I28" s="59"/>
      <c r="J28" s="59"/>
      <c r="K28" s="59"/>
      <c r="L28" s="60"/>
      <c r="M28" s="60"/>
      <c r="N28" s="60"/>
    </row>
    <row r="29" spans="1:14" x14ac:dyDescent="0.25">
      <c r="A29" s="65"/>
      <c r="B29" s="57"/>
      <c r="C29" s="57"/>
      <c r="D29" s="58"/>
      <c r="E29" s="58"/>
      <c r="F29" s="68"/>
      <c r="G29" s="59"/>
      <c r="H29" s="59"/>
      <c r="I29" s="59"/>
      <c r="J29" s="59"/>
      <c r="K29" s="59"/>
      <c r="L29" s="60"/>
      <c r="M29" s="60"/>
      <c r="N29" s="60"/>
    </row>
  </sheetData>
  <mergeCells count="17">
    <mergeCell ref="M4:M5"/>
    <mergeCell ref="N4:N5"/>
    <mergeCell ref="L3:N3"/>
    <mergeCell ref="G3:K3"/>
    <mergeCell ref="K4:K5"/>
    <mergeCell ref="L4:L5"/>
    <mergeCell ref="A3:A5"/>
    <mergeCell ref="G4:G5"/>
    <mergeCell ref="H4:H5"/>
    <mergeCell ref="I4:I5"/>
    <mergeCell ref="J4:J5"/>
    <mergeCell ref="B4:B5"/>
    <mergeCell ref="B3:C3"/>
    <mergeCell ref="D3:E3"/>
    <mergeCell ref="C4:C5"/>
    <mergeCell ref="D4:D5"/>
    <mergeCell ref="E4:E5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KPI</vt:lpstr>
      <vt:lpstr>Kertas Kerja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Wahyu Arif Prasetyo</dc:creator>
  <cp:lastModifiedBy>Arfinila Mazidah</cp:lastModifiedBy>
  <cp:lastPrinted>2021-06-10T08:57:10Z</cp:lastPrinted>
  <dcterms:created xsi:type="dcterms:W3CDTF">2021-06-05T03:16:25Z</dcterms:created>
  <dcterms:modified xsi:type="dcterms:W3CDTF">2026-06-09T04:45:56Z</dcterms:modified>
</cp:coreProperties>
</file>