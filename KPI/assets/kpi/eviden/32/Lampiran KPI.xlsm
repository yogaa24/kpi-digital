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0115" windowHeight="6480" firstSheet="1" activeTab="1"/>
  </bookViews>
  <sheets>
    <sheet name="KPI" sheetId="4" state="hidden" r:id="rId1"/>
    <sheet name="Kertas Kerja" sheetId="82" r:id="rId2"/>
  </sheets>
  <externalReferences>
    <externalReference r:id="rId3"/>
  </externalReferences>
  <definedNames>
    <definedName name="Progresit">'[1]PROGRES TUGAS IT 2020'!$B$3:$L$215</definedName>
    <definedName name="sortsummary">#REF!</definedName>
  </definedNames>
  <calcPr calcId="145621"/>
</workbook>
</file>

<file path=xl/calcChain.xml><?xml version="1.0" encoding="utf-8"?>
<calcChain xmlns="http://schemas.openxmlformats.org/spreadsheetml/2006/main">
  <c r="L174" i="4" l="1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H34" i="4" l="1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<sst xmlns="http://schemas.openxmlformats.org/spreadsheetml/2006/main" count="419" uniqueCount="147">
  <si>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</si>
  <si>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</si>
  <si>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</si>
  <si>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</si>
  <si>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</si>
  <si>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</si>
  <si>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</si>
  <si>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</si>
  <si>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</si>
  <si>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</si>
  <si>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</si>
  <si>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</si>
  <si>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</si>
  <si>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</si>
  <si>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</si>
  <si>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</si>
  <si>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</si>
  <si>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</si>
  <si>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</si>
  <si>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</si>
  <si>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</si>
  <si>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</si>
  <si>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</si>
  <si>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</si>
  <si>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</si>
  <si>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</si>
  <si>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</si>
  <si>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</si>
  <si>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</si>
  <si>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</si>
  <si>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</si>
  <si>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</si>
  <si>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</si>
  <si>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</si>
  <si>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</si>
  <si>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</si>
  <si>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</si>
  <si>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</si>
  <si>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</si>
  <si>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</si>
  <si>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</si>
  <si>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</si>
  <si>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</si>
  <si>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</si>
  <si>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</si>
  <si>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</si>
  <si>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</si>
  <si>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</si>
  <si>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</si>
  <si>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</si>
  <si>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</si>
  <si>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</si>
  <si>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</si>
  <si>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</si>
  <si>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</si>
  <si>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</si>
  <si>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</si>
  <si>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</si>
  <si>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</si>
  <si>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</si>
  <si>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</si>
  <si>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</si>
  <si>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</si>
  <si>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</si>
  <si>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</si>
  <si>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</si>
  <si>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</si>
  <si>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</si>
  <si>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</si>
  <si>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</si>
  <si>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</si>
  <si>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</si>
  <si>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</si>
  <si>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</si>
  <si>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</si>
  <si>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</si>
  <si>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</si>
  <si>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</si>
  <si>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</si>
  <si>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</si>
  <si>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</si>
  <si>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</si>
  <si>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</si>
  <si>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</si>
  <si>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</si>
  <si>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</si>
  <si>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</si>
  <si>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</si>
  <si>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</si>
  <si>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</si>
  <si>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</si>
  <si>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</si>
  <si>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</si>
  <si>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</si>
  <si>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</si>
  <si>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</si>
  <si>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</si>
  <si>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</si>
  <si>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</si>
  <si>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</si>
  <si>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</si>
  <si>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</si>
  <si>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</si>
  <si>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</si>
  <si>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</si>
  <si>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</si>
  <si>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</si>
  <si>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</si>
  <si>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</si>
  <si>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</si>
  <si>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</si>
  <si>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</si>
  <si>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</si>
  <si>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</si>
  <si>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</si>
  <si>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</si>
  <si>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</si>
  <si>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Mengumpulkan Buku Pendukung untuk Penyusunan Laporan Keuangan</t>
  </si>
  <si>
    <t>Januari</t>
  </si>
  <si>
    <t xml:space="preserve">Februari </t>
  </si>
  <si>
    <t>Maret</t>
  </si>
  <si>
    <t>Mencocokkan data dengan Jurnal</t>
  </si>
  <si>
    <t>Menjawab Pertanyaan dari Malang</t>
  </si>
  <si>
    <t>Membuat Data Retur</t>
  </si>
  <si>
    <t>April</t>
  </si>
  <si>
    <t>Data Barang Kembali</t>
  </si>
  <si>
    <t>Data revisi faktur dan PH</t>
  </si>
  <si>
    <t>Data Gudang Titipan</t>
  </si>
  <si>
    <t>Data Biaya HRDGA dan Operasional</t>
  </si>
  <si>
    <t>Mengumpulkan dan menganalisis setiap data</t>
  </si>
  <si>
    <t>Meminta data dari bagian Jurnal dan bagian Keuangan</t>
  </si>
  <si>
    <t>Bulan</t>
  </si>
  <si>
    <t xml:space="preserve">What </t>
  </si>
  <si>
    <t>Mei</t>
  </si>
  <si>
    <t>Juni</t>
  </si>
  <si>
    <t>menginformasikan data ke bagian terkait</t>
  </si>
  <si>
    <t>Juli</t>
  </si>
  <si>
    <t>Agustus</t>
  </si>
  <si>
    <t>September</t>
  </si>
  <si>
    <t>Oktober</t>
  </si>
  <si>
    <t>November</t>
  </si>
  <si>
    <t>Desember</t>
  </si>
  <si>
    <t>&gt; 3 Bulan</t>
  </si>
  <si>
    <t>Menyetorkan ke malang Data Pendukung utk penyusunan Lap Keu secara lengkap per semester maksimal 2 bulan dari tutup jurnal semester</t>
  </si>
  <si>
    <t>2 Bulan</t>
  </si>
  <si>
    <t>&lt; H+3</t>
  </si>
  <si>
    <t>Belum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</si>
</sst>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.0_);_(* \(#,##0.0\);_(* &quot;-&quot;??_);_(@_)"/>
    <numFmt numFmtId="165" formatCode="0.0"/>
    <numFmt numFmtId="166" formatCode="[$-409]d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94">
    <xf numFmtId="0" fontId="0" fillId="0" borderId="0" xfId="0"/>
    <xf numFmtId="0" fontId="5" fillId="0" borderId="10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17" fontId="6" fillId="0" borderId="10" xfId="0" applyNumberFormat="1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17" fontId="7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1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4" fontId="0" fillId="0" borderId="11" xfId="2" applyNumberFormat="1" applyFont="1" applyBorder="1" applyAlignment="1">
      <alignment horizontal="center"/>
    </xf>
    <xf numFmtId="0" fontId="11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4" fontId="0" fillId="0" borderId="12" xfId="2" applyNumberFormat="1" applyFont="1" applyBorder="1" applyAlignment="1">
      <alignment horizontal="center"/>
    </xf>
    <xf numFmtId="0" fontId="11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4" fontId="0" fillId="0" borderId="14" xfId="2" applyNumberFormat="1" applyFont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9" fontId="2" fillId="0" borderId="15" xfId="0" applyNumberFormat="1" applyFont="1" applyBorder="1" applyAlignment="1">
      <alignment horizontal="center"/>
    </xf>
    <xf numFmtId="0" fontId="2" fillId="0" borderId="15" xfId="0" applyFont="1" applyBorder="1" applyAlignment="1">
      <alignment horizontal="right"/>
    </xf>
    <xf numFmtId="0" fontId="2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2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5" fontId="0" fillId="0" borderId="10" xfId="0" applyNumberFormat="1" applyFill="1" applyBorder="1" applyAlignment="1">
      <alignment vertical="top"/>
    </xf>
    <xf numFmtId="165" fontId="0" fillId="0" borderId="10" xfId="0" applyNumberFormat="1" applyBorder="1" applyAlignment="1">
      <alignment vertical="top"/>
    </xf>
    <xf numFmtId="0" fontId="18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3" borderId="0" xfId="0" applyFill="1"/>
    <xf numFmtId="0" fontId="0" fillId="5" borderId="20" xfId="0" applyFill="1" applyBorder="1" applyAlignment="1">
      <alignment horizontal="left" indent="1"/>
    </xf>
    <xf numFmtId="0" fontId="0" fillId="7" borderId="20" xfId="0" applyFill="1" applyBorder="1"/>
    <xf numFmtId="0" fontId="0" fillId="9" borderId="20" xfId="0" applyFill="1" applyBorder="1"/>
    <xf numFmtId="0" fontId="0" fillId="6" borderId="20" xfId="0" applyFill="1" applyBorder="1"/>
    <xf numFmtId="0" fontId="0" fillId="10" borderId="20" xfId="0" applyFill="1" applyBorder="1"/>
    <xf numFmtId="0" fontId="0" fillId="9" borderId="20" xfId="0" applyFill="1" applyBorder="1" applyAlignment="1">
      <alignment horizontal="center"/>
    </xf>
    <xf numFmtId="166" fontId="0" fillId="6" borderId="20" xfId="0" applyNumberFormat="1" applyFill="1" applyBorder="1" applyAlignment="1">
      <alignment horizontal="center"/>
    </xf>
    <xf numFmtId="166" fontId="0" fillId="10" borderId="20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5" borderId="20" xfId="0" applyFill="1" applyBorder="1"/>
    <xf numFmtId="0" fontId="0" fillId="0" borderId="20" xfId="0" applyFill="1" applyBorder="1" applyAlignment="1">
      <alignment horizontal="center"/>
    </xf>
    <xf numFmtId="0" fontId="0" fillId="0" borderId="20" xfId="0" applyFill="1" applyBorder="1" applyAlignment="1">
      <alignment horizontal="center" vertical="center" wrapText="1"/>
    </xf>
    <xf numFmtId="0" fontId="0" fillId="0" borderId="20" xfId="0" applyFill="1" applyBorder="1"/>
    <xf numFmtId="0" fontId="0" fillId="5" borderId="20" xfId="0" applyFill="1" applyBorder="1" applyAlignment="1">
      <alignment horizontal="center"/>
    </xf>
    <xf numFmtId="0" fontId="0" fillId="3" borderId="0" xfId="0" applyFill="1" applyAlignment="1">
      <alignment horizontal="center"/>
    </xf>
    <xf numFmtId="14" fontId="0" fillId="7" borderId="20" xfId="0" applyNumberFormat="1" applyFill="1" applyBorder="1" applyAlignment="1">
      <alignment horizontal="center"/>
    </xf>
    <xf numFmtId="14" fontId="0" fillId="9" borderId="20" xfId="0" applyNumberFormat="1" applyFill="1" applyBorder="1" applyAlignment="1">
      <alignment horizont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19" fillId="0" borderId="2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8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6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7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left" vertical="top"/>
    </xf>
    <xf numFmtId="0" fontId="8" fillId="2" borderId="2" xfId="0" applyFont="1" applyFill="1" applyBorder="1" applyAlignment="1">
      <alignment horizontal="left" vertical="top"/>
    </xf>
    <xf numFmtId="0" fontId="8" fillId="2" borderId="3" xfId="0" applyFont="1" applyFill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8" fillId="2" borderId="5" xfId="0" applyFont="1" applyFill="1" applyBorder="1" applyAlignment="1">
      <alignment horizontal="left" vertical="top"/>
    </xf>
    <xf numFmtId="0" fontId="8" fillId="2" borderId="6" xfId="0" applyFont="1" applyFill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12" fillId="0" borderId="10" xfId="0" applyFont="1" applyBorder="1" applyAlignment="1">
      <alignment horizontal="left" vertical="top"/>
    </xf>
    <xf numFmtId="0" fontId="0" fillId="12" borderId="20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 wrapText="1"/>
    </xf>
    <xf numFmtId="0" fontId="0" fillId="11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0" xfId="0" applyFill="1" applyBorder="1" applyAlignment="1">
      <alignment horizontal="center" vertical="center" wrapText="1"/>
    </xf>
  </cellXfs>
  <cellStyles count="3">
    <cellStyle name="Comma 2" xfId="2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A200"/>
      <color rgb="FF008000"/>
      <color rgb="FF0000FF"/>
      <color rgb="FFE75BC2"/>
      <color rgb="FFFFFFCC"/>
      <color rgb="FF44E4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51\wahyu\1Pribadi\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164" t="s">
        <v>0</v>
      </c>
      <c r="C1" s="165"/>
      <c r="D1" s="165"/>
      <c r="E1" s="166"/>
    </row>
    <row r="2" spans="2:18" x14ac:dyDescent="0.25">
      <c r="B2" s="167"/>
      <c r="C2" s="168"/>
      <c r="D2" s="168"/>
      <c r="E2" s="169"/>
    </row>
    <row r="3" spans="2:18" x14ac:dyDescent="0.25">
      <c r="B3" s="170" t="s">
        <v>1</v>
      </c>
      <c r="C3" s="171"/>
      <c r="D3" s="172"/>
      <c r="E3" s="1" t="s">
        <v>2</v>
      </c>
    </row>
    <row r="4" spans="2:18" x14ac:dyDescent="0.25">
      <c r="B4" s="170" t="s">
        <v>3</v>
      </c>
      <c r="C4" s="171"/>
      <c r="D4" s="172"/>
      <c r="E4" s="2" t="s">
        <v>4</v>
      </c>
    </row>
    <row r="5" spans="2:18" x14ac:dyDescent="0.25">
      <c r="B5" s="170" t="s">
        <v>5</v>
      </c>
      <c r="C5" s="171"/>
      <c r="D5" s="172"/>
      <c r="E5" s="2" t="s">
        <v>6</v>
      </c>
    </row>
    <row r="6" spans="2:18" x14ac:dyDescent="0.25">
      <c r="B6" s="170" t="s">
        <v>7</v>
      </c>
      <c r="C6" s="171"/>
      <c r="D6" s="172"/>
      <c r="E6" s="3">
        <v>44075</v>
      </c>
    </row>
    <row r="7" spans="2:18" x14ac:dyDescent="0.25">
      <c r="B7" s="170" t="s">
        <v>8</v>
      </c>
      <c r="C7" s="171"/>
      <c r="D7" s="172"/>
      <c r="E7" s="4" t="s">
        <v>9</v>
      </c>
    </row>
    <row r="8" spans="2:18" x14ac:dyDescent="0.25">
      <c r="B8" s="170" t="s">
        <v>10</v>
      </c>
      <c r="C8" s="171"/>
      <c r="D8" s="172"/>
      <c r="E8" s="5">
        <v>44136</v>
      </c>
    </row>
    <row r="10" spans="2:18" x14ac:dyDescent="0.25">
      <c r="B10" s="173" t="s">
        <v>11</v>
      </c>
      <c r="C10" s="174"/>
      <c r="D10" s="174"/>
      <c r="E10" s="174"/>
      <c r="F10" s="174"/>
      <c r="G10" s="174"/>
      <c r="H10" s="177" t="s">
        <v>12</v>
      </c>
      <c r="I10" s="178"/>
      <c r="J10" s="178"/>
      <c r="K10" s="178"/>
      <c r="L10" s="179"/>
    </row>
    <row r="11" spans="2:18" x14ac:dyDescent="0.25">
      <c r="B11" s="175"/>
      <c r="C11" s="176"/>
      <c r="D11" s="176"/>
      <c r="E11" s="176"/>
      <c r="F11" s="176"/>
      <c r="G11" s="176"/>
      <c r="H11" s="180"/>
      <c r="I11" s="181"/>
      <c r="J11" s="181"/>
      <c r="K11" s="181"/>
      <c r="L11" s="182"/>
    </row>
    <row r="12" spans="2:18" x14ac:dyDescent="0.25">
      <c r="B12" s="109">
        <v>1</v>
      </c>
      <c r="C12" s="183" t="s">
        <v>13</v>
      </c>
      <c r="D12" s="183"/>
      <c r="E12" s="183"/>
      <c r="F12" s="183"/>
      <c r="G12" s="183"/>
      <c r="H12" s="101" t="s">
        <v>14</v>
      </c>
      <c r="I12" s="101"/>
      <c r="J12" s="101"/>
      <c r="K12" s="101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109"/>
      <c r="C13" s="183"/>
      <c r="D13" s="183"/>
      <c r="E13" s="183"/>
      <c r="F13" s="183"/>
      <c r="G13" s="183"/>
      <c r="H13" s="101" t="s">
        <v>20</v>
      </c>
      <c r="I13" s="101"/>
      <c r="J13" s="101"/>
      <c r="K13" s="101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>O13*P13</f>
        <v>43.52000000000001</v>
      </c>
    </row>
    <row r="14" spans="2:18" x14ac:dyDescent="0.25">
      <c r="B14" s="109"/>
      <c r="C14" s="183"/>
      <c r="D14" s="183"/>
      <c r="E14" s="183"/>
      <c r="F14" s="183"/>
      <c r="G14" s="183"/>
      <c r="H14" s="101" t="s">
        <v>23</v>
      </c>
      <c r="I14" s="101"/>
      <c r="J14" s="101"/>
      <c r="K14" s="101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>O14*P14</f>
        <v>57.2</v>
      </c>
    </row>
    <row r="15" spans="2:18" x14ac:dyDescent="0.25">
      <c r="B15" s="109"/>
      <c r="C15" s="183"/>
      <c r="D15" s="183"/>
      <c r="E15" s="183"/>
      <c r="F15" s="183"/>
      <c r="G15" s="183"/>
      <c r="H15" s="101" t="s">
        <v>26</v>
      </c>
      <c r="I15" s="101"/>
      <c r="J15" s="101"/>
      <c r="K15" s="101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>O15*P15</f>
        <v>20.8</v>
      </c>
    </row>
    <row r="16" spans="2:18" ht="15.75" customHeight="1" x14ac:dyDescent="0.25">
      <c r="B16" s="109"/>
      <c r="C16" s="184" t="s">
        <v>28</v>
      </c>
      <c r="D16" s="184"/>
      <c r="E16" s="184"/>
      <c r="F16" s="184"/>
      <c r="G16" s="184"/>
      <c r="H16" s="101" t="s">
        <v>29</v>
      </c>
      <c r="I16" s="101"/>
      <c r="J16" s="101"/>
      <c r="K16" s="101"/>
      <c r="L16" s="101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109"/>
      <c r="C17" s="101">
        <v>1</v>
      </c>
      <c r="D17" s="113" t="s">
        <v>31</v>
      </c>
      <c r="E17" s="113"/>
      <c r="F17" s="113"/>
      <c r="G17" s="113"/>
      <c r="H17" s="26" t="s">
        <v>32</v>
      </c>
      <c r="I17" s="27">
        <v>0.6</v>
      </c>
      <c r="J17" s="101" t="s">
        <v>33</v>
      </c>
      <c r="K17" s="101"/>
      <c r="L17" s="101"/>
      <c r="N17" s="28"/>
      <c r="O17" s="29"/>
      <c r="P17" s="30"/>
      <c r="Q17" s="30"/>
      <c r="R17" s="25"/>
    </row>
    <row r="18" spans="2:25" ht="15" customHeight="1" x14ac:dyDescent="0.25">
      <c r="B18" s="109"/>
      <c r="C18" s="101"/>
      <c r="D18" s="113"/>
      <c r="E18" s="113"/>
      <c r="F18" s="113"/>
      <c r="G18" s="113"/>
      <c r="H18" s="115">
        <v>4</v>
      </c>
      <c r="I18" s="115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160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109"/>
      <c r="C19" s="101"/>
      <c r="D19" s="113"/>
      <c r="E19" s="113"/>
      <c r="F19" s="113"/>
      <c r="G19" s="113"/>
      <c r="H19" s="115"/>
      <c r="I19" s="115"/>
      <c r="J19" s="6">
        <v>4</v>
      </c>
      <c r="K19" s="6" t="s">
        <v>34</v>
      </c>
      <c r="L19" s="6">
        <v>110</v>
      </c>
      <c r="N19" s="32"/>
      <c r="O19" s="161"/>
      <c r="P19" s="33">
        <v>0.6</v>
      </c>
      <c r="Q19" s="34">
        <f>P19*Q16</f>
        <v>72.912000000000006</v>
      </c>
    </row>
    <row r="20" spans="2:25" x14ac:dyDescent="0.25">
      <c r="B20" s="109"/>
      <c r="C20" s="101"/>
      <c r="D20" s="113"/>
      <c r="E20" s="113"/>
      <c r="F20" s="113"/>
      <c r="G20" s="113"/>
      <c r="H20" s="115"/>
      <c r="I20" s="115"/>
      <c r="J20" s="6">
        <v>3</v>
      </c>
      <c r="K20" s="6" t="s">
        <v>34</v>
      </c>
      <c r="L20" s="6">
        <v>105</v>
      </c>
    </row>
    <row r="21" spans="2:25" x14ac:dyDescent="0.25">
      <c r="B21" s="109"/>
      <c r="C21" s="101"/>
      <c r="D21" s="113"/>
      <c r="E21" s="113"/>
      <c r="F21" s="113"/>
      <c r="G21" s="113"/>
      <c r="H21" s="115"/>
      <c r="I21" s="115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109"/>
      <c r="C22" s="101"/>
      <c r="D22" s="101" t="s">
        <v>37</v>
      </c>
      <c r="E22" s="101"/>
      <c r="F22" s="101"/>
      <c r="G22" s="101"/>
      <c r="H22" s="115"/>
      <c r="I22" s="115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109"/>
      <c r="C23" s="101"/>
      <c r="D23" s="101" t="s">
        <v>38</v>
      </c>
      <c r="E23" s="101"/>
      <c r="F23" s="101"/>
      <c r="G23" s="101"/>
      <c r="H23" s="115"/>
      <c r="I23" s="115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>O23*P23</f>
        <v>39.44</v>
      </c>
    </row>
    <row r="24" spans="2:25" x14ac:dyDescent="0.25">
      <c r="B24" s="109"/>
      <c r="C24" s="101"/>
      <c r="D24" s="101"/>
      <c r="E24" s="101"/>
      <c r="F24" s="101"/>
      <c r="G24" s="101"/>
      <c r="H24" s="101" t="s">
        <v>29</v>
      </c>
      <c r="I24" s="101"/>
      <c r="J24" s="101"/>
      <c r="K24" s="101"/>
      <c r="L24" s="101"/>
      <c r="N24" s="18" t="s">
        <v>27</v>
      </c>
      <c r="O24" s="19">
        <v>0.2</v>
      </c>
      <c r="P24" s="20">
        <v>104</v>
      </c>
      <c r="Q24" s="21">
        <f>O24*P24</f>
        <v>20.8</v>
      </c>
    </row>
    <row r="25" spans="2:25" x14ac:dyDescent="0.25">
      <c r="B25" s="109"/>
      <c r="C25" s="101">
        <v>2</v>
      </c>
      <c r="D25" s="113" t="s">
        <v>39</v>
      </c>
      <c r="E25" s="113"/>
      <c r="F25" s="113"/>
      <c r="G25" s="113"/>
      <c r="H25" s="26" t="s">
        <v>32</v>
      </c>
      <c r="I25" s="27">
        <v>0.4</v>
      </c>
      <c r="J25" s="101" t="s">
        <v>40</v>
      </c>
      <c r="K25" s="101"/>
      <c r="L25" s="101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109"/>
      <c r="C26" s="101"/>
      <c r="D26" s="113"/>
      <c r="E26" s="113"/>
      <c r="F26" s="113"/>
      <c r="G26" s="113"/>
      <c r="H26" s="103">
        <v>9</v>
      </c>
      <c r="I26" s="115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109"/>
      <c r="C27" s="101"/>
      <c r="D27" s="101" t="s">
        <v>37</v>
      </c>
      <c r="E27" s="101"/>
      <c r="F27" s="101"/>
      <c r="G27" s="101"/>
      <c r="H27" s="104"/>
      <c r="I27" s="115"/>
      <c r="J27" s="6">
        <v>9</v>
      </c>
      <c r="K27" s="6" t="s">
        <v>41</v>
      </c>
      <c r="L27" s="6">
        <v>107</v>
      </c>
      <c r="N27" s="28"/>
      <c r="O27" s="160" t="s">
        <v>36</v>
      </c>
      <c r="P27" s="31" t="s">
        <v>17</v>
      </c>
      <c r="Q27" s="31" t="s">
        <v>35</v>
      </c>
    </row>
    <row r="28" spans="2:25" x14ac:dyDescent="0.25">
      <c r="B28" s="109"/>
      <c r="C28" s="101"/>
      <c r="D28" s="113" t="s">
        <v>42</v>
      </c>
      <c r="E28" s="113"/>
      <c r="F28" s="113"/>
      <c r="G28" s="113"/>
      <c r="H28" s="104"/>
      <c r="I28" s="115"/>
      <c r="J28" s="6">
        <v>8</v>
      </c>
      <c r="K28" s="6" t="s">
        <v>41</v>
      </c>
      <c r="L28" s="6">
        <v>105</v>
      </c>
      <c r="N28" s="32"/>
      <c r="O28" s="161"/>
      <c r="P28" s="33">
        <v>0.4</v>
      </c>
      <c r="Q28" s="34">
        <f>P28*Q25</f>
        <v>41.624000000000002</v>
      </c>
    </row>
    <row r="29" spans="2:25" x14ac:dyDescent="0.25">
      <c r="B29" s="109"/>
      <c r="C29" s="101"/>
      <c r="D29" s="113"/>
      <c r="E29" s="113"/>
      <c r="F29" s="113"/>
      <c r="G29" s="113"/>
      <c r="H29" s="104"/>
      <c r="I29" s="115"/>
      <c r="J29" s="6">
        <v>7</v>
      </c>
      <c r="K29" s="6" t="s">
        <v>41</v>
      </c>
      <c r="L29" s="6">
        <v>102</v>
      </c>
    </row>
    <row r="30" spans="2:25" x14ac:dyDescent="0.25">
      <c r="B30" s="109"/>
      <c r="C30" s="101"/>
      <c r="D30" s="113"/>
      <c r="E30" s="113"/>
      <c r="F30" s="113"/>
      <c r="G30" s="113"/>
      <c r="H30" s="104"/>
      <c r="I30" s="115"/>
      <c r="J30" s="6">
        <v>6</v>
      </c>
      <c r="K30" s="6" t="s">
        <v>41</v>
      </c>
      <c r="L30" s="6">
        <v>100</v>
      </c>
    </row>
    <row r="31" spans="2:25" x14ac:dyDescent="0.25">
      <c r="B31" s="109"/>
      <c r="C31" s="101"/>
      <c r="D31" s="113"/>
      <c r="E31" s="113"/>
      <c r="F31" s="113"/>
      <c r="G31" s="113"/>
      <c r="H31" s="104"/>
      <c r="I31" s="115"/>
      <c r="J31" s="6">
        <v>5</v>
      </c>
      <c r="K31" s="6" t="s">
        <v>41</v>
      </c>
      <c r="L31" s="6">
        <v>95</v>
      </c>
      <c r="N31" s="9"/>
      <c r="O31" s="8" t="s">
        <v>43</v>
      </c>
      <c r="P31" s="162">
        <f>Q19+Q28</f>
        <v>114.536</v>
      </c>
      <c r="Q31" s="162"/>
    </row>
    <row r="32" spans="2:25" ht="15" customHeight="1" x14ac:dyDescent="0.25">
      <c r="B32" s="109"/>
      <c r="C32" s="101"/>
      <c r="D32" s="113"/>
      <c r="E32" s="113"/>
      <c r="F32" s="113"/>
      <c r="G32" s="113"/>
      <c r="H32" s="104"/>
      <c r="I32" s="115"/>
      <c r="J32" s="6">
        <v>4</v>
      </c>
      <c r="K32" s="6" t="s">
        <v>41</v>
      </c>
      <c r="L32" s="35">
        <v>90</v>
      </c>
      <c r="O32" s="37" t="s">
        <v>44</v>
      </c>
      <c r="P32" s="162"/>
      <c r="Q32" s="162"/>
    </row>
    <row r="33" spans="2:17" x14ac:dyDescent="0.25">
      <c r="B33" s="109"/>
      <c r="C33" s="101"/>
      <c r="D33" s="113"/>
      <c r="E33" s="113"/>
      <c r="F33" s="113"/>
      <c r="G33" s="113"/>
      <c r="H33" s="105"/>
      <c r="I33" s="115"/>
      <c r="J33" s="6">
        <v>3</v>
      </c>
      <c r="K33" s="6" t="s">
        <v>41</v>
      </c>
      <c r="L33" s="35">
        <v>85</v>
      </c>
      <c r="O33" s="31" t="s">
        <v>45</v>
      </c>
      <c r="P33" s="163" t="str">
        <f>IF(P31&lt;90,"POOR",IF(P31&lt;=100,"GOOD",IF(P31&lt;=110,"Very Good",IF(P31&gt;110,"Excellent"))))</f>
        <v>Excellent</v>
      </c>
      <c r="Q33" s="163"/>
    </row>
    <row r="34" spans="2:17" x14ac:dyDescent="0.25">
      <c r="B34" s="109"/>
      <c r="C34" s="106" t="s">
        <v>46</v>
      </c>
      <c r="D34" s="107"/>
      <c r="E34" s="107"/>
      <c r="F34" s="107"/>
      <c r="G34" s="108"/>
      <c r="H34" s="116">
        <f>SUM(I18,I26)</f>
        <v>108.80000000000001</v>
      </c>
      <c r="I34" s="117"/>
      <c r="J34" s="117"/>
      <c r="K34" s="117"/>
      <c r="L34" s="118"/>
    </row>
    <row r="35" spans="2:17" x14ac:dyDescent="0.25">
      <c r="B35" s="109"/>
      <c r="C35" s="101" t="s">
        <v>47</v>
      </c>
      <c r="D35" s="101"/>
      <c r="E35" s="101"/>
      <c r="F35" s="101"/>
      <c r="G35" s="101"/>
      <c r="H35" s="101" t="s">
        <v>29</v>
      </c>
      <c r="I35" s="101"/>
      <c r="J35" s="101"/>
      <c r="K35" s="101"/>
      <c r="L35" s="101"/>
    </row>
    <row r="36" spans="2:17" ht="15" customHeight="1" x14ac:dyDescent="0.25">
      <c r="B36" s="109"/>
      <c r="C36" s="101">
        <v>1</v>
      </c>
      <c r="D36" s="113" t="s">
        <v>48</v>
      </c>
      <c r="E36" s="113"/>
      <c r="F36" s="113"/>
      <c r="G36" s="113"/>
      <c r="H36" s="26" t="s">
        <v>32</v>
      </c>
      <c r="I36" s="27">
        <v>0.25</v>
      </c>
      <c r="J36" s="101" t="s">
        <v>49</v>
      </c>
      <c r="K36" s="101"/>
      <c r="L36" s="101"/>
    </row>
    <row r="37" spans="2:17" x14ac:dyDescent="0.25">
      <c r="B37" s="109"/>
      <c r="C37" s="101"/>
      <c r="D37" s="113"/>
      <c r="E37" s="113"/>
      <c r="F37" s="113"/>
      <c r="G37" s="113"/>
      <c r="H37" s="115">
        <v>8</v>
      </c>
      <c r="I37" s="115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109"/>
      <c r="C38" s="101"/>
      <c r="D38" s="113"/>
      <c r="E38" s="113"/>
      <c r="F38" s="113"/>
      <c r="G38" s="113"/>
      <c r="H38" s="115"/>
      <c r="I38" s="115"/>
      <c r="J38" s="35">
        <v>3</v>
      </c>
      <c r="K38" s="35" t="s">
        <v>50</v>
      </c>
      <c r="L38" s="35">
        <v>110</v>
      </c>
    </row>
    <row r="39" spans="2:17" x14ac:dyDescent="0.25">
      <c r="B39" s="109"/>
      <c r="C39" s="101"/>
      <c r="D39" s="141" t="s">
        <v>37</v>
      </c>
      <c r="E39" s="142"/>
      <c r="F39" s="142"/>
      <c r="G39" s="143"/>
      <c r="H39" s="115"/>
      <c r="I39" s="115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109"/>
      <c r="C40" s="101"/>
      <c r="D40" s="113" t="s">
        <v>51</v>
      </c>
      <c r="E40" s="113"/>
      <c r="F40" s="113"/>
      <c r="G40" s="113"/>
      <c r="H40" s="115"/>
      <c r="I40" s="115"/>
      <c r="J40" s="35">
        <v>1</v>
      </c>
      <c r="K40" s="35" t="s">
        <v>50</v>
      </c>
      <c r="L40" s="35">
        <v>100</v>
      </c>
    </row>
    <row r="41" spans="2:17" x14ac:dyDescent="0.25">
      <c r="B41" s="109"/>
      <c r="C41" s="101"/>
      <c r="D41" s="113"/>
      <c r="E41" s="113"/>
      <c r="F41" s="113"/>
      <c r="G41" s="113"/>
      <c r="H41" s="115"/>
      <c r="I41" s="115"/>
      <c r="J41" s="35">
        <v>0</v>
      </c>
      <c r="K41" s="35" t="s">
        <v>50</v>
      </c>
      <c r="L41" s="35">
        <v>50</v>
      </c>
    </row>
    <row r="42" spans="2:17" x14ac:dyDescent="0.25">
      <c r="B42" s="109"/>
      <c r="C42" s="101"/>
      <c r="D42" s="113"/>
      <c r="E42" s="113"/>
      <c r="F42" s="113"/>
      <c r="G42" s="113"/>
      <c r="H42" s="101" t="s">
        <v>29</v>
      </c>
      <c r="I42" s="101"/>
      <c r="J42" s="101"/>
      <c r="K42" s="101"/>
      <c r="L42" s="101"/>
    </row>
    <row r="43" spans="2:17" ht="15" customHeight="1" x14ac:dyDescent="0.25">
      <c r="B43" s="109"/>
      <c r="C43" s="101">
        <v>2</v>
      </c>
      <c r="D43" s="122" t="s">
        <v>52</v>
      </c>
      <c r="E43" s="83"/>
      <c r="F43" s="83"/>
      <c r="G43" s="123"/>
      <c r="H43" s="26" t="s">
        <v>32</v>
      </c>
      <c r="I43" s="27">
        <v>0.3</v>
      </c>
      <c r="J43" s="101" t="s">
        <v>53</v>
      </c>
      <c r="K43" s="101"/>
      <c r="L43" s="101"/>
    </row>
    <row r="44" spans="2:17" x14ac:dyDescent="0.25">
      <c r="B44" s="109"/>
      <c r="C44" s="101"/>
      <c r="D44" s="139"/>
      <c r="E44" s="84"/>
      <c r="F44" s="84"/>
      <c r="G44" s="140"/>
      <c r="H44" s="115" t="s">
        <v>54</v>
      </c>
      <c r="I44" s="115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109"/>
      <c r="C45" s="101"/>
      <c r="D45" s="139"/>
      <c r="E45" s="84"/>
      <c r="F45" s="84"/>
      <c r="G45" s="140"/>
      <c r="H45" s="115"/>
      <c r="I45" s="115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109"/>
      <c r="C46" s="101"/>
      <c r="D46" s="124"/>
      <c r="E46" s="125"/>
      <c r="F46" s="125"/>
      <c r="G46" s="126"/>
      <c r="H46" s="115"/>
      <c r="I46" s="115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109"/>
      <c r="C47" s="101"/>
      <c r="D47" s="122" t="s">
        <v>56</v>
      </c>
      <c r="E47" s="83"/>
      <c r="F47" s="83"/>
      <c r="G47" s="123"/>
      <c r="H47" s="115"/>
      <c r="I47" s="115"/>
      <c r="J47" s="35">
        <v>3</v>
      </c>
      <c r="K47" s="35" t="s">
        <v>55</v>
      </c>
      <c r="L47" s="35">
        <v>100</v>
      </c>
    </row>
    <row r="48" spans="2:17" x14ac:dyDescent="0.25">
      <c r="B48" s="109"/>
      <c r="C48" s="101"/>
      <c r="D48" s="139"/>
      <c r="E48" s="84"/>
      <c r="F48" s="84"/>
      <c r="G48" s="140"/>
      <c r="H48" s="115"/>
      <c r="I48" s="115"/>
      <c r="J48" s="35">
        <v>4</v>
      </c>
      <c r="K48" s="35" t="s">
        <v>55</v>
      </c>
      <c r="L48" s="35">
        <v>95</v>
      </c>
    </row>
    <row r="49" spans="2:12" x14ac:dyDescent="0.25">
      <c r="B49" s="109"/>
      <c r="C49" s="101"/>
      <c r="D49" s="139"/>
      <c r="E49" s="84"/>
      <c r="F49" s="84"/>
      <c r="G49" s="140"/>
      <c r="H49" s="115"/>
      <c r="I49" s="115"/>
      <c r="J49" s="35">
        <v>5</v>
      </c>
      <c r="K49" s="35" t="s">
        <v>55</v>
      </c>
      <c r="L49" s="35">
        <v>90</v>
      </c>
    </row>
    <row r="50" spans="2:12" x14ac:dyDescent="0.25">
      <c r="B50" s="109"/>
      <c r="C50" s="101"/>
      <c r="D50" s="139"/>
      <c r="E50" s="84"/>
      <c r="F50" s="84"/>
      <c r="G50" s="140"/>
      <c r="H50" s="115"/>
      <c r="I50" s="115"/>
      <c r="J50" s="35">
        <v>6</v>
      </c>
      <c r="K50" s="35" t="s">
        <v>55</v>
      </c>
      <c r="L50" s="35">
        <v>85</v>
      </c>
    </row>
    <row r="51" spans="2:12" x14ac:dyDescent="0.25">
      <c r="B51" s="109"/>
      <c r="C51" s="101"/>
      <c r="D51" s="139"/>
      <c r="E51" s="84"/>
      <c r="F51" s="84"/>
      <c r="G51" s="140"/>
      <c r="H51" s="115"/>
      <c r="I51" s="115"/>
      <c r="J51" s="35">
        <v>7</v>
      </c>
      <c r="K51" s="35" t="s">
        <v>55</v>
      </c>
      <c r="L51" s="35">
        <v>80</v>
      </c>
    </row>
    <row r="52" spans="2:12" x14ac:dyDescent="0.25">
      <c r="B52" s="109"/>
      <c r="C52" s="101"/>
      <c r="D52" s="124"/>
      <c r="E52" s="125"/>
      <c r="F52" s="125"/>
      <c r="G52" s="126"/>
      <c r="H52" s="101" t="s">
        <v>29</v>
      </c>
      <c r="I52" s="101"/>
      <c r="J52" s="101"/>
      <c r="K52" s="101"/>
      <c r="L52" s="101"/>
    </row>
    <row r="53" spans="2:12" ht="15" customHeight="1" x14ac:dyDescent="0.25">
      <c r="B53" s="109"/>
      <c r="C53" s="101">
        <v>3</v>
      </c>
      <c r="D53" s="113" t="s">
        <v>57</v>
      </c>
      <c r="E53" s="113"/>
      <c r="F53" s="113"/>
      <c r="G53" s="113"/>
      <c r="H53" s="26" t="s">
        <v>32</v>
      </c>
      <c r="I53" s="27">
        <v>0.25</v>
      </c>
      <c r="J53" s="101" t="s">
        <v>53</v>
      </c>
      <c r="K53" s="101"/>
      <c r="L53" s="101"/>
    </row>
    <row r="54" spans="2:12" x14ac:dyDescent="0.25">
      <c r="B54" s="109"/>
      <c r="C54" s="101"/>
      <c r="D54" s="113"/>
      <c r="E54" s="113"/>
      <c r="F54" s="113"/>
      <c r="G54" s="113"/>
      <c r="H54" s="115">
        <v>5</v>
      </c>
      <c r="I54" s="115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109"/>
      <c r="C55" s="101"/>
      <c r="D55" s="113"/>
      <c r="E55" s="113"/>
      <c r="F55" s="113"/>
      <c r="G55" s="113"/>
      <c r="H55" s="115"/>
      <c r="I55" s="115"/>
      <c r="J55" s="35">
        <v>4</v>
      </c>
      <c r="K55" s="35" t="s">
        <v>58</v>
      </c>
      <c r="L55" s="35">
        <v>110</v>
      </c>
    </row>
    <row r="56" spans="2:12" x14ac:dyDescent="0.25">
      <c r="B56" s="109"/>
      <c r="C56" s="101"/>
      <c r="D56" s="113"/>
      <c r="E56" s="113"/>
      <c r="F56" s="113"/>
      <c r="G56" s="113"/>
      <c r="H56" s="115"/>
      <c r="I56" s="115"/>
      <c r="J56" s="35">
        <v>3</v>
      </c>
      <c r="K56" s="35" t="s">
        <v>58</v>
      </c>
      <c r="L56" s="35">
        <v>105</v>
      </c>
    </row>
    <row r="57" spans="2:12" x14ac:dyDescent="0.25">
      <c r="B57" s="109"/>
      <c r="C57" s="101"/>
      <c r="D57" s="76" t="s">
        <v>37</v>
      </c>
      <c r="E57" s="76"/>
      <c r="F57" s="76"/>
      <c r="G57" s="76"/>
      <c r="H57" s="115"/>
      <c r="I57" s="115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109"/>
      <c r="C58" s="101"/>
      <c r="D58" s="113" t="s">
        <v>59</v>
      </c>
      <c r="E58" s="113"/>
      <c r="F58" s="113"/>
      <c r="G58" s="113"/>
      <c r="H58" s="115"/>
      <c r="I58" s="115"/>
      <c r="J58" s="35">
        <v>1</v>
      </c>
      <c r="K58" s="35" t="s">
        <v>58</v>
      </c>
      <c r="L58" s="35">
        <v>95</v>
      </c>
    </row>
    <row r="59" spans="2:12" x14ac:dyDescent="0.25">
      <c r="B59" s="109"/>
      <c r="C59" s="101"/>
      <c r="D59" s="113"/>
      <c r="E59" s="113"/>
      <c r="F59" s="113"/>
      <c r="G59" s="113"/>
      <c r="H59" s="115"/>
      <c r="I59" s="115"/>
      <c r="J59" s="35">
        <v>0</v>
      </c>
      <c r="K59" s="35" t="s">
        <v>58</v>
      </c>
      <c r="L59" s="35">
        <v>50</v>
      </c>
    </row>
    <row r="60" spans="2:12" x14ac:dyDescent="0.25">
      <c r="B60" s="109"/>
      <c r="C60" s="101"/>
      <c r="D60" s="113"/>
      <c r="E60" s="113"/>
      <c r="F60" s="113"/>
      <c r="G60" s="113"/>
      <c r="H60" s="101" t="s">
        <v>29</v>
      </c>
      <c r="I60" s="101"/>
      <c r="J60" s="101"/>
      <c r="K60" s="101"/>
      <c r="L60" s="101"/>
    </row>
    <row r="61" spans="2:12" x14ac:dyDescent="0.25">
      <c r="B61" s="109"/>
      <c r="C61" s="101">
        <v>4</v>
      </c>
      <c r="D61" s="113" t="s">
        <v>60</v>
      </c>
      <c r="E61" s="113"/>
      <c r="F61" s="113"/>
      <c r="G61" s="113"/>
      <c r="H61" s="26" t="s">
        <v>32</v>
      </c>
      <c r="I61" s="27">
        <v>0.2</v>
      </c>
      <c r="J61" s="101" t="s">
        <v>53</v>
      </c>
      <c r="K61" s="101"/>
      <c r="L61" s="101"/>
    </row>
    <row r="62" spans="2:12" x14ac:dyDescent="0.25">
      <c r="B62" s="109"/>
      <c r="C62" s="101"/>
      <c r="D62" s="113"/>
      <c r="E62" s="113"/>
      <c r="F62" s="113"/>
      <c r="G62" s="113"/>
      <c r="H62" s="115">
        <v>9</v>
      </c>
      <c r="I62" s="115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109"/>
      <c r="C63" s="101"/>
      <c r="D63" s="101" t="s">
        <v>37</v>
      </c>
      <c r="E63" s="101"/>
      <c r="F63" s="101"/>
      <c r="G63" s="101"/>
      <c r="H63" s="115"/>
      <c r="I63" s="115"/>
      <c r="J63" s="35">
        <v>9</v>
      </c>
      <c r="K63" s="35" t="s">
        <v>58</v>
      </c>
      <c r="L63" s="35">
        <v>107</v>
      </c>
    </row>
    <row r="64" spans="2:12" x14ac:dyDescent="0.25">
      <c r="B64" s="109"/>
      <c r="C64" s="101"/>
      <c r="D64" s="113" t="s">
        <v>61</v>
      </c>
      <c r="E64" s="113"/>
      <c r="F64" s="113"/>
      <c r="G64" s="113"/>
      <c r="H64" s="115"/>
      <c r="I64" s="115"/>
      <c r="J64" s="35">
        <v>8</v>
      </c>
      <c r="K64" s="35" t="s">
        <v>58</v>
      </c>
      <c r="L64" s="35">
        <v>105</v>
      </c>
    </row>
    <row r="65" spans="2:12" x14ac:dyDescent="0.25">
      <c r="B65" s="109"/>
      <c r="C65" s="101"/>
      <c r="D65" s="113"/>
      <c r="E65" s="113"/>
      <c r="F65" s="113"/>
      <c r="G65" s="113"/>
      <c r="H65" s="115"/>
      <c r="I65" s="115"/>
      <c r="J65" s="35">
        <v>7</v>
      </c>
      <c r="K65" s="35" t="s">
        <v>58</v>
      </c>
      <c r="L65" s="35">
        <v>102</v>
      </c>
    </row>
    <row r="66" spans="2:12" x14ac:dyDescent="0.25">
      <c r="B66" s="109"/>
      <c r="C66" s="101"/>
      <c r="D66" s="113"/>
      <c r="E66" s="113"/>
      <c r="F66" s="113"/>
      <c r="G66" s="113"/>
      <c r="H66" s="115"/>
      <c r="I66" s="115"/>
      <c r="J66" s="35">
        <v>6</v>
      </c>
      <c r="K66" s="35" t="s">
        <v>58</v>
      </c>
      <c r="L66" s="35">
        <v>10</v>
      </c>
    </row>
    <row r="67" spans="2:12" x14ac:dyDescent="0.25">
      <c r="B67" s="109"/>
      <c r="C67" s="101"/>
      <c r="D67" s="113"/>
      <c r="E67" s="113"/>
      <c r="F67" s="113"/>
      <c r="G67" s="113"/>
      <c r="H67" s="115"/>
      <c r="I67" s="115"/>
      <c r="J67" s="35">
        <v>5</v>
      </c>
      <c r="K67" s="35" t="s">
        <v>58</v>
      </c>
      <c r="L67" s="35">
        <v>95</v>
      </c>
    </row>
    <row r="68" spans="2:12" x14ac:dyDescent="0.25">
      <c r="B68" s="109"/>
      <c r="C68" s="101"/>
      <c r="D68" s="113"/>
      <c r="E68" s="113"/>
      <c r="F68" s="113"/>
      <c r="G68" s="113"/>
      <c r="H68" s="115"/>
      <c r="I68" s="115"/>
      <c r="J68" s="35">
        <v>4</v>
      </c>
      <c r="K68" s="35" t="s">
        <v>58</v>
      </c>
      <c r="L68" s="35">
        <v>90</v>
      </c>
    </row>
    <row r="69" spans="2:12" x14ac:dyDescent="0.25">
      <c r="B69" s="109"/>
      <c r="C69" s="101"/>
      <c r="D69" s="113"/>
      <c r="E69" s="113"/>
      <c r="F69" s="113"/>
      <c r="G69" s="113"/>
      <c r="H69" s="115"/>
      <c r="I69" s="115"/>
      <c r="J69" s="35"/>
      <c r="K69" s="35"/>
      <c r="L69" s="35"/>
    </row>
    <row r="70" spans="2:12" x14ac:dyDescent="0.25">
      <c r="B70" s="109"/>
      <c r="C70" s="101"/>
      <c r="D70" s="113"/>
      <c r="E70" s="113"/>
      <c r="F70" s="113"/>
      <c r="G70" s="113"/>
      <c r="H70" s="115"/>
      <c r="I70" s="115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106" t="s">
        <v>62</v>
      </c>
      <c r="D71" s="107"/>
      <c r="E71" s="107"/>
      <c r="F71" s="107"/>
      <c r="G71" s="108"/>
      <c r="H71" s="116">
        <f>I37+I44+I54+I62</f>
        <v>109.55000000000001</v>
      </c>
      <c r="I71" s="117"/>
      <c r="J71" s="117"/>
      <c r="K71" s="117"/>
      <c r="L71" s="118"/>
    </row>
    <row r="72" spans="2:12" ht="15" customHeight="1" x14ac:dyDescent="0.25">
      <c r="B72" s="136">
        <v>2</v>
      </c>
      <c r="C72" s="113" t="s">
        <v>63</v>
      </c>
      <c r="D72" s="113"/>
      <c r="E72" s="113"/>
      <c r="F72" s="113"/>
      <c r="G72" s="113"/>
      <c r="H72" s="147"/>
      <c r="I72" s="147"/>
      <c r="J72" s="147"/>
      <c r="K72" s="147"/>
      <c r="L72" s="147"/>
    </row>
    <row r="73" spans="2:12" x14ac:dyDescent="0.25">
      <c r="B73" s="137"/>
      <c r="C73" s="113"/>
      <c r="D73" s="113"/>
      <c r="E73" s="113"/>
      <c r="F73" s="113"/>
      <c r="G73" s="113"/>
      <c r="H73" s="147"/>
      <c r="I73" s="147"/>
      <c r="J73" s="147"/>
      <c r="K73" s="147"/>
      <c r="L73" s="147"/>
    </row>
    <row r="74" spans="2:12" x14ac:dyDescent="0.25">
      <c r="B74" s="137"/>
      <c r="C74" s="133" t="s">
        <v>64</v>
      </c>
      <c r="D74" s="134"/>
      <c r="E74" s="134"/>
      <c r="F74" s="134"/>
      <c r="G74" s="135"/>
      <c r="H74" s="101" t="s">
        <v>29</v>
      </c>
      <c r="I74" s="101"/>
      <c r="J74" s="101"/>
      <c r="K74" s="101"/>
      <c r="L74" s="101"/>
    </row>
    <row r="75" spans="2:12" ht="15" customHeight="1" x14ac:dyDescent="0.25">
      <c r="B75" s="137"/>
      <c r="C75" s="101">
        <v>1</v>
      </c>
      <c r="D75" s="122" t="s">
        <v>65</v>
      </c>
      <c r="E75" s="83"/>
      <c r="F75" s="83"/>
      <c r="G75" s="123"/>
      <c r="H75" s="26" t="s">
        <v>32</v>
      </c>
      <c r="I75" s="27">
        <v>0.6</v>
      </c>
      <c r="J75" s="101" t="s">
        <v>40</v>
      </c>
      <c r="K75" s="101"/>
      <c r="L75" s="101"/>
    </row>
    <row r="76" spans="2:12" ht="15" customHeight="1" x14ac:dyDescent="0.25">
      <c r="B76" s="137"/>
      <c r="C76" s="101"/>
      <c r="D76" s="139"/>
      <c r="E76" s="84"/>
      <c r="F76" s="84"/>
      <c r="G76" s="140"/>
      <c r="H76" s="115">
        <v>13</v>
      </c>
      <c r="I76" s="115">
        <f>((H76*5)+100)*I75</f>
        <v>99</v>
      </c>
      <c r="J76" s="148">
        <v>5</v>
      </c>
      <c r="K76" s="151" t="s">
        <v>66</v>
      </c>
      <c r="L76" s="152"/>
    </row>
    <row r="77" spans="2:12" x14ac:dyDescent="0.25">
      <c r="B77" s="137"/>
      <c r="C77" s="101"/>
      <c r="D77" s="139"/>
      <c r="E77" s="84"/>
      <c r="F77" s="84"/>
      <c r="G77" s="140"/>
      <c r="H77" s="115"/>
      <c r="I77" s="115"/>
      <c r="J77" s="149"/>
      <c r="K77" s="153"/>
      <c r="L77" s="154"/>
    </row>
    <row r="78" spans="2:12" x14ac:dyDescent="0.25">
      <c r="B78" s="137"/>
      <c r="C78" s="101"/>
      <c r="D78" s="139"/>
      <c r="E78" s="84"/>
      <c r="F78" s="84"/>
      <c r="G78" s="140"/>
      <c r="H78" s="115"/>
      <c r="I78" s="115"/>
      <c r="J78" s="149"/>
      <c r="K78" s="153"/>
      <c r="L78" s="154"/>
    </row>
    <row r="79" spans="2:12" x14ac:dyDescent="0.25">
      <c r="B79" s="137"/>
      <c r="C79" s="101"/>
      <c r="D79" s="124"/>
      <c r="E79" s="125"/>
      <c r="F79" s="125"/>
      <c r="G79" s="126"/>
      <c r="H79" s="115"/>
      <c r="I79" s="115"/>
      <c r="J79" s="150"/>
      <c r="K79" s="155"/>
      <c r="L79" s="156"/>
    </row>
    <row r="80" spans="2:12" x14ac:dyDescent="0.25">
      <c r="B80" s="137"/>
      <c r="C80" s="101"/>
      <c r="D80" s="113" t="s">
        <v>37</v>
      </c>
      <c r="E80" s="113"/>
      <c r="F80" s="113"/>
      <c r="G80" s="113"/>
      <c r="H80" s="115"/>
      <c r="I80" s="115"/>
      <c r="J80" s="115">
        <v>100</v>
      </c>
      <c r="K80" s="157" t="s">
        <v>67</v>
      </c>
      <c r="L80" s="157"/>
    </row>
    <row r="81" spans="2:12" ht="15" customHeight="1" x14ac:dyDescent="0.25">
      <c r="B81" s="137"/>
      <c r="C81" s="101"/>
      <c r="D81" s="113" t="s">
        <v>68</v>
      </c>
      <c r="E81" s="113"/>
      <c r="F81" s="113"/>
      <c r="G81" s="113"/>
      <c r="H81" s="115"/>
      <c r="I81" s="115"/>
      <c r="J81" s="115"/>
      <c r="K81" s="157"/>
      <c r="L81" s="157"/>
    </row>
    <row r="82" spans="2:12" x14ac:dyDescent="0.25">
      <c r="B82" s="137"/>
      <c r="C82" s="101"/>
      <c r="D82" s="113"/>
      <c r="E82" s="113"/>
      <c r="F82" s="113"/>
      <c r="G82" s="113"/>
      <c r="H82" s="115"/>
      <c r="I82" s="115"/>
      <c r="J82" s="158">
        <v>-5</v>
      </c>
      <c r="K82" s="113" t="s">
        <v>69</v>
      </c>
      <c r="L82" s="113"/>
    </row>
    <row r="83" spans="2:12" x14ac:dyDescent="0.25">
      <c r="B83" s="137"/>
      <c r="C83" s="101"/>
      <c r="D83" s="113"/>
      <c r="E83" s="113"/>
      <c r="F83" s="113"/>
      <c r="G83" s="113"/>
      <c r="H83" s="115"/>
      <c r="I83" s="115"/>
      <c r="J83" s="158"/>
      <c r="K83" s="113"/>
      <c r="L83" s="113"/>
    </row>
    <row r="84" spans="2:12" x14ac:dyDescent="0.25">
      <c r="B84" s="137"/>
      <c r="C84" s="101"/>
      <c r="D84" s="113"/>
      <c r="E84" s="113"/>
      <c r="F84" s="113"/>
      <c r="G84" s="113"/>
      <c r="H84" s="115"/>
      <c r="I84" s="115"/>
      <c r="J84" s="158"/>
      <c r="K84" s="113"/>
      <c r="L84" s="113"/>
    </row>
    <row r="85" spans="2:12" x14ac:dyDescent="0.25">
      <c r="B85" s="137"/>
      <c r="C85" s="101"/>
      <c r="D85" s="113"/>
      <c r="E85" s="113"/>
      <c r="F85" s="113"/>
      <c r="G85" s="113"/>
      <c r="H85" s="115"/>
      <c r="I85" s="115"/>
      <c r="J85" s="158"/>
      <c r="K85" s="113"/>
      <c r="L85" s="113"/>
    </row>
    <row r="86" spans="2:12" x14ac:dyDescent="0.25">
      <c r="B86" s="137"/>
      <c r="C86" s="101"/>
      <c r="D86" s="113"/>
      <c r="E86" s="113"/>
      <c r="F86" s="113"/>
      <c r="G86" s="113"/>
      <c r="H86" s="101" t="s">
        <v>29</v>
      </c>
      <c r="I86" s="101"/>
      <c r="J86" s="101"/>
      <c r="K86" s="101"/>
      <c r="L86" s="101"/>
    </row>
    <row r="87" spans="2:12" x14ac:dyDescent="0.25">
      <c r="B87" s="137"/>
      <c r="C87" s="101">
        <v>2</v>
      </c>
      <c r="D87" s="113" t="s">
        <v>70</v>
      </c>
      <c r="E87" s="113"/>
      <c r="F87" s="113"/>
      <c r="G87" s="113"/>
      <c r="H87" s="26" t="s">
        <v>32</v>
      </c>
      <c r="I87" s="27">
        <v>0.4</v>
      </c>
      <c r="J87" s="101" t="s">
        <v>40</v>
      </c>
      <c r="K87" s="101"/>
      <c r="L87" s="101"/>
    </row>
    <row r="88" spans="2:12" x14ac:dyDescent="0.25">
      <c r="B88" s="137"/>
      <c r="C88" s="101"/>
      <c r="D88" s="113"/>
      <c r="E88" s="113"/>
      <c r="F88" s="113"/>
      <c r="G88" s="113"/>
      <c r="H88" s="115">
        <v>13</v>
      </c>
      <c r="I88" s="115">
        <f>110*I87</f>
        <v>44</v>
      </c>
      <c r="J88" s="101">
        <v>110</v>
      </c>
      <c r="K88" s="113" t="s">
        <v>71</v>
      </c>
      <c r="L88" s="113"/>
    </row>
    <row r="89" spans="2:12" x14ac:dyDescent="0.25">
      <c r="B89" s="137"/>
      <c r="C89" s="101"/>
      <c r="D89" s="113"/>
      <c r="E89" s="113"/>
      <c r="F89" s="113"/>
      <c r="G89" s="113"/>
      <c r="H89" s="115"/>
      <c r="I89" s="115"/>
      <c r="J89" s="101"/>
      <c r="K89" s="113"/>
      <c r="L89" s="113"/>
    </row>
    <row r="90" spans="2:12" x14ac:dyDescent="0.25">
      <c r="B90" s="137"/>
      <c r="C90" s="101"/>
      <c r="D90" s="113"/>
      <c r="E90" s="113"/>
      <c r="F90" s="113"/>
      <c r="G90" s="113"/>
      <c r="H90" s="115"/>
      <c r="I90" s="115"/>
      <c r="J90" s="76">
        <v>100</v>
      </c>
      <c r="K90" s="113" t="s">
        <v>72</v>
      </c>
      <c r="L90" s="113"/>
    </row>
    <row r="91" spans="2:12" x14ac:dyDescent="0.25">
      <c r="B91" s="137"/>
      <c r="C91" s="101"/>
      <c r="D91" s="113"/>
      <c r="E91" s="113"/>
      <c r="F91" s="113"/>
      <c r="G91" s="113"/>
      <c r="H91" s="115"/>
      <c r="I91" s="115"/>
      <c r="J91" s="76"/>
      <c r="K91" s="113"/>
      <c r="L91" s="113"/>
    </row>
    <row r="92" spans="2:12" x14ac:dyDescent="0.25">
      <c r="B92" s="137"/>
      <c r="C92" s="101"/>
      <c r="D92" s="101" t="s">
        <v>37</v>
      </c>
      <c r="E92" s="101"/>
      <c r="F92" s="101"/>
      <c r="G92" s="101"/>
      <c r="H92" s="115"/>
      <c r="I92" s="115"/>
      <c r="J92" s="159">
        <v>-5</v>
      </c>
      <c r="K92" s="113" t="s">
        <v>73</v>
      </c>
      <c r="L92" s="113"/>
    </row>
    <row r="93" spans="2:12" ht="15" customHeight="1" x14ac:dyDescent="0.25">
      <c r="B93" s="137"/>
      <c r="C93" s="101"/>
      <c r="D93" s="113" t="s">
        <v>74</v>
      </c>
      <c r="E93" s="113"/>
      <c r="F93" s="113"/>
      <c r="G93" s="113"/>
      <c r="H93" s="115"/>
      <c r="I93" s="115"/>
      <c r="J93" s="159"/>
      <c r="K93" s="113"/>
      <c r="L93" s="113"/>
    </row>
    <row r="94" spans="2:12" x14ac:dyDescent="0.25">
      <c r="B94" s="137"/>
      <c r="C94" s="101"/>
      <c r="D94" s="113"/>
      <c r="E94" s="113"/>
      <c r="F94" s="113"/>
      <c r="G94" s="113"/>
      <c r="H94" s="115"/>
      <c r="I94" s="115"/>
      <c r="J94" s="159"/>
      <c r="K94" s="113"/>
      <c r="L94" s="113"/>
    </row>
    <row r="95" spans="2:12" x14ac:dyDescent="0.25">
      <c r="B95" s="137"/>
      <c r="C95" s="106" t="s">
        <v>46</v>
      </c>
      <c r="D95" s="107"/>
      <c r="E95" s="107"/>
      <c r="F95" s="107"/>
      <c r="G95" s="108"/>
      <c r="H95" s="116">
        <f>I76+I88</f>
        <v>143</v>
      </c>
      <c r="I95" s="117"/>
      <c r="J95" s="117"/>
      <c r="K95" s="117"/>
      <c r="L95" s="118"/>
    </row>
    <row r="96" spans="2:12" x14ac:dyDescent="0.25">
      <c r="B96" s="137"/>
      <c r="C96" s="133" t="s">
        <v>47</v>
      </c>
      <c r="D96" s="134"/>
      <c r="E96" s="134"/>
      <c r="F96" s="134"/>
      <c r="G96" s="135"/>
      <c r="H96" s="101" t="s">
        <v>29</v>
      </c>
      <c r="I96" s="101"/>
      <c r="J96" s="101"/>
      <c r="K96" s="101"/>
      <c r="L96" s="101"/>
    </row>
    <row r="97" spans="2:12" x14ac:dyDescent="0.25">
      <c r="B97" s="137"/>
      <c r="C97" s="136">
        <v>1</v>
      </c>
      <c r="D97" s="113" t="s">
        <v>75</v>
      </c>
      <c r="E97" s="113"/>
      <c r="F97" s="113"/>
      <c r="G97" s="113"/>
      <c r="H97" s="26" t="s">
        <v>32</v>
      </c>
      <c r="I97" s="27">
        <v>0.4</v>
      </c>
      <c r="J97" s="101" t="s">
        <v>40</v>
      </c>
      <c r="K97" s="101"/>
      <c r="L97" s="101"/>
    </row>
    <row r="98" spans="2:12" x14ac:dyDescent="0.25">
      <c r="B98" s="137"/>
      <c r="C98" s="137"/>
      <c r="D98" s="113"/>
      <c r="E98" s="113"/>
      <c r="F98" s="113"/>
      <c r="G98" s="113"/>
      <c r="H98" s="103">
        <v>98</v>
      </c>
      <c r="I98" s="103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137"/>
      <c r="C99" s="137"/>
      <c r="D99" s="113"/>
      <c r="E99" s="113"/>
      <c r="F99" s="113"/>
      <c r="G99" s="113"/>
      <c r="H99" s="104"/>
      <c r="I99" s="104"/>
      <c r="J99" s="39">
        <v>110</v>
      </c>
      <c r="K99" s="39" t="s">
        <v>34</v>
      </c>
      <c r="L99" s="39" t="s">
        <v>77</v>
      </c>
    </row>
    <row r="100" spans="2:12" x14ac:dyDescent="0.25">
      <c r="B100" s="137"/>
      <c r="C100" s="137"/>
      <c r="D100" s="133" t="s">
        <v>37</v>
      </c>
      <c r="E100" s="134"/>
      <c r="F100" s="134"/>
      <c r="G100" s="135"/>
      <c r="H100" s="104"/>
      <c r="I100" s="104"/>
      <c r="J100" s="39">
        <v>108</v>
      </c>
      <c r="K100" s="39" t="s">
        <v>34</v>
      </c>
      <c r="L100" s="39" t="s">
        <v>78</v>
      </c>
    </row>
    <row r="101" spans="2:12" x14ac:dyDescent="0.25">
      <c r="B101" s="137"/>
      <c r="C101" s="137"/>
      <c r="D101" s="122" t="s">
        <v>79</v>
      </c>
      <c r="E101" s="83"/>
      <c r="F101" s="83"/>
      <c r="G101" s="123"/>
      <c r="H101" s="104"/>
      <c r="I101" s="104"/>
      <c r="J101" s="39">
        <v>105</v>
      </c>
      <c r="K101" s="39" t="s">
        <v>34</v>
      </c>
      <c r="L101" s="39" t="s">
        <v>80</v>
      </c>
    </row>
    <row r="102" spans="2:12" x14ac:dyDescent="0.25">
      <c r="B102" s="137"/>
      <c r="C102" s="137"/>
      <c r="D102" s="139"/>
      <c r="E102" s="84"/>
      <c r="F102" s="84"/>
      <c r="G102" s="140"/>
      <c r="H102" s="104"/>
      <c r="I102" s="104"/>
      <c r="J102" s="39">
        <v>103</v>
      </c>
      <c r="K102" s="39" t="s">
        <v>34</v>
      </c>
      <c r="L102" s="39" t="s">
        <v>81</v>
      </c>
    </row>
    <row r="103" spans="2:12" x14ac:dyDescent="0.25">
      <c r="B103" s="137"/>
      <c r="C103" s="137"/>
      <c r="D103" s="139"/>
      <c r="E103" s="84"/>
      <c r="F103" s="84"/>
      <c r="G103" s="140"/>
      <c r="H103" s="104"/>
      <c r="I103" s="104"/>
      <c r="J103" s="39">
        <v>100</v>
      </c>
      <c r="K103" s="39" t="s">
        <v>34</v>
      </c>
      <c r="L103" s="39" t="s">
        <v>82</v>
      </c>
    </row>
    <row r="104" spans="2:12" x14ac:dyDescent="0.25">
      <c r="B104" s="137"/>
      <c r="C104" s="137"/>
      <c r="D104" s="139"/>
      <c r="E104" s="84"/>
      <c r="F104" s="84"/>
      <c r="G104" s="140"/>
      <c r="H104" s="104"/>
      <c r="I104" s="104"/>
      <c r="J104" s="39">
        <v>98</v>
      </c>
      <c r="K104" s="39" t="s">
        <v>34</v>
      </c>
      <c r="L104" s="39" t="s">
        <v>83</v>
      </c>
    </row>
    <row r="105" spans="2:12" x14ac:dyDescent="0.25">
      <c r="B105" s="137"/>
      <c r="C105" s="137"/>
      <c r="D105" s="139"/>
      <c r="E105" s="84"/>
      <c r="F105" s="84"/>
      <c r="G105" s="140"/>
      <c r="H105" s="104"/>
      <c r="I105" s="104"/>
      <c r="J105" s="39">
        <v>95</v>
      </c>
      <c r="K105" s="39" t="s">
        <v>34</v>
      </c>
      <c r="L105" s="39" t="s">
        <v>84</v>
      </c>
    </row>
    <row r="106" spans="2:12" x14ac:dyDescent="0.25">
      <c r="B106" s="137"/>
      <c r="C106" s="137"/>
      <c r="D106" s="139"/>
      <c r="E106" s="84"/>
      <c r="F106" s="84"/>
      <c r="G106" s="140"/>
      <c r="H106" s="105"/>
      <c r="I106" s="105"/>
      <c r="J106" s="39">
        <v>93</v>
      </c>
      <c r="K106" s="39" t="s">
        <v>34</v>
      </c>
      <c r="L106" s="39" t="s">
        <v>85</v>
      </c>
    </row>
    <row r="107" spans="2:12" x14ac:dyDescent="0.25">
      <c r="B107" s="137"/>
      <c r="C107" s="138"/>
      <c r="D107" s="124"/>
      <c r="E107" s="125"/>
      <c r="F107" s="125"/>
      <c r="G107" s="126"/>
      <c r="H107" s="101" t="s">
        <v>29</v>
      </c>
      <c r="I107" s="101"/>
      <c r="J107" s="101"/>
      <c r="K107" s="101"/>
      <c r="L107" s="101"/>
    </row>
    <row r="108" spans="2:12" x14ac:dyDescent="0.25">
      <c r="B108" s="137"/>
      <c r="C108" s="136">
        <v>2</v>
      </c>
      <c r="D108" s="113" t="s">
        <v>86</v>
      </c>
      <c r="E108" s="113"/>
      <c r="F108" s="113"/>
      <c r="G108" s="113"/>
      <c r="H108" s="26" t="s">
        <v>32</v>
      </c>
      <c r="I108" s="27">
        <v>0.3</v>
      </c>
      <c r="J108" s="101" t="s">
        <v>40</v>
      </c>
      <c r="K108" s="101"/>
      <c r="L108" s="101"/>
    </row>
    <row r="109" spans="2:12" x14ac:dyDescent="0.25">
      <c r="B109" s="137"/>
      <c r="C109" s="137"/>
      <c r="D109" s="113"/>
      <c r="E109" s="113"/>
      <c r="F109" s="113"/>
      <c r="G109" s="113"/>
      <c r="H109" s="103">
        <v>100</v>
      </c>
      <c r="I109" s="103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137"/>
      <c r="C110" s="137"/>
      <c r="D110" s="113"/>
      <c r="E110" s="113"/>
      <c r="F110" s="113"/>
      <c r="G110" s="113"/>
      <c r="H110" s="104"/>
      <c r="I110" s="104"/>
      <c r="J110" s="39">
        <v>110</v>
      </c>
      <c r="K110" s="39" t="s">
        <v>34</v>
      </c>
      <c r="L110" s="39" t="s">
        <v>77</v>
      </c>
    </row>
    <row r="111" spans="2:12" x14ac:dyDescent="0.25">
      <c r="B111" s="137"/>
      <c r="C111" s="137"/>
      <c r="D111" s="113"/>
      <c r="E111" s="113"/>
      <c r="F111" s="113"/>
      <c r="G111" s="113"/>
      <c r="H111" s="104"/>
      <c r="I111" s="104"/>
      <c r="J111" s="39">
        <v>108</v>
      </c>
      <c r="K111" s="39" t="s">
        <v>34</v>
      </c>
      <c r="L111" s="39" t="s">
        <v>78</v>
      </c>
    </row>
    <row r="112" spans="2:12" x14ac:dyDescent="0.25">
      <c r="B112" s="137"/>
      <c r="C112" s="137"/>
      <c r="D112" s="122" t="s">
        <v>37</v>
      </c>
      <c r="E112" s="83"/>
      <c r="F112" s="83"/>
      <c r="G112" s="123"/>
      <c r="H112" s="104"/>
      <c r="I112" s="104"/>
      <c r="J112" s="39">
        <v>105</v>
      </c>
      <c r="K112" s="39" t="s">
        <v>34</v>
      </c>
      <c r="L112" s="39" t="s">
        <v>80</v>
      </c>
    </row>
    <row r="113" spans="2:12" x14ac:dyDescent="0.25">
      <c r="B113" s="137"/>
      <c r="C113" s="137"/>
      <c r="D113" s="139" t="s">
        <v>87</v>
      </c>
      <c r="E113" s="84"/>
      <c r="F113" s="84"/>
      <c r="G113" s="140"/>
      <c r="H113" s="104"/>
      <c r="I113" s="104"/>
      <c r="J113" s="39">
        <v>103</v>
      </c>
      <c r="K113" s="39" t="s">
        <v>34</v>
      </c>
      <c r="L113" s="39" t="s">
        <v>81</v>
      </c>
    </row>
    <row r="114" spans="2:12" x14ac:dyDescent="0.25">
      <c r="B114" s="137"/>
      <c r="C114" s="137"/>
      <c r="D114" s="139"/>
      <c r="E114" s="84"/>
      <c r="F114" s="84"/>
      <c r="G114" s="140"/>
      <c r="H114" s="104"/>
      <c r="I114" s="104"/>
      <c r="J114" s="39">
        <v>100</v>
      </c>
      <c r="K114" s="39" t="s">
        <v>34</v>
      </c>
      <c r="L114" s="39" t="s">
        <v>82</v>
      </c>
    </row>
    <row r="115" spans="2:12" x14ac:dyDescent="0.25">
      <c r="B115" s="137"/>
      <c r="C115" s="137"/>
      <c r="D115" s="139"/>
      <c r="E115" s="84"/>
      <c r="F115" s="84"/>
      <c r="G115" s="140"/>
      <c r="H115" s="104"/>
      <c r="I115" s="104"/>
      <c r="J115" s="39">
        <v>98</v>
      </c>
      <c r="K115" s="39" t="s">
        <v>34</v>
      </c>
      <c r="L115" s="39" t="s">
        <v>83</v>
      </c>
    </row>
    <row r="116" spans="2:12" x14ac:dyDescent="0.25">
      <c r="B116" s="137"/>
      <c r="C116" s="137"/>
      <c r="D116" s="139"/>
      <c r="E116" s="84"/>
      <c r="F116" s="84"/>
      <c r="G116" s="140"/>
      <c r="H116" s="104"/>
      <c r="I116" s="104"/>
      <c r="J116" s="39">
        <v>95</v>
      </c>
      <c r="K116" s="39" t="s">
        <v>34</v>
      </c>
      <c r="L116" s="39" t="s">
        <v>84</v>
      </c>
    </row>
    <row r="117" spans="2:12" x14ac:dyDescent="0.25">
      <c r="B117" s="137"/>
      <c r="C117" s="137"/>
      <c r="D117" s="139"/>
      <c r="E117" s="84"/>
      <c r="F117" s="84"/>
      <c r="G117" s="140"/>
      <c r="H117" s="105"/>
      <c r="I117" s="105"/>
      <c r="J117" s="39">
        <v>93</v>
      </c>
      <c r="K117" s="39" t="s">
        <v>34</v>
      </c>
      <c r="L117" s="39" t="s">
        <v>85</v>
      </c>
    </row>
    <row r="118" spans="2:12" x14ac:dyDescent="0.25">
      <c r="B118" s="137"/>
      <c r="C118" s="138"/>
      <c r="D118" s="124"/>
      <c r="E118" s="125"/>
      <c r="F118" s="125"/>
      <c r="G118" s="126"/>
      <c r="H118" s="101" t="s">
        <v>29</v>
      </c>
      <c r="I118" s="101"/>
      <c r="J118" s="101"/>
      <c r="K118" s="101"/>
      <c r="L118" s="101"/>
    </row>
    <row r="119" spans="2:12" ht="15" customHeight="1" x14ac:dyDescent="0.25">
      <c r="B119" s="137"/>
      <c r="C119" s="136">
        <v>3</v>
      </c>
      <c r="D119" s="122" t="s">
        <v>88</v>
      </c>
      <c r="E119" s="83"/>
      <c r="F119" s="83"/>
      <c r="G119" s="123"/>
      <c r="H119" s="26" t="s">
        <v>32</v>
      </c>
      <c r="I119" s="27">
        <v>0.3</v>
      </c>
      <c r="J119" s="101" t="s">
        <v>40</v>
      </c>
      <c r="K119" s="101"/>
      <c r="L119" s="101"/>
    </row>
    <row r="120" spans="2:12" x14ac:dyDescent="0.25">
      <c r="B120" s="137"/>
      <c r="C120" s="137"/>
      <c r="D120" s="139"/>
      <c r="E120" s="84"/>
      <c r="F120" s="84"/>
      <c r="G120" s="140"/>
      <c r="H120" s="103">
        <v>98</v>
      </c>
      <c r="I120" s="103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137"/>
      <c r="C121" s="137"/>
      <c r="D121" s="139"/>
      <c r="E121" s="84"/>
      <c r="F121" s="84"/>
      <c r="G121" s="140"/>
      <c r="H121" s="104"/>
      <c r="I121" s="104"/>
      <c r="J121" s="39">
        <v>110</v>
      </c>
      <c r="K121" s="39" t="s">
        <v>34</v>
      </c>
      <c r="L121" s="39" t="s">
        <v>77</v>
      </c>
    </row>
    <row r="122" spans="2:12" x14ac:dyDescent="0.25">
      <c r="B122" s="137"/>
      <c r="C122" s="137"/>
      <c r="D122" s="124"/>
      <c r="E122" s="125"/>
      <c r="F122" s="125"/>
      <c r="G122" s="126"/>
      <c r="H122" s="104"/>
      <c r="I122" s="104"/>
      <c r="J122" s="39">
        <v>108</v>
      </c>
      <c r="K122" s="39" t="s">
        <v>34</v>
      </c>
      <c r="L122" s="39" t="s">
        <v>78</v>
      </c>
    </row>
    <row r="123" spans="2:12" x14ac:dyDescent="0.25">
      <c r="B123" s="137"/>
      <c r="C123" s="137"/>
      <c r="D123" s="133" t="s">
        <v>37</v>
      </c>
      <c r="E123" s="134"/>
      <c r="F123" s="134"/>
      <c r="G123" s="135"/>
      <c r="H123" s="104"/>
      <c r="I123" s="104"/>
      <c r="J123" s="39">
        <v>105</v>
      </c>
      <c r="K123" s="39" t="s">
        <v>34</v>
      </c>
      <c r="L123" s="39" t="s">
        <v>80</v>
      </c>
    </row>
    <row r="124" spans="2:12" x14ac:dyDescent="0.25">
      <c r="B124" s="137"/>
      <c r="C124" s="137"/>
      <c r="D124" s="122" t="s">
        <v>89</v>
      </c>
      <c r="E124" s="83"/>
      <c r="F124" s="83"/>
      <c r="G124" s="123"/>
      <c r="H124" s="104"/>
      <c r="I124" s="104"/>
      <c r="J124" s="39">
        <v>103</v>
      </c>
      <c r="K124" s="39" t="s">
        <v>34</v>
      </c>
      <c r="L124" s="39" t="s">
        <v>81</v>
      </c>
    </row>
    <row r="125" spans="2:12" x14ac:dyDescent="0.25">
      <c r="B125" s="137"/>
      <c r="C125" s="137"/>
      <c r="D125" s="139"/>
      <c r="E125" s="84"/>
      <c r="F125" s="84"/>
      <c r="G125" s="140"/>
      <c r="H125" s="104"/>
      <c r="I125" s="104"/>
      <c r="J125" s="39">
        <v>100</v>
      </c>
      <c r="K125" s="39" t="s">
        <v>34</v>
      </c>
      <c r="L125" s="39" t="s">
        <v>82</v>
      </c>
    </row>
    <row r="126" spans="2:12" x14ac:dyDescent="0.25">
      <c r="B126" s="137"/>
      <c r="C126" s="137"/>
      <c r="D126" s="139"/>
      <c r="E126" s="84"/>
      <c r="F126" s="84"/>
      <c r="G126" s="140"/>
      <c r="H126" s="104"/>
      <c r="I126" s="104"/>
      <c r="J126" s="39">
        <v>98</v>
      </c>
      <c r="K126" s="39" t="s">
        <v>34</v>
      </c>
      <c r="L126" s="39" t="s">
        <v>83</v>
      </c>
    </row>
    <row r="127" spans="2:12" x14ac:dyDescent="0.25">
      <c r="B127" s="137"/>
      <c r="C127" s="137"/>
      <c r="D127" s="139"/>
      <c r="E127" s="84"/>
      <c r="F127" s="84"/>
      <c r="G127" s="140"/>
      <c r="H127" s="104"/>
      <c r="I127" s="104"/>
      <c r="J127" s="39">
        <v>95</v>
      </c>
      <c r="K127" s="39" t="s">
        <v>34</v>
      </c>
      <c r="L127" s="39" t="s">
        <v>84</v>
      </c>
    </row>
    <row r="128" spans="2:12" x14ac:dyDescent="0.25">
      <c r="B128" s="138"/>
      <c r="C128" s="138"/>
      <c r="D128" s="124"/>
      <c r="E128" s="125"/>
      <c r="F128" s="125"/>
      <c r="G128" s="126"/>
      <c r="H128" s="105"/>
      <c r="I128" s="105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106" t="s">
        <v>62</v>
      </c>
      <c r="D129" s="107"/>
      <c r="E129" s="107"/>
      <c r="F129" s="107"/>
      <c r="G129" s="108"/>
      <c r="H129" s="116">
        <f>I98+I109+I120</f>
        <v>98.6</v>
      </c>
      <c r="I129" s="117"/>
      <c r="J129" s="117"/>
      <c r="K129" s="117"/>
      <c r="L129" s="118"/>
    </row>
    <row r="130" spans="2:12" x14ac:dyDescent="0.25">
      <c r="B130" s="119">
        <v>3</v>
      </c>
      <c r="C130" s="122" t="s">
        <v>90</v>
      </c>
      <c r="D130" s="83"/>
      <c r="E130" s="83"/>
      <c r="F130" s="83"/>
      <c r="G130" s="123"/>
      <c r="H130" s="127"/>
      <c r="I130" s="128"/>
      <c r="J130" s="128"/>
      <c r="K130" s="128"/>
      <c r="L130" s="129"/>
    </row>
    <row r="131" spans="2:12" x14ac:dyDescent="0.25">
      <c r="B131" s="120"/>
      <c r="C131" s="124"/>
      <c r="D131" s="125"/>
      <c r="E131" s="125"/>
      <c r="F131" s="125"/>
      <c r="G131" s="126"/>
      <c r="H131" s="130"/>
      <c r="I131" s="131"/>
      <c r="J131" s="131"/>
      <c r="K131" s="131"/>
      <c r="L131" s="132"/>
    </row>
    <row r="132" spans="2:12" x14ac:dyDescent="0.25">
      <c r="B132" s="120"/>
      <c r="C132" s="133" t="s">
        <v>64</v>
      </c>
      <c r="D132" s="134"/>
      <c r="E132" s="134"/>
      <c r="F132" s="134"/>
      <c r="G132" s="135"/>
      <c r="H132" s="102" t="s">
        <v>29</v>
      </c>
      <c r="I132" s="102"/>
      <c r="J132" s="102"/>
      <c r="K132" s="102"/>
      <c r="L132" s="102"/>
    </row>
    <row r="133" spans="2:12" x14ac:dyDescent="0.25">
      <c r="B133" s="120"/>
      <c r="C133" s="136">
        <v>1</v>
      </c>
      <c r="D133" s="122" t="s">
        <v>91</v>
      </c>
      <c r="E133" s="83"/>
      <c r="F133" s="83"/>
      <c r="G133" s="123"/>
      <c r="H133" s="26" t="s">
        <v>32</v>
      </c>
      <c r="I133" s="27">
        <v>0.25</v>
      </c>
      <c r="J133" s="102" t="s">
        <v>40</v>
      </c>
      <c r="K133" s="102"/>
      <c r="L133" s="102"/>
    </row>
    <row r="134" spans="2:12" x14ac:dyDescent="0.25">
      <c r="B134" s="120"/>
      <c r="C134" s="137"/>
      <c r="D134" s="124"/>
      <c r="E134" s="125"/>
      <c r="F134" s="125"/>
      <c r="G134" s="126"/>
      <c r="H134" s="97"/>
      <c r="I134" s="97"/>
      <c r="J134" s="26"/>
      <c r="K134" s="26"/>
      <c r="L134" s="26"/>
    </row>
    <row r="135" spans="2:12" x14ac:dyDescent="0.25">
      <c r="B135" s="120"/>
      <c r="C135" s="137"/>
      <c r="D135" s="133" t="s">
        <v>37</v>
      </c>
      <c r="E135" s="134"/>
      <c r="F135" s="134"/>
      <c r="G135" s="135"/>
      <c r="H135" s="98"/>
      <c r="I135" s="98"/>
      <c r="J135" s="26"/>
      <c r="K135" s="26"/>
      <c r="L135" s="26"/>
    </row>
    <row r="136" spans="2:12" x14ac:dyDescent="0.25">
      <c r="B136" s="120"/>
      <c r="C136" s="138"/>
      <c r="D136" s="106"/>
      <c r="E136" s="107"/>
      <c r="F136" s="107"/>
      <c r="G136" s="108"/>
      <c r="H136" s="99"/>
      <c r="I136" s="99"/>
      <c r="J136" s="26"/>
      <c r="K136" s="26"/>
      <c r="L136" s="26"/>
    </row>
    <row r="137" spans="2:12" x14ac:dyDescent="0.25">
      <c r="B137" s="120"/>
      <c r="C137" s="133" t="s">
        <v>47</v>
      </c>
      <c r="D137" s="134"/>
      <c r="E137" s="134"/>
      <c r="F137" s="134"/>
      <c r="G137" s="135"/>
      <c r="H137" s="102" t="s">
        <v>29</v>
      </c>
      <c r="I137" s="102"/>
      <c r="J137" s="102"/>
      <c r="K137" s="102"/>
      <c r="L137" s="102"/>
    </row>
    <row r="138" spans="2:12" ht="15" customHeight="1" x14ac:dyDescent="0.25">
      <c r="B138" s="120"/>
      <c r="C138" s="136">
        <v>1</v>
      </c>
      <c r="D138" s="122" t="s">
        <v>92</v>
      </c>
      <c r="E138" s="83"/>
      <c r="F138" s="83"/>
      <c r="G138" s="123"/>
      <c r="H138" s="26" t="s">
        <v>32</v>
      </c>
      <c r="I138" s="27">
        <v>0.25</v>
      </c>
      <c r="J138" s="102" t="s">
        <v>40</v>
      </c>
      <c r="K138" s="102"/>
      <c r="L138" s="102"/>
    </row>
    <row r="139" spans="2:12" x14ac:dyDescent="0.25">
      <c r="B139" s="120"/>
      <c r="C139" s="137"/>
      <c r="D139" s="139"/>
      <c r="E139" s="84"/>
      <c r="F139" s="84"/>
      <c r="G139" s="140"/>
      <c r="H139" s="97"/>
      <c r="I139" s="97"/>
      <c r="J139" s="26"/>
      <c r="K139" s="26"/>
      <c r="L139" s="26"/>
    </row>
    <row r="140" spans="2:12" x14ac:dyDescent="0.25">
      <c r="B140" s="120"/>
      <c r="C140" s="137"/>
      <c r="D140" s="124"/>
      <c r="E140" s="125"/>
      <c r="F140" s="125"/>
      <c r="G140" s="126"/>
      <c r="H140" s="98"/>
      <c r="I140" s="98"/>
      <c r="J140" s="26"/>
      <c r="K140" s="26"/>
      <c r="L140" s="26"/>
    </row>
    <row r="141" spans="2:12" x14ac:dyDescent="0.25">
      <c r="B141" s="120"/>
      <c r="C141" s="137"/>
      <c r="D141" s="141" t="s">
        <v>37</v>
      </c>
      <c r="E141" s="142"/>
      <c r="F141" s="142"/>
      <c r="G141" s="143"/>
      <c r="H141" s="98"/>
      <c r="I141" s="98"/>
      <c r="J141" s="26"/>
      <c r="K141" s="26"/>
      <c r="L141" s="26"/>
    </row>
    <row r="142" spans="2:12" x14ac:dyDescent="0.25">
      <c r="B142" s="120"/>
      <c r="C142" s="137"/>
      <c r="D142" s="127"/>
      <c r="E142" s="128"/>
      <c r="F142" s="128"/>
      <c r="G142" s="129"/>
      <c r="H142" s="98"/>
      <c r="I142" s="98"/>
      <c r="J142" s="26"/>
      <c r="K142" s="26"/>
      <c r="L142" s="26"/>
    </row>
    <row r="143" spans="2:12" x14ac:dyDescent="0.25">
      <c r="B143" s="120"/>
      <c r="C143" s="137"/>
      <c r="D143" s="144"/>
      <c r="E143" s="145"/>
      <c r="F143" s="145"/>
      <c r="G143" s="146"/>
      <c r="H143" s="98"/>
      <c r="I143" s="98"/>
      <c r="J143" s="26"/>
      <c r="K143" s="26"/>
      <c r="L143" s="26"/>
    </row>
    <row r="144" spans="2:12" x14ac:dyDescent="0.25">
      <c r="B144" s="121"/>
      <c r="C144" s="138"/>
      <c r="D144" s="130"/>
      <c r="E144" s="131"/>
      <c r="F144" s="131"/>
      <c r="G144" s="132"/>
      <c r="H144" s="99"/>
      <c r="I144" s="99"/>
      <c r="J144" s="26"/>
      <c r="K144" s="26"/>
      <c r="L144" s="26"/>
    </row>
    <row r="145" spans="2:12" x14ac:dyDescent="0.25">
      <c r="B145" s="41"/>
      <c r="C145" s="106" t="s">
        <v>46</v>
      </c>
      <c r="D145" s="107"/>
      <c r="E145" s="107"/>
      <c r="F145" s="107"/>
      <c r="G145" s="108"/>
      <c r="H145" s="42"/>
      <c r="I145" s="42"/>
      <c r="J145" s="26"/>
      <c r="K145" s="26"/>
      <c r="L145" s="26"/>
    </row>
    <row r="146" spans="2:12" x14ac:dyDescent="0.25">
      <c r="B146" s="109">
        <v>4</v>
      </c>
      <c r="C146" s="6" t="s">
        <v>93</v>
      </c>
      <c r="D146" s="6"/>
      <c r="E146" s="6"/>
      <c r="F146" s="6"/>
      <c r="G146" s="6"/>
      <c r="H146" s="102" t="s">
        <v>29</v>
      </c>
      <c r="I146" s="102"/>
      <c r="J146" s="102"/>
      <c r="K146" s="102"/>
      <c r="L146" s="102"/>
    </row>
    <row r="147" spans="2:12" x14ac:dyDescent="0.25">
      <c r="B147" s="109"/>
      <c r="C147" s="101" t="s">
        <v>64</v>
      </c>
      <c r="D147" s="101"/>
      <c r="E147" s="101"/>
      <c r="F147" s="101"/>
      <c r="G147" s="101"/>
      <c r="H147" s="26" t="s">
        <v>32</v>
      </c>
      <c r="I147" s="27">
        <v>0.7</v>
      </c>
      <c r="J147" s="102" t="s">
        <v>40</v>
      </c>
      <c r="K147" s="102"/>
      <c r="L147" s="102"/>
    </row>
    <row r="148" spans="2:12" x14ac:dyDescent="0.25">
      <c r="B148" s="109"/>
      <c r="C148" s="101">
        <v>1</v>
      </c>
      <c r="D148" s="110" t="s">
        <v>94</v>
      </c>
      <c r="E148" s="110"/>
      <c r="F148" s="110"/>
      <c r="G148" s="110"/>
      <c r="H148" s="103">
        <f>12-E150-E156</f>
        <v>1</v>
      </c>
      <c r="I148" s="103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109"/>
      <c r="C149" s="101"/>
      <c r="D149" s="111" t="s">
        <v>96</v>
      </c>
      <c r="E149" s="111"/>
      <c r="F149" s="111"/>
      <c r="G149" s="111"/>
      <c r="H149" s="104"/>
      <c r="I149" s="104"/>
      <c r="J149" s="26">
        <v>11</v>
      </c>
      <c r="K149" s="26" t="s">
        <v>95</v>
      </c>
      <c r="L149" s="26">
        <v>155</v>
      </c>
    </row>
    <row r="150" spans="2:12" x14ac:dyDescent="0.25">
      <c r="B150" s="109"/>
      <c r="C150" s="101"/>
      <c r="D150" s="101" t="s">
        <v>97</v>
      </c>
      <c r="E150" s="112">
        <v>7</v>
      </c>
      <c r="F150" s="112"/>
      <c r="G150" s="112"/>
      <c r="H150" s="104"/>
      <c r="I150" s="104"/>
      <c r="J150" s="26">
        <v>10</v>
      </c>
      <c r="K150" s="26" t="s">
        <v>95</v>
      </c>
      <c r="L150" s="26">
        <v>150</v>
      </c>
    </row>
    <row r="151" spans="2:12" x14ac:dyDescent="0.25">
      <c r="B151" s="109"/>
      <c r="C151" s="101"/>
      <c r="D151" s="101"/>
      <c r="E151" s="112"/>
      <c r="F151" s="112"/>
      <c r="G151" s="112"/>
      <c r="H151" s="104"/>
      <c r="I151" s="104"/>
      <c r="J151" s="26">
        <v>9</v>
      </c>
      <c r="K151" s="26" t="s">
        <v>95</v>
      </c>
      <c r="L151" s="26">
        <v>145</v>
      </c>
    </row>
    <row r="152" spans="2:12" x14ac:dyDescent="0.25">
      <c r="B152" s="109"/>
      <c r="C152" s="101"/>
      <c r="D152" s="101"/>
      <c r="E152" s="112"/>
      <c r="F152" s="112"/>
      <c r="G152" s="112"/>
      <c r="H152" s="104"/>
      <c r="I152" s="104"/>
      <c r="J152" s="26">
        <v>8</v>
      </c>
      <c r="K152" s="26" t="s">
        <v>95</v>
      </c>
      <c r="L152" s="26">
        <v>140</v>
      </c>
    </row>
    <row r="153" spans="2:12" x14ac:dyDescent="0.25">
      <c r="B153" s="109"/>
      <c r="C153" s="101"/>
      <c r="D153" s="101"/>
      <c r="E153" s="112"/>
      <c r="F153" s="112"/>
      <c r="G153" s="112"/>
      <c r="H153" s="104"/>
      <c r="I153" s="104"/>
      <c r="J153" s="26">
        <v>7</v>
      </c>
      <c r="K153" s="26" t="s">
        <v>95</v>
      </c>
      <c r="L153" s="26">
        <v>135</v>
      </c>
    </row>
    <row r="154" spans="2:12" x14ac:dyDescent="0.25">
      <c r="B154" s="109"/>
      <c r="C154" s="101"/>
      <c r="D154" s="101"/>
      <c r="E154" s="112"/>
      <c r="F154" s="112"/>
      <c r="G154" s="112"/>
      <c r="H154" s="104"/>
      <c r="I154" s="104"/>
      <c r="J154" s="26">
        <v>6</v>
      </c>
      <c r="K154" s="26" t="s">
        <v>95</v>
      </c>
      <c r="L154" s="26">
        <v>130</v>
      </c>
    </row>
    <row r="155" spans="2:12" x14ac:dyDescent="0.25">
      <c r="B155" s="109"/>
      <c r="C155" s="101"/>
      <c r="D155" s="101"/>
      <c r="E155" s="112"/>
      <c r="F155" s="112"/>
      <c r="G155" s="112"/>
      <c r="H155" s="104"/>
      <c r="I155" s="104"/>
      <c r="J155" s="26">
        <v>5</v>
      </c>
      <c r="K155" s="26" t="s">
        <v>95</v>
      </c>
      <c r="L155" s="26">
        <v>125</v>
      </c>
    </row>
    <row r="156" spans="2:12" x14ac:dyDescent="0.25">
      <c r="B156" s="109"/>
      <c r="C156" s="101"/>
      <c r="D156" s="102" t="s">
        <v>95</v>
      </c>
      <c r="E156" s="109">
        <v>4</v>
      </c>
      <c r="F156" s="109"/>
      <c r="G156" s="109"/>
      <c r="H156" s="104"/>
      <c r="I156" s="104"/>
      <c r="J156" s="26">
        <v>4</v>
      </c>
      <c r="K156" s="26" t="s">
        <v>95</v>
      </c>
      <c r="L156" s="26">
        <v>120</v>
      </c>
    </row>
    <row r="157" spans="2:12" x14ac:dyDescent="0.25">
      <c r="B157" s="109"/>
      <c r="C157" s="101"/>
      <c r="D157" s="102"/>
      <c r="E157" s="109"/>
      <c r="F157" s="109"/>
      <c r="G157" s="109"/>
      <c r="H157" s="104"/>
      <c r="I157" s="104"/>
      <c r="J157" s="26">
        <v>3</v>
      </c>
      <c r="K157" s="26" t="s">
        <v>95</v>
      </c>
      <c r="L157" s="26">
        <v>115</v>
      </c>
    </row>
    <row r="158" spans="2:12" x14ac:dyDescent="0.25">
      <c r="B158" s="109"/>
      <c r="C158" s="101"/>
      <c r="D158" s="102"/>
      <c r="E158" s="109"/>
      <c r="F158" s="109"/>
      <c r="G158" s="109"/>
      <c r="H158" s="104"/>
      <c r="I158" s="104"/>
      <c r="J158" s="26">
        <v>2</v>
      </c>
      <c r="K158" s="26" t="s">
        <v>95</v>
      </c>
      <c r="L158" s="26">
        <v>110</v>
      </c>
    </row>
    <row r="159" spans="2:12" x14ac:dyDescent="0.25">
      <c r="B159" s="109"/>
      <c r="C159" s="101"/>
      <c r="D159" s="102"/>
      <c r="E159" s="109"/>
      <c r="F159" s="109"/>
      <c r="G159" s="109"/>
      <c r="H159" s="104"/>
      <c r="I159" s="104"/>
      <c r="J159" s="26">
        <v>1</v>
      </c>
      <c r="K159" s="26" t="s">
        <v>95</v>
      </c>
      <c r="L159" s="26">
        <v>105</v>
      </c>
    </row>
    <row r="160" spans="2:12" x14ac:dyDescent="0.25">
      <c r="B160" s="109"/>
      <c r="C160" s="101"/>
      <c r="D160" s="102"/>
      <c r="E160" s="109"/>
      <c r="F160" s="109"/>
      <c r="G160" s="109"/>
      <c r="H160" s="104"/>
      <c r="I160" s="104"/>
      <c r="J160" s="26">
        <v>0</v>
      </c>
      <c r="K160" s="26" t="s">
        <v>95</v>
      </c>
      <c r="L160" s="26">
        <v>100</v>
      </c>
    </row>
    <row r="161" spans="2:12" x14ac:dyDescent="0.25">
      <c r="B161" s="109"/>
      <c r="C161" s="101"/>
      <c r="D161" s="102"/>
      <c r="E161" s="109"/>
      <c r="F161" s="109"/>
      <c r="G161" s="109"/>
      <c r="H161" s="105"/>
      <c r="I161" s="105"/>
      <c r="J161" s="26">
        <v>1</v>
      </c>
      <c r="K161" s="26" t="s">
        <v>98</v>
      </c>
      <c r="L161" s="26">
        <v>-5</v>
      </c>
    </row>
    <row r="162" spans="2:12" x14ac:dyDescent="0.25">
      <c r="B162" s="109"/>
      <c r="C162" s="101"/>
      <c r="D162" s="102"/>
      <c r="E162" s="109"/>
      <c r="F162" s="109"/>
      <c r="G162" s="109"/>
      <c r="H162" s="102" t="s">
        <v>29</v>
      </c>
      <c r="I162" s="102"/>
      <c r="J162" s="102"/>
      <c r="K162" s="102"/>
      <c r="L162" s="102"/>
    </row>
    <row r="163" spans="2:12" x14ac:dyDescent="0.25">
      <c r="B163" s="109"/>
      <c r="C163" s="113">
        <v>2</v>
      </c>
      <c r="D163" s="101" t="s">
        <v>99</v>
      </c>
      <c r="E163" s="101"/>
      <c r="F163" s="101"/>
      <c r="G163" s="101"/>
      <c r="H163" s="26" t="s">
        <v>32</v>
      </c>
      <c r="I163" s="27">
        <v>0.2</v>
      </c>
      <c r="J163" s="102" t="s">
        <v>40</v>
      </c>
      <c r="K163" s="102"/>
      <c r="L163" s="102"/>
    </row>
    <row r="164" spans="2:12" ht="15" customHeight="1" x14ac:dyDescent="0.25">
      <c r="B164" s="109"/>
      <c r="C164" s="113"/>
      <c r="D164" s="101" t="s">
        <v>96</v>
      </c>
      <c r="E164" s="101"/>
      <c r="F164" s="101"/>
      <c r="G164" s="101"/>
      <c r="H164" s="97">
        <v>1</v>
      </c>
      <c r="I164" s="97">
        <f>VLOOKUP(H164,$J$164:$L$168,3,0)*I163</f>
        <v>19.5</v>
      </c>
      <c r="J164" s="43">
        <v>0</v>
      </c>
      <c r="K164" s="100" t="s">
        <v>100</v>
      </c>
      <c r="L164" s="44">
        <v>110</v>
      </c>
    </row>
    <row r="165" spans="2:12" x14ac:dyDescent="0.25">
      <c r="B165" s="109"/>
      <c r="C165" s="113"/>
      <c r="D165" s="101" t="s">
        <v>101</v>
      </c>
      <c r="E165" s="101"/>
      <c r="F165" s="101"/>
      <c r="G165" s="101"/>
      <c r="H165" s="98"/>
      <c r="I165" s="98"/>
      <c r="J165" s="43">
        <v>1</v>
      </c>
      <c r="K165" s="100"/>
      <c r="L165" s="44">
        <v>97.5</v>
      </c>
    </row>
    <row r="166" spans="2:12" x14ac:dyDescent="0.25">
      <c r="B166" s="109"/>
      <c r="C166" s="113"/>
      <c r="D166" s="101"/>
      <c r="E166" s="101"/>
      <c r="F166" s="101"/>
      <c r="G166" s="101"/>
      <c r="H166" s="98"/>
      <c r="I166" s="98"/>
      <c r="J166" s="43">
        <v>2</v>
      </c>
      <c r="K166" s="100"/>
      <c r="L166" s="45">
        <v>95</v>
      </c>
    </row>
    <row r="167" spans="2:12" x14ac:dyDescent="0.25">
      <c r="B167" s="109"/>
      <c r="C167" s="113"/>
      <c r="D167" s="101"/>
      <c r="E167" s="101"/>
      <c r="F167" s="101"/>
      <c r="G167" s="101"/>
      <c r="H167" s="98"/>
      <c r="I167" s="98"/>
      <c r="J167" s="43">
        <v>3</v>
      </c>
      <c r="K167" s="100"/>
      <c r="L167" s="45">
        <f>L166-2.5</f>
        <v>92.5</v>
      </c>
    </row>
    <row r="168" spans="2:12" x14ac:dyDescent="0.25">
      <c r="B168" s="109"/>
      <c r="C168" s="113"/>
      <c r="D168" s="101"/>
      <c r="E168" s="101"/>
      <c r="F168" s="101"/>
      <c r="G168" s="101"/>
      <c r="H168" s="99"/>
      <c r="I168" s="99"/>
      <c r="J168" s="43">
        <v>4</v>
      </c>
      <c r="K168" s="100"/>
      <c r="L168" s="45">
        <f>L167-2.5</f>
        <v>90</v>
      </c>
    </row>
    <row r="169" spans="2:12" x14ac:dyDescent="0.25">
      <c r="B169" s="109"/>
      <c r="C169" s="113"/>
      <c r="D169" s="101"/>
      <c r="E169" s="101"/>
      <c r="F169" s="101"/>
      <c r="G169" s="101"/>
      <c r="H169" s="102" t="s">
        <v>29</v>
      </c>
      <c r="I169" s="102"/>
      <c r="J169" s="102"/>
      <c r="K169" s="102"/>
      <c r="L169" s="102"/>
    </row>
    <row r="170" spans="2:12" x14ac:dyDescent="0.25">
      <c r="B170" s="109"/>
      <c r="C170" s="101">
        <v>3</v>
      </c>
      <c r="D170" s="101" t="s">
        <v>102</v>
      </c>
      <c r="E170" s="101"/>
      <c r="F170" s="101"/>
      <c r="G170" s="101"/>
      <c r="H170" s="26" t="s">
        <v>32</v>
      </c>
      <c r="I170" s="27">
        <v>0.1</v>
      </c>
      <c r="J170" s="102" t="s">
        <v>40</v>
      </c>
      <c r="K170" s="102"/>
      <c r="L170" s="102"/>
    </row>
    <row r="171" spans="2:12" ht="15" customHeight="1" x14ac:dyDescent="0.25">
      <c r="B171" s="109"/>
      <c r="C171" s="101"/>
      <c r="D171" s="101" t="s">
        <v>96</v>
      </c>
      <c r="E171" s="101"/>
      <c r="F171" s="101"/>
      <c r="G171" s="101"/>
      <c r="H171" s="103">
        <v>0</v>
      </c>
      <c r="I171" s="103">
        <f>VLOOKUP(H171,$J$171:$L$176,3,0)*I170</f>
        <v>11</v>
      </c>
      <c r="J171" s="43">
        <v>0</v>
      </c>
      <c r="K171" s="114" t="s">
        <v>103</v>
      </c>
      <c r="L171" s="44">
        <v>110</v>
      </c>
    </row>
    <row r="172" spans="2:12" x14ac:dyDescent="0.25">
      <c r="B172" s="109"/>
      <c r="C172" s="101"/>
      <c r="D172" s="101" t="s">
        <v>104</v>
      </c>
      <c r="E172" s="101"/>
      <c r="F172" s="101"/>
      <c r="G172" s="101"/>
      <c r="H172" s="104"/>
      <c r="I172" s="104"/>
      <c r="J172" s="43">
        <v>1</v>
      </c>
      <c r="K172" s="114"/>
      <c r="L172" s="44">
        <v>97.5</v>
      </c>
    </row>
    <row r="173" spans="2:12" x14ac:dyDescent="0.25">
      <c r="B173" s="109"/>
      <c r="C173" s="101"/>
      <c r="D173" s="101"/>
      <c r="E173" s="101"/>
      <c r="F173" s="101"/>
      <c r="G173" s="101"/>
      <c r="H173" s="104"/>
      <c r="I173" s="104"/>
      <c r="J173" s="43">
        <v>2</v>
      </c>
      <c r="K173" s="114"/>
      <c r="L173" s="45">
        <v>95</v>
      </c>
    </row>
    <row r="174" spans="2:12" x14ac:dyDescent="0.25">
      <c r="B174" s="109"/>
      <c r="C174" s="101"/>
      <c r="D174" s="101"/>
      <c r="E174" s="101"/>
      <c r="F174" s="101"/>
      <c r="G174" s="101"/>
      <c r="H174" s="104"/>
      <c r="I174" s="104"/>
      <c r="J174" s="43">
        <v>3</v>
      </c>
      <c r="K174" s="114"/>
      <c r="L174" s="45">
        <f>L173-2.5</f>
        <v>92.5</v>
      </c>
    </row>
    <row r="175" spans="2:12" x14ac:dyDescent="0.25">
      <c r="B175" s="109"/>
      <c r="C175" s="101"/>
      <c r="D175" s="101"/>
      <c r="E175" s="101"/>
      <c r="F175" s="101"/>
      <c r="G175" s="101"/>
      <c r="H175" s="104"/>
      <c r="I175" s="104"/>
      <c r="J175" s="43">
        <v>4</v>
      </c>
      <c r="K175" s="114"/>
      <c r="L175" s="45">
        <f>L174-2.5</f>
        <v>90</v>
      </c>
    </row>
    <row r="176" spans="2:12" x14ac:dyDescent="0.25">
      <c r="B176" s="109"/>
      <c r="C176" s="101"/>
      <c r="D176" s="101"/>
      <c r="E176" s="101"/>
      <c r="F176" s="101"/>
      <c r="G176" s="101"/>
      <c r="H176" s="105"/>
      <c r="I176" s="105"/>
      <c r="J176" s="26"/>
      <c r="K176" s="114"/>
      <c r="L176" s="26"/>
    </row>
    <row r="177" spans="2:12" x14ac:dyDescent="0.25">
      <c r="B177" s="109"/>
      <c r="C177" s="109" t="s">
        <v>46</v>
      </c>
      <c r="D177" s="109"/>
      <c r="E177" s="109"/>
      <c r="F177" s="109"/>
      <c r="G177" s="109"/>
      <c r="H177" s="115">
        <f>I148+I164+I171</f>
        <v>104</v>
      </c>
      <c r="I177" s="115"/>
      <c r="J177" s="115"/>
      <c r="K177" s="115"/>
      <c r="L177" s="115"/>
    </row>
    <row r="180" spans="2:12" x14ac:dyDescent="0.25">
      <c r="B180" s="75" t="s">
        <v>105</v>
      </c>
      <c r="C180" s="75"/>
      <c r="D180" s="75"/>
      <c r="E180" s="75"/>
      <c r="F180" s="75"/>
      <c r="G180" s="75"/>
      <c r="H180" s="75"/>
      <c r="I180" s="75"/>
      <c r="J180" s="75"/>
      <c r="K180" s="75"/>
      <c r="L180" s="75"/>
    </row>
    <row r="181" spans="2:12" x14ac:dyDescent="0.25">
      <c r="B181" s="87"/>
      <c r="C181" s="87"/>
      <c r="D181" s="87"/>
      <c r="E181" s="87"/>
      <c r="F181" s="87"/>
      <c r="G181" s="87"/>
      <c r="H181" s="87"/>
      <c r="I181" s="87"/>
      <c r="J181" s="87"/>
      <c r="K181" s="87"/>
      <c r="L181" s="87"/>
    </row>
    <row r="182" spans="2:12" x14ac:dyDescent="0.25">
      <c r="B182" s="88"/>
      <c r="C182" s="89"/>
      <c r="D182" s="89"/>
      <c r="E182" s="89"/>
      <c r="F182" s="89"/>
      <c r="G182" s="89"/>
      <c r="H182" s="89"/>
      <c r="I182" s="89"/>
      <c r="J182" s="89"/>
      <c r="K182" s="89"/>
      <c r="L182" s="90"/>
    </row>
    <row r="183" spans="2:12" x14ac:dyDescent="0.25">
      <c r="B183" s="91"/>
      <c r="C183" s="92"/>
      <c r="D183" s="92"/>
      <c r="E183" s="92"/>
      <c r="F183" s="92"/>
      <c r="G183" s="92"/>
      <c r="H183" s="92"/>
      <c r="I183" s="92"/>
      <c r="J183" s="92"/>
      <c r="K183" s="92"/>
      <c r="L183" s="93"/>
    </row>
    <row r="184" spans="2:12" x14ac:dyDescent="0.25">
      <c r="B184" s="91"/>
      <c r="C184" s="92"/>
      <c r="D184" s="92"/>
      <c r="E184" s="92"/>
      <c r="F184" s="92"/>
      <c r="G184" s="92"/>
      <c r="H184" s="92"/>
      <c r="I184" s="92"/>
      <c r="J184" s="92"/>
      <c r="K184" s="92"/>
      <c r="L184" s="93"/>
    </row>
    <row r="185" spans="2:12" x14ac:dyDescent="0.25">
      <c r="B185" s="94"/>
      <c r="C185" s="95"/>
      <c r="D185" s="95"/>
      <c r="E185" s="95"/>
      <c r="F185" s="95"/>
      <c r="G185" s="95"/>
      <c r="H185" s="95"/>
      <c r="I185" s="95"/>
      <c r="J185" s="95"/>
      <c r="K185" s="95"/>
      <c r="L185" s="96"/>
    </row>
    <row r="187" spans="2:12" x14ac:dyDescent="0.25">
      <c r="B187" s="75" t="s">
        <v>106</v>
      </c>
      <c r="C187" s="75"/>
      <c r="D187" s="75"/>
      <c r="E187" s="75"/>
      <c r="F187" s="75"/>
      <c r="G187" s="75"/>
      <c r="H187" s="75"/>
      <c r="I187" s="75"/>
      <c r="J187" s="75"/>
      <c r="K187" s="75"/>
      <c r="L187" s="75"/>
    </row>
    <row r="188" spans="2:12" x14ac:dyDescent="0.25"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</row>
    <row r="189" spans="2:12" x14ac:dyDescent="0.25"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</row>
    <row r="190" spans="2:12" x14ac:dyDescent="0.25"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</row>
    <row r="191" spans="2:12" x14ac:dyDescent="0.25"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</row>
    <row r="192" spans="2:12" x14ac:dyDescent="0.25"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</row>
    <row r="193" spans="2:12" x14ac:dyDescent="0.25"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77" t="s">
        <v>113</v>
      </c>
      <c r="C202" s="78"/>
      <c r="D202" s="47"/>
      <c r="E202" s="81" t="s">
        <v>114</v>
      </c>
      <c r="F202" s="83" t="s">
        <v>4</v>
      </c>
      <c r="G202" s="48"/>
      <c r="H202" s="48"/>
      <c r="I202" s="83" t="s">
        <v>115</v>
      </c>
      <c r="J202" s="83"/>
      <c r="K202" s="85" t="s">
        <v>6</v>
      </c>
      <c r="L202" s="49"/>
    </row>
    <row r="203" spans="2:12" x14ac:dyDescent="0.25">
      <c r="B203" s="79"/>
      <c r="C203" s="80"/>
      <c r="D203" s="50"/>
      <c r="E203" s="82"/>
      <c r="F203" s="84"/>
      <c r="G203" s="51"/>
      <c r="H203" s="51"/>
      <c r="I203" s="84"/>
      <c r="J203" s="84"/>
      <c r="K203" s="86"/>
      <c r="L203" s="52"/>
    </row>
    <row r="204" spans="2:12" x14ac:dyDescent="0.25">
      <c r="B204" s="73" t="s">
        <v>116</v>
      </c>
      <c r="C204" s="74"/>
      <c r="D204" s="53"/>
      <c r="E204" s="74" t="s">
        <v>116</v>
      </c>
      <c r="F204" s="74"/>
      <c r="G204" s="53"/>
      <c r="H204" s="53"/>
      <c r="I204" s="74" t="s">
        <v>116</v>
      </c>
      <c r="J204" s="74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abSelected="1" workbookViewId="0">
      <selection activeCell="C13" sqref="C13"/>
    </sheetView>
  </sheetViews>
  <sheetFormatPr defaultRowHeight="15" x14ac:dyDescent="0.25"/>
  <cols>
    <col min="1" max="1" width="9.140625" style="55"/>
    <col min="2" max="2" width="32.28515625" style="55" customWidth="1"/>
    <col min="3" max="3" width="23.7109375" style="55" customWidth="1"/>
    <col min="4" max="4" width="19.85546875" style="55" customWidth="1"/>
    <col min="5" max="5" width="23.5703125" style="55" customWidth="1"/>
    <col min="6" max="6" width="1" style="55" customWidth="1"/>
    <col min="7" max="7" width="15.28515625" style="55" customWidth="1"/>
    <col min="8" max="8" width="11.85546875" style="55" customWidth="1"/>
    <col min="9" max="9" width="13.42578125" style="55" customWidth="1"/>
    <col min="10" max="10" width="11.5703125" style="55" customWidth="1"/>
    <col min="11" max="11" width="18.7109375" style="55" customWidth="1"/>
    <col min="12" max="12" width="24" style="55" customWidth="1"/>
    <col min="13" max="13" width="35.42578125" style="55" customWidth="1"/>
    <col min="14" max="14" width="25.28515625" style="55" customWidth="1"/>
    <col min="15" max="16384" width="9.140625" style="55"/>
  </cols>
  <sheetData>
    <row r="3" spans="1:14" x14ac:dyDescent="0.25">
      <c r="A3" s="189" t="s">
        <v>131</v>
      </c>
      <c r="B3" s="191" t="s">
        <v>132</v>
      </c>
      <c r="C3" s="191"/>
      <c r="D3" s="192" t="s">
        <v>47</v>
      </c>
      <c r="E3" s="192"/>
      <c r="F3" s="66"/>
      <c r="G3" s="187" t="s">
        <v>108</v>
      </c>
      <c r="H3" s="187"/>
      <c r="I3" s="187"/>
      <c r="J3" s="187"/>
      <c r="K3" s="187"/>
      <c r="L3" s="186" t="s">
        <v>47</v>
      </c>
      <c r="M3" s="186"/>
      <c r="N3" s="186"/>
    </row>
    <row r="4" spans="1:14" x14ac:dyDescent="0.25">
      <c r="A4" s="189"/>
      <c r="B4" s="190" t="s">
        <v>117</v>
      </c>
      <c r="C4" s="190" t="s">
        <v>143</v>
      </c>
      <c r="D4" s="193" t="s">
        <v>121</v>
      </c>
      <c r="E4" s="193" t="s">
        <v>122</v>
      </c>
      <c r="F4" s="67"/>
      <c r="G4" s="188" t="s">
        <v>123</v>
      </c>
      <c r="H4" s="188" t="s">
        <v>125</v>
      </c>
      <c r="I4" s="188" t="s">
        <v>126</v>
      </c>
      <c r="J4" s="188" t="s">
        <v>127</v>
      </c>
      <c r="K4" s="188" t="s">
        <v>128</v>
      </c>
      <c r="L4" s="185" t="s">
        <v>129</v>
      </c>
      <c r="M4" s="185" t="s">
        <v>135</v>
      </c>
      <c r="N4" s="185" t="s">
        <v>130</v>
      </c>
    </row>
    <row r="5" spans="1:14" ht="32.25" customHeight="1" x14ac:dyDescent="0.25">
      <c r="A5" s="189"/>
      <c r="B5" s="190"/>
      <c r="C5" s="190"/>
      <c r="D5" s="193"/>
      <c r="E5" s="193"/>
      <c r="F5" s="67"/>
      <c r="G5" s="188"/>
      <c r="H5" s="188"/>
      <c r="I5" s="188"/>
      <c r="J5" s="188"/>
      <c r="K5" s="188"/>
      <c r="L5" s="185"/>
      <c r="M5" s="185"/>
      <c r="N5" s="185"/>
    </row>
    <row r="6" spans="1:14" x14ac:dyDescent="0.25">
      <c r="A6" s="56" t="s">
        <v>118</v>
      </c>
      <c r="B6" s="57" t="s">
        <v>142</v>
      </c>
      <c r="C6" s="57" t="s">
        <v>142</v>
      </c>
      <c r="D6" s="58" t="s">
        <v>142</v>
      </c>
      <c r="E6" s="58" t="s">
        <v>78</v>
      </c>
      <c r="F6" s="68"/>
      <c r="G6" s="62" t="s">
        <v>81</v>
      </c>
      <c r="H6" s="62" t="s">
        <v>81</v>
      </c>
      <c r="I6" s="62" t="s">
        <v>81</v>
      </c>
      <c r="J6" s="62" t="s">
        <v>81</v>
      </c>
      <c r="K6" s="62" t="s">
        <v>81</v>
      </c>
      <c r="L6" s="63" t="s">
        <v>81</v>
      </c>
      <c r="M6" s="63" t="s">
        <v>83</v>
      </c>
      <c r="N6" s="63" t="s">
        <v>81</v>
      </c>
    </row>
    <row r="7" spans="1:14" x14ac:dyDescent="0.25">
      <c r="A7" s="56" t="s">
        <v>119</v>
      </c>
      <c r="B7" s="71" t="s">
        <v>144</v>
      </c>
      <c r="C7" s="57" t="s">
        <v>144</v>
      </c>
      <c r="D7" s="72" t="s">
        <v>144</v>
      </c>
      <c r="E7" s="61" t="s">
        <v>76</v>
      </c>
      <c r="F7" s="66"/>
      <c r="G7" s="62" t="s">
        <v>81</v>
      </c>
      <c r="H7" s="62" t="s">
        <v>81</v>
      </c>
      <c r="I7" s="62" t="s">
        <v>81</v>
      </c>
      <c r="J7" s="62" t="s">
        <v>81</v>
      </c>
      <c r="K7" s="62" t="s">
        <v>81</v>
      </c>
      <c r="L7" s="63" t="s">
        <v>145</v>
      </c>
      <c r="M7" s="63" t="s">
        <v>81</v>
      </c>
      <c r="N7" s="63" t="s">
        <v>145</v>
      </c>
    </row>
    <row r="8" spans="1:14" x14ac:dyDescent="0.25">
      <c r="A8" s="56" t="s">
        <v>120</v>
      </c>
      <c r="B8" s="64" t="s">
        <v>144</v>
      </c>
      <c r="C8" s="57" t="s">
        <v>144</v>
      </c>
      <c r="D8" s="61" t="s">
        <v>144</v>
      </c>
      <c r="E8" s="61" t="s">
        <v>76</v>
      </c>
      <c r="F8" s="66"/>
      <c r="G8" s="62" t="s">
        <v>81</v>
      </c>
      <c r="H8" s="62" t="s">
        <v>81</v>
      </c>
      <c r="I8" s="62" t="s">
        <v>81</v>
      </c>
      <c r="J8" s="62" t="s">
        <v>81</v>
      </c>
      <c r="K8" s="62" t="s">
        <v>81</v>
      </c>
      <c r="L8" s="63" t="s">
        <v>145</v>
      </c>
      <c r="M8" s="63" t="s">
        <v>81</v>
      </c>
      <c r="N8" s="63" t="s">
        <v>145</v>
      </c>
    </row>
    <row r="9" spans="1:14" x14ac:dyDescent="0.25">
      <c r="A9" s="56" t="s">
        <v>124</v>
      </c>
      <c r="B9" s="64" t="s">
        <v>144</v>
      </c>
      <c r="C9" s="57" t="s">
        <v>144</v>
      </c>
      <c r="D9" s="61" t="s">
        <v>144</v>
      </c>
      <c r="E9" s="61" t="s">
        <v>76</v>
      </c>
      <c r="F9" s="66"/>
      <c r="G9" s="62" t="s">
        <v>78</v>
      </c>
      <c r="H9" s="62" t="s">
        <v>77</v>
      </c>
      <c r="I9" s="62" t="s">
        <v>78</v>
      </c>
      <c r="J9" s="62" t="s">
        <v>78</v>
      </c>
      <c r="K9" s="62" t="s">
        <v>80</v>
      </c>
      <c r="L9" s="63" t="s">
        <v>78</v>
      </c>
      <c r="M9" s="63" t="s">
        <v>81</v>
      </c>
      <c r="N9" s="63" t="s">
        <v>78</v>
      </c>
    </row>
    <row r="10" spans="1:14" x14ac:dyDescent="0.25">
      <c r="A10" s="56" t="s">
        <v>133</v>
      </c>
      <c r="B10" s="64" t="s">
        <v>146</v>
      </c>
      <c r="C10" s="64" t="s">
        <v>146</v>
      </c>
      <c r="D10" s="61" t="s">
        <v>146</v>
      </c>
      <c r="E10" s="61" t="s">
        <v>76</v>
      </c>
      <c r="F10" s="68"/>
      <c r="G10" s="62" t="s">
        <v>78</v>
      </c>
      <c r="H10" s="62" t="s">
        <v>77</v>
      </c>
      <c r="I10" s="62" t="s">
        <v>78</v>
      </c>
      <c r="J10" s="62" t="s">
        <v>78</v>
      </c>
      <c r="K10" s="62" t="s">
        <v>78</v>
      </c>
      <c r="L10" s="63" t="s">
        <v>78</v>
      </c>
      <c r="M10" s="63" t="s">
        <v>80</v>
      </c>
      <c r="N10" s="63" t="s">
        <v>78</v>
      </c>
    </row>
    <row r="11" spans="1:14" x14ac:dyDescent="0.25">
      <c r="A11" s="56" t="s">
        <v>134</v>
      </c>
      <c r="B11" s="64" t="s">
        <v>144</v>
      </c>
      <c r="C11" s="57" t="s">
        <v>144</v>
      </c>
      <c r="D11" s="61" t="s">
        <v>144</v>
      </c>
      <c r="E11" s="61" t="s">
        <v>76</v>
      </c>
      <c r="F11" s="68"/>
      <c r="G11" s="62" t="s">
        <v>78</v>
      </c>
      <c r="H11" s="62" t="s">
        <v>78</v>
      </c>
      <c r="I11" s="62" t="s">
        <v>78</v>
      </c>
      <c r="J11" s="62" t="s">
        <v>78</v>
      </c>
      <c r="K11" s="62" t="s">
        <v>78</v>
      </c>
      <c r="L11" s="63" t="s">
        <v>78</v>
      </c>
      <c r="M11" s="63" t="s">
        <v>80</v>
      </c>
      <c r="N11" s="63" t="s">
        <v>78</v>
      </c>
    </row>
    <row r="12" spans="1:14" x14ac:dyDescent="0.25">
      <c r="A12" s="56" t="s">
        <v>136</v>
      </c>
      <c r="B12" s="64" t="s">
        <v>144</v>
      </c>
      <c r="C12" s="57" t="s">
        <v>144</v>
      </c>
      <c r="D12" s="61" t="s">
        <v>144</v>
      </c>
      <c r="E12" s="61" t="s">
        <v>76</v>
      </c>
      <c r="F12" s="68"/>
      <c r="G12" s="62" t="s">
        <v>78</v>
      </c>
      <c r="H12" s="62" t="s">
        <v>78</v>
      </c>
      <c r="I12" s="62" t="s">
        <v>78</v>
      </c>
      <c r="J12" s="62" t="s">
        <v>78</v>
      </c>
      <c r="K12" s="62" t="s">
        <v>78</v>
      </c>
      <c r="L12" s="63" t="s">
        <v>78</v>
      </c>
      <c r="M12" s="63" t="s">
        <v>80</v>
      </c>
      <c r="N12" s="63" t="s">
        <v>78</v>
      </c>
    </row>
    <row r="13" spans="1:14" x14ac:dyDescent="0.25">
      <c r="A13" s="65" t="s">
        <v>137</v>
      </c>
      <c r="B13" s="64" t="s">
        <v>144</v>
      </c>
      <c r="C13" s="57" t="s">
        <v>144</v>
      </c>
      <c r="D13" s="61" t="s">
        <v>144</v>
      </c>
      <c r="E13" s="61" t="s">
        <v>76</v>
      </c>
      <c r="F13" s="68"/>
      <c r="G13" s="62" t="s">
        <v>78</v>
      </c>
      <c r="H13" s="62" t="s">
        <v>78</v>
      </c>
      <c r="I13" s="62" t="s">
        <v>78</v>
      </c>
      <c r="J13" s="62" t="s">
        <v>78</v>
      </c>
      <c r="K13" s="62" t="s">
        <v>78</v>
      </c>
      <c r="L13" s="63" t="s">
        <v>78</v>
      </c>
      <c r="M13" s="63" t="s">
        <v>81</v>
      </c>
      <c r="N13" s="63" t="s">
        <v>78</v>
      </c>
    </row>
    <row r="14" spans="1:14" x14ac:dyDescent="0.25">
      <c r="A14" s="65" t="s">
        <v>138</v>
      </c>
      <c r="B14" s="64"/>
      <c r="C14" s="57"/>
      <c r="D14" s="61"/>
      <c r="E14" s="61"/>
      <c r="F14" s="68"/>
      <c r="G14" s="62"/>
      <c r="H14" s="62"/>
      <c r="I14" s="62"/>
      <c r="J14" s="62"/>
      <c r="K14" s="62"/>
      <c r="L14" s="63"/>
      <c r="M14" s="63"/>
      <c r="N14" s="63"/>
    </row>
    <row r="15" spans="1:14" x14ac:dyDescent="0.25">
      <c r="A15" s="65" t="s">
        <v>139</v>
      </c>
      <c r="B15" s="64"/>
      <c r="C15" s="57"/>
      <c r="D15" s="61"/>
      <c r="E15" s="61"/>
      <c r="F15" s="68"/>
      <c r="G15" s="59"/>
      <c r="H15" s="59"/>
      <c r="I15" s="59"/>
      <c r="J15" s="59"/>
      <c r="K15" s="59"/>
      <c r="L15" s="60"/>
      <c r="M15" s="60"/>
      <c r="N15" s="60"/>
    </row>
    <row r="16" spans="1:14" s="70" customFormat="1" x14ac:dyDescent="0.25">
      <c r="A16" s="69" t="s">
        <v>140</v>
      </c>
      <c r="B16" s="64"/>
      <c r="C16" s="64"/>
      <c r="D16" s="61"/>
      <c r="E16" s="61"/>
      <c r="F16" s="66"/>
      <c r="G16" s="62"/>
      <c r="H16" s="62"/>
      <c r="I16" s="62"/>
      <c r="J16" s="62"/>
      <c r="K16" s="62"/>
      <c r="L16" s="63"/>
      <c r="M16" s="63"/>
      <c r="N16" s="63"/>
    </row>
    <row r="17" spans="1:14" x14ac:dyDescent="0.25">
      <c r="A17" s="65" t="s">
        <v>141</v>
      </c>
      <c r="B17" s="64"/>
      <c r="C17" s="57"/>
      <c r="D17" s="61"/>
      <c r="E17" s="61"/>
      <c r="F17" s="68"/>
      <c r="G17" s="62"/>
      <c r="H17" s="62"/>
      <c r="I17" s="62"/>
      <c r="J17" s="62"/>
      <c r="K17" s="62"/>
      <c r="L17" s="63"/>
      <c r="M17" s="63"/>
      <c r="N17" s="63"/>
    </row>
    <row r="18" spans="1:14" x14ac:dyDescent="0.25">
      <c r="A18" s="65"/>
      <c r="B18" s="57"/>
      <c r="C18" s="57"/>
      <c r="D18" s="58"/>
      <c r="E18" s="58"/>
      <c r="F18" s="68"/>
      <c r="G18" s="59"/>
      <c r="H18" s="59"/>
      <c r="I18" s="59"/>
      <c r="J18" s="59"/>
      <c r="K18" s="59"/>
      <c r="L18" s="60"/>
      <c r="M18" s="60"/>
      <c r="N18" s="60"/>
    </row>
    <row r="19" spans="1:14" x14ac:dyDescent="0.25">
      <c r="A19" s="65"/>
      <c r="B19" s="57"/>
      <c r="C19" s="57"/>
      <c r="D19" s="58"/>
      <c r="E19" s="58"/>
      <c r="F19" s="68"/>
      <c r="G19" s="59"/>
      <c r="H19" s="59"/>
      <c r="I19" s="59"/>
      <c r="J19" s="59"/>
      <c r="K19" s="59"/>
      <c r="L19" s="60"/>
      <c r="M19" s="60"/>
      <c r="N19" s="60"/>
    </row>
    <row r="20" spans="1:14" x14ac:dyDescent="0.25">
      <c r="A20" s="65"/>
      <c r="B20" s="57"/>
      <c r="C20" s="57"/>
      <c r="D20" s="58"/>
      <c r="E20" s="58"/>
      <c r="F20" s="68"/>
      <c r="G20" s="59"/>
      <c r="H20" s="59"/>
      <c r="I20" s="59"/>
      <c r="J20" s="59"/>
      <c r="K20" s="59"/>
      <c r="L20" s="60"/>
      <c r="M20" s="60"/>
      <c r="N20" s="60"/>
    </row>
    <row r="21" spans="1:14" x14ac:dyDescent="0.25">
      <c r="A21" s="65"/>
      <c r="B21" s="57"/>
      <c r="C21" s="57"/>
      <c r="D21" s="58"/>
      <c r="E21" s="58"/>
      <c r="F21" s="68"/>
      <c r="G21" s="59"/>
      <c r="H21" s="59"/>
      <c r="I21" s="59"/>
      <c r="J21" s="59"/>
      <c r="K21" s="59"/>
      <c r="L21" s="60"/>
      <c r="M21" s="60"/>
      <c r="N21" s="60"/>
    </row>
    <row r="22" spans="1:14" x14ac:dyDescent="0.25">
      <c r="A22" s="65"/>
      <c r="B22" s="57"/>
      <c r="C22" s="57"/>
      <c r="D22" s="58"/>
      <c r="E22" s="58"/>
      <c r="F22" s="68"/>
      <c r="G22" s="59"/>
      <c r="H22" s="59"/>
      <c r="I22" s="59"/>
      <c r="J22" s="59"/>
      <c r="K22" s="59"/>
      <c r="L22" s="60"/>
      <c r="M22" s="60"/>
      <c r="N22" s="60"/>
    </row>
    <row r="23" spans="1:14" x14ac:dyDescent="0.25">
      <c r="A23" s="65"/>
      <c r="B23" s="57"/>
      <c r="C23" s="57"/>
      <c r="D23" s="58"/>
      <c r="E23" s="58"/>
      <c r="F23" s="68"/>
      <c r="G23" s="59"/>
      <c r="H23" s="59"/>
      <c r="I23" s="59"/>
      <c r="J23" s="59"/>
      <c r="K23" s="59"/>
      <c r="L23" s="60"/>
      <c r="M23" s="60"/>
      <c r="N23" s="60"/>
    </row>
    <row r="24" spans="1:14" x14ac:dyDescent="0.25">
      <c r="A24" s="65"/>
      <c r="B24" s="57"/>
      <c r="C24" s="57"/>
      <c r="D24" s="58"/>
      <c r="E24" s="58"/>
      <c r="F24" s="68"/>
      <c r="G24" s="59"/>
      <c r="H24" s="59"/>
      <c r="I24" s="59"/>
      <c r="J24" s="59"/>
      <c r="K24" s="59"/>
      <c r="L24" s="60"/>
      <c r="M24" s="60"/>
      <c r="N24" s="60"/>
    </row>
    <row r="25" spans="1:14" x14ac:dyDescent="0.25">
      <c r="A25" s="65"/>
      <c r="B25" s="57"/>
      <c r="C25" s="57"/>
      <c r="D25" s="58"/>
      <c r="E25" s="58"/>
      <c r="F25" s="68"/>
      <c r="G25" s="59"/>
      <c r="H25" s="59"/>
      <c r="I25" s="59"/>
      <c r="J25" s="59"/>
      <c r="K25" s="59"/>
      <c r="L25" s="60"/>
      <c r="M25" s="60"/>
      <c r="N25" s="60"/>
    </row>
    <row r="26" spans="1:14" x14ac:dyDescent="0.25">
      <c r="A26" s="65"/>
      <c r="B26" s="57"/>
      <c r="C26" s="57"/>
      <c r="D26" s="58"/>
      <c r="E26" s="58"/>
      <c r="F26" s="68"/>
      <c r="G26" s="59"/>
      <c r="H26" s="59"/>
      <c r="I26" s="59"/>
      <c r="J26" s="59"/>
      <c r="K26" s="59"/>
      <c r="L26" s="60"/>
      <c r="M26" s="60"/>
      <c r="N26" s="60"/>
    </row>
    <row r="27" spans="1:14" x14ac:dyDescent="0.25">
      <c r="A27" s="65"/>
      <c r="B27" s="57"/>
      <c r="C27" s="57"/>
      <c r="D27" s="58"/>
      <c r="E27" s="58"/>
      <c r="F27" s="68"/>
      <c r="G27" s="59"/>
      <c r="H27" s="59"/>
      <c r="I27" s="59"/>
      <c r="J27" s="59"/>
      <c r="K27" s="59"/>
      <c r="L27" s="60"/>
      <c r="M27" s="60"/>
      <c r="N27" s="60"/>
    </row>
    <row r="28" spans="1:14" x14ac:dyDescent="0.25">
      <c r="A28" s="65"/>
      <c r="B28" s="57"/>
      <c r="C28" s="57"/>
      <c r="D28" s="58"/>
      <c r="E28" s="58"/>
      <c r="F28" s="68"/>
      <c r="G28" s="59"/>
      <c r="H28" s="59"/>
      <c r="I28" s="59"/>
      <c r="J28" s="59"/>
      <c r="K28" s="59"/>
      <c r="L28" s="60"/>
      <c r="M28" s="60"/>
      <c r="N28" s="60"/>
    </row>
    <row r="29" spans="1:14" x14ac:dyDescent="0.25">
      <c r="A29" s="65"/>
      <c r="B29" s="57"/>
      <c r="C29" s="57"/>
      <c r="D29" s="58"/>
      <c r="E29" s="58"/>
      <c r="F29" s="68"/>
      <c r="G29" s="59"/>
      <c r="H29" s="59"/>
      <c r="I29" s="59"/>
      <c r="J29" s="59"/>
      <c r="K29" s="59"/>
      <c r="L29" s="60"/>
      <c r="M29" s="60"/>
      <c r="N29" s="60"/>
    </row>
  </sheetData>
  <mergeCells count="17">
    <mergeCell ref="A3:A5"/>
    <mergeCell ref="G4:G5"/>
    <mergeCell ref="H4:H5"/>
    <mergeCell ref="I4:I5"/>
    <mergeCell ref="J4:J5"/>
    <mergeCell ref="B4:B5"/>
    <mergeCell ref="B3:C3"/>
    <mergeCell ref="D3:E3"/>
    <mergeCell ref="C4:C5"/>
    <mergeCell ref="D4:D5"/>
    <mergeCell ref="E4:E5"/>
    <mergeCell ref="M4:M5"/>
    <mergeCell ref="N4:N5"/>
    <mergeCell ref="L3:N3"/>
    <mergeCell ref="G3:K3"/>
    <mergeCell ref="K4:K5"/>
    <mergeCell ref="L4:L5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KPI</vt:lpstr>
      <vt:lpstr>Kertas Kerja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Arfinila Mazidah</cp:lastModifiedBy>
  <cp:lastPrinted>2021-06-10T08:57:10Z</cp:lastPrinted>
  <dcterms:created xsi:type="dcterms:W3CDTF">2021-06-05T03:16:25Z</dcterms:created>
  <dcterms:modified xsi:type="dcterms:W3CDTF">2026-09-14T06:22:50Z</dcterms:modified>
</cp:coreProperties>
</file>