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1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Q25" i="99" l="1"/>
  <c r="O25" i="99"/>
  <c r="M25" i="99"/>
  <c r="K25" i="99"/>
  <c r="I25" i="99"/>
  <c r="G25" i="99"/>
  <c r="E25" i="99"/>
  <c r="I14" i="99" l="1"/>
  <c r="Q39" i="98"/>
  <c r="Q38" i="98"/>
  <c r="P26" i="99"/>
  <c r="N26" i="99"/>
  <c r="L26" i="99"/>
  <c r="J26" i="99"/>
  <c r="H26" i="99"/>
  <c r="F26" i="99"/>
  <c r="D26" i="99"/>
  <c r="K39" i="98"/>
  <c r="K38" i="98"/>
  <c r="J39" i="98"/>
  <c r="J38" i="98"/>
  <c r="O20" i="99"/>
  <c r="M20" i="99"/>
  <c r="K20" i="99"/>
  <c r="Q8" i="99"/>
  <c r="M13" i="99"/>
  <c r="E22" i="99" l="1"/>
  <c r="E20" i="99"/>
  <c r="E19" i="99"/>
  <c r="E18" i="99"/>
  <c r="E16" i="99"/>
  <c r="E14" i="99"/>
  <c r="E13" i="99"/>
  <c r="E12" i="99"/>
  <c r="E10" i="99"/>
  <c r="E8" i="99"/>
  <c r="E26" i="99" l="1"/>
  <c r="I20" i="99"/>
  <c r="O16" i="99"/>
  <c r="M16" i="99"/>
  <c r="K16" i="99"/>
  <c r="I16" i="99"/>
  <c r="G16" i="99"/>
  <c r="O19" i="99"/>
  <c r="M19" i="99"/>
  <c r="K19" i="99"/>
  <c r="I19" i="99"/>
  <c r="G19" i="99"/>
  <c r="M14" i="99"/>
  <c r="K14" i="99"/>
  <c r="G14" i="99"/>
  <c r="O12" i="99"/>
  <c r="M12" i="99"/>
  <c r="K12" i="99"/>
  <c r="I12" i="99"/>
  <c r="G12" i="99"/>
  <c r="O10" i="99"/>
  <c r="M10" i="99"/>
  <c r="K10" i="99"/>
  <c r="I10" i="99"/>
  <c r="G10" i="99"/>
  <c r="L38" i="100" l="1"/>
  <c r="K38" i="100"/>
  <c r="J38" i="100"/>
  <c r="I38" i="100"/>
  <c r="H38" i="100"/>
  <c r="G38" i="100"/>
  <c r="F38" i="100"/>
  <c r="E38" i="100"/>
  <c r="D38" i="100"/>
  <c r="C38" i="100"/>
  <c r="Q22" i="99" l="1"/>
  <c r="O22" i="99"/>
  <c r="M22" i="99"/>
  <c r="K22" i="99"/>
  <c r="I22" i="99"/>
  <c r="G22" i="99"/>
  <c r="Q20" i="99"/>
  <c r="G20" i="99"/>
  <c r="Q19" i="99"/>
  <c r="Q18" i="99"/>
  <c r="O18" i="99"/>
  <c r="M18" i="99"/>
  <c r="K18" i="99"/>
  <c r="I18" i="99"/>
  <c r="G18" i="99"/>
  <c r="Q16" i="99"/>
  <c r="Q14" i="99"/>
  <c r="O14" i="99"/>
  <c r="Q13" i="99"/>
  <c r="O13" i="99"/>
  <c r="K13" i="99"/>
  <c r="I13" i="99"/>
  <c r="G13" i="99"/>
  <c r="Q12" i="99"/>
  <c r="Q10" i="99"/>
  <c r="O8" i="99"/>
  <c r="M8" i="99"/>
  <c r="K8" i="99"/>
  <c r="I8" i="99"/>
  <c r="G8" i="99"/>
  <c r="O26" i="99" l="1"/>
  <c r="Q26" i="99"/>
  <c r="G26" i="99"/>
  <c r="I26" i="99"/>
  <c r="K26" i="99"/>
  <c r="M26" i="99"/>
  <c r="L36" i="76"/>
  <c r="L35" i="76"/>
  <c r="L34" i="76"/>
  <c r="L33" i="76"/>
  <c r="P39" i="98" l="1"/>
  <c r="O39" i="98"/>
  <c r="P38" i="98"/>
  <c r="O38" i="98"/>
  <c r="N39" i="98"/>
  <c r="M39" i="98"/>
  <c r="N38" i="98"/>
  <c r="M38" i="98"/>
  <c r="I39" i="98" l="1"/>
  <c r="H39" i="98"/>
  <c r="G39" i="98"/>
  <c r="F39" i="98"/>
  <c r="E39" i="98"/>
  <c r="D39" i="98"/>
  <c r="I38" i="98"/>
  <c r="H38" i="98"/>
  <c r="G38" i="98"/>
  <c r="F38" i="98"/>
  <c r="E38" i="98"/>
  <c r="D38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<sst xmlns="http://schemas.openxmlformats.org/spreadsheetml/2006/main" count="3970" uniqueCount="340">
  <si>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</si>
  <si>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</si>
  <si>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</si>
  <si>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</si>
  <si>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</si>
  <si>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</si>
  <si>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</si>
  <si>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</si>
  <si>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</si>
  <si>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</si>
  <si>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</si>
  <si>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</si>
  <si>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</si>
  <si>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</si>
  <si>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</si>
  <si>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</si>
  <si>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</si>
  <si>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</si>
  <si>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</si>
  <si>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</si>
  <si>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</si>
  <si>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</si>
  <si>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</si>
  <si>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</si>
  <si>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</si>
  <si>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</si>
  <si>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</si>
  <si>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</si>
  <si>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</si>
  <si>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</si>
  <si>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</si>
  <si>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</si>
  <si>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</si>
  <si>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</si>
  <si>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</si>
  <si>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</si>
  <si>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</si>
  <si>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</si>
  <si>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</si>
  <si>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</si>
  <si>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</si>
  <si>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</si>
  <si>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</si>
  <si>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</si>
  <si>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</si>
  <si>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</si>
  <si>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</si>
  <si>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</si>
  <si>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</si>
  <si>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</si>
  <si>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</si>
  <si>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</si>
  <si>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</si>
  <si>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</si>
  <si>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</si>
  <si>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</si>
  <si>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</si>
  <si>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</si>
  <si>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</si>
  <si>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</si>
  <si>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</si>
  <si>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</si>
  <si>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</si>
  <si>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</si>
  <si>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</si>
  <si>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</si>
  <si>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</si>
  <si>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</si>
  <si>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</si>
  <si>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</si>
  <si>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</si>
  <si>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</si>
  <si>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</si>
  <si>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</si>
  <si>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</si>
  <si>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</si>
  <si>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</si>
  <si>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</si>
  <si>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</si>
  <si>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</si>
  <si>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</si>
  <si>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</si>
  <si>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</si>
  <si>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</si>
  <si>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</si>
  <si>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</si>
  <si>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</si>
  <si>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</si>
  <si>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</si>
  <si>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</si>
  <si>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</si>
  <si>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</si>
  <si>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</si>
  <si>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</si>
  <si>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</si>
  <si>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</si>
  <si>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</si>
  <si>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</si>
  <si>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</si>
  <si>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</si>
  <si>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</si>
  <si>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</si>
  <si>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</si>
  <si>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</si>
  <si>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</si>
  <si>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</si>
  <si>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</si>
  <si>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</si>
  <si>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</si>
  <si>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</si>
  <si>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</si>
  <si>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</si>
  <si>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</si>
  <si>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</si>
  <si>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</si>
  <si>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</si>
  <si>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</si>
  <si>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</si>
  <si>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</si>
  <si>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</si>
  <si>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</si>
  <si>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</si>
  <si>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</si>
  <si>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</si>
  <si>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</si>
  <si>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</si>
  <si>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</si>
  <si>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</si>
  <si>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</si>
  <si>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</si>
  <si>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</si>
  <si>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</si>
  <si>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</si>
  <si>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</si>
  <si>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</si>
  <si>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</si>
  <si>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</si>
  <si>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</si>
  <si>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</si>
  <si>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</si>
  <si>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</si>
  <si>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</si>
  <si>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</si>
  <si>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</si>
  <si>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</si>
  <si>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</si>
  <si>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</si>
  <si>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</si>
  <si>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</si>
  <si>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</si>
  <si>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</si>
  <si>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</si>
  <si>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</si>
  <si>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</si>
  <si>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</si>
  <si>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</si>
  <si>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</si>
  <si>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</si>
  <si>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</si>
  <si>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</si>
  <si>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</si>
  <si>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</si>
  <si>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</si>
  <si>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</si>
  <si>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</si>
  <si>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</si>
  <si>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</si>
  <si>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</si>
  <si>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</si>
  <si>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</si>
  <si>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</si>
  <si>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</si>
  <si>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</si>
  <si>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</si>
  <si>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</si>
  <si>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</si>
  <si>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</si>
  <si>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</si>
  <si>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</si>
  <si>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</si>
  <si>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</si>
  <si>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</si>
  <si>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</si>
  <si>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</si>
  <si>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</si>
  <si>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</si>
  <si>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</si>
  <si>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</si>
  <si>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</si>
  <si>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</si>
  <si>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</si>
  <si>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</si>
  <si>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</si>
  <si>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</si>
  <si>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</si>
  <si>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</si>
  <si>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</si>
  <si>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</si>
  <si>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</si>
  <si>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</si>
  <si>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</si>
  <si>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</si>
  <si>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</si>
  <si>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</si>
  <si>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</si>
  <si>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</si>
  <si>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</si>
  <si>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</si>
  <si>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</si>
  <si>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</si>
  <si>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</si>
  <si>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</si>
  <si>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</si>
  <si>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</si>
  <si>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</si>
  <si>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</si>
  <si>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</si>
  <si>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</si>
  <si>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</si>
  <si>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</si>
  <si>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</si>
  <si>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</si>
  <si>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</si>
  <si>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</si>
  <si>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</si>
  <si>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</si>
  <si>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</si>
  <si>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</si>
  <si>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</si>
  <si>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</si>
  <si>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</si>
  <si>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</si>
  <si>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</si>
  <si>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</si>
  <si>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</si>
  <si>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</si>
  <si>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</si>
  <si>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</si>
  <si>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</si>
  <si>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</si>
  <si>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</si>
  <si>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</si>
  <si>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</si>
  <si>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</si>
  <si>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</si>
  <si>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</si>
  <si>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</si>
  <si>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</si>
  <si>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</si>
  <si>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</si>
  <si>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</si>
  <si>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</si>
  <si>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</si>
  <si>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</si>
  <si>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</si>
  <si>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</si>
  <si>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</si>
  <si>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</si>
  <si>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</si>
  <si>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</si>
  <si>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</si>
  <si>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</si>
  <si>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</si>
  <si>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</si>
  <si>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</si>
  <si>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</si>
  <si>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</si>
  <si>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</si>
  <si>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</si>
  <si>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</si>
  <si>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</si>
  <si>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</si>
  <si>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</si>
  <si>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</si>
  <si>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</si>
  <si>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</si>
  <si>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</si>
  <si>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</si>
  <si>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</si>
  <si>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</si>
  <si>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</si>
  <si>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</si>
  <si>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</si>
  <si>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</si>
  <si>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</si>
  <si>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</si>
  <si>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</si>
  <si>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</si>
  <si>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</si>
  <si>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</si>
  <si>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</si>
  <si>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</si>
  <si>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</si>
  <si>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</si>
  <si>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</si>
  <si>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</si>
  <si>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</si>
  <si>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</si>
  <si>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</si>
  <si>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</si>
  <si>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</si>
  <si>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</si>
  <si>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</si>
  <si>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</si>
  <si>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</si>
  <si>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</si>
  <si>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</si>
  <si>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</si>
  <si>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</si>
  <si>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</si>
  <si>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</si>
  <si>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</si>
  <si>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</si>
  <si>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</si>
  <si>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</si>
  <si>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</si>
  <si>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</si>
  <si>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</si>
  <si>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</si>
  <si>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</si>
  <si>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</si>
  <si>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Tanggal Resi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</si>
  <si>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</si>
  <si>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</si>
  <si>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</si>
  <si>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</si>
  <si>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</si>
  <si>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</si>
  <si>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</si>
  <si>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</si>
  <si>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</si>
  <si>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</si>
  <si>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</si>
  <si>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MUHAMMAD HIDAYAT</t>
  </si>
  <si>
    <t>CIMB</t>
  </si>
  <si>
    <t xml:space="preserve"> Jam 13.00-14,00 (Tanpa Kesalahan)</t>
  </si>
  <si>
    <t>Jam 13.00-14,00 (Tanpa Komplain)</t>
  </si>
  <si>
    <t>Jam 14.00-14,30 (Tanpa Komplain)</t>
  </si>
  <si>
    <t>Jam 11.00 (Tanpa Komplain)</t>
  </si>
  <si>
    <t>Jam 13.00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</si>
</sst>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57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16" fontId="79" fillId="25" borderId="81" xfId="0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6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79" fillId="25" borderId="81" xfId="0" applyFont="1" applyFill="1" applyBorder="1" applyAlignment="1">
      <alignment horizontal="left" vertical="center" wrapText="1"/>
    </xf>
    <xf numFmtId="16" fontId="79" fillId="25" borderId="81" xfId="0" applyNumberFormat="1" applyFont="1" applyFill="1" applyBorder="1" applyAlignment="1">
      <alignment horizontal="left" vertical="center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6" fontId="83" fillId="25" borderId="81" xfId="0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0" fontId="23" fillId="0" borderId="44" xfId="0" applyFont="1" applyBorder="1" applyAlignment="1">
      <alignment vertical="top" wrapText="1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9" fillId="28" borderId="81" xfId="0" applyNumberFormat="1" applyFont="1" applyFill="1" applyBorder="1" applyAlignment="1">
      <alignment horizontal="center"/>
    </xf>
    <xf numFmtId="168" fontId="79" fillId="28" borderId="82" xfId="0" applyNumberFormat="1" applyFont="1" applyFill="1" applyBorder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168" fontId="79" fillId="27" borderId="82" xfId="0" applyNumberFormat="1" applyFont="1" applyFill="1" applyBorder="1" applyAlignment="1">
      <alignment horizontal="center"/>
    </xf>
    <xf numFmtId="0" fontId="23" fillId="0" borderId="44" xfId="0" applyFont="1" applyFill="1" applyBorder="1" applyAlignment="1">
      <alignment vertical="top" wrapText="1"/>
    </xf>
    <xf numFmtId="0" fontId="3" fillId="0" borderId="54" xfId="0" applyFont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  <xf numFmtId="0" fontId="85" fillId="0" borderId="44" xfId="0" applyFont="1" applyBorder="1" applyAlignment="1">
      <alignment vertical="top" wrapText="1"/>
    </xf>
    <xf numFmtId="0" fontId="85" fillId="0" borderId="29" xfId="0" applyFont="1" applyBorder="1" applyAlignment="1">
      <alignment horizontal="center" vertical="center"/>
    </xf>
    <xf numFmtId="0" fontId="85" fillId="0" borderId="43" xfId="0" applyFont="1" applyBorder="1" applyAlignment="1">
      <alignment horizontal="center" vertical="center"/>
    </xf>
    <xf numFmtId="0" fontId="85" fillId="0" borderId="27" xfId="0" applyFont="1" applyBorder="1" applyAlignment="1">
      <alignment horizontal="center" vertical="center"/>
    </xf>
    <xf numFmtId="0" fontId="85" fillId="0" borderId="36" xfId="0" applyFont="1" applyBorder="1" applyAlignment="1">
      <alignment horizontal="center" vertical="center"/>
    </xf>
    <xf numFmtId="0" fontId="85" fillId="0" borderId="24" xfId="0" applyFont="1" applyBorder="1" applyAlignment="1">
      <alignment horizontal="center" vertical="center"/>
    </xf>
    <xf numFmtId="0" fontId="85" fillId="0" borderId="38" xfId="0" applyFont="1" applyBorder="1" applyAlignment="1">
      <alignment horizontal="center" vertical="center"/>
    </xf>
    <xf numFmtId="0" fontId="85" fillId="0" borderId="44" xfId="0" applyFont="1" applyBorder="1" applyAlignment="1">
      <alignment vertical="center" wrapText="1"/>
    </xf>
    <xf numFmtId="0" fontId="85" fillId="0" borderId="54" xfId="0" applyFont="1" applyBorder="1" applyAlignment="1">
      <alignment vertical="top" wrapText="1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A200"/>
      <color rgb="FFFFFF99"/>
      <color rgb="FF008000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72" t="s">
        <v>0</v>
      </c>
      <c r="C1" s="473"/>
      <c r="D1" s="473"/>
      <c r="E1" s="474"/>
    </row>
    <row r="2" spans="2:18" x14ac:dyDescent="0.25">
      <c r="B2" s="475"/>
      <c r="C2" s="476"/>
      <c r="D2" s="476"/>
      <c r="E2" s="477"/>
    </row>
    <row r="3" spans="2:18" x14ac:dyDescent="0.25">
      <c r="B3" s="478" t="s">
        <v>1</v>
      </c>
      <c r="C3" s="479"/>
      <c r="D3" s="480"/>
      <c r="E3" s="1" t="s">
        <v>2</v>
      </c>
    </row>
    <row r="4" spans="2:18" x14ac:dyDescent="0.25">
      <c r="B4" s="478" t="s">
        <v>3</v>
      </c>
      <c r="C4" s="479"/>
      <c r="D4" s="480"/>
      <c r="E4" s="2" t="s">
        <v>4</v>
      </c>
    </row>
    <row r="5" spans="2:18" x14ac:dyDescent="0.25">
      <c r="B5" s="478" t="s">
        <v>5</v>
      </c>
      <c r="C5" s="479"/>
      <c r="D5" s="480"/>
      <c r="E5" s="2" t="s">
        <v>6</v>
      </c>
    </row>
    <row r="6" spans="2:18" x14ac:dyDescent="0.25">
      <c r="B6" s="478" t="s">
        <v>7</v>
      </c>
      <c r="C6" s="479"/>
      <c r="D6" s="480"/>
      <c r="E6" s="3">
        <v>44075</v>
      </c>
    </row>
    <row r="7" spans="2:18" x14ac:dyDescent="0.25">
      <c r="B7" s="478" t="s">
        <v>8</v>
      </c>
      <c r="C7" s="479"/>
      <c r="D7" s="480"/>
      <c r="E7" s="4" t="s">
        <v>9</v>
      </c>
    </row>
    <row r="8" spans="2:18" x14ac:dyDescent="0.25">
      <c r="B8" s="478" t="s">
        <v>10</v>
      </c>
      <c r="C8" s="479"/>
      <c r="D8" s="480"/>
      <c r="E8" s="5">
        <v>44136</v>
      </c>
    </row>
    <row r="10" spans="2:18" x14ac:dyDescent="0.25">
      <c r="B10" s="481" t="s">
        <v>11</v>
      </c>
      <c r="C10" s="482"/>
      <c r="D10" s="482"/>
      <c r="E10" s="482"/>
      <c r="F10" s="482"/>
      <c r="G10" s="482"/>
      <c r="H10" s="485" t="s">
        <v>12</v>
      </c>
      <c r="I10" s="486"/>
      <c r="J10" s="486"/>
      <c r="K10" s="486"/>
      <c r="L10" s="487"/>
    </row>
    <row r="11" spans="2:18" x14ac:dyDescent="0.25">
      <c r="B11" s="483"/>
      <c r="C11" s="484"/>
      <c r="D11" s="484"/>
      <c r="E11" s="484"/>
      <c r="F11" s="484"/>
      <c r="G11" s="484"/>
      <c r="H11" s="488"/>
      <c r="I11" s="489"/>
      <c r="J11" s="489"/>
      <c r="K11" s="489"/>
      <c r="L11" s="490"/>
    </row>
    <row r="12" spans="2:18" x14ac:dyDescent="0.25">
      <c r="B12" s="417">
        <v>1</v>
      </c>
      <c r="C12" s="491" t="s">
        <v>13</v>
      </c>
      <c r="D12" s="491"/>
      <c r="E12" s="491"/>
      <c r="F12" s="491"/>
      <c r="G12" s="491"/>
      <c r="H12" s="409" t="s">
        <v>14</v>
      </c>
      <c r="I12" s="409"/>
      <c r="J12" s="409"/>
      <c r="K12" s="409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17"/>
      <c r="C13" s="491"/>
      <c r="D13" s="491"/>
      <c r="E13" s="491"/>
      <c r="F13" s="491"/>
      <c r="G13" s="491"/>
      <c r="H13" s="409" t="s">
        <v>20</v>
      </c>
      <c r="I13" s="409"/>
      <c r="J13" s="409"/>
      <c r="K13" s="409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17"/>
      <c r="C14" s="491"/>
      <c r="D14" s="491"/>
      <c r="E14" s="491"/>
      <c r="F14" s="491"/>
      <c r="G14" s="491"/>
      <c r="H14" s="409" t="s">
        <v>23</v>
      </c>
      <c r="I14" s="409"/>
      <c r="J14" s="409"/>
      <c r="K14" s="409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17"/>
      <c r="C15" s="491"/>
      <c r="D15" s="491"/>
      <c r="E15" s="491"/>
      <c r="F15" s="491"/>
      <c r="G15" s="491"/>
      <c r="H15" s="409" t="s">
        <v>26</v>
      </c>
      <c r="I15" s="409"/>
      <c r="J15" s="409"/>
      <c r="K15" s="409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17"/>
      <c r="C16" s="492" t="s">
        <v>28</v>
      </c>
      <c r="D16" s="492"/>
      <c r="E16" s="492"/>
      <c r="F16" s="492"/>
      <c r="G16" s="492"/>
      <c r="H16" s="409" t="s">
        <v>29</v>
      </c>
      <c r="I16" s="409"/>
      <c r="J16" s="409"/>
      <c r="K16" s="409"/>
      <c r="L16" s="409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17"/>
      <c r="C17" s="409">
        <v>1</v>
      </c>
      <c r="D17" s="421" t="s">
        <v>31</v>
      </c>
      <c r="E17" s="421"/>
      <c r="F17" s="421"/>
      <c r="G17" s="421"/>
      <c r="H17" s="26" t="s">
        <v>32</v>
      </c>
      <c r="I17" s="27">
        <v>0.6</v>
      </c>
      <c r="J17" s="409" t="s">
        <v>33</v>
      </c>
      <c r="K17" s="409"/>
      <c r="L17" s="409"/>
      <c r="N17" s="28"/>
      <c r="O17" s="29"/>
      <c r="P17" s="30"/>
      <c r="Q17" s="30"/>
      <c r="R17" s="25"/>
    </row>
    <row r="18" spans="2:25" ht="15" customHeight="1" x14ac:dyDescent="0.25">
      <c r="B18" s="417"/>
      <c r="C18" s="409"/>
      <c r="D18" s="421"/>
      <c r="E18" s="421"/>
      <c r="F18" s="421"/>
      <c r="G18" s="421"/>
      <c r="H18" s="423">
        <v>4</v>
      </c>
      <c r="I18" s="423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68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17"/>
      <c r="C19" s="409"/>
      <c r="D19" s="421"/>
      <c r="E19" s="421"/>
      <c r="F19" s="421"/>
      <c r="G19" s="421"/>
      <c r="H19" s="423"/>
      <c r="I19" s="423"/>
      <c r="J19" s="6">
        <v>4</v>
      </c>
      <c r="K19" s="6" t="s">
        <v>34</v>
      </c>
      <c r="L19" s="6">
        <v>110</v>
      </c>
      <c r="N19" s="32"/>
      <c r="O19" s="469"/>
      <c r="P19" s="33">
        <v>0.6</v>
      </c>
      <c r="Q19" s="34">
        <f>P19*Q16</f>
        <v>72.912000000000006</v>
      </c>
    </row>
    <row r="20" spans="2:25" x14ac:dyDescent="0.25">
      <c r="B20" s="417"/>
      <c r="C20" s="409"/>
      <c r="D20" s="421"/>
      <c r="E20" s="421"/>
      <c r="F20" s="421"/>
      <c r="G20" s="421"/>
      <c r="H20" s="423"/>
      <c r="I20" s="423"/>
      <c r="J20" s="6">
        <v>3</v>
      </c>
      <c r="K20" s="6" t="s">
        <v>34</v>
      </c>
      <c r="L20" s="6">
        <v>105</v>
      </c>
    </row>
    <row r="21" spans="2:25" x14ac:dyDescent="0.25">
      <c r="B21" s="417"/>
      <c r="C21" s="409"/>
      <c r="D21" s="421"/>
      <c r="E21" s="421"/>
      <c r="F21" s="421"/>
      <c r="G21" s="421"/>
      <c r="H21" s="423"/>
      <c r="I21" s="423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17"/>
      <c r="C22" s="409"/>
      <c r="D22" s="409" t="s">
        <v>37</v>
      </c>
      <c r="E22" s="409"/>
      <c r="F22" s="409"/>
      <c r="G22" s="409"/>
      <c r="H22" s="423"/>
      <c r="I22" s="423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17"/>
      <c r="C23" s="409"/>
      <c r="D23" s="409" t="s">
        <v>38</v>
      </c>
      <c r="E23" s="409"/>
      <c r="F23" s="409"/>
      <c r="G23" s="409"/>
      <c r="H23" s="423"/>
      <c r="I23" s="423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17"/>
      <c r="C24" s="409"/>
      <c r="D24" s="409"/>
      <c r="E24" s="409"/>
      <c r="F24" s="409"/>
      <c r="G24" s="409"/>
      <c r="H24" s="409" t="s">
        <v>29</v>
      </c>
      <c r="I24" s="409"/>
      <c r="J24" s="409"/>
      <c r="K24" s="409"/>
      <c r="L24" s="409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17"/>
      <c r="C25" s="409">
        <v>2</v>
      </c>
      <c r="D25" s="421" t="s">
        <v>39</v>
      </c>
      <c r="E25" s="421"/>
      <c r="F25" s="421"/>
      <c r="G25" s="421"/>
      <c r="H25" s="26" t="s">
        <v>32</v>
      </c>
      <c r="I25" s="27">
        <v>0.4</v>
      </c>
      <c r="J25" s="409" t="s">
        <v>40</v>
      </c>
      <c r="K25" s="409"/>
      <c r="L25" s="409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17"/>
      <c r="C26" s="409"/>
      <c r="D26" s="421"/>
      <c r="E26" s="421"/>
      <c r="F26" s="421"/>
      <c r="G26" s="421"/>
      <c r="H26" s="411">
        <v>9</v>
      </c>
      <c r="I26" s="423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17"/>
      <c r="C27" s="409"/>
      <c r="D27" s="409" t="s">
        <v>37</v>
      </c>
      <c r="E27" s="409"/>
      <c r="F27" s="409"/>
      <c r="G27" s="409"/>
      <c r="H27" s="412"/>
      <c r="I27" s="423"/>
      <c r="J27" s="6">
        <v>9</v>
      </c>
      <c r="K27" s="6" t="s">
        <v>41</v>
      </c>
      <c r="L27" s="6">
        <v>107</v>
      </c>
      <c r="N27" s="28"/>
      <c r="O27" s="468" t="s">
        <v>36</v>
      </c>
      <c r="P27" s="31" t="s">
        <v>17</v>
      </c>
      <c r="Q27" s="31" t="s">
        <v>35</v>
      </c>
    </row>
    <row r="28" spans="2:25" x14ac:dyDescent="0.25">
      <c r="B28" s="417"/>
      <c r="C28" s="409"/>
      <c r="D28" s="421" t="s">
        <v>42</v>
      </c>
      <c r="E28" s="421"/>
      <c r="F28" s="421"/>
      <c r="G28" s="421"/>
      <c r="H28" s="412"/>
      <c r="I28" s="423"/>
      <c r="J28" s="6">
        <v>8</v>
      </c>
      <c r="K28" s="6" t="s">
        <v>41</v>
      </c>
      <c r="L28" s="6">
        <v>105</v>
      </c>
      <c r="N28" s="32"/>
      <c r="O28" s="469"/>
      <c r="P28" s="33">
        <v>0.4</v>
      </c>
      <c r="Q28" s="34">
        <f>P28*Q25</f>
        <v>41.624000000000002</v>
      </c>
    </row>
    <row r="29" spans="2:25" x14ac:dyDescent="0.25">
      <c r="B29" s="417"/>
      <c r="C29" s="409"/>
      <c r="D29" s="421"/>
      <c r="E29" s="421"/>
      <c r="F29" s="421"/>
      <c r="G29" s="421"/>
      <c r="H29" s="412"/>
      <c r="I29" s="423"/>
      <c r="J29" s="6">
        <v>7</v>
      </c>
      <c r="K29" s="6" t="s">
        <v>41</v>
      </c>
      <c r="L29" s="6">
        <v>102</v>
      </c>
    </row>
    <row r="30" spans="2:25" x14ac:dyDescent="0.25">
      <c r="B30" s="417"/>
      <c r="C30" s="409"/>
      <c r="D30" s="421"/>
      <c r="E30" s="421"/>
      <c r="F30" s="421"/>
      <c r="G30" s="421"/>
      <c r="H30" s="412"/>
      <c r="I30" s="423"/>
      <c r="J30" s="6">
        <v>6</v>
      </c>
      <c r="K30" s="6" t="s">
        <v>41</v>
      </c>
      <c r="L30" s="6">
        <v>100</v>
      </c>
    </row>
    <row r="31" spans="2:25" x14ac:dyDescent="0.25">
      <c r="B31" s="417"/>
      <c r="C31" s="409"/>
      <c r="D31" s="421"/>
      <c r="E31" s="421"/>
      <c r="F31" s="421"/>
      <c r="G31" s="421"/>
      <c r="H31" s="412"/>
      <c r="I31" s="423"/>
      <c r="J31" s="6">
        <v>5</v>
      </c>
      <c r="K31" s="6" t="s">
        <v>41</v>
      </c>
      <c r="L31" s="6">
        <v>95</v>
      </c>
      <c r="N31" s="9"/>
      <c r="O31" s="8" t="s">
        <v>43</v>
      </c>
      <c r="P31" s="470">
        <f>Q19+Q28</f>
        <v>114.536</v>
      </c>
      <c r="Q31" s="470"/>
    </row>
    <row r="32" spans="2:25" ht="15" customHeight="1" x14ac:dyDescent="0.25">
      <c r="B32" s="417"/>
      <c r="C32" s="409"/>
      <c r="D32" s="421"/>
      <c r="E32" s="421"/>
      <c r="F32" s="421"/>
      <c r="G32" s="421"/>
      <c r="H32" s="412"/>
      <c r="I32" s="423"/>
      <c r="J32" s="6">
        <v>4</v>
      </c>
      <c r="K32" s="6" t="s">
        <v>41</v>
      </c>
      <c r="L32" s="35">
        <v>90</v>
      </c>
      <c r="O32" s="37" t="s">
        <v>44</v>
      </c>
      <c r="P32" s="470"/>
      <c r="Q32" s="470"/>
    </row>
    <row r="33" spans="2:17" x14ac:dyDescent="0.25">
      <c r="B33" s="417"/>
      <c r="C33" s="409"/>
      <c r="D33" s="421"/>
      <c r="E33" s="421"/>
      <c r="F33" s="421"/>
      <c r="G33" s="421"/>
      <c r="H33" s="413"/>
      <c r="I33" s="423"/>
      <c r="J33" s="6">
        <v>3</v>
      </c>
      <c r="K33" s="6" t="s">
        <v>41</v>
      </c>
      <c r="L33" s="35">
        <v>85</v>
      </c>
      <c r="O33" s="31" t="s">
        <v>45</v>
      </c>
      <c r="P33" s="471" t="str">
        <f>IF(P31&lt;90,"POOR",IF(P31&lt;=100,"GOOD",IF(P31&lt;=110,"Very Good",IF(P31&gt;110,"Excellent"))))</f>
        <v>Excellent</v>
      </c>
      <c r="Q33" s="471"/>
    </row>
    <row r="34" spans="2:17" x14ac:dyDescent="0.25">
      <c r="B34" s="417"/>
      <c r="C34" s="414" t="s">
        <v>46</v>
      </c>
      <c r="D34" s="415"/>
      <c r="E34" s="415"/>
      <c r="F34" s="415"/>
      <c r="G34" s="416"/>
      <c r="H34" s="424">
        <f>SUM(I18,I26)</f>
        <v>108.80000000000001</v>
      </c>
      <c r="I34" s="425"/>
      <c r="J34" s="425"/>
      <c r="K34" s="425"/>
      <c r="L34" s="426"/>
    </row>
    <row r="35" spans="2:17" x14ac:dyDescent="0.25">
      <c r="B35" s="417"/>
      <c r="C35" s="409" t="s">
        <v>47</v>
      </c>
      <c r="D35" s="409"/>
      <c r="E35" s="409"/>
      <c r="F35" s="409"/>
      <c r="G35" s="409"/>
      <c r="H35" s="409" t="s">
        <v>29</v>
      </c>
      <c r="I35" s="409"/>
      <c r="J35" s="409"/>
      <c r="K35" s="409"/>
      <c r="L35" s="409"/>
    </row>
    <row r="36" spans="2:17" ht="15" customHeight="1" x14ac:dyDescent="0.25">
      <c r="B36" s="417"/>
      <c r="C36" s="409">
        <v>1</v>
      </c>
      <c r="D36" s="421" t="s">
        <v>48</v>
      </c>
      <c r="E36" s="421"/>
      <c r="F36" s="421"/>
      <c r="G36" s="421"/>
      <c r="H36" s="26" t="s">
        <v>32</v>
      </c>
      <c r="I36" s="27">
        <v>0.25</v>
      </c>
      <c r="J36" s="409" t="s">
        <v>49</v>
      </c>
      <c r="K36" s="409"/>
      <c r="L36" s="409"/>
    </row>
    <row r="37" spans="2:17" x14ac:dyDescent="0.25">
      <c r="B37" s="417"/>
      <c r="C37" s="409"/>
      <c r="D37" s="421"/>
      <c r="E37" s="421"/>
      <c r="F37" s="421"/>
      <c r="G37" s="421"/>
      <c r="H37" s="423">
        <v>8</v>
      </c>
      <c r="I37" s="423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17"/>
      <c r="C38" s="409"/>
      <c r="D38" s="421"/>
      <c r="E38" s="421"/>
      <c r="F38" s="421"/>
      <c r="G38" s="421"/>
      <c r="H38" s="423"/>
      <c r="I38" s="423"/>
      <c r="J38" s="35">
        <v>3</v>
      </c>
      <c r="K38" s="35" t="s">
        <v>50</v>
      </c>
      <c r="L38" s="35">
        <v>110</v>
      </c>
    </row>
    <row r="39" spans="2:17" x14ac:dyDescent="0.25">
      <c r="B39" s="417"/>
      <c r="C39" s="409"/>
      <c r="D39" s="449" t="s">
        <v>37</v>
      </c>
      <c r="E39" s="450"/>
      <c r="F39" s="450"/>
      <c r="G39" s="451"/>
      <c r="H39" s="423"/>
      <c r="I39" s="423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17"/>
      <c r="C40" s="409"/>
      <c r="D40" s="421" t="s">
        <v>51</v>
      </c>
      <c r="E40" s="421"/>
      <c r="F40" s="421"/>
      <c r="G40" s="421"/>
      <c r="H40" s="423"/>
      <c r="I40" s="423"/>
      <c r="J40" s="35">
        <v>1</v>
      </c>
      <c r="K40" s="35" t="s">
        <v>50</v>
      </c>
      <c r="L40" s="35">
        <v>100</v>
      </c>
    </row>
    <row r="41" spans="2:17" x14ac:dyDescent="0.25">
      <c r="B41" s="417"/>
      <c r="C41" s="409"/>
      <c r="D41" s="421"/>
      <c r="E41" s="421"/>
      <c r="F41" s="421"/>
      <c r="G41" s="421"/>
      <c r="H41" s="423"/>
      <c r="I41" s="423"/>
      <c r="J41" s="35">
        <v>0</v>
      </c>
      <c r="K41" s="35" t="s">
        <v>50</v>
      </c>
      <c r="L41" s="35">
        <v>50</v>
      </c>
    </row>
    <row r="42" spans="2:17" x14ac:dyDescent="0.25">
      <c r="B42" s="417"/>
      <c r="C42" s="409"/>
      <c r="D42" s="421"/>
      <c r="E42" s="421"/>
      <c r="F42" s="421"/>
      <c r="G42" s="421"/>
      <c r="H42" s="409" t="s">
        <v>29</v>
      </c>
      <c r="I42" s="409"/>
      <c r="J42" s="409"/>
      <c r="K42" s="409"/>
      <c r="L42" s="409"/>
    </row>
    <row r="43" spans="2:17" ht="15" customHeight="1" x14ac:dyDescent="0.25">
      <c r="B43" s="417"/>
      <c r="C43" s="409">
        <v>2</v>
      </c>
      <c r="D43" s="430" t="s">
        <v>52</v>
      </c>
      <c r="E43" s="391"/>
      <c r="F43" s="391"/>
      <c r="G43" s="431"/>
      <c r="H43" s="26" t="s">
        <v>32</v>
      </c>
      <c r="I43" s="27">
        <v>0.3</v>
      </c>
      <c r="J43" s="409" t="s">
        <v>53</v>
      </c>
      <c r="K43" s="409"/>
      <c r="L43" s="409"/>
    </row>
    <row r="44" spans="2:17" x14ac:dyDescent="0.25">
      <c r="B44" s="417"/>
      <c r="C44" s="409"/>
      <c r="D44" s="447"/>
      <c r="E44" s="392"/>
      <c r="F44" s="392"/>
      <c r="G44" s="448"/>
      <c r="H44" s="423" t="s">
        <v>54</v>
      </c>
      <c r="I44" s="423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17"/>
      <c r="C45" s="409"/>
      <c r="D45" s="447"/>
      <c r="E45" s="392"/>
      <c r="F45" s="392"/>
      <c r="G45" s="448"/>
      <c r="H45" s="423"/>
      <c r="I45" s="423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17"/>
      <c r="C46" s="409"/>
      <c r="D46" s="432"/>
      <c r="E46" s="433"/>
      <c r="F46" s="433"/>
      <c r="G46" s="434"/>
      <c r="H46" s="423"/>
      <c r="I46" s="423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17"/>
      <c r="C47" s="409"/>
      <c r="D47" s="430" t="s">
        <v>56</v>
      </c>
      <c r="E47" s="391"/>
      <c r="F47" s="391"/>
      <c r="G47" s="431"/>
      <c r="H47" s="423"/>
      <c r="I47" s="423"/>
      <c r="J47" s="35">
        <v>3</v>
      </c>
      <c r="K47" s="35" t="s">
        <v>55</v>
      </c>
      <c r="L47" s="35">
        <v>100</v>
      </c>
    </row>
    <row r="48" spans="2:17" x14ac:dyDescent="0.25">
      <c r="B48" s="417"/>
      <c r="C48" s="409"/>
      <c r="D48" s="447"/>
      <c r="E48" s="392"/>
      <c r="F48" s="392"/>
      <c r="G48" s="448"/>
      <c r="H48" s="423"/>
      <c r="I48" s="423"/>
      <c r="J48" s="35">
        <v>4</v>
      </c>
      <c r="K48" s="35" t="s">
        <v>55</v>
      </c>
      <c r="L48" s="35">
        <v>95</v>
      </c>
    </row>
    <row r="49" spans="2:12" x14ac:dyDescent="0.25">
      <c r="B49" s="417"/>
      <c r="C49" s="409"/>
      <c r="D49" s="447"/>
      <c r="E49" s="392"/>
      <c r="F49" s="392"/>
      <c r="G49" s="448"/>
      <c r="H49" s="423"/>
      <c r="I49" s="423"/>
      <c r="J49" s="35">
        <v>5</v>
      </c>
      <c r="K49" s="35" t="s">
        <v>55</v>
      </c>
      <c r="L49" s="35">
        <v>90</v>
      </c>
    </row>
    <row r="50" spans="2:12" x14ac:dyDescent="0.25">
      <c r="B50" s="417"/>
      <c r="C50" s="409"/>
      <c r="D50" s="447"/>
      <c r="E50" s="392"/>
      <c r="F50" s="392"/>
      <c r="G50" s="448"/>
      <c r="H50" s="423"/>
      <c r="I50" s="423"/>
      <c r="J50" s="35">
        <v>6</v>
      </c>
      <c r="K50" s="35" t="s">
        <v>55</v>
      </c>
      <c r="L50" s="35">
        <v>85</v>
      </c>
    </row>
    <row r="51" spans="2:12" x14ac:dyDescent="0.25">
      <c r="B51" s="417"/>
      <c r="C51" s="409"/>
      <c r="D51" s="447"/>
      <c r="E51" s="392"/>
      <c r="F51" s="392"/>
      <c r="G51" s="448"/>
      <c r="H51" s="423"/>
      <c r="I51" s="423"/>
      <c r="J51" s="35">
        <v>7</v>
      </c>
      <c r="K51" s="35" t="s">
        <v>55</v>
      </c>
      <c r="L51" s="35">
        <v>80</v>
      </c>
    </row>
    <row r="52" spans="2:12" x14ac:dyDescent="0.25">
      <c r="B52" s="417"/>
      <c r="C52" s="409"/>
      <c r="D52" s="432"/>
      <c r="E52" s="433"/>
      <c r="F52" s="433"/>
      <c r="G52" s="434"/>
      <c r="H52" s="409" t="s">
        <v>29</v>
      </c>
      <c r="I52" s="409"/>
      <c r="J52" s="409"/>
      <c r="K52" s="409"/>
      <c r="L52" s="409"/>
    </row>
    <row r="53" spans="2:12" ht="15" customHeight="1" x14ac:dyDescent="0.25">
      <c r="B53" s="417"/>
      <c r="C53" s="409">
        <v>3</v>
      </c>
      <c r="D53" s="421" t="s">
        <v>57</v>
      </c>
      <c r="E53" s="421"/>
      <c r="F53" s="421"/>
      <c r="G53" s="421"/>
      <c r="H53" s="26" t="s">
        <v>32</v>
      </c>
      <c r="I53" s="27">
        <v>0.25</v>
      </c>
      <c r="J53" s="409" t="s">
        <v>53</v>
      </c>
      <c r="K53" s="409"/>
      <c r="L53" s="409"/>
    </row>
    <row r="54" spans="2:12" x14ac:dyDescent="0.25">
      <c r="B54" s="417"/>
      <c r="C54" s="409"/>
      <c r="D54" s="421"/>
      <c r="E54" s="421"/>
      <c r="F54" s="421"/>
      <c r="G54" s="421"/>
      <c r="H54" s="423">
        <v>5</v>
      </c>
      <c r="I54" s="423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17"/>
      <c r="C55" s="409"/>
      <c r="D55" s="421"/>
      <c r="E55" s="421"/>
      <c r="F55" s="421"/>
      <c r="G55" s="421"/>
      <c r="H55" s="423"/>
      <c r="I55" s="423"/>
      <c r="J55" s="35">
        <v>4</v>
      </c>
      <c r="K55" s="35" t="s">
        <v>58</v>
      </c>
      <c r="L55" s="35">
        <v>110</v>
      </c>
    </row>
    <row r="56" spans="2:12" x14ac:dyDescent="0.25">
      <c r="B56" s="417"/>
      <c r="C56" s="409"/>
      <c r="D56" s="421"/>
      <c r="E56" s="421"/>
      <c r="F56" s="421"/>
      <c r="G56" s="421"/>
      <c r="H56" s="423"/>
      <c r="I56" s="423"/>
      <c r="J56" s="35">
        <v>3</v>
      </c>
      <c r="K56" s="35" t="s">
        <v>58</v>
      </c>
      <c r="L56" s="35">
        <v>105</v>
      </c>
    </row>
    <row r="57" spans="2:12" x14ac:dyDescent="0.25">
      <c r="B57" s="417"/>
      <c r="C57" s="409"/>
      <c r="D57" s="384" t="s">
        <v>37</v>
      </c>
      <c r="E57" s="384"/>
      <c r="F57" s="384"/>
      <c r="G57" s="384"/>
      <c r="H57" s="423"/>
      <c r="I57" s="423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17"/>
      <c r="C58" s="409"/>
      <c r="D58" s="421" t="s">
        <v>59</v>
      </c>
      <c r="E58" s="421"/>
      <c r="F58" s="421"/>
      <c r="G58" s="421"/>
      <c r="H58" s="423"/>
      <c r="I58" s="423"/>
      <c r="J58" s="35">
        <v>1</v>
      </c>
      <c r="K58" s="35" t="s">
        <v>58</v>
      </c>
      <c r="L58" s="35">
        <v>95</v>
      </c>
    </row>
    <row r="59" spans="2:12" x14ac:dyDescent="0.25">
      <c r="B59" s="417"/>
      <c r="C59" s="409"/>
      <c r="D59" s="421"/>
      <c r="E59" s="421"/>
      <c r="F59" s="421"/>
      <c r="G59" s="421"/>
      <c r="H59" s="423"/>
      <c r="I59" s="423"/>
      <c r="J59" s="35">
        <v>0</v>
      </c>
      <c r="K59" s="35" t="s">
        <v>58</v>
      </c>
      <c r="L59" s="35">
        <v>50</v>
      </c>
    </row>
    <row r="60" spans="2:12" x14ac:dyDescent="0.25">
      <c r="B60" s="417"/>
      <c r="C60" s="409"/>
      <c r="D60" s="421"/>
      <c r="E60" s="421"/>
      <c r="F60" s="421"/>
      <c r="G60" s="421"/>
      <c r="H60" s="409" t="s">
        <v>29</v>
      </c>
      <c r="I60" s="409"/>
      <c r="J60" s="409"/>
      <c r="K60" s="409"/>
      <c r="L60" s="409"/>
    </row>
    <row r="61" spans="2:12" x14ac:dyDescent="0.25">
      <c r="B61" s="417"/>
      <c r="C61" s="409">
        <v>4</v>
      </c>
      <c r="D61" s="421" t="s">
        <v>60</v>
      </c>
      <c r="E61" s="421"/>
      <c r="F61" s="421"/>
      <c r="G61" s="421"/>
      <c r="H61" s="26" t="s">
        <v>32</v>
      </c>
      <c r="I61" s="27">
        <v>0.2</v>
      </c>
      <c r="J61" s="409" t="s">
        <v>53</v>
      </c>
      <c r="K61" s="409"/>
      <c r="L61" s="409"/>
    </row>
    <row r="62" spans="2:12" x14ac:dyDescent="0.25">
      <c r="B62" s="417"/>
      <c r="C62" s="409"/>
      <c r="D62" s="421"/>
      <c r="E62" s="421"/>
      <c r="F62" s="421"/>
      <c r="G62" s="421"/>
      <c r="H62" s="423">
        <v>9</v>
      </c>
      <c r="I62" s="423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17"/>
      <c r="C63" s="409"/>
      <c r="D63" s="409" t="s">
        <v>37</v>
      </c>
      <c r="E63" s="409"/>
      <c r="F63" s="409"/>
      <c r="G63" s="409"/>
      <c r="H63" s="423"/>
      <c r="I63" s="423"/>
      <c r="J63" s="35">
        <v>9</v>
      </c>
      <c r="K63" s="35" t="s">
        <v>58</v>
      </c>
      <c r="L63" s="35">
        <v>107</v>
      </c>
    </row>
    <row r="64" spans="2:12" x14ac:dyDescent="0.25">
      <c r="B64" s="417"/>
      <c r="C64" s="409"/>
      <c r="D64" s="421" t="s">
        <v>61</v>
      </c>
      <c r="E64" s="421"/>
      <c r="F64" s="421"/>
      <c r="G64" s="421"/>
      <c r="H64" s="423"/>
      <c r="I64" s="423"/>
      <c r="J64" s="35">
        <v>8</v>
      </c>
      <c r="K64" s="35" t="s">
        <v>58</v>
      </c>
      <c r="L64" s="35">
        <v>105</v>
      </c>
    </row>
    <row r="65" spans="2:12" x14ac:dyDescent="0.25">
      <c r="B65" s="417"/>
      <c r="C65" s="409"/>
      <c r="D65" s="421"/>
      <c r="E65" s="421"/>
      <c r="F65" s="421"/>
      <c r="G65" s="421"/>
      <c r="H65" s="423"/>
      <c r="I65" s="423"/>
      <c r="J65" s="35">
        <v>7</v>
      </c>
      <c r="K65" s="35" t="s">
        <v>58</v>
      </c>
      <c r="L65" s="35">
        <v>102</v>
      </c>
    </row>
    <row r="66" spans="2:12" x14ac:dyDescent="0.25">
      <c r="B66" s="417"/>
      <c r="C66" s="409"/>
      <c r="D66" s="421"/>
      <c r="E66" s="421"/>
      <c r="F66" s="421"/>
      <c r="G66" s="421"/>
      <c r="H66" s="423"/>
      <c r="I66" s="423"/>
      <c r="J66" s="35">
        <v>6</v>
      </c>
      <c r="K66" s="35" t="s">
        <v>58</v>
      </c>
      <c r="L66" s="35">
        <v>10</v>
      </c>
    </row>
    <row r="67" spans="2:12" x14ac:dyDescent="0.25">
      <c r="B67" s="417"/>
      <c r="C67" s="409"/>
      <c r="D67" s="421"/>
      <c r="E67" s="421"/>
      <c r="F67" s="421"/>
      <c r="G67" s="421"/>
      <c r="H67" s="423"/>
      <c r="I67" s="423"/>
      <c r="J67" s="35">
        <v>5</v>
      </c>
      <c r="K67" s="35" t="s">
        <v>58</v>
      </c>
      <c r="L67" s="35">
        <v>95</v>
      </c>
    </row>
    <row r="68" spans="2:12" x14ac:dyDescent="0.25">
      <c r="B68" s="417"/>
      <c r="C68" s="409"/>
      <c r="D68" s="421"/>
      <c r="E68" s="421"/>
      <c r="F68" s="421"/>
      <c r="G68" s="421"/>
      <c r="H68" s="423"/>
      <c r="I68" s="423"/>
      <c r="J68" s="35">
        <v>4</v>
      </c>
      <c r="K68" s="35" t="s">
        <v>58</v>
      </c>
      <c r="L68" s="35">
        <v>90</v>
      </c>
    </row>
    <row r="69" spans="2:12" x14ac:dyDescent="0.25">
      <c r="B69" s="417"/>
      <c r="C69" s="409"/>
      <c r="D69" s="421"/>
      <c r="E69" s="421"/>
      <c r="F69" s="421"/>
      <c r="G69" s="421"/>
      <c r="H69" s="423"/>
      <c r="I69" s="423"/>
      <c r="J69" s="35"/>
      <c r="K69" s="35"/>
      <c r="L69" s="35"/>
    </row>
    <row r="70" spans="2:12" x14ac:dyDescent="0.25">
      <c r="B70" s="417"/>
      <c r="C70" s="409"/>
      <c r="D70" s="421"/>
      <c r="E70" s="421"/>
      <c r="F70" s="421"/>
      <c r="G70" s="421"/>
      <c r="H70" s="423"/>
      <c r="I70" s="423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4" t="s">
        <v>62</v>
      </c>
      <c r="D71" s="415"/>
      <c r="E71" s="415"/>
      <c r="F71" s="415"/>
      <c r="G71" s="416"/>
      <c r="H71" s="424">
        <f>I37+I44+I54+I62</f>
        <v>109.55000000000001</v>
      </c>
      <c r="I71" s="425"/>
      <c r="J71" s="425"/>
      <c r="K71" s="425"/>
      <c r="L71" s="426"/>
    </row>
    <row r="72" spans="2:12" ht="15" customHeight="1" x14ac:dyDescent="0.25">
      <c r="B72" s="444">
        <v>2</v>
      </c>
      <c r="C72" s="421" t="s">
        <v>63</v>
      </c>
      <c r="D72" s="421"/>
      <c r="E72" s="421"/>
      <c r="F72" s="421"/>
      <c r="G72" s="421"/>
      <c r="H72" s="455"/>
      <c r="I72" s="455"/>
      <c r="J72" s="455"/>
      <c r="K72" s="455"/>
      <c r="L72" s="455"/>
    </row>
    <row r="73" spans="2:12" x14ac:dyDescent="0.25">
      <c r="B73" s="445"/>
      <c r="C73" s="421"/>
      <c r="D73" s="421"/>
      <c r="E73" s="421"/>
      <c r="F73" s="421"/>
      <c r="G73" s="421"/>
      <c r="H73" s="455"/>
      <c r="I73" s="455"/>
      <c r="J73" s="455"/>
      <c r="K73" s="455"/>
      <c r="L73" s="455"/>
    </row>
    <row r="74" spans="2:12" x14ac:dyDescent="0.25">
      <c r="B74" s="445"/>
      <c r="C74" s="441" t="s">
        <v>64</v>
      </c>
      <c r="D74" s="442"/>
      <c r="E74" s="442"/>
      <c r="F74" s="442"/>
      <c r="G74" s="443"/>
      <c r="H74" s="409" t="s">
        <v>29</v>
      </c>
      <c r="I74" s="409"/>
      <c r="J74" s="409"/>
      <c r="K74" s="409"/>
      <c r="L74" s="409"/>
    </row>
    <row r="75" spans="2:12" ht="15" customHeight="1" x14ac:dyDescent="0.25">
      <c r="B75" s="445"/>
      <c r="C75" s="409">
        <v>1</v>
      </c>
      <c r="D75" s="430" t="s">
        <v>65</v>
      </c>
      <c r="E75" s="391"/>
      <c r="F75" s="391"/>
      <c r="G75" s="431"/>
      <c r="H75" s="26" t="s">
        <v>32</v>
      </c>
      <c r="I75" s="27">
        <v>0.6</v>
      </c>
      <c r="J75" s="409" t="s">
        <v>40</v>
      </c>
      <c r="K75" s="409"/>
      <c r="L75" s="409"/>
    </row>
    <row r="76" spans="2:12" ht="15" customHeight="1" x14ac:dyDescent="0.25">
      <c r="B76" s="445"/>
      <c r="C76" s="409"/>
      <c r="D76" s="447"/>
      <c r="E76" s="392"/>
      <c r="F76" s="392"/>
      <c r="G76" s="448"/>
      <c r="H76" s="423">
        <v>13</v>
      </c>
      <c r="I76" s="423">
        <f>((H76*5)+100)*I75</f>
        <v>99</v>
      </c>
      <c r="J76" s="456">
        <v>5</v>
      </c>
      <c r="K76" s="459" t="s">
        <v>66</v>
      </c>
      <c r="L76" s="460"/>
    </row>
    <row r="77" spans="2:12" x14ac:dyDescent="0.25">
      <c r="B77" s="445"/>
      <c r="C77" s="409"/>
      <c r="D77" s="447"/>
      <c r="E77" s="392"/>
      <c r="F77" s="392"/>
      <c r="G77" s="448"/>
      <c r="H77" s="423"/>
      <c r="I77" s="423"/>
      <c r="J77" s="457"/>
      <c r="K77" s="461"/>
      <c r="L77" s="462"/>
    </row>
    <row r="78" spans="2:12" x14ac:dyDescent="0.25">
      <c r="B78" s="445"/>
      <c r="C78" s="409"/>
      <c r="D78" s="447"/>
      <c r="E78" s="392"/>
      <c r="F78" s="392"/>
      <c r="G78" s="448"/>
      <c r="H78" s="423"/>
      <c r="I78" s="423"/>
      <c r="J78" s="457"/>
      <c r="K78" s="461"/>
      <c r="L78" s="462"/>
    </row>
    <row r="79" spans="2:12" x14ac:dyDescent="0.25">
      <c r="B79" s="445"/>
      <c r="C79" s="409"/>
      <c r="D79" s="432"/>
      <c r="E79" s="433"/>
      <c r="F79" s="433"/>
      <c r="G79" s="434"/>
      <c r="H79" s="423"/>
      <c r="I79" s="423"/>
      <c r="J79" s="458"/>
      <c r="K79" s="463"/>
      <c r="L79" s="464"/>
    </row>
    <row r="80" spans="2:12" x14ac:dyDescent="0.25">
      <c r="B80" s="445"/>
      <c r="C80" s="409"/>
      <c r="D80" s="421" t="s">
        <v>37</v>
      </c>
      <c r="E80" s="421"/>
      <c r="F80" s="421"/>
      <c r="G80" s="421"/>
      <c r="H80" s="423"/>
      <c r="I80" s="423"/>
      <c r="J80" s="423">
        <v>100</v>
      </c>
      <c r="K80" s="465" t="s">
        <v>67</v>
      </c>
      <c r="L80" s="465"/>
    </row>
    <row r="81" spans="2:12" ht="15" customHeight="1" x14ac:dyDescent="0.25">
      <c r="B81" s="445"/>
      <c r="C81" s="409"/>
      <c r="D81" s="421" t="s">
        <v>68</v>
      </c>
      <c r="E81" s="421"/>
      <c r="F81" s="421"/>
      <c r="G81" s="421"/>
      <c r="H81" s="423"/>
      <c r="I81" s="423"/>
      <c r="J81" s="423"/>
      <c r="K81" s="465"/>
      <c r="L81" s="465"/>
    </row>
    <row r="82" spans="2:12" x14ac:dyDescent="0.25">
      <c r="B82" s="445"/>
      <c r="C82" s="409"/>
      <c r="D82" s="421"/>
      <c r="E82" s="421"/>
      <c r="F82" s="421"/>
      <c r="G82" s="421"/>
      <c r="H82" s="423"/>
      <c r="I82" s="423"/>
      <c r="J82" s="466">
        <v>-5</v>
      </c>
      <c r="K82" s="421" t="s">
        <v>69</v>
      </c>
      <c r="L82" s="421"/>
    </row>
    <row r="83" spans="2:12" x14ac:dyDescent="0.25">
      <c r="B83" s="445"/>
      <c r="C83" s="409"/>
      <c r="D83" s="421"/>
      <c r="E83" s="421"/>
      <c r="F83" s="421"/>
      <c r="G83" s="421"/>
      <c r="H83" s="423"/>
      <c r="I83" s="423"/>
      <c r="J83" s="466"/>
      <c r="K83" s="421"/>
      <c r="L83" s="421"/>
    </row>
    <row r="84" spans="2:12" x14ac:dyDescent="0.25">
      <c r="B84" s="445"/>
      <c r="C84" s="409"/>
      <c r="D84" s="421"/>
      <c r="E84" s="421"/>
      <c r="F84" s="421"/>
      <c r="G84" s="421"/>
      <c r="H84" s="423"/>
      <c r="I84" s="423"/>
      <c r="J84" s="466"/>
      <c r="K84" s="421"/>
      <c r="L84" s="421"/>
    </row>
    <row r="85" spans="2:12" x14ac:dyDescent="0.25">
      <c r="B85" s="445"/>
      <c r="C85" s="409"/>
      <c r="D85" s="421"/>
      <c r="E85" s="421"/>
      <c r="F85" s="421"/>
      <c r="G85" s="421"/>
      <c r="H85" s="423"/>
      <c r="I85" s="423"/>
      <c r="J85" s="466"/>
      <c r="K85" s="421"/>
      <c r="L85" s="421"/>
    </row>
    <row r="86" spans="2:12" x14ac:dyDescent="0.25">
      <c r="B86" s="445"/>
      <c r="C86" s="409"/>
      <c r="D86" s="421"/>
      <c r="E86" s="421"/>
      <c r="F86" s="421"/>
      <c r="G86" s="421"/>
      <c r="H86" s="409" t="s">
        <v>29</v>
      </c>
      <c r="I86" s="409"/>
      <c r="J86" s="409"/>
      <c r="K86" s="409"/>
      <c r="L86" s="409"/>
    </row>
    <row r="87" spans="2:12" x14ac:dyDescent="0.25">
      <c r="B87" s="445"/>
      <c r="C87" s="409">
        <v>2</v>
      </c>
      <c r="D87" s="421" t="s">
        <v>70</v>
      </c>
      <c r="E87" s="421"/>
      <c r="F87" s="421"/>
      <c r="G87" s="421"/>
      <c r="H87" s="26" t="s">
        <v>32</v>
      </c>
      <c r="I87" s="27">
        <v>0.4</v>
      </c>
      <c r="J87" s="409" t="s">
        <v>40</v>
      </c>
      <c r="K87" s="409"/>
      <c r="L87" s="409"/>
    </row>
    <row r="88" spans="2:12" x14ac:dyDescent="0.25">
      <c r="B88" s="445"/>
      <c r="C88" s="409"/>
      <c r="D88" s="421"/>
      <c r="E88" s="421"/>
      <c r="F88" s="421"/>
      <c r="G88" s="421"/>
      <c r="H88" s="423">
        <v>13</v>
      </c>
      <c r="I88" s="423">
        <f>110*I87</f>
        <v>44</v>
      </c>
      <c r="J88" s="409">
        <v>110</v>
      </c>
      <c r="K88" s="421" t="s">
        <v>71</v>
      </c>
      <c r="L88" s="421"/>
    </row>
    <row r="89" spans="2:12" x14ac:dyDescent="0.25">
      <c r="B89" s="445"/>
      <c r="C89" s="409"/>
      <c r="D89" s="421"/>
      <c r="E89" s="421"/>
      <c r="F89" s="421"/>
      <c r="G89" s="421"/>
      <c r="H89" s="423"/>
      <c r="I89" s="423"/>
      <c r="J89" s="409"/>
      <c r="K89" s="421"/>
      <c r="L89" s="421"/>
    </row>
    <row r="90" spans="2:12" x14ac:dyDescent="0.25">
      <c r="B90" s="445"/>
      <c r="C90" s="409"/>
      <c r="D90" s="421"/>
      <c r="E90" s="421"/>
      <c r="F90" s="421"/>
      <c r="G90" s="421"/>
      <c r="H90" s="423"/>
      <c r="I90" s="423"/>
      <c r="J90" s="384">
        <v>100</v>
      </c>
      <c r="K90" s="421" t="s">
        <v>72</v>
      </c>
      <c r="L90" s="421"/>
    </row>
    <row r="91" spans="2:12" x14ac:dyDescent="0.25">
      <c r="B91" s="445"/>
      <c r="C91" s="409"/>
      <c r="D91" s="421"/>
      <c r="E91" s="421"/>
      <c r="F91" s="421"/>
      <c r="G91" s="421"/>
      <c r="H91" s="423"/>
      <c r="I91" s="423"/>
      <c r="J91" s="384"/>
      <c r="K91" s="421"/>
      <c r="L91" s="421"/>
    </row>
    <row r="92" spans="2:12" x14ac:dyDescent="0.25">
      <c r="B92" s="445"/>
      <c r="C92" s="409"/>
      <c r="D92" s="409" t="s">
        <v>37</v>
      </c>
      <c r="E92" s="409"/>
      <c r="F92" s="409"/>
      <c r="G92" s="409"/>
      <c r="H92" s="423"/>
      <c r="I92" s="423"/>
      <c r="J92" s="467">
        <v>-5</v>
      </c>
      <c r="K92" s="421" t="s">
        <v>73</v>
      </c>
      <c r="L92" s="421"/>
    </row>
    <row r="93" spans="2:12" ht="15" customHeight="1" x14ac:dyDescent="0.25">
      <c r="B93" s="445"/>
      <c r="C93" s="409"/>
      <c r="D93" s="421" t="s">
        <v>74</v>
      </c>
      <c r="E93" s="421"/>
      <c r="F93" s="421"/>
      <c r="G93" s="421"/>
      <c r="H93" s="423"/>
      <c r="I93" s="423"/>
      <c r="J93" s="467"/>
      <c r="K93" s="421"/>
      <c r="L93" s="421"/>
    </row>
    <row r="94" spans="2:12" x14ac:dyDescent="0.25">
      <c r="B94" s="445"/>
      <c r="C94" s="409"/>
      <c r="D94" s="421"/>
      <c r="E94" s="421"/>
      <c r="F94" s="421"/>
      <c r="G94" s="421"/>
      <c r="H94" s="423"/>
      <c r="I94" s="423"/>
      <c r="J94" s="467"/>
      <c r="K94" s="421"/>
      <c r="L94" s="421"/>
    </row>
    <row r="95" spans="2:12" x14ac:dyDescent="0.25">
      <c r="B95" s="445"/>
      <c r="C95" s="414" t="s">
        <v>46</v>
      </c>
      <c r="D95" s="415"/>
      <c r="E95" s="415"/>
      <c r="F95" s="415"/>
      <c r="G95" s="416"/>
      <c r="H95" s="424">
        <f>I76+I88</f>
        <v>143</v>
      </c>
      <c r="I95" s="425"/>
      <c r="J95" s="425"/>
      <c r="K95" s="425"/>
      <c r="L95" s="426"/>
    </row>
    <row r="96" spans="2:12" x14ac:dyDescent="0.25">
      <c r="B96" s="445"/>
      <c r="C96" s="441" t="s">
        <v>47</v>
      </c>
      <c r="D96" s="442"/>
      <c r="E96" s="442"/>
      <c r="F96" s="442"/>
      <c r="G96" s="443"/>
      <c r="H96" s="409" t="s">
        <v>29</v>
      </c>
      <c r="I96" s="409"/>
      <c r="J96" s="409"/>
      <c r="K96" s="409"/>
      <c r="L96" s="409"/>
    </row>
    <row r="97" spans="2:12" x14ac:dyDescent="0.25">
      <c r="B97" s="445"/>
      <c r="C97" s="444">
        <v>1</v>
      </c>
      <c r="D97" s="421" t="s">
        <v>75</v>
      </c>
      <c r="E97" s="421"/>
      <c r="F97" s="421"/>
      <c r="G97" s="421"/>
      <c r="H97" s="26" t="s">
        <v>32</v>
      </c>
      <c r="I97" s="27">
        <v>0.4</v>
      </c>
      <c r="J97" s="409" t="s">
        <v>40</v>
      </c>
      <c r="K97" s="409"/>
      <c r="L97" s="409"/>
    </row>
    <row r="98" spans="2:12" x14ac:dyDescent="0.25">
      <c r="B98" s="445"/>
      <c r="C98" s="445"/>
      <c r="D98" s="421"/>
      <c r="E98" s="421"/>
      <c r="F98" s="421"/>
      <c r="G98" s="421"/>
      <c r="H98" s="411">
        <v>98</v>
      </c>
      <c r="I98" s="411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45"/>
      <c r="C99" s="445"/>
      <c r="D99" s="421"/>
      <c r="E99" s="421"/>
      <c r="F99" s="421"/>
      <c r="G99" s="421"/>
      <c r="H99" s="412"/>
      <c r="I99" s="412"/>
      <c r="J99" s="39">
        <v>110</v>
      </c>
      <c r="K99" s="39" t="s">
        <v>34</v>
      </c>
      <c r="L99" s="39" t="s">
        <v>77</v>
      </c>
    </row>
    <row r="100" spans="2:12" x14ac:dyDescent="0.25">
      <c r="B100" s="445"/>
      <c r="C100" s="445"/>
      <c r="D100" s="441" t="s">
        <v>37</v>
      </c>
      <c r="E100" s="442"/>
      <c r="F100" s="442"/>
      <c r="G100" s="443"/>
      <c r="H100" s="412"/>
      <c r="I100" s="412"/>
      <c r="J100" s="39">
        <v>108</v>
      </c>
      <c r="K100" s="39" t="s">
        <v>34</v>
      </c>
      <c r="L100" s="39" t="s">
        <v>78</v>
      </c>
    </row>
    <row r="101" spans="2:12" x14ac:dyDescent="0.25">
      <c r="B101" s="445"/>
      <c r="C101" s="445"/>
      <c r="D101" s="430" t="s">
        <v>79</v>
      </c>
      <c r="E101" s="391"/>
      <c r="F101" s="391"/>
      <c r="G101" s="431"/>
      <c r="H101" s="412"/>
      <c r="I101" s="412"/>
      <c r="J101" s="39">
        <v>105</v>
      </c>
      <c r="K101" s="39" t="s">
        <v>34</v>
      </c>
      <c r="L101" s="39" t="s">
        <v>80</v>
      </c>
    </row>
    <row r="102" spans="2:12" x14ac:dyDescent="0.25">
      <c r="B102" s="445"/>
      <c r="C102" s="445"/>
      <c r="D102" s="447"/>
      <c r="E102" s="392"/>
      <c r="F102" s="392"/>
      <c r="G102" s="448"/>
      <c r="H102" s="412"/>
      <c r="I102" s="412"/>
      <c r="J102" s="39">
        <v>103</v>
      </c>
      <c r="K102" s="39" t="s">
        <v>34</v>
      </c>
      <c r="L102" s="39" t="s">
        <v>81</v>
      </c>
    </row>
    <row r="103" spans="2:12" x14ac:dyDescent="0.25">
      <c r="B103" s="445"/>
      <c r="C103" s="445"/>
      <c r="D103" s="447"/>
      <c r="E103" s="392"/>
      <c r="F103" s="392"/>
      <c r="G103" s="448"/>
      <c r="H103" s="412"/>
      <c r="I103" s="412"/>
      <c r="J103" s="39">
        <v>100</v>
      </c>
      <c r="K103" s="39" t="s">
        <v>34</v>
      </c>
      <c r="L103" s="39" t="s">
        <v>82</v>
      </c>
    </row>
    <row r="104" spans="2:12" x14ac:dyDescent="0.25">
      <c r="B104" s="445"/>
      <c r="C104" s="445"/>
      <c r="D104" s="447"/>
      <c r="E104" s="392"/>
      <c r="F104" s="392"/>
      <c r="G104" s="448"/>
      <c r="H104" s="412"/>
      <c r="I104" s="412"/>
      <c r="J104" s="39">
        <v>98</v>
      </c>
      <c r="K104" s="39" t="s">
        <v>34</v>
      </c>
      <c r="L104" s="39" t="s">
        <v>83</v>
      </c>
    </row>
    <row r="105" spans="2:12" x14ac:dyDescent="0.25">
      <c r="B105" s="445"/>
      <c r="C105" s="445"/>
      <c r="D105" s="447"/>
      <c r="E105" s="392"/>
      <c r="F105" s="392"/>
      <c r="G105" s="448"/>
      <c r="H105" s="412"/>
      <c r="I105" s="412"/>
      <c r="J105" s="39">
        <v>95</v>
      </c>
      <c r="K105" s="39" t="s">
        <v>34</v>
      </c>
      <c r="L105" s="39" t="s">
        <v>84</v>
      </c>
    </row>
    <row r="106" spans="2:12" x14ac:dyDescent="0.25">
      <c r="B106" s="445"/>
      <c r="C106" s="445"/>
      <c r="D106" s="447"/>
      <c r="E106" s="392"/>
      <c r="F106" s="392"/>
      <c r="G106" s="448"/>
      <c r="H106" s="413"/>
      <c r="I106" s="413"/>
      <c r="J106" s="39">
        <v>93</v>
      </c>
      <c r="K106" s="39" t="s">
        <v>34</v>
      </c>
      <c r="L106" s="39" t="s">
        <v>85</v>
      </c>
    </row>
    <row r="107" spans="2:12" x14ac:dyDescent="0.25">
      <c r="B107" s="445"/>
      <c r="C107" s="446"/>
      <c r="D107" s="432"/>
      <c r="E107" s="433"/>
      <c r="F107" s="433"/>
      <c r="G107" s="434"/>
      <c r="H107" s="409" t="s">
        <v>29</v>
      </c>
      <c r="I107" s="409"/>
      <c r="J107" s="409"/>
      <c r="K107" s="409"/>
      <c r="L107" s="409"/>
    </row>
    <row r="108" spans="2:12" x14ac:dyDescent="0.25">
      <c r="B108" s="445"/>
      <c r="C108" s="444">
        <v>2</v>
      </c>
      <c r="D108" s="421" t="s">
        <v>86</v>
      </c>
      <c r="E108" s="421"/>
      <c r="F108" s="421"/>
      <c r="G108" s="421"/>
      <c r="H108" s="26" t="s">
        <v>32</v>
      </c>
      <c r="I108" s="27">
        <v>0.3</v>
      </c>
      <c r="J108" s="409" t="s">
        <v>40</v>
      </c>
      <c r="K108" s="409"/>
      <c r="L108" s="409"/>
    </row>
    <row r="109" spans="2:12" x14ac:dyDescent="0.25">
      <c r="B109" s="445"/>
      <c r="C109" s="445"/>
      <c r="D109" s="421"/>
      <c r="E109" s="421"/>
      <c r="F109" s="421"/>
      <c r="G109" s="421"/>
      <c r="H109" s="411">
        <v>100</v>
      </c>
      <c r="I109" s="411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45"/>
      <c r="C110" s="445"/>
      <c r="D110" s="421"/>
      <c r="E110" s="421"/>
      <c r="F110" s="421"/>
      <c r="G110" s="421"/>
      <c r="H110" s="412"/>
      <c r="I110" s="412"/>
      <c r="J110" s="39">
        <v>110</v>
      </c>
      <c r="K110" s="39" t="s">
        <v>34</v>
      </c>
      <c r="L110" s="39" t="s">
        <v>77</v>
      </c>
    </row>
    <row r="111" spans="2:12" x14ac:dyDescent="0.25">
      <c r="B111" s="445"/>
      <c r="C111" s="445"/>
      <c r="D111" s="421"/>
      <c r="E111" s="421"/>
      <c r="F111" s="421"/>
      <c r="G111" s="421"/>
      <c r="H111" s="412"/>
      <c r="I111" s="412"/>
      <c r="J111" s="39">
        <v>108</v>
      </c>
      <c r="K111" s="39" t="s">
        <v>34</v>
      </c>
      <c r="L111" s="39" t="s">
        <v>78</v>
      </c>
    </row>
    <row r="112" spans="2:12" x14ac:dyDescent="0.25">
      <c r="B112" s="445"/>
      <c r="C112" s="445"/>
      <c r="D112" s="430" t="s">
        <v>37</v>
      </c>
      <c r="E112" s="391"/>
      <c r="F112" s="391"/>
      <c r="G112" s="431"/>
      <c r="H112" s="412"/>
      <c r="I112" s="412"/>
      <c r="J112" s="39">
        <v>105</v>
      </c>
      <c r="K112" s="39" t="s">
        <v>34</v>
      </c>
      <c r="L112" s="39" t="s">
        <v>80</v>
      </c>
    </row>
    <row r="113" spans="2:12" x14ac:dyDescent="0.25">
      <c r="B113" s="445"/>
      <c r="C113" s="445"/>
      <c r="D113" s="447" t="s">
        <v>87</v>
      </c>
      <c r="E113" s="392"/>
      <c r="F113" s="392"/>
      <c r="G113" s="448"/>
      <c r="H113" s="412"/>
      <c r="I113" s="412"/>
      <c r="J113" s="39">
        <v>103</v>
      </c>
      <c r="K113" s="39" t="s">
        <v>34</v>
      </c>
      <c r="L113" s="39" t="s">
        <v>81</v>
      </c>
    </row>
    <row r="114" spans="2:12" x14ac:dyDescent="0.25">
      <c r="B114" s="445"/>
      <c r="C114" s="445"/>
      <c r="D114" s="447"/>
      <c r="E114" s="392"/>
      <c r="F114" s="392"/>
      <c r="G114" s="448"/>
      <c r="H114" s="412"/>
      <c r="I114" s="412"/>
      <c r="J114" s="39">
        <v>100</v>
      </c>
      <c r="K114" s="39" t="s">
        <v>34</v>
      </c>
      <c r="L114" s="39" t="s">
        <v>82</v>
      </c>
    </row>
    <row r="115" spans="2:12" x14ac:dyDescent="0.25">
      <c r="B115" s="445"/>
      <c r="C115" s="445"/>
      <c r="D115" s="447"/>
      <c r="E115" s="392"/>
      <c r="F115" s="392"/>
      <c r="G115" s="448"/>
      <c r="H115" s="412"/>
      <c r="I115" s="412"/>
      <c r="J115" s="39">
        <v>98</v>
      </c>
      <c r="K115" s="39" t="s">
        <v>34</v>
      </c>
      <c r="L115" s="39" t="s">
        <v>83</v>
      </c>
    </row>
    <row r="116" spans="2:12" x14ac:dyDescent="0.25">
      <c r="B116" s="445"/>
      <c r="C116" s="445"/>
      <c r="D116" s="447"/>
      <c r="E116" s="392"/>
      <c r="F116" s="392"/>
      <c r="G116" s="448"/>
      <c r="H116" s="412"/>
      <c r="I116" s="412"/>
      <c r="J116" s="39">
        <v>95</v>
      </c>
      <c r="K116" s="39" t="s">
        <v>34</v>
      </c>
      <c r="L116" s="39" t="s">
        <v>84</v>
      </c>
    </row>
    <row r="117" spans="2:12" x14ac:dyDescent="0.25">
      <c r="B117" s="445"/>
      <c r="C117" s="445"/>
      <c r="D117" s="447"/>
      <c r="E117" s="392"/>
      <c r="F117" s="392"/>
      <c r="G117" s="448"/>
      <c r="H117" s="413"/>
      <c r="I117" s="413"/>
      <c r="J117" s="39">
        <v>93</v>
      </c>
      <c r="K117" s="39" t="s">
        <v>34</v>
      </c>
      <c r="L117" s="39" t="s">
        <v>85</v>
      </c>
    </row>
    <row r="118" spans="2:12" x14ac:dyDescent="0.25">
      <c r="B118" s="445"/>
      <c r="C118" s="446"/>
      <c r="D118" s="432"/>
      <c r="E118" s="433"/>
      <c r="F118" s="433"/>
      <c r="G118" s="434"/>
      <c r="H118" s="409" t="s">
        <v>29</v>
      </c>
      <c r="I118" s="409"/>
      <c r="J118" s="409"/>
      <c r="K118" s="409"/>
      <c r="L118" s="409"/>
    </row>
    <row r="119" spans="2:12" ht="15" customHeight="1" x14ac:dyDescent="0.25">
      <c r="B119" s="445"/>
      <c r="C119" s="444">
        <v>3</v>
      </c>
      <c r="D119" s="430" t="s">
        <v>88</v>
      </c>
      <c r="E119" s="391"/>
      <c r="F119" s="391"/>
      <c r="G119" s="431"/>
      <c r="H119" s="26" t="s">
        <v>32</v>
      </c>
      <c r="I119" s="27">
        <v>0.3</v>
      </c>
      <c r="J119" s="409" t="s">
        <v>40</v>
      </c>
      <c r="K119" s="409"/>
      <c r="L119" s="409"/>
    </row>
    <row r="120" spans="2:12" x14ac:dyDescent="0.25">
      <c r="B120" s="445"/>
      <c r="C120" s="445"/>
      <c r="D120" s="447"/>
      <c r="E120" s="392"/>
      <c r="F120" s="392"/>
      <c r="G120" s="448"/>
      <c r="H120" s="411">
        <v>98</v>
      </c>
      <c r="I120" s="411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45"/>
      <c r="C121" s="445"/>
      <c r="D121" s="447"/>
      <c r="E121" s="392"/>
      <c r="F121" s="392"/>
      <c r="G121" s="448"/>
      <c r="H121" s="412"/>
      <c r="I121" s="412"/>
      <c r="J121" s="39">
        <v>110</v>
      </c>
      <c r="K121" s="39" t="s">
        <v>34</v>
      </c>
      <c r="L121" s="39" t="s">
        <v>77</v>
      </c>
    </row>
    <row r="122" spans="2:12" x14ac:dyDescent="0.25">
      <c r="B122" s="445"/>
      <c r="C122" s="445"/>
      <c r="D122" s="432"/>
      <c r="E122" s="433"/>
      <c r="F122" s="433"/>
      <c r="G122" s="434"/>
      <c r="H122" s="412"/>
      <c r="I122" s="412"/>
      <c r="J122" s="39">
        <v>108</v>
      </c>
      <c r="K122" s="39" t="s">
        <v>34</v>
      </c>
      <c r="L122" s="39" t="s">
        <v>78</v>
      </c>
    </row>
    <row r="123" spans="2:12" x14ac:dyDescent="0.25">
      <c r="B123" s="445"/>
      <c r="C123" s="445"/>
      <c r="D123" s="441" t="s">
        <v>37</v>
      </c>
      <c r="E123" s="442"/>
      <c r="F123" s="442"/>
      <c r="G123" s="443"/>
      <c r="H123" s="412"/>
      <c r="I123" s="412"/>
      <c r="J123" s="39">
        <v>105</v>
      </c>
      <c r="K123" s="39" t="s">
        <v>34</v>
      </c>
      <c r="L123" s="39" t="s">
        <v>80</v>
      </c>
    </row>
    <row r="124" spans="2:12" x14ac:dyDescent="0.25">
      <c r="B124" s="445"/>
      <c r="C124" s="445"/>
      <c r="D124" s="430" t="s">
        <v>89</v>
      </c>
      <c r="E124" s="391"/>
      <c r="F124" s="391"/>
      <c r="G124" s="431"/>
      <c r="H124" s="412"/>
      <c r="I124" s="412"/>
      <c r="J124" s="39">
        <v>103</v>
      </c>
      <c r="K124" s="39" t="s">
        <v>34</v>
      </c>
      <c r="L124" s="39" t="s">
        <v>81</v>
      </c>
    </row>
    <row r="125" spans="2:12" x14ac:dyDescent="0.25">
      <c r="B125" s="445"/>
      <c r="C125" s="445"/>
      <c r="D125" s="447"/>
      <c r="E125" s="392"/>
      <c r="F125" s="392"/>
      <c r="G125" s="448"/>
      <c r="H125" s="412"/>
      <c r="I125" s="412"/>
      <c r="J125" s="39">
        <v>100</v>
      </c>
      <c r="K125" s="39" t="s">
        <v>34</v>
      </c>
      <c r="L125" s="39" t="s">
        <v>82</v>
      </c>
    </row>
    <row r="126" spans="2:12" x14ac:dyDescent="0.25">
      <c r="B126" s="445"/>
      <c r="C126" s="445"/>
      <c r="D126" s="447"/>
      <c r="E126" s="392"/>
      <c r="F126" s="392"/>
      <c r="G126" s="448"/>
      <c r="H126" s="412"/>
      <c r="I126" s="412"/>
      <c r="J126" s="39">
        <v>98</v>
      </c>
      <c r="K126" s="39" t="s">
        <v>34</v>
      </c>
      <c r="L126" s="39" t="s">
        <v>83</v>
      </c>
    </row>
    <row r="127" spans="2:12" x14ac:dyDescent="0.25">
      <c r="B127" s="445"/>
      <c r="C127" s="445"/>
      <c r="D127" s="447"/>
      <c r="E127" s="392"/>
      <c r="F127" s="392"/>
      <c r="G127" s="448"/>
      <c r="H127" s="412"/>
      <c r="I127" s="412"/>
      <c r="J127" s="39">
        <v>95</v>
      </c>
      <c r="K127" s="39" t="s">
        <v>34</v>
      </c>
      <c r="L127" s="39" t="s">
        <v>84</v>
      </c>
    </row>
    <row r="128" spans="2:12" x14ac:dyDescent="0.25">
      <c r="B128" s="446"/>
      <c r="C128" s="446"/>
      <c r="D128" s="432"/>
      <c r="E128" s="433"/>
      <c r="F128" s="433"/>
      <c r="G128" s="434"/>
      <c r="H128" s="413"/>
      <c r="I128" s="413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4" t="s">
        <v>62</v>
      </c>
      <c r="D129" s="415"/>
      <c r="E129" s="415"/>
      <c r="F129" s="415"/>
      <c r="G129" s="416"/>
      <c r="H129" s="424">
        <f>I98+I109+I120</f>
        <v>98.6</v>
      </c>
      <c r="I129" s="425"/>
      <c r="J129" s="425"/>
      <c r="K129" s="425"/>
      <c r="L129" s="426"/>
    </row>
    <row r="130" spans="2:12" x14ac:dyDescent="0.25">
      <c r="B130" s="427">
        <v>3</v>
      </c>
      <c r="C130" s="430" t="s">
        <v>90</v>
      </c>
      <c r="D130" s="391"/>
      <c r="E130" s="391"/>
      <c r="F130" s="391"/>
      <c r="G130" s="431"/>
      <c r="H130" s="435"/>
      <c r="I130" s="436"/>
      <c r="J130" s="436"/>
      <c r="K130" s="436"/>
      <c r="L130" s="437"/>
    </row>
    <row r="131" spans="2:12" x14ac:dyDescent="0.25">
      <c r="B131" s="428"/>
      <c r="C131" s="432"/>
      <c r="D131" s="433"/>
      <c r="E131" s="433"/>
      <c r="F131" s="433"/>
      <c r="G131" s="434"/>
      <c r="H131" s="438"/>
      <c r="I131" s="439"/>
      <c r="J131" s="439"/>
      <c r="K131" s="439"/>
      <c r="L131" s="440"/>
    </row>
    <row r="132" spans="2:12" x14ac:dyDescent="0.25">
      <c r="B132" s="428"/>
      <c r="C132" s="441" t="s">
        <v>64</v>
      </c>
      <c r="D132" s="442"/>
      <c r="E132" s="442"/>
      <c r="F132" s="442"/>
      <c r="G132" s="443"/>
      <c r="H132" s="410" t="s">
        <v>29</v>
      </c>
      <c r="I132" s="410"/>
      <c r="J132" s="410"/>
      <c r="K132" s="410"/>
      <c r="L132" s="410"/>
    </row>
    <row r="133" spans="2:12" x14ac:dyDescent="0.25">
      <c r="B133" s="428"/>
      <c r="C133" s="444">
        <v>1</v>
      </c>
      <c r="D133" s="430" t="s">
        <v>91</v>
      </c>
      <c r="E133" s="391"/>
      <c r="F133" s="391"/>
      <c r="G133" s="431"/>
      <c r="H133" s="26" t="s">
        <v>32</v>
      </c>
      <c r="I133" s="27">
        <v>0.25</v>
      </c>
      <c r="J133" s="410" t="s">
        <v>40</v>
      </c>
      <c r="K133" s="410"/>
      <c r="L133" s="410"/>
    </row>
    <row r="134" spans="2:12" x14ac:dyDescent="0.25">
      <c r="B134" s="428"/>
      <c r="C134" s="445"/>
      <c r="D134" s="432"/>
      <c r="E134" s="433"/>
      <c r="F134" s="433"/>
      <c r="G134" s="434"/>
      <c r="H134" s="405"/>
      <c r="I134" s="405"/>
      <c r="J134" s="26"/>
      <c r="K134" s="26"/>
      <c r="L134" s="26"/>
    </row>
    <row r="135" spans="2:12" x14ac:dyDescent="0.25">
      <c r="B135" s="428"/>
      <c r="C135" s="445"/>
      <c r="D135" s="441" t="s">
        <v>37</v>
      </c>
      <c r="E135" s="442"/>
      <c r="F135" s="442"/>
      <c r="G135" s="443"/>
      <c r="H135" s="406"/>
      <c r="I135" s="406"/>
      <c r="J135" s="26"/>
      <c r="K135" s="26"/>
      <c r="L135" s="26"/>
    </row>
    <row r="136" spans="2:12" x14ac:dyDescent="0.25">
      <c r="B136" s="428"/>
      <c r="C136" s="446"/>
      <c r="D136" s="414"/>
      <c r="E136" s="415"/>
      <c r="F136" s="415"/>
      <c r="G136" s="416"/>
      <c r="H136" s="407"/>
      <c r="I136" s="407"/>
      <c r="J136" s="26"/>
      <c r="K136" s="26"/>
      <c r="L136" s="26"/>
    </row>
    <row r="137" spans="2:12" x14ac:dyDescent="0.25">
      <c r="B137" s="428"/>
      <c r="C137" s="441" t="s">
        <v>47</v>
      </c>
      <c r="D137" s="442"/>
      <c r="E137" s="442"/>
      <c r="F137" s="442"/>
      <c r="G137" s="443"/>
      <c r="H137" s="410" t="s">
        <v>29</v>
      </c>
      <c r="I137" s="410"/>
      <c r="J137" s="410"/>
      <c r="K137" s="410"/>
      <c r="L137" s="410"/>
    </row>
    <row r="138" spans="2:12" ht="15" customHeight="1" x14ac:dyDescent="0.25">
      <c r="B138" s="428"/>
      <c r="C138" s="444">
        <v>1</v>
      </c>
      <c r="D138" s="430" t="s">
        <v>92</v>
      </c>
      <c r="E138" s="391"/>
      <c r="F138" s="391"/>
      <c r="G138" s="431"/>
      <c r="H138" s="26" t="s">
        <v>32</v>
      </c>
      <c r="I138" s="27">
        <v>0.25</v>
      </c>
      <c r="J138" s="410" t="s">
        <v>40</v>
      </c>
      <c r="K138" s="410"/>
      <c r="L138" s="410"/>
    </row>
    <row r="139" spans="2:12" x14ac:dyDescent="0.25">
      <c r="B139" s="428"/>
      <c r="C139" s="445"/>
      <c r="D139" s="447"/>
      <c r="E139" s="392"/>
      <c r="F139" s="392"/>
      <c r="G139" s="448"/>
      <c r="H139" s="405"/>
      <c r="I139" s="405"/>
      <c r="J139" s="26"/>
      <c r="K139" s="26"/>
      <c r="L139" s="26"/>
    </row>
    <row r="140" spans="2:12" x14ac:dyDescent="0.25">
      <c r="B140" s="428"/>
      <c r="C140" s="445"/>
      <c r="D140" s="432"/>
      <c r="E140" s="433"/>
      <c r="F140" s="433"/>
      <c r="G140" s="434"/>
      <c r="H140" s="406"/>
      <c r="I140" s="406"/>
      <c r="J140" s="26"/>
      <c r="K140" s="26"/>
      <c r="L140" s="26"/>
    </row>
    <row r="141" spans="2:12" x14ac:dyDescent="0.25">
      <c r="B141" s="428"/>
      <c r="C141" s="445"/>
      <c r="D141" s="449" t="s">
        <v>37</v>
      </c>
      <c r="E141" s="450"/>
      <c r="F141" s="450"/>
      <c r="G141" s="451"/>
      <c r="H141" s="406"/>
      <c r="I141" s="406"/>
      <c r="J141" s="26"/>
      <c r="K141" s="26"/>
      <c r="L141" s="26"/>
    </row>
    <row r="142" spans="2:12" x14ac:dyDescent="0.25">
      <c r="B142" s="428"/>
      <c r="C142" s="445"/>
      <c r="D142" s="435"/>
      <c r="E142" s="436"/>
      <c r="F142" s="436"/>
      <c r="G142" s="437"/>
      <c r="H142" s="406"/>
      <c r="I142" s="406"/>
      <c r="J142" s="26"/>
      <c r="K142" s="26"/>
      <c r="L142" s="26"/>
    </row>
    <row r="143" spans="2:12" x14ac:dyDescent="0.25">
      <c r="B143" s="428"/>
      <c r="C143" s="445"/>
      <c r="D143" s="452"/>
      <c r="E143" s="453"/>
      <c r="F143" s="453"/>
      <c r="G143" s="454"/>
      <c r="H143" s="406"/>
      <c r="I143" s="406"/>
      <c r="J143" s="26"/>
      <c r="K143" s="26"/>
      <c r="L143" s="26"/>
    </row>
    <row r="144" spans="2:12" x14ac:dyDescent="0.25">
      <c r="B144" s="429"/>
      <c r="C144" s="446"/>
      <c r="D144" s="438"/>
      <c r="E144" s="439"/>
      <c r="F144" s="439"/>
      <c r="G144" s="440"/>
      <c r="H144" s="407"/>
      <c r="I144" s="407"/>
      <c r="J144" s="26"/>
      <c r="K144" s="26"/>
      <c r="L144" s="26"/>
    </row>
    <row r="145" spans="2:12" x14ac:dyDescent="0.25">
      <c r="B145" s="41"/>
      <c r="C145" s="414" t="s">
        <v>46</v>
      </c>
      <c r="D145" s="415"/>
      <c r="E145" s="415"/>
      <c r="F145" s="415"/>
      <c r="G145" s="416"/>
      <c r="H145" s="42"/>
      <c r="I145" s="42"/>
      <c r="J145" s="26"/>
      <c r="K145" s="26"/>
      <c r="L145" s="26"/>
    </row>
    <row r="146" spans="2:12" x14ac:dyDescent="0.25">
      <c r="B146" s="417">
        <v>4</v>
      </c>
      <c r="C146" s="6" t="s">
        <v>93</v>
      </c>
      <c r="D146" s="6"/>
      <c r="E146" s="6"/>
      <c r="F146" s="6"/>
      <c r="G146" s="6"/>
      <c r="H146" s="410" t="s">
        <v>29</v>
      </c>
      <c r="I146" s="410"/>
      <c r="J146" s="410"/>
      <c r="K146" s="410"/>
      <c r="L146" s="410"/>
    </row>
    <row r="147" spans="2:12" x14ac:dyDescent="0.25">
      <c r="B147" s="417"/>
      <c r="C147" s="409" t="s">
        <v>64</v>
      </c>
      <c r="D147" s="409"/>
      <c r="E147" s="409"/>
      <c r="F147" s="409"/>
      <c r="G147" s="409"/>
      <c r="H147" s="26" t="s">
        <v>32</v>
      </c>
      <c r="I147" s="27">
        <v>0.7</v>
      </c>
      <c r="J147" s="410" t="s">
        <v>40</v>
      </c>
      <c r="K147" s="410"/>
      <c r="L147" s="410"/>
    </row>
    <row r="148" spans="2:12" x14ac:dyDescent="0.25">
      <c r="B148" s="417"/>
      <c r="C148" s="409">
        <v>1</v>
      </c>
      <c r="D148" s="418" t="s">
        <v>94</v>
      </c>
      <c r="E148" s="418"/>
      <c r="F148" s="418"/>
      <c r="G148" s="418"/>
      <c r="H148" s="411">
        <f>12-E150-E156</f>
        <v>1</v>
      </c>
      <c r="I148" s="411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17"/>
      <c r="C149" s="409"/>
      <c r="D149" s="419" t="s">
        <v>96</v>
      </c>
      <c r="E149" s="419"/>
      <c r="F149" s="419"/>
      <c r="G149" s="419"/>
      <c r="H149" s="412"/>
      <c r="I149" s="412"/>
      <c r="J149" s="26">
        <v>11</v>
      </c>
      <c r="K149" s="26" t="s">
        <v>95</v>
      </c>
      <c r="L149" s="26">
        <v>155</v>
      </c>
    </row>
    <row r="150" spans="2:12" x14ac:dyDescent="0.25">
      <c r="B150" s="417"/>
      <c r="C150" s="409"/>
      <c r="D150" s="409" t="s">
        <v>97</v>
      </c>
      <c r="E150" s="420">
        <v>7</v>
      </c>
      <c r="F150" s="420"/>
      <c r="G150" s="420"/>
      <c r="H150" s="412"/>
      <c r="I150" s="412"/>
      <c r="J150" s="26">
        <v>10</v>
      </c>
      <c r="K150" s="26" t="s">
        <v>95</v>
      </c>
      <c r="L150" s="26">
        <v>150</v>
      </c>
    </row>
    <row r="151" spans="2:12" x14ac:dyDescent="0.25">
      <c r="B151" s="417"/>
      <c r="C151" s="409"/>
      <c r="D151" s="409"/>
      <c r="E151" s="420"/>
      <c r="F151" s="420"/>
      <c r="G151" s="420"/>
      <c r="H151" s="412"/>
      <c r="I151" s="412"/>
      <c r="J151" s="26">
        <v>9</v>
      </c>
      <c r="K151" s="26" t="s">
        <v>95</v>
      </c>
      <c r="L151" s="26">
        <v>145</v>
      </c>
    </row>
    <row r="152" spans="2:12" x14ac:dyDescent="0.25">
      <c r="B152" s="417"/>
      <c r="C152" s="409"/>
      <c r="D152" s="409"/>
      <c r="E152" s="420"/>
      <c r="F152" s="420"/>
      <c r="G152" s="420"/>
      <c r="H152" s="412"/>
      <c r="I152" s="412"/>
      <c r="J152" s="26">
        <v>8</v>
      </c>
      <c r="K152" s="26" t="s">
        <v>95</v>
      </c>
      <c r="L152" s="26">
        <v>140</v>
      </c>
    </row>
    <row r="153" spans="2:12" x14ac:dyDescent="0.25">
      <c r="B153" s="417"/>
      <c r="C153" s="409"/>
      <c r="D153" s="409"/>
      <c r="E153" s="420"/>
      <c r="F153" s="420"/>
      <c r="G153" s="420"/>
      <c r="H153" s="412"/>
      <c r="I153" s="412"/>
      <c r="J153" s="26">
        <v>7</v>
      </c>
      <c r="K153" s="26" t="s">
        <v>95</v>
      </c>
      <c r="L153" s="26">
        <v>135</v>
      </c>
    </row>
    <row r="154" spans="2:12" x14ac:dyDescent="0.25">
      <c r="B154" s="417"/>
      <c r="C154" s="409"/>
      <c r="D154" s="409"/>
      <c r="E154" s="420"/>
      <c r="F154" s="420"/>
      <c r="G154" s="420"/>
      <c r="H154" s="412"/>
      <c r="I154" s="412"/>
      <c r="J154" s="26">
        <v>6</v>
      </c>
      <c r="K154" s="26" t="s">
        <v>95</v>
      </c>
      <c r="L154" s="26">
        <v>130</v>
      </c>
    </row>
    <row r="155" spans="2:12" x14ac:dyDescent="0.25">
      <c r="B155" s="417"/>
      <c r="C155" s="409"/>
      <c r="D155" s="409"/>
      <c r="E155" s="420"/>
      <c r="F155" s="420"/>
      <c r="G155" s="420"/>
      <c r="H155" s="412"/>
      <c r="I155" s="412"/>
      <c r="J155" s="26">
        <v>5</v>
      </c>
      <c r="K155" s="26" t="s">
        <v>95</v>
      </c>
      <c r="L155" s="26">
        <v>125</v>
      </c>
    </row>
    <row r="156" spans="2:12" x14ac:dyDescent="0.25">
      <c r="B156" s="417"/>
      <c r="C156" s="409"/>
      <c r="D156" s="410" t="s">
        <v>95</v>
      </c>
      <c r="E156" s="417">
        <v>4</v>
      </c>
      <c r="F156" s="417"/>
      <c r="G156" s="417"/>
      <c r="H156" s="412"/>
      <c r="I156" s="412"/>
      <c r="J156" s="26">
        <v>4</v>
      </c>
      <c r="K156" s="26" t="s">
        <v>95</v>
      </c>
      <c r="L156" s="26">
        <v>120</v>
      </c>
    </row>
    <row r="157" spans="2:12" x14ac:dyDescent="0.25">
      <c r="B157" s="417"/>
      <c r="C157" s="409"/>
      <c r="D157" s="410"/>
      <c r="E157" s="417"/>
      <c r="F157" s="417"/>
      <c r="G157" s="417"/>
      <c r="H157" s="412"/>
      <c r="I157" s="412"/>
      <c r="J157" s="26">
        <v>3</v>
      </c>
      <c r="K157" s="26" t="s">
        <v>95</v>
      </c>
      <c r="L157" s="26">
        <v>115</v>
      </c>
    </row>
    <row r="158" spans="2:12" x14ac:dyDescent="0.25">
      <c r="B158" s="417"/>
      <c r="C158" s="409"/>
      <c r="D158" s="410"/>
      <c r="E158" s="417"/>
      <c r="F158" s="417"/>
      <c r="G158" s="417"/>
      <c r="H158" s="412"/>
      <c r="I158" s="412"/>
      <c r="J158" s="26">
        <v>2</v>
      </c>
      <c r="K158" s="26" t="s">
        <v>95</v>
      </c>
      <c r="L158" s="26">
        <v>110</v>
      </c>
    </row>
    <row r="159" spans="2:12" x14ac:dyDescent="0.25">
      <c r="B159" s="417"/>
      <c r="C159" s="409"/>
      <c r="D159" s="410"/>
      <c r="E159" s="417"/>
      <c r="F159" s="417"/>
      <c r="G159" s="417"/>
      <c r="H159" s="412"/>
      <c r="I159" s="412"/>
      <c r="J159" s="26">
        <v>1</v>
      </c>
      <c r="K159" s="26" t="s">
        <v>95</v>
      </c>
      <c r="L159" s="26">
        <v>105</v>
      </c>
    </row>
    <row r="160" spans="2:12" x14ac:dyDescent="0.25">
      <c r="B160" s="417"/>
      <c r="C160" s="409"/>
      <c r="D160" s="410"/>
      <c r="E160" s="417"/>
      <c r="F160" s="417"/>
      <c r="G160" s="417"/>
      <c r="H160" s="412"/>
      <c r="I160" s="412"/>
      <c r="J160" s="26">
        <v>0</v>
      </c>
      <c r="K160" s="26" t="s">
        <v>95</v>
      </c>
      <c r="L160" s="26">
        <v>100</v>
      </c>
    </row>
    <row r="161" spans="2:12" x14ac:dyDescent="0.25">
      <c r="B161" s="417"/>
      <c r="C161" s="409"/>
      <c r="D161" s="410"/>
      <c r="E161" s="417"/>
      <c r="F161" s="417"/>
      <c r="G161" s="417"/>
      <c r="H161" s="413"/>
      <c r="I161" s="413"/>
      <c r="J161" s="26">
        <v>1</v>
      </c>
      <c r="K161" s="26" t="s">
        <v>98</v>
      </c>
      <c r="L161" s="26">
        <v>-5</v>
      </c>
    </row>
    <row r="162" spans="2:12" x14ac:dyDescent="0.25">
      <c r="B162" s="417"/>
      <c r="C162" s="409"/>
      <c r="D162" s="410"/>
      <c r="E162" s="417"/>
      <c r="F162" s="417"/>
      <c r="G162" s="417"/>
      <c r="H162" s="410" t="s">
        <v>29</v>
      </c>
      <c r="I162" s="410"/>
      <c r="J162" s="410"/>
      <c r="K162" s="410"/>
      <c r="L162" s="410"/>
    </row>
    <row r="163" spans="2:12" x14ac:dyDescent="0.25">
      <c r="B163" s="417"/>
      <c r="C163" s="421">
        <v>2</v>
      </c>
      <c r="D163" s="409" t="s">
        <v>99</v>
      </c>
      <c r="E163" s="409"/>
      <c r="F163" s="409"/>
      <c r="G163" s="409"/>
      <c r="H163" s="26" t="s">
        <v>32</v>
      </c>
      <c r="I163" s="27">
        <v>0.2</v>
      </c>
      <c r="J163" s="410" t="s">
        <v>40</v>
      </c>
      <c r="K163" s="410"/>
      <c r="L163" s="410"/>
    </row>
    <row r="164" spans="2:12" ht="15" customHeight="1" x14ac:dyDescent="0.25">
      <c r="B164" s="417"/>
      <c r="C164" s="421"/>
      <c r="D164" s="409" t="s">
        <v>96</v>
      </c>
      <c r="E164" s="409"/>
      <c r="F164" s="409"/>
      <c r="G164" s="409"/>
      <c r="H164" s="405">
        <v>1</v>
      </c>
      <c r="I164" s="405">
        <f>VLOOKUP(H164,$J$164:$L$168,3,0)*I163</f>
        <v>19.5</v>
      </c>
      <c r="J164" s="43">
        <v>0</v>
      </c>
      <c r="K164" s="408" t="s">
        <v>100</v>
      </c>
      <c r="L164" s="44">
        <v>110</v>
      </c>
    </row>
    <row r="165" spans="2:12" x14ac:dyDescent="0.25">
      <c r="B165" s="417"/>
      <c r="C165" s="421"/>
      <c r="D165" s="409" t="s">
        <v>101</v>
      </c>
      <c r="E165" s="409"/>
      <c r="F165" s="409"/>
      <c r="G165" s="409"/>
      <c r="H165" s="406"/>
      <c r="I165" s="406"/>
      <c r="J165" s="43">
        <v>1</v>
      </c>
      <c r="K165" s="408"/>
      <c r="L165" s="44">
        <v>97.5</v>
      </c>
    </row>
    <row r="166" spans="2:12" x14ac:dyDescent="0.25">
      <c r="B166" s="417"/>
      <c r="C166" s="421"/>
      <c r="D166" s="409"/>
      <c r="E166" s="409"/>
      <c r="F166" s="409"/>
      <c r="G166" s="409"/>
      <c r="H166" s="406"/>
      <c r="I166" s="406"/>
      <c r="J166" s="43">
        <v>2</v>
      </c>
      <c r="K166" s="408"/>
      <c r="L166" s="45">
        <v>95</v>
      </c>
    </row>
    <row r="167" spans="2:12" x14ac:dyDescent="0.25">
      <c r="B167" s="417"/>
      <c r="C167" s="421"/>
      <c r="D167" s="409"/>
      <c r="E167" s="409"/>
      <c r="F167" s="409"/>
      <c r="G167" s="409"/>
      <c r="H167" s="406"/>
      <c r="I167" s="406"/>
      <c r="J167" s="43">
        <v>3</v>
      </c>
      <c r="K167" s="408"/>
      <c r="L167" s="45">
        <f>L166-2.5</f>
        <v>92.5</v>
      </c>
    </row>
    <row r="168" spans="2:12" x14ac:dyDescent="0.25">
      <c r="B168" s="417"/>
      <c r="C168" s="421"/>
      <c r="D168" s="409"/>
      <c r="E168" s="409"/>
      <c r="F168" s="409"/>
      <c r="G168" s="409"/>
      <c r="H168" s="407"/>
      <c r="I168" s="407"/>
      <c r="J168" s="43">
        <v>4</v>
      </c>
      <c r="K168" s="408"/>
      <c r="L168" s="45">
        <f>L167-2.5</f>
        <v>90</v>
      </c>
    </row>
    <row r="169" spans="2:12" x14ac:dyDescent="0.25">
      <c r="B169" s="417"/>
      <c r="C169" s="421"/>
      <c r="D169" s="409"/>
      <c r="E169" s="409"/>
      <c r="F169" s="409"/>
      <c r="G169" s="409"/>
      <c r="H169" s="410" t="s">
        <v>29</v>
      </c>
      <c r="I169" s="410"/>
      <c r="J169" s="410"/>
      <c r="K169" s="410"/>
      <c r="L169" s="410"/>
    </row>
    <row r="170" spans="2:12" x14ac:dyDescent="0.25">
      <c r="B170" s="417"/>
      <c r="C170" s="409">
        <v>3</v>
      </c>
      <c r="D170" s="409" t="s">
        <v>102</v>
      </c>
      <c r="E170" s="409"/>
      <c r="F170" s="409"/>
      <c r="G170" s="409"/>
      <c r="H170" s="26" t="s">
        <v>32</v>
      </c>
      <c r="I170" s="27">
        <v>0.1</v>
      </c>
      <c r="J170" s="410" t="s">
        <v>40</v>
      </c>
      <c r="K170" s="410"/>
      <c r="L170" s="410"/>
    </row>
    <row r="171" spans="2:12" ht="15" customHeight="1" x14ac:dyDescent="0.25">
      <c r="B171" s="417"/>
      <c r="C171" s="409"/>
      <c r="D171" s="409" t="s">
        <v>96</v>
      </c>
      <c r="E171" s="409"/>
      <c r="F171" s="409"/>
      <c r="G171" s="409"/>
      <c r="H171" s="411">
        <v>0</v>
      </c>
      <c r="I171" s="411">
        <f>VLOOKUP(H171,$J$171:$L$176,3,0)*I170</f>
        <v>11</v>
      </c>
      <c r="J171" s="43">
        <v>0</v>
      </c>
      <c r="K171" s="422" t="s">
        <v>103</v>
      </c>
      <c r="L171" s="44">
        <v>110</v>
      </c>
    </row>
    <row r="172" spans="2:12" x14ac:dyDescent="0.25">
      <c r="B172" s="417"/>
      <c r="C172" s="409"/>
      <c r="D172" s="409" t="s">
        <v>104</v>
      </c>
      <c r="E172" s="409"/>
      <c r="F172" s="409"/>
      <c r="G172" s="409"/>
      <c r="H172" s="412"/>
      <c r="I172" s="412"/>
      <c r="J172" s="43">
        <v>1</v>
      </c>
      <c r="K172" s="422"/>
      <c r="L172" s="44">
        <v>97.5</v>
      </c>
    </row>
    <row r="173" spans="2:12" x14ac:dyDescent="0.25">
      <c r="B173" s="417"/>
      <c r="C173" s="409"/>
      <c r="D173" s="409"/>
      <c r="E173" s="409"/>
      <c r="F173" s="409"/>
      <c r="G173" s="409"/>
      <c r="H173" s="412"/>
      <c r="I173" s="412"/>
      <c r="J173" s="43">
        <v>2</v>
      </c>
      <c r="K173" s="422"/>
      <c r="L173" s="45">
        <v>95</v>
      </c>
    </row>
    <row r="174" spans="2:12" x14ac:dyDescent="0.25">
      <c r="B174" s="417"/>
      <c r="C174" s="409"/>
      <c r="D174" s="409"/>
      <c r="E174" s="409"/>
      <c r="F174" s="409"/>
      <c r="G174" s="409"/>
      <c r="H174" s="412"/>
      <c r="I174" s="412"/>
      <c r="J174" s="43">
        <v>3</v>
      </c>
      <c r="K174" s="422"/>
      <c r="L174" s="45">
        <f>L173-2.5</f>
        <v>92.5</v>
      </c>
    </row>
    <row r="175" spans="2:12" x14ac:dyDescent="0.25">
      <c r="B175" s="417"/>
      <c r="C175" s="409"/>
      <c r="D175" s="409"/>
      <c r="E175" s="409"/>
      <c r="F175" s="409"/>
      <c r="G175" s="409"/>
      <c r="H175" s="412"/>
      <c r="I175" s="412"/>
      <c r="J175" s="43">
        <v>4</v>
      </c>
      <c r="K175" s="422"/>
      <c r="L175" s="45">
        <f>L174-2.5</f>
        <v>90</v>
      </c>
    </row>
    <row r="176" spans="2:12" x14ac:dyDescent="0.25">
      <c r="B176" s="417"/>
      <c r="C176" s="409"/>
      <c r="D176" s="409"/>
      <c r="E176" s="409"/>
      <c r="F176" s="409"/>
      <c r="G176" s="409"/>
      <c r="H176" s="413"/>
      <c r="I176" s="413"/>
      <c r="J176" s="26"/>
      <c r="K176" s="422"/>
      <c r="L176" s="26"/>
    </row>
    <row r="177" spans="2:12" x14ac:dyDescent="0.25">
      <c r="B177" s="417"/>
      <c r="C177" s="417" t="s">
        <v>46</v>
      </c>
      <c r="D177" s="417"/>
      <c r="E177" s="417"/>
      <c r="F177" s="417"/>
      <c r="G177" s="417"/>
      <c r="H177" s="423">
        <f>I148+I164+I171</f>
        <v>104</v>
      </c>
      <c r="I177" s="423"/>
      <c r="J177" s="423"/>
      <c r="K177" s="423"/>
      <c r="L177" s="423"/>
    </row>
    <row r="180" spans="2:12" x14ac:dyDescent="0.25">
      <c r="B180" s="383" t="s">
        <v>105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</row>
    <row r="181" spans="2:12" x14ac:dyDescent="0.25">
      <c r="B181" s="395"/>
      <c r="C181" s="395"/>
      <c r="D181" s="395"/>
      <c r="E181" s="395"/>
      <c r="F181" s="395"/>
      <c r="G181" s="395"/>
      <c r="H181" s="395"/>
      <c r="I181" s="395"/>
      <c r="J181" s="395"/>
      <c r="K181" s="395"/>
      <c r="L181" s="395"/>
    </row>
    <row r="182" spans="2:12" x14ac:dyDescent="0.25">
      <c r="B182" s="396"/>
      <c r="C182" s="397"/>
      <c r="D182" s="397"/>
      <c r="E182" s="397"/>
      <c r="F182" s="397"/>
      <c r="G182" s="397"/>
      <c r="H182" s="397"/>
      <c r="I182" s="397"/>
      <c r="J182" s="397"/>
      <c r="K182" s="397"/>
      <c r="L182" s="398"/>
    </row>
    <row r="183" spans="2:12" x14ac:dyDescent="0.25">
      <c r="B183" s="399"/>
      <c r="C183" s="400"/>
      <c r="D183" s="400"/>
      <c r="E183" s="400"/>
      <c r="F183" s="400"/>
      <c r="G183" s="400"/>
      <c r="H183" s="400"/>
      <c r="I183" s="400"/>
      <c r="J183" s="400"/>
      <c r="K183" s="400"/>
      <c r="L183" s="401"/>
    </row>
    <row r="184" spans="2:12" x14ac:dyDescent="0.25">
      <c r="B184" s="399"/>
      <c r="C184" s="400"/>
      <c r="D184" s="400"/>
      <c r="E184" s="400"/>
      <c r="F184" s="400"/>
      <c r="G184" s="400"/>
      <c r="H184" s="400"/>
      <c r="I184" s="400"/>
      <c r="J184" s="400"/>
      <c r="K184" s="400"/>
      <c r="L184" s="401"/>
    </row>
    <row r="185" spans="2:12" x14ac:dyDescent="0.25">
      <c r="B185" s="402"/>
      <c r="C185" s="403"/>
      <c r="D185" s="403"/>
      <c r="E185" s="403"/>
      <c r="F185" s="403"/>
      <c r="G185" s="403"/>
      <c r="H185" s="403"/>
      <c r="I185" s="403"/>
      <c r="J185" s="403"/>
      <c r="K185" s="403"/>
      <c r="L185" s="404"/>
    </row>
    <row r="187" spans="2:12" x14ac:dyDescent="0.25">
      <c r="B187" s="383" t="s">
        <v>106</v>
      </c>
      <c r="C187" s="383"/>
      <c r="D187" s="383"/>
      <c r="E187" s="383"/>
      <c r="F187" s="383"/>
      <c r="G187" s="383"/>
      <c r="H187" s="383"/>
      <c r="I187" s="383"/>
      <c r="J187" s="383"/>
      <c r="K187" s="383"/>
      <c r="L187" s="383"/>
    </row>
    <row r="188" spans="2:12" x14ac:dyDescent="0.25">
      <c r="B188" s="383"/>
      <c r="C188" s="383"/>
      <c r="D188" s="383"/>
      <c r="E188" s="383"/>
      <c r="F188" s="383"/>
      <c r="G188" s="383"/>
      <c r="H188" s="383"/>
      <c r="I188" s="383"/>
      <c r="J188" s="383"/>
      <c r="K188" s="383"/>
      <c r="L188" s="383"/>
    </row>
    <row r="189" spans="2:12" x14ac:dyDescent="0.25">
      <c r="B189" s="384"/>
      <c r="C189" s="384"/>
      <c r="D189" s="384"/>
      <c r="E189" s="384"/>
      <c r="F189" s="384"/>
      <c r="G189" s="384"/>
      <c r="H189" s="384"/>
      <c r="I189" s="384"/>
      <c r="J189" s="384"/>
      <c r="K189" s="384"/>
      <c r="L189" s="384"/>
    </row>
    <row r="190" spans="2:12" x14ac:dyDescent="0.25">
      <c r="B190" s="384"/>
      <c r="C190" s="384"/>
      <c r="D190" s="384"/>
      <c r="E190" s="384"/>
      <c r="F190" s="384"/>
      <c r="G190" s="384"/>
      <c r="H190" s="384"/>
      <c r="I190" s="384"/>
      <c r="J190" s="384"/>
      <c r="K190" s="384"/>
      <c r="L190" s="384"/>
    </row>
    <row r="191" spans="2:12" x14ac:dyDescent="0.25">
      <c r="B191" s="384"/>
      <c r="C191" s="384"/>
      <c r="D191" s="384"/>
      <c r="E191" s="384"/>
      <c r="F191" s="384"/>
      <c r="G191" s="384"/>
      <c r="H191" s="384"/>
      <c r="I191" s="384"/>
      <c r="J191" s="384"/>
      <c r="K191" s="384"/>
      <c r="L191" s="384"/>
    </row>
    <row r="192" spans="2:12" x14ac:dyDescent="0.25">
      <c r="B192" s="384"/>
      <c r="C192" s="384"/>
      <c r="D192" s="384"/>
      <c r="E192" s="384"/>
      <c r="F192" s="384"/>
      <c r="G192" s="384"/>
      <c r="H192" s="384"/>
      <c r="I192" s="384"/>
      <c r="J192" s="384"/>
      <c r="K192" s="384"/>
      <c r="L192" s="384"/>
    </row>
    <row r="193" spans="2:12" x14ac:dyDescent="0.25">
      <c r="B193" s="384"/>
      <c r="C193" s="384"/>
      <c r="D193" s="384"/>
      <c r="E193" s="384"/>
      <c r="F193" s="384"/>
      <c r="G193" s="384"/>
      <c r="H193" s="384"/>
      <c r="I193" s="384"/>
      <c r="J193" s="384"/>
      <c r="K193" s="384"/>
      <c r="L193" s="384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85" t="s">
        <v>113</v>
      </c>
      <c r="C202" s="386"/>
      <c r="D202" s="47"/>
      <c r="E202" s="389" t="s">
        <v>114</v>
      </c>
      <c r="F202" s="391" t="s">
        <v>4</v>
      </c>
      <c r="G202" s="48"/>
      <c r="H202" s="48"/>
      <c r="I202" s="391" t="s">
        <v>115</v>
      </c>
      <c r="J202" s="391"/>
      <c r="K202" s="393" t="s">
        <v>6</v>
      </c>
      <c r="L202" s="49"/>
    </row>
    <row r="203" spans="2:12" x14ac:dyDescent="0.25">
      <c r="B203" s="387"/>
      <c r="C203" s="388"/>
      <c r="D203" s="50"/>
      <c r="E203" s="390"/>
      <c r="F203" s="392"/>
      <c r="G203" s="51"/>
      <c r="H203" s="51"/>
      <c r="I203" s="392"/>
      <c r="J203" s="392"/>
      <c r="K203" s="394"/>
      <c r="L203" s="52"/>
    </row>
    <row r="204" spans="2:12" x14ac:dyDescent="0.25">
      <c r="B204" s="381" t="s">
        <v>116</v>
      </c>
      <c r="C204" s="382"/>
      <c r="D204" s="53"/>
      <c r="E204" s="382" t="s">
        <v>116</v>
      </c>
      <c r="F204" s="382"/>
      <c r="G204" s="53"/>
      <c r="H204" s="53"/>
      <c r="I204" s="382" t="s">
        <v>116</v>
      </c>
      <c r="J204" s="382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tabSelected="1" zoomScale="80" zoomScaleNormal="80" zoomScaleSheetLayoutView="100" workbookViewId="0">
      <pane ySplit="3" topLeftCell="A16" activePane="bottomLeft" state="frozen"/>
      <selection pane="bottomLeft" activeCell="C1" sqref="C1:C1048576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08" t="s">
        <v>0</v>
      </c>
      <c r="C4" s="509"/>
      <c r="D4" s="509"/>
      <c r="E4" s="509"/>
      <c r="F4" s="509"/>
      <c r="G4" s="509"/>
      <c r="H4" s="509"/>
      <c r="I4" s="510"/>
      <c r="R4" s="154" t="s">
        <v>131</v>
      </c>
      <c r="U4" s="154" t="s">
        <v>131</v>
      </c>
    </row>
    <row r="5" spans="1:43" ht="15" customHeight="1" thickBot="1" x14ac:dyDescent="0.3">
      <c r="B5" s="511"/>
      <c r="C5" s="512"/>
      <c r="D5" s="512"/>
      <c r="E5" s="512"/>
      <c r="F5" s="512"/>
      <c r="G5" s="512"/>
      <c r="H5" s="512"/>
      <c r="I5" s="513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14" t="s">
        <v>176</v>
      </c>
      <c r="E6" s="514"/>
      <c r="F6" s="514"/>
      <c r="G6" s="514"/>
      <c r="H6" s="514"/>
      <c r="I6" s="515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16" t="s">
        <v>142</v>
      </c>
      <c r="E7" s="516"/>
      <c r="F7" s="516"/>
      <c r="G7" s="516"/>
      <c r="H7" s="516"/>
      <c r="I7" s="517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16" t="s">
        <v>267</v>
      </c>
      <c r="E8" s="516"/>
      <c r="F8" s="516"/>
      <c r="G8" s="516"/>
      <c r="H8" s="516"/>
      <c r="I8" s="517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16" t="s">
        <v>141</v>
      </c>
      <c r="E9" s="516"/>
      <c r="F9" s="516"/>
      <c r="G9" s="516"/>
      <c r="H9" s="516"/>
      <c r="I9" s="517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18" t="s">
        <v>268</v>
      </c>
      <c r="E10" s="519"/>
      <c r="F10" s="519"/>
      <c r="G10" s="519"/>
      <c r="H10" s="519"/>
      <c r="I10" s="520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493" t="s">
        <v>170</v>
      </c>
      <c r="E11" s="494"/>
      <c r="F11" s="494"/>
      <c r="G11" s="494"/>
      <c r="H11" s="494"/>
      <c r="I11" s="495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496">
        <v>46023</v>
      </c>
      <c r="E12" s="496"/>
      <c r="F12" s="496"/>
      <c r="G12" s="496"/>
      <c r="H12" s="496"/>
      <c r="I12" s="497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498" t="s">
        <v>17</v>
      </c>
      <c r="H14" s="498"/>
      <c r="I14" s="499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500">
        <v>0.35</v>
      </c>
      <c r="H15" s="501"/>
      <c r="I15" s="502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503" t="s">
        <v>124</v>
      </c>
      <c r="E17" s="504"/>
      <c r="F17" s="505" t="s">
        <v>127</v>
      </c>
      <c r="G17" s="506"/>
      <c r="H17" s="507"/>
      <c r="I17" s="98" t="s">
        <v>131</v>
      </c>
      <c r="K17" s="521" t="s">
        <v>129</v>
      </c>
      <c r="L17" s="522"/>
      <c r="M17" s="523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524">
        <v>1</v>
      </c>
      <c r="C18" s="527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25"/>
      <c r="C19" s="528"/>
      <c r="D19" s="530">
        <v>1</v>
      </c>
      <c r="E19" s="533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36">
        <f>SUM(L19:L23)</f>
        <v>113.5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25"/>
      <c r="C20" s="528"/>
      <c r="D20" s="531"/>
      <c r="E20" s="534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10</v>
      </c>
      <c r="M20" s="536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25"/>
      <c r="C21" s="528"/>
      <c r="D21" s="531"/>
      <c r="E21" s="534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6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25"/>
      <c r="C22" s="528"/>
      <c r="D22" s="531"/>
      <c r="E22" s="534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6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25"/>
      <c r="C23" s="528"/>
      <c r="D23" s="531"/>
      <c r="E23" s="534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7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25"/>
      <c r="C24" s="528"/>
      <c r="D24" s="531"/>
      <c r="E24" s="534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526"/>
      <c r="C25" s="529"/>
      <c r="D25" s="531"/>
      <c r="E25" s="534"/>
      <c r="F25" s="59"/>
      <c r="G25" s="60"/>
      <c r="H25" s="61"/>
      <c r="I25" s="98" t="s">
        <v>131</v>
      </c>
      <c r="K25" s="538" t="s">
        <v>62</v>
      </c>
      <c r="L25" s="539"/>
      <c r="M25" s="540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41" t="s">
        <v>128</v>
      </c>
      <c r="C26" s="313" t="s">
        <v>186</v>
      </c>
      <c r="D26" s="531"/>
      <c r="E26" s="534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42"/>
      <c r="C27" s="314"/>
      <c r="D27" s="532"/>
      <c r="E27" s="535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43">
        <f>SUM(L27:L36)</f>
        <v>108.25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44">
        <v>2</v>
      </c>
      <c r="C28" s="527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36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113.5</v>
      </c>
      <c r="Y28" s="188">
        <f>W28*X28</f>
        <v>39.724999999999994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45"/>
      <c r="C29" s="528"/>
      <c r="D29" s="530">
        <v>2</v>
      </c>
      <c r="E29" s="533">
        <f>IF(D29=0,0,VLOOKUP($D29,$F28:$H37,3,FALSE)*$E28)</f>
        <v>10</v>
      </c>
      <c r="F29" s="256">
        <v>2</v>
      </c>
      <c r="G29" s="316" t="s">
        <v>261</v>
      </c>
      <c r="H29" s="258">
        <v>100</v>
      </c>
      <c r="I29" s="98" t="s">
        <v>131</v>
      </c>
      <c r="K29" s="71">
        <v>3</v>
      </c>
      <c r="L29" s="226">
        <f>+E94</f>
        <v>25</v>
      </c>
      <c r="M29" s="536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45"/>
      <c r="C30" s="528"/>
      <c r="D30" s="531"/>
      <c r="E30" s="534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10</v>
      </c>
      <c r="M30" s="536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45"/>
      <c r="C31" s="528"/>
      <c r="D31" s="531"/>
      <c r="E31" s="534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10</v>
      </c>
      <c r="M31" s="536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45"/>
      <c r="C32" s="528"/>
      <c r="D32" s="531"/>
      <c r="E32" s="534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6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458.5</v>
      </c>
      <c r="Y32" s="187">
        <f t="shared" si="1"/>
        <v>114.47499999999999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45"/>
      <c r="C33" s="528"/>
      <c r="D33" s="531"/>
      <c r="E33" s="534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6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45"/>
      <c r="C34" s="528"/>
      <c r="D34" s="531"/>
      <c r="E34" s="534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6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46"/>
      <c r="C35" s="529"/>
      <c r="D35" s="531"/>
      <c r="E35" s="534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6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524" t="s">
        <v>128</v>
      </c>
      <c r="C36" s="353" t="s">
        <v>339</v>
      </c>
      <c r="D36" s="531"/>
      <c r="E36" s="534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7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108.25</v>
      </c>
      <c r="Y36" s="199">
        <f>W36*X36</f>
        <v>37.887499999999996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526"/>
      <c r="C37" s="315"/>
      <c r="D37" s="532"/>
      <c r="E37" s="535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115</v>
      </c>
      <c r="Y37" s="199">
        <f t="shared" ref="Y37:Y39" si="2">W37*X37</f>
        <v>34.5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44"/>
      <c r="C38" s="547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111.25</v>
      </c>
      <c r="Y38" s="199">
        <f t="shared" si="2"/>
        <v>27.8125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45"/>
      <c r="C39" s="548"/>
      <c r="D39" s="530"/>
      <c r="E39" s="533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45"/>
      <c r="C40" s="548"/>
      <c r="D40" s="531"/>
      <c r="E40" s="534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449.5</v>
      </c>
      <c r="Y40" s="187">
        <f t="shared" ref="Y40" si="4">SUM(Y36:Y39)</f>
        <v>111.69999999999999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45"/>
      <c r="C41" s="548"/>
      <c r="D41" s="531"/>
      <c r="E41" s="534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45"/>
      <c r="C42" s="548"/>
      <c r="D42" s="531"/>
      <c r="E42" s="534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45"/>
      <c r="C43" s="548"/>
      <c r="D43" s="531"/>
      <c r="E43" s="534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45"/>
      <c r="C44" s="548"/>
      <c r="D44" s="531"/>
      <c r="E44" s="534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46"/>
      <c r="C45" s="549"/>
      <c r="D45" s="531"/>
      <c r="E45" s="534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524" t="s">
        <v>128</v>
      </c>
      <c r="C46" s="547"/>
      <c r="D46" s="531"/>
      <c r="E46" s="534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526"/>
      <c r="C47" s="549"/>
      <c r="D47" s="532"/>
      <c r="E47" s="535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44"/>
      <c r="C48" s="527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45"/>
      <c r="C49" s="528"/>
      <c r="D49" s="551"/>
      <c r="E49" s="554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45"/>
      <c r="C50" s="528"/>
      <c r="D50" s="552"/>
      <c r="E50" s="555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45"/>
      <c r="C51" s="528"/>
      <c r="D51" s="552"/>
      <c r="E51" s="555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45"/>
      <c r="C52" s="528"/>
      <c r="D52" s="552"/>
      <c r="E52" s="555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45"/>
      <c r="C53" s="528"/>
      <c r="D53" s="552"/>
      <c r="E53" s="555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45"/>
      <c r="C54" s="528"/>
      <c r="D54" s="552"/>
      <c r="E54" s="555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46"/>
      <c r="C55" s="529"/>
      <c r="D55" s="552"/>
      <c r="E55" s="555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524"/>
      <c r="C56" s="527"/>
      <c r="D56" s="552"/>
      <c r="E56" s="555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526"/>
      <c r="C57" s="529"/>
      <c r="D57" s="553"/>
      <c r="E57" s="556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50"/>
      <c r="C58" s="527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45"/>
      <c r="C59" s="528"/>
      <c r="D59" s="551"/>
      <c r="E59" s="554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45"/>
      <c r="C60" s="528"/>
      <c r="D60" s="552"/>
      <c r="E60" s="555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45"/>
      <c r="C61" s="528"/>
      <c r="D61" s="552"/>
      <c r="E61" s="555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45"/>
      <c r="C62" s="528"/>
      <c r="D62" s="552"/>
      <c r="E62" s="555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45"/>
      <c r="C63" s="528"/>
      <c r="D63" s="552"/>
      <c r="E63" s="555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45"/>
      <c r="C64" s="528"/>
      <c r="D64" s="552"/>
      <c r="E64" s="555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46"/>
      <c r="C65" s="529"/>
      <c r="D65" s="552"/>
      <c r="E65" s="555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524"/>
      <c r="C66" s="527"/>
      <c r="D66" s="552"/>
      <c r="E66" s="555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526"/>
      <c r="C67" s="529"/>
      <c r="D67" s="553"/>
      <c r="E67" s="556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557" t="s">
        <v>17</v>
      </c>
      <c r="H70" s="558"/>
      <c r="I70" s="559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60">
        <v>0.35</v>
      </c>
      <c r="H71" s="561"/>
      <c r="I71" s="562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503" t="s">
        <v>124</v>
      </c>
      <c r="E72" s="504"/>
      <c r="F72" s="505" t="s">
        <v>130</v>
      </c>
      <c r="G72" s="506"/>
      <c r="H72" s="507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524">
        <v>1</v>
      </c>
      <c r="C73" s="527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25"/>
      <c r="C74" s="528"/>
      <c r="D74" s="530">
        <v>1</v>
      </c>
      <c r="E74" s="533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25"/>
      <c r="C75" s="528"/>
      <c r="D75" s="531"/>
      <c r="E75" s="534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25"/>
      <c r="C76" s="528"/>
      <c r="D76" s="531"/>
      <c r="E76" s="534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25"/>
      <c r="C77" s="528"/>
      <c r="D77" s="531"/>
      <c r="E77" s="534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25"/>
      <c r="C78" s="528"/>
      <c r="D78" s="531"/>
      <c r="E78" s="534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25"/>
      <c r="C79" s="528"/>
      <c r="D79" s="531"/>
      <c r="E79" s="534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526"/>
      <c r="C80" s="529"/>
      <c r="D80" s="531"/>
      <c r="E80" s="534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41" t="s">
        <v>128</v>
      </c>
      <c r="C81" s="313" t="s">
        <v>208</v>
      </c>
      <c r="D81" s="531"/>
      <c r="E81" s="534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42"/>
      <c r="C82" s="317"/>
      <c r="D82" s="532"/>
      <c r="E82" s="535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524">
        <v>2</v>
      </c>
      <c r="C83" s="527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25"/>
      <c r="C84" s="528"/>
      <c r="D84" s="551">
        <v>1</v>
      </c>
      <c r="E84" s="554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25"/>
      <c r="C85" s="528"/>
      <c r="D85" s="552"/>
      <c r="E85" s="555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25"/>
      <c r="C86" s="528"/>
      <c r="D86" s="552"/>
      <c r="E86" s="555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25"/>
      <c r="C87" s="528"/>
      <c r="D87" s="552"/>
      <c r="E87" s="555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25"/>
      <c r="C88" s="528"/>
      <c r="D88" s="552"/>
      <c r="E88" s="555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25"/>
      <c r="C89" s="528"/>
      <c r="D89" s="552"/>
      <c r="E89" s="555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526"/>
      <c r="C90" s="529"/>
      <c r="D90" s="552"/>
      <c r="E90" s="555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41" t="s">
        <v>128</v>
      </c>
      <c r="C91" s="352" t="s">
        <v>203</v>
      </c>
      <c r="D91" s="552"/>
      <c r="E91" s="555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42"/>
      <c r="C92" s="300"/>
      <c r="D92" s="553"/>
      <c r="E92" s="556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524">
        <v>3</v>
      </c>
      <c r="C93" s="527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25"/>
      <c r="C94" s="528"/>
      <c r="D94" s="563">
        <v>2</v>
      </c>
      <c r="E94" s="566">
        <f>IF(D94=0,0,VLOOKUP($D94,$F93:$H102,3,FALSE)*$E93)</f>
        <v>25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25"/>
      <c r="C95" s="528"/>
      <c r="D95" s="564"/>
      <c r="E95" s="567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25"/>
      <c r="C96" s="528"/>
      <c r="D96" s="564"/>
      <c r="E96" s="567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25"/>
      <c r="C97" s="528"/>
      <c r="D97" s="564"/>
      <c r="E97" s="567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25"/>
      <c r="C98" s="528"/>
      <c r="D98" s="564"/>
      <c r="E98" s="567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25"/>
      <c r="C99" s="528"/>
      <c r="D99" s="564"/>
      <c r="E99" s="567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526"/>
      <c r="C100" s="529"/>
      <c r="D100" s="564"/>
      <c r="E100" s="567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41" t="s">
        <v>128</v>
      </c>
      <c r="C101" s="370" t="s">
        <v>335</v>
      </c>
      <c r="D101" s="564"/>
      <c r="E101" s="567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42"/>
      <c r="C102" s="318"/>
      <c r="D102" s="565"/>
      <c r="E102" s="568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44">
        <v>4</v>
      </c>
      <c r="C103" s="527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45"/>
      <c r="C104" s="528"/>
      <c r="D104" s="563">
        <v>2</v>
      </c>
      <c r="E104" s="566">
        <f>IF(D104=0,0,VLOOKUP($D104,$F103:$H112,3,FALSE)*$E103)</f>
        <v>10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45"/>
      <c r="C105" s="528"/>
      <c r="D105" s="564"/>
      <c r="E105" s="567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45"/>
      <c r="C106" s="528"/>
      <c r="D106" s="564"/>
      <c r="E106" s="567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45"/>
      <c r="C107" s="528"/>
      <c r="D107" s="564"/>
      <c r="E107" s="567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45"/>
      <c r="C108" s="528"/>
      <c r="D108" s="564"/>
      <c r="E108" s="567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45"/>
      <c r="C109" s="528"/>
      <c r="D109" s="564"/>
      <c r="E109" s="567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46"/>
      <c r="C110" s="529"/>
      <c r="D110" s="564"/>
      <c r="E110" s="567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41" t="s">
        <v>128</v>
      </c>
      <c r="C111" s="379" t="s">
        <v>336</v>
      </c>
      <c r="D111" s="564"/>
      <c r="E111" s="567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42"/>
      <c r="C112" s="315"/>
      <c r="D112" s="565"/>
      <c r="E112" s="568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50">
        <v>5</v>
      </c>
      <c r="C113" s="527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45"/>
      <c r="C114" s="528"/>
      <c r="D114" s="563">
        <v>2</v>
      </c>
      <c r="E114" s="566">
        <f>IF(D114=0,0,VLOOKUP($D114,$F113:$H122,3,FALSE)*$E113)</f>
        <v>10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45"/>
      <c r="C115" s="528"/>
      <c r="D115" s="564"/>
      <c r="E115" s="567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45"/>
      <c r="C116" s="528"/>
      <c r="D116" s="564"/>
      <c r="E116" s="567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45"/>
      <c r="C117" s="528"/>
      <c r="D117" s="564"/>
      <c r="E117" s="567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45"/>
      <c r="C118" s="528"/>
      <c r="D118" s="564"/>
      <c r="E118" s="567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45"/>
      <c r="C119" s="528"/>
      <c r="D119" s="564"/>
      <c r="E119" s="567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46"/>
      <c r="C120" s="529"/>
      <c r="D120" s="564"/>
      <c r="E120" s="567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41" t="s">
        <v>128</v>
      </c>
      <c r="C121" s="370" t="s">
        <v>337</v>
      </c>
      <c r="D121" s="564"/>
      <c r="E121" s="567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42"/>
      <c r="C122" s="380"/>
      <c r="D122" s="565"/>
      <c r="E122" s="568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71">
        <v>6</v>
      </c>
      <c r="C123" s="527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72"/>
      <c r="C124" s="528"/>
      <c r="D124" s="530">
        <v>1</v>
      </c>
      <c r="E124" s="533">
        <f>IF(D124=0,0,VLOOKUP($D124,$F123:$H132,3,FALSE)*$E123)</f>
        <v>11.5</v>
      </c>
      <c r="F124" s="256">
        <v>2</v>
      </c>
      <c r="G124" s="316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72"/>
      <c r="C125" s="528"/>
      <c r="D125" s="531"/>
      <c r="E125" s="534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72"/>
      <c r="C126" s="528"/>
      <c r="D126" s="531"/>
      <c r="E126" s="534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72"/>
      <c r="C127" s="528"/>
      <c r="D127" s="531"/>
      <c r="E127" s="534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72"/>
      <c r="C128" s="528"/>
      <c r="D128" s="531"/>
      <c r="E128" s="534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72"/>
      <c r="C129" s="528"/>
      <c r="D129" s="531"/>
      <c r="E129" s="534"/>
      <c r="F129" s="59"/>
      <c r="G129" s="60"/>
      <c r="H129" s="61"/>
      <c r="I129" s="101"/>
    </row>
    <row r="130" spans="1:9" ht="15" customHeight="1" thickBot="1" x14ac:dyDescent="0.3">
      <c r="A130" s="101"/>
      <c r="B130" s="573"/>
      <c r="C130" s="529"/>
      <c r="D130" s="531"/>
      <c r="E130" s="534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41" t="s">
        <v>128</v>
      </c>
      <c r="C131" s="313" t="s">
        <v>262</v>
      </c>
      <c r="D131" s="531"/>
      <c r="E131" s="534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42"/>
      <c r="C132" s="380"/>
      <c r="D132" s="532"/>
      <c r="E132" s="535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41"/>
      <c r="C133" s="569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42"/>
      <c r="C134" s="570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44"/>
      <c r="C135" s="527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45"/>
      <c r="C136" s="528"/>
      <c r="D136" s="551"/>
      <c r="E136" s="554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45"/>
      <c r="C137" s="528"/>
      <c r="D137" s="552"/>
      <c r="E137" s="555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45"/>
      <c r="C138" s="528"/>
      <c r="D138" s="552"/>
      <c r="E138" s="555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45"/>
      <c r="C139" s="528"/>
      <c r="D139" s="552"/>
      <c r="E139" s="555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45"/>
      <c r="C140" s="528"/>
      <c r="D140" s="552"/>
      <c r="E140" s="555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45"/>
      <c r="C141" s="528"/>
      <c r="D141" s="552"/>
      <c r="E141" s="555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46"/>
      <c r="C142" s="529"/>
      <c r="D142" s="552"/>
      <c r="E142" s="555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524"/>
      <c r="C143" s="527"/>
      <c r="D143" s="552"/>
      <c r="E143" s="555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526"/>
      <c r="C144" s="529"/>
      <c r="D144" s="553"/>
      <c r="E144" s="556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44"/>
      <c r="C145" s="527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45"/>
      <c r="C146" s="528"/>
      <c r="D146" s="551"/>
      <c r="E146" s="554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45"/>
      <c r="C147" s="528"/>
      <c r="D147" s="552"/>
      <c r="E147" s="555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45"/>
      <c r="C148" s="528"/>
      <c r="D148" s="552"/>
      <c r="E148" s="555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45"/>
      <c r="C149" s="528"/>
      <c r="D149" s="552"/>
      <c r="E149" s="555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45"/>
      <c r="C150" s="528"/>
      <c r="D150" s="552"/>
      <c r="E150" s="555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45"/>
      <c r="C151" s="528"/>
      <c r="D151" s="552"/>
      <c r="E151" s="555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46"/>
      <c r="C152" s="529"/>
      <c r="D152" s="552"/>
      <c r="E152" s="555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524"/>
      <c r="C153" s="527"/>
      <c r="D153" s="552"/>
      <c r="E153" s="555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526"/>
      <c r="C154" s="529"/>
      <c r="D154" s="553"/>
      <c r="E154" s="556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503"/>
      <c r="E155" s="504"/>
      <c r="F155" s="505"/>
      <c r="G155" s="506"/>
      <c r="H155" s="507"/>
      <c r="I155" s="101" t="s">
        <v>131</v>
      </c>
    </row>
    <row r="156" spans="1:9" ht="15.75" hidden="1" customHeight="1" thickBot="1" x14ac:dyDescent="0.3">
      <c r="A156" s="101" t="s">
        <v>131</v>
      </c>
      <c r="B156" s="544"/>
      <c r="C156" s="527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45"/>
      <c r="C157" s="528"/>
      <c r="D157" s="551"/>
      <c r="E157" s="554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45"/>
      <c r="C158" s="528"/>
      <c r="D158" s="552"/>
      <c r="E158" s="555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45"/>
      <c r="C159" s="528"/>
      <c r="D159" s="552"/>
      <c r="E159" s="555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45"/>
      <c r="C160" s="528"/>
      <c r="D160" s="552"/>
      <c r="E160" s="555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45"/>
      <c r="C161" s="528"/>
      <c r="D161" s="552"/>
      <c r="E161" s="555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45"/>
      <c r="C162" s="528"/>
      <c r="D162" s="552"/>
      <c r="E162" s="555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46"/>
      <c r="C163" s="529"/>
      <c r="D163" s="552"/>
      <c r="E163" s="555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524"/>
      <c r="C164" s="527"/>
      <c r="D164" s="552"/>
      <c r="E164" s="555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526"/>
      <c r="C165" s="529"/>
      <c r="D165" s="553"/>
      <c r="E165" s="556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503"/>
      <c r="E166" s="504"/>
      <c r="F166" s="505"/>
      <c r="G166" s="506"/>
      <c r="H166" s="507"/>
      <c r="I166" s="101" t="s">
        <v>131</v>
      </c>
    </row>
    <row r="167" spans="1:9" ht="15.75" hidden="1" customHeight="1" thickBot="1" x14ac:dyDescent="0.3">
      <c r="A167" s="101" t="s">
        <v>131</v>
      </c>
      <c r="B167" s="550"/>
      <c r="C167" s="527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45"/>
      <c r="C168" s="528"/>
      <c r="D168" s="551"/>
      <c r="E168" s="554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45"/>
      <c r="C169" s="528"/>
      <c r="D169" s="552"/>
      <c r="E169" s="555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45"/>
      <c r="C170" s="528"/>
      <c r="D170" s="552"/>
      <c r="E170" s="555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45"/>
      <c r="C171" s="528"/>
      <c r="D171" s="552"/>
      <c r="E171" s="555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45"/>
      <c r="C172" s="528"/>
      <c r="D172" s="552"/>
      <c r="E172" s="555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45"/>
      <c r="C173" s="528"/>
      <c r="D173" s="552"/>
      <c r="E173" s="555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46"/>
      <c r="C174" s="529"/>
      <c r="D174" s="552"/>
      <c r="E174" s="555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524"/>
      <c r="C175" s="527"/>
      <c r="D175" s="552"/>
      <c r="E175" s="555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526"/>
      <c r="C176" s="529"/>
      <c r="D176" s="553"/>
      <c r="E176" s="556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498" t="s">
        <v>17</v>
      </c>
      <c r="H179" s="498"/>
      <c r="I179" s="499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500">
        <v>0.3</v>
      </c>
      <c r="H180" s="501"/>
      <c r="I180" s="502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503" t="s">
        <v>124</v>
      </c>
      <c r="E182" s="504"/>
      <c r="F182" s="505" t="s">
        <v>127</v>
      </c>
      <c r="G182" s="506"/>
      <c r="H182" s="507"/>
      <c r="I182" s="98" t="s">
        <v>131</v>
      </c>
      <c r="K182" s="521" t="s">
        <v>129</v>
      </c>
      <c r="L182" s="522"/>
      <c r="M182" s="523"/>
    </row>
    <row r="183" spans="1:13" ht="15" customHeight="1" thickBot="1" x14ac:dyDescent="0.3">
      <c r="A183" s="98" t="s">
        <v>131</v>
      </c>
      <c r="B183" s="544">
        <v>1</v>
      </c>
      <c r="C183" s="527" t="s">
        <v>309</v>
      </c>
      <c r="D183" s="170" t="s">
        <v>125</v>
      </c>
      <c r="E183" s="171">
        <v>0.7</v>
      </c>
      <c r="F183" s="93">
        <v>1</v>
      </c>
      <c r="G183" s="57" t="s">
        <v>310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45"/>
      <c r="C184" s="528"/>
      <c r="D184" s="530">
        <v>1</v>
      </c>
      <c r="E184" s="533">
        <f>IF(D184=0,0,VLOOKUP($D184,$F183:$H192,3,FALSE)*$E183)</f>
        <v>80.5</v>
      </c>
      <c r="F184" s="256">
        <v>2</v>
      </c>
      <c r="G184" s="257" t="s">
        <v>311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6">
        <f>SUM(L184:L188)</f>
        <v>115</v>
      </c>
    </row>
    <row r="185" spans="1:13" ht="15" customHeight="1" x14ac:dyDescent="0.25">
      <c r="A185" s="98" t="s">
        <v>131</v>
      </c>
      <c r="B185" s="545"/>
      <c r="C185" s="528"/>
      <c r="D185" s="531"/>
      <c r="E185" s="534"/>
      <c r="F185" s="59">
        <v>3</v>
      </c>
      <c r="G185" s="60" t="s">
        <v>312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6"/>
    </row>
    <row r="186" spans="1:13" ht="15" customHeight="1" x14ac:dyDescent="0.25">
      <c r="A186" s="98" t="s">
        <v>131</v>
      </c>
      <c r="B186" s="545"/>
      <c r="C186" s="528"/>
      <c r="D186" s="531"/>
      <c r="E186" s="534"/>
      <c r="F186" s="59">
        <v>4</v>
      </c>
      <c r="G186" s="60" t="s">
        <v>313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6"/>
    </row>
    <row r="187" spans="1:13" ht="15" customHeight="1" x14ac:dyDescent="0.25">
      <c r="A187" s="98" t="s">
        <v>131</v>
      </c>
      <c r="B187" s="545"/>
      <c r="C187" s="528"/>
      <c r="D187" s="531"/>
      <c r="E187" s="534"/>
      <c r="F187" s="59">
        <v>5</v>
      </c>
      <c r="G187" s="60" t="s">
        <v>314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6"/>
    </row>
    <row r="188" spans="1:13" ht="15" customHeight="1" thickBot="1" x14ac:dyDescent="0.3">
      <c r="A188" s="98" t="s">
        <v>131</v>
      </c>
      <c r="B188" s="545"/>
      <c r="C188" s="528"/>
      <c r="D188" s="531"/>
      <c r="E188" s="534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7"/>
    </row>
    <row r="189" spans="1:13" ht="15" customHeight="1" thickBot="1" x14ac:dyDescent="0.3">
      <c r="A189" s="98" t="s">
        <v>131</v>
      </c>
      <c r="B189" s="545"/>
      <c r="C189" s="528"/>
      <c r="D189" s="531"/>
      <c r="E189" s="534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46"/>
      <c r="C190" s="529"/>
      <c r="D190" s="531"/>
      <c r="E190" s="534"/>
      <c r="F190" s="59"/>
      <c r="G190" s="60"/>
      <c r="H190" s="221"/>
      <c r="I190" s="98" t="s">
        <v>131</v>
      </c>
      <c r="K190" s="538" t="s">
        <v>62</v>
      </c>
      <c r="L190" s="539"/>
      <c r="M190" s="540"/>
    </row>
    <row r="191" spans="1:13" ht="15" customHeight="1" thickBot="1" x14ac:dyDescent="0.3">
      <c r="A191" s="98" t="s">
        <v>131</v>
      </c>
      <c r="B191" s="541" t="s">
        <v>128</v>
      </c>
      <c r="C191" s="319" t="s">
        <v>323</v>
      </c>
      <c r="D191" s="531"/>
      <c r="E191" s="534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42"/>
      <c r="C192" s="320"/>
      <c r="D192" s="532"/>
      <c r="E192" s="535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43">
        <f>SUM(L192:L201)</f>
        <v>115</v>
      </c>
    </row>
    <row r="193" spans="1:13" ht="15" customHeight="1" thickBot="1" x14ac:dyDescent="0.3">
      <c r="A193" s="98" t="s">
        <v>131</v>
      </c>
      <c r="B193" s="544">
        <v>2</v>
      </c>
      <c r="C193" s="593" t="s">
        <v>315</v>
      </c>
      <c r="D193" s="170" t="s">
        <v>125</v>
      </c>
      <c r="E193" s="171">
        <v>0.3</v>
      </c>
      <c r="F193" s="93">
        <v>1</v>
      </c>
      <c r="G193" s="347" t="s">
        <v>316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36"/>
    </row>
    <row r="194" spans="1:13" ht="15" customHeight="1" x14ac:dyDescent="0.25">
      <c r="A194" s="98" t="s">
        <v>131</v>
      </c>
      <c r="B194" s="545"/>
      <c r="C194" s="594"/>
      <c r="D194" s="551">
        <v>1</v>
      </c>
      <c r="E194" s="554">
        <f>IF(D194=0,0,VLOOKUP($D194,$F193:$H202,3,FALSE)*$E193)</f>
        <v>34.5</v>
      </c>
      <c r="F194" s="256">
        <v>2</v>
      </c>
      <c r="G194" s="348" t="s">
        <v>314</v>
      </c>
      <c r="H194" s="258">
        <v>50</v>
      </c>
      <c r="I194" s="98" t="s">
        <v>131</v>
      </c>
      <c r="K194" s="71">
        <v>3</v>
      </c>
      <c r="L194" s="126">
        <f>E258</f>
        <v>11.5</v>
      </c>
      <c r="M194" s="536"/>
    </row>
    <row r="195" spans="1:13" ht="15" customHeight="1" x14ac:dyDescent="0.25">
      <c r="A195" s="98" t="s">
        <v>131</v>
      </c>
      <c r="B195" s="545"/>
      <c r="C195" s="594"/>
      <c r="D195" s="552"/>
      <c r="E195" s="555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6"/>
    </row>
    <row r="196" spans="1:13" ht="15" customHeight="1" x14ac:dyDescent="0.25">
      <c r="A196" s="98" t="s">
        <v>131</v>
      </c>
      <c r="B196" s="545"/>
      <c r="C196" s="594"/>
      <c r="D196" s="552"/>
      <c r="E196" s="555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6"/>
    </row>
    <row r="197" spans="1:13" ht="15" customHeight="1" x14ac:dyDescent="0.25">
      <c r="A197" s="98" t="s">
        <v>131</v>
      </c>
      <c r="B197" s="545"/>
      <c r="C197" s="594"/>
      <c r="D197" s="552"/>
      <c r="E197" s="555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6"/>
    </row>
    <row r="198" spans="1:13" ht="15" customHeight="1" x14ac:dyDescent="0.25">
      <c r="A198" s="98" t="s">
        <v>131</v>
      </c>
      <c r="B198" s="545"/>
      <c r="C198" s="594"/>
      <c r="D198" s="552"/>
      <c r="E198" s="555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6"/>
    </row>
    <row r="199" spans="1:13" ht="15" customHeight="1" x14ac:dyDescent="0.25">
      <c r="A199" s="98" t="s">
        <v>131</v>
      </c>
      <c r="B199" s="545"/>
      <c r="C199" s="594"/>
      <c r="D199" s="552"/>
      <c r="E199" s="555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6"/>
    </row>
    <row r="200" spans="1:13" ht="15" customHeight="1" thickBot="1" x14ac:dyDescent="0.3">
      <c r="A200" s="98" t="s">
        <v>131</v>
      </c>
      <c r="B200" s="546"/>
      <c r="C200" s="595"/>
      <c r="D200" s="552"/>
      <c r="E200" s="555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6"/>
    </row>
    <row r="201" spans="1:13" ht="15" customHeight="1" thickBot="1" x14ac:dyDescent="0.3">
      <c r="A201" s="98" t="s">
        <v>131</v>
      </c>
      <c r="B201" s="541" t="s">
        <v>128</v>
      </c>
      <c r="C201" s="321" t="s">
        <v>316</v>
      </c>
      <c r="D201" s="552"/>
      <c r="E201" s="555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7"/>
    </row>
    <row r="202" spans="1:13" ht="15" customHeight="1" thickBot="1" x14ac:dyDescent="0.3">
      <c r="A202" s="98" t="s">
        <v>131</v>
      </c>
      <c r="B202" s="542"/>
      <c r="C202" s="322"/>
      <c r="D202" s="553"/>
      <c r="E202" s="556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44">
        <v>3</v>
      </c>
      <c r="C203" s="574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45"/>
      <c r="C204" s="575"/>
      <c r="D204" s="551"/>
      <c r="E204" s="554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45"/>
      <c r="C205" s="575"/>
      <c r="D205" s="552"/>
      <c r="E205" s="555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45"/>
      <c r="C206" s="575"/>
      <c r="D206" s="552"/>
      <c r="E206" s="555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45"/>
      <c r="C207" s="575"/>
      <c r="D207" s="552"/>
      <c r="E207" s="555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45"/>
      <c r="C208" s="575"/>
      <c r="D208" s="552"/>
      <c r="E208" s="555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45"/>
      <c r="C209" s="575"/>
      <c r="D209" s="552"/>
      <c r="E209" s="555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46"/>
      <c r="C210" s="576"/>
      <c r="D210" s="552"/>
      <c r="E210" s="555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41" t="s">
        <v>128</v>
      </c>
      <c r="C211" s="577"/>
      <c r="D211" s="552"/>
      <c r="E211" s="555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42"/>
      <c r="C212" s="578"/>
      <c r="D212" s="553"/>
      <c r="E212" s="556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44">
        <v>4</v>
      </c>
      <c r="C213" s="574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45"/>
      <c r="C214" s="575"/>
      <c r="D214" s="551"/>
      <c r="E214" s="554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45"/>
      <c r="C215" s="575"/>
      <c r="D215" s="552"/>
      <c r="E215" s="555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45"/>
      <c r="C216" s="575"/>
      <c r="D216" s="552"/>
      <c r="E216" s="555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45"/>
      <c r="C217" s="575"/>
      <c r="D217" s="552"/>
      <c r="E217" s="555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45"/>
      <c r="C218" s="575"/>
      <c r="D218" s="552"/>
      <c r="E218" s="555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45"/>
      <c r="C219" s="575"/>
      <c r="D219" s="552"/>
      <c r="E219" s="555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46"/>
      <c r="C220" s="576"/>
      <c r="D220" s="552"/>
      <c r="E220" s="555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41" t="s">
        <v>128</v>
      </c>
      <c r="C221" s="574"/>
      <c r="D221" s="552"/>
      <c r="E221" s="555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42"/>
      <c r="C222" s="576"/>
      <c r="D222" s="553"/>
      <c r="E222" s="556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50"/>
      <c r="C223" s="527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45"/>
      <c r="C224" s="528"/>
      <c r="D224" s="551"/>
      <c r="E224" s="554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45"/>
      <c r="C225" s="528"/>
      <c r="D225" s="552"/>
      <c r="E225" s="555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45"/>
      <c r="C226" s="528"/>
      <c r="D226" s="552"/>
      <c r="E226" s="555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45"/>
      <c r="C227" s="528"/>
      <c r="D227" s="552"/>
      <c r="E227" s="555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45"/>
      <c r="C228" s="528"/>
      <c r="D228" s="552"/>
      <c r="E228" s="555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45"/>
      <c r="C229" s="528"/>
      <c r="D229" s="552"/>
      <c r="E229" s="555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46"/>
      <c r="C230" s="529"/>
      <c r="D230" s="552"/>
      <c r="E230" s="555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524"/>
      <c r="C231" s="527"/>
      <c r="D231" s="552"/>
      <c r="E231" s="555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526"/>
      <c r="C232" s="529"/>
      <c r="D232" s="553"/>
      <c r="E232" s="556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557" t="s">
        <v>17</v>
      </c>
      <c r="H235" s="558"/>
      <c r="I235" s="559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60">
        <v>0.3</v>
      </c>
      <c r="H236" s="561"/>
      <c r="I236" s="562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503" t="s">
        <v>124</v>
      </c>
      <c r="E237" s="504"/>
      <c r="F237" s="505" t="s">
        <v>130</v>
      </c>
      <c r="G237" s="506"/>
      <c r="H237" s="507"/>
      <c r="I237" s="101" t="s">
        <v>131</v>
      </c>
    </row>
    <row r="238" spans="1:9" ht="15" customHeight="1" thickBot="1" x14ac:dyDescent="0.3">
      <c r="A238" s="101" t="s">
        <v>131</v>
      </c>
      <c r="B238" s="544">
        <v>1</v>
      </c>
      <c r="C238" s="527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45"/>
      <c r="C239" s="528"/>
      <c r="D239" s="551">
        <v>1</v>
      </c>
      <c r="E239" s="554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45"/>
      <c r="C240" s="528"/>
      <c r="D240" s="552"/>
      <c r="E240" s="555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45"/>
      <c r="C241" s="528"/>
      <c r="D241" s="552"/>
      <c r="E241" s="555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45"/>
      <c r="C242" s="528"/>
      <c r="D242" s="552"/>
      <c r="E242" s="555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45"/>
      <c r="C243" s="528"/>
      <c r="D243" s="552"/>
      <c r="E243" s="555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45"/>
      <c r="C244" s="528"/>
      <c r="D244" s="552"/>
      <c r="E244" s="555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41" t="s">
        <v>128</v>
      </c>
      <c r="C245" s="298" t="s">
        <v>208</v>
      </c>
      <c r="D245" s="552"/>
      <c r="E245" s="555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42"/>
      <c r="C246" s="299"/>
      <c r="D246" s="553"/>
      <c r="E246" s="556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44">
        <v>2</v>
      </c>
      <c r="C247" s="527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45"/>
      <c r="C248" s="528"/>
      <c r="D248" s="530">
        <v>1</v>
      </c>
      <c r="E248" s="533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45"/>
      <c r="C249" s="528"/>
      <c r="D249" s="531"/>
      <c r="E249" s="534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45"/>
      <c r="C250" s="528"/>
      <c r="D250" s="531"/>
      <c r="E250" s="534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45"/>
      <c r="C251" s="528"/>
      <c r="D251" s="531"/>
      <c r="E251" s="534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45"/>
      <c r="C252" s="528"/>
      <c r="D252" s="531"/>
      <c r="E252" s="534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45"/>
      <c r="C253" s="528"/>
      <c r="D253" s="531"/>
      <c r="E253" s="534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46"/>
      <c r="C254" s="529"/>
      <c r="D254" s="531"/>
      <c r="E254" s="534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41" t="s">
        <v>128</v>
      </c>
      <c r="C255" s="313" t="s">
        <v>208</v>
      </c>
      <c r="D255" s="531"/>
      <c r="E255" s="534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42"/>
      <c r="C256" s="346"/>
      <c r="D256" s="532"/>
      <c r="E256" s="535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44">
        <v>3</v>
      </c>
      <c r="C257" s="527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45"/>
      <c r="C258" s="528"/>
      <c r="D258" s="530">
        <v>1</v>
      </c>
      <c r="E258" s="533">
        <f>IF(D258=0,0,VLOOKUP($D258,$F257:$H266,3,FALSE)*$E257)</f>
        <v>11.5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45"/>
      <c r="C259" s="528"/>
      <c r="D259" s="531"/>
      <c r="E259" s="534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45"/>
      <c r="C260" s="528"/>
      <c r="D260" s="531"/>
      <c r="E260" s="534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45"/>
      <c r="C261" s="528"/>
      <c r="D261" s="531"/>
      <c r="E261" s="534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45"/>
      <c r="C262" s="528"/>
      <c r="D262" s="531"/>
      <c r="E262" s="534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45"/>
      <c r="C263" s="528"/>
      <c r="D263" s="531"/>
      <c r="E263" s="534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46"/>
      <c r="C264" s="529"/>
      <c r="D264" s="531"/>
      <c r="E264" s="534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41" t="s">
        <v>128</v>
      </c>
      <c r="C265" s="313" t="s">
        <v>338</v>
      </c>
      <c r="D265" s="531"/>
      <c r="E265" s="534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42"/>
      <c r="C266" s="346"/>
      <c r="D266" s="532"/>
      <c r="E266" s="535"/>
      <c r="F266" s="62"/>
      <c r="G266" s="349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44">
        <v>4</v>
      </c>
      <c r="C267" s="596" t="s">
        <v>324</v>
      </c>
      <c r="D267" s="170" t="s">
        <v>125</v>
      </c>
      <c r="E267" s="171">
        <v>0.2</v>
      </c>
      <c r="F267" s="93">
        <v>1</v>
      </c>
      <c r="G267" s="347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45"/>
      <c r="C268" s="597"/>
      <c r="D268" s="530">
        <v>1</v>
      </c>
      <c r="E268" s="554">
        <f>IF(D268=0,0,VLOOKUP($D268,$F267:$H276,3,FALSE)*$E267)</f>
        <v>23</v>
      </c>
      <c r="F268" s="256">
        <v>2</v>
      </c>
      <c r="G268" s="348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45"/>
      <c r="C269" s="597"/>
      <c r="D269" s="531"/>
      <c r="E269" s="555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45"/>
      <c r="C270" s="597"/>
      <c r="D270" s="531"/>
      <c r="E270" s="555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45"/>
      <c r="C271" s="597"/>
      <c r="D271" s="531"/>
      <c r="E271" s="555"/>
      <c r="F271" s="59">
        <v>5</v>
      </c>
      <c r="G271" s="222" t="s">
        <v>317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45"/>
      <c r="C272" s="597"/>
      <c r="D272" s="531"/>
      <c r="E272" s="555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45"/>
      <c r="C273" s="597"/>
      <c r="D273" s="531"/>
      <c r="E273" s="555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46"/>
      <c r="C274" s="598"/>
      <c r="D274" s="531"/>
      <c r="E274" s="555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41" t="s">
        <v>128</v>
      </c>
      <c r="C275" s="350" t="s">
        <v>217</v>
      </c>
      <c r="D275" s="531"/>
      <c r="E275" s="555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42"/>
      <c r="C276" s="270"/>
      <c r="D276" s="532"/>
      <c r="E276" s="556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50">
        <v>5</v>
      </c>
      <c r="C277" s="596" t="s">
        <v>318</v>
      </c>
      <c r="D277" s="170" t="s">
        <v>125</v>
      </c>
      <c r="E277" s="171">
        <v>0.05</v>
      </c>
      <c r="F277" s="93">
        <v>1</v>
      </c>
      <c r="G277" s="347" t="s">
        <v>320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45"/>
      <c r="C278" s="597"/>
      <c r="D278" s="530">
        <v>1</v>
      </c>
      <c r="E278" s="533">
        <f>IF(D278=0,0,VLOOKUP($D278,$F277:$H285,3,FALSE)*$E277)</f>
        <v>5.75</v>
      </c>
      <c r="F278" s="59">
        <v>2</v>
      </c>
      <c r="G278" s="347" t="s">
        <v>319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45"/>
      <c r="C279" s="597"/>
      <c r="D279" s="531"/>
      <c r="E279" s="534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45"/>
      <c r="C280" s="597"/>
      <c r="D280" s="531"/>
      <c r="E280" s="534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45"/>
      <c r="C281" s="597"/>
      <c r="D281" s="531"/>
      <c r="E281" s="534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45"/>
      <c r="C282" s="597"/>
      <c r="D282" s="531"/>
      <c r="E282" s="534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45"/>
      <c r="C283" s="597"/>
      <c r="D283" s="531"/>
      <c r="E283" s="534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41" t="s">
        <v>128</v>
      </c>
      <c r="C284" s="350" t="s">
        <v>320</v>
      </c>
      <c r="D284" s="531"/>
      <c r="E284" s="534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42"/>
      <c r="C285" s="351"/>
      <c r="D285" s="532"/>
      <c r="E285" s="535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44">
        <v>6</v>
      </c>
      <c r="C286" s="599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45"/>
      <c r="C287" s="600"/>
      <c r="D287" s="530"/>
      <c r="E287" s="533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45"/>
      <c r="C288" s="600"/>
      <c r="D288" s="531"/>
      <c r="E288" s="534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45"/>
      <c r="C289" s="600"/>
      <c r="D289" s="531"/>
      <c r="E289" s="534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45"/>
      <c r="C290" s="600"/>
      <c r="D290" s="531"/>
      <c r="E290" s="534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45"/>
      <c r="C291" s="600"/>
      <c r="D291" s="531"/>
      <c r="E291" s="534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45"/>
      <c r="C292" s="600"/>
      <c r="D292" s="531"/>
      <c r="E292" s="534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46"/>
      <c r="C293" s="601"/>
      <c r="D293" s="531"/>
      <c r="E293" s="534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41" t="s">
        <v>128</v>
      </c>
      <c r="C294" s="587"/>
      <c r="D294" s="531"/>
      <c r="E294" s="534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42"/>
      <c r="C295" s="588"/>
      <c r="D295" s="532"/>
      <c r="E295" s="535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44"/>
      <c r="C296" s="527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45"/>
      <c r="C297" s="528"/>
      <c r="D297" s="551"/>
      <c r="E297" s="554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45"/>
      <c r="C298" s="528"/>
      <c r="D298" s="552"/>
      <c r="E298" s="555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45"/>
      <c r="C299" s="528"/>
      <c r="D299" s="552"/>
      <c r="E299" s="555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45"/>
      <c r="C300" s="528"/>
      <c r="D300" s="552"/>
      <c r="E300" s="555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45"/>
      <c r="C301" s="528"/>
      <c r="D301" s="552"/>
      <c r="E301" s="555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45"/>
      <c r="C302" s="528"/>
      <c r="D302" s="552"/>
      <c r="E302" s="555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46"/>
      <c r="C303" s="529"/>
      <c r="D303" s="552"/>
      <c r="E303" s="555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524"/>
      <c r="C304" s="527"/>
      <c r="D304" s="552"/>
      <c r="E304" s="555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526"/>
      <c r="C305" s="529"/>
      <c r="D305" s="553"/>
      <c r="E305" s="556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44"/>
      <c r="C306" s="527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45"/>
      <c r="C307" s="528"/>
      <c r="D307" s="551"/>
      <c r="E307" s="554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45"/>
      <c r="C308" s="528"/>
      <c r="D308" s="552"/>
      <c r="E308" s="555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45"/>
      <c r="C309" s="528"/>
      <c r="D309" s="552"/>
      <c r="E309" s="555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45"/>
      <c r="C310" s="528"/>
      <c r="D310" s="552"/>
      <c r="E310" s="555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45"/>
      <c r="C311" s="528"/>
      <c r="D311" s="552"/>
      <c r="E311" s="555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45"/>
      <c r="C312" s="528"/>
      <c r="D312" s="552"/>
      <c r="E312" s="555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46"/>
      <c r="C313" s="529"/>
      <c r="D313" s="552"/>
      <c r="E313" s="555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524"/>
      <c r="C314" s="527"/>
      <c r="D314" s="552"/>
      <c r="E314" s="555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526"/>
      <c r="C315" s="529"/>
      <c r="D315" s="553"/>
      <c r="E315" s="556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503"/>
      <c r="E316" s="504"/>
      <c r="F316" s="505"/>
      <c r="G316" s="506"/>
      <c r="H316" s="507"/>
      <c r="I316" s="101" t="s">
        <v>131</v>
      </c>
    </row>
    <row r="317" spans="1:9" ht="15" hidden="1" customHeight="1" thickBot="1" x14ac:dyDescent="0.3">
      <c r="A317" s="101" t="s">
        <v>131</v>
      </c>
      <c r="B317" s="544"/>
      <c r="C317" s="527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45"/>
      <c r="C318" s="528"/>
      <c r="D318" s="551"/>
      <c r="E318" s="554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45"/>
      <c r="C319" s="528"/>
      <c r="D319" s="552"/>
      <c r="E319" s="555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45"/>
      <c r="C320" s="528"/>
      <c r="D320" s="552"/>
      <c r="E320" s="555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45"/>
      <c r="C321" s="528"/>
      <c r="D321" s="552"/>
      <c r="E321" s="555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45"/>
      <c r="C322" s="528"/>
      <c r="D322" s="552"/>
      <c r="E322" s="555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45"/>
      <c r="C323" s="528"/>
      <c r="D323" s="552"/>
      <c r="E323" s="555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46"/>
      <c r="C324" s="529"/>
      <c r="D324" s="552"/>
      <c r="E324" s="555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524"/>
      <c r="C325" s="527"/>
      <c r="D325" s="552"/>
      <c r="E325" s="555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526"/>
      <c r="C326" s="529"/>
      <c r="D326" s="553"/>
      <c r="E326" s="556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503"/>
      <c r="E327" s="504"/>
      <c r="F327" s="505"/>
      <c r="G327" s="506"/>
      <c r="H327" s="507"/>
      <c r="I327" s="101" t="s">
        <v>131</v>
      </c>
    </row>
    <row r="328" spans="1:9" ht="15" hidden="1" customHeight="1" thickBot="1" x14ac:dyDescent="0.3">
      <c r="A328" s="101" t="s">
        <v>131</v>
      </c>
      <c r="B328" s="550"/>
      <c r="C328" s="527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45"/>
      <c r="C329" s="528"/>
      <c r="D329" s="551"/>
      <c r="E329" s="554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45"/>
      <c r="C330" s="528"/>
      <c r="D330" s="552"/>
      <c r="E330" s="555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45"/>
      <c r="C331" s="528"/>
      <c r="D331" s="552"/>
      <c r="E331" s="555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45"/>
      <c r="C332" s="528"/>
      <c r="D332" s="552"/>
      <c r="E332" s="555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45"/>
      <c r="C333" s="528"/>
      <c r="D333" s="552"/>
      <c r="E333" s="555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45"/>
      <c r="C334" s="528"/>
      <c r="D334" s="552"/>
      <c r="E334" s="555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46"/>
      <c r="C335" s="529"/>
      <c r="D335" s="552"/>
      <c r="E335" s="555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524"/>
      <c r="C336" s="527"/>
      <c r="D336" s="552"/>
      <c r="E336" s="555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526"/>
      <c r="C337" s="529"/>
      <c r="D337" s="553"/>
      <c r="E337" s="556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498" t="s">
        <v>17</v>
      </c>
      <c r="H340" s="498"/>
      <c r="I340" s="499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500">
        <v>0.25</v>
      </c>
      <c r="H341" s="501"/>
      <c r="I341" s="502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503" t="s">
        <v>124</v>
      </c>
      <c r="E343" s="504"/>
      <c r="F343" s="505" t="s">
        <v>127</v>
      </c>
      <c r="G343" s="506"/>
      <c r="H343" s="507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44">
        <v>1</v>
      </c>
      <c r="C344" s="527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6">
        <f>SUM(L344:L348)</f>
        <v>115</v>
      </c>
    </row>
    <row r="345" spans="1:15" x14ac:dyDescent="0.25">
      <c r="A345" s="98" t="s">
        <v>131</v>
      </c>
      <c r="B345" s="545"/>
      <c r="C345" s="528"/>
      <c r="D345" s="649">
        <v>1</v>
      </c>
      <c r="E345" s="650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6"/>
    </row>
    <row r="346" spans="1:15" x14ac:dyDescent="0.25">
      <c r="A346" s="98" t="s">
        <v>131</v>
      </c>
      <c r="B346" s="545"/>
      <c r="C346" s="528"/>
      <c r="D346" s="651"/>
      <c r="E346" s="652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6"/>
    </row>
    <row r="347" spans="1:15" x14ac:dyDescent="0.25">
      <c r="A347" s="98" t="s">
        <v>131</v>
      </c>
      <c r="B347" s="545"/>
      <c r="C347" s="528"/>
      <c r="D347" s="651"/>
      <c r="E347" s="652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6"/>
    </row>
    <row r="348" spans="1:15" ht="15.75" thickBot="1" x14ac:dyDescent="0.3">
      <c r="A348" s="98" t="s">
        <v>131</v>
      </c>
      <c r="B348" s="545"/>
      <c r="C348" s="528"/>
      <c r="D348" s="651"/>
      <c r="E348" s="652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7"/>
    </row>
    <row r="349" spans="1:15" ht="15.75" thickBot="1" x14ac:dyDescent="0.3">
      <c r="A349" s="98" t="s">
        <v>131</v>
      </c>
      <c r="B349" s="545"/>
      <c r="C349" s="528"/>
      <c r="D349" s="651"/>
      <c r="E349" s="652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45"/>
      <c r="C350" s="528"/>
      <c r="D350" s="651"/>
      <c r="E350" s="652"/>
      <c r="F350" s="159">
        <v>7</v>
      </c>
      <c r="G350" s="222" t="s">
        <v>247</v>
      </c>
      <c r="H350" s="221">
        <v>102</v>
      </c>
      <c r="I350" s="98" t="s">
        <v>131</v>
      </c>
      <c r="K350" s="538" t="s">
        <v>62</v>
      </c>
      <c r="L350" s="539"/>
      <c r="M350" s="540"/>
    </row>
    <row r="351" spans="1:15" ht="15.75" thickBot="1" x14ac:dyDescent="0.3">
      <c r="A351" s="98" t="s">
        <v>131</v>
      </c>
      <c r="B351" s="546"/>
      <c r="C351" s="529"/>
      <c r="D351" s="651"/>
      <c r="E351" s="652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41" t="s">
        <v>128</v>
      </c>
      <c r="C352" s="648" t="s">
        <v>248</v>
      </c>
      <c r="D352" s="651"/>
      <c r="E352" s="652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43">
        <f>SUM(L352:L361)</f>
        <v>111.25</v>
      </c>
    </row>
    <row r="353" spans="1:13" ht="15.75" thickBot="1" x14ac:dyDescent="0.3">
      <c r="A353" s="98" t="s">
        <v>131</v>
      </c>
      <c r="B353" s="542"/>
      <c r="C353" s="656"/>
      <c r="D353" s="653"/>
      <c r="E353" s="654"/>
      <c r="F353" s="62"/>
      <c r="G353" s="63"/>
      <c r="H353" s="165"/>
      <c r="I353" s="98" t="s">
        <v>131</v>
      </c>
      <c r="K353" s="71">
        <v>2</v>
      </c>
      <c r="L353" s="126">
        <f>E408</f>
        <v>25</v>
      </c>
      <c r="M353" s="536"/>
    </row>
    <row r="354" spans="1:13" ht="15.75" hidden="1" customHeight="1" thickBot="1" x14ac:dyDescent="0.3">
      <c r="A354" s="98" t="s">
        <v>131</v>
      </c>
      <c r="B354" s="544"/>
      <c r="C354" s="527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6"/>
    </row>
    <row r="355" spans="1:13" ht="15" hidden="1" customHeight="1" x14ac:dyDescent="0.25">
      <c r="A355" s="98" t="s">
        <v>131</v>
      </c>
      <c r="B355" s="545"/>
      <c r="C355" s="528"/>
      <c r="D355" s="551"/>
      <c r="E355" s="554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6"/>
    </row>
    <row r="356" spans="1:13" ht="15" hidden="1" customHeight="1" x14ac:dyDescent="0.25">
      <c r="A356" s="98" t="s">
        <v>131</v>
      </c>
      <c r="B356" s="545"/>
      <c r="C356" s="528"/>
      <c r="D356" s="552"/>
      <c r="E356" s="555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6"/>
    </row>
    <row r="357" spans="1:13" ht="15" hidden="1" customHeight="1" x14ac:dyDescent="0.25">
      <c r="A357" s="98" t="s">
        <v>131</v>
      </c>
      <c r="B357" s="545"/>
      <c r="C357" s="528"/>
      <c r="D357" s="552"/>
      <c r="E357" s="555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6"/>
    </row>
    <row r="358" spans="1:13" ht="15" hidden="1" customHeight="1" x14ac:dyDescent="0.25">
      <c r="A358" s="98" t="s">
        <v>131</v>
      </c>
      <c r="B358" s="545"/>
      <c r="C358" s="528"/>
      <c r="D358" s="552"/>
      <c r="E358" s="555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6"/>
    </row>
    <row r="359" spans="1:13" ht="15" hidden="1" customHeight="1" x14ac:dyDescent="0.25">
      <c r="A359" s="98" t="s">
        <v>131</v>
      </c>
      <c r="B359" s="545"/>
      <c r="C359" s="528"/>
      <c r="D359" s="552"/>
      <c r="E359" s="555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6"/>
    </row>
    <row r="360" spans="1:13" ht="15" hidden="1" customHeight="1" x14ac:dyDescent="0.25">
      <c r="A360" s="98" t="s">
        <v>131</v>
      </c>
      <c r="B360" s="545"/>
      <c r="C360" s="528"/>
      <c r="D360" s="552"/>
      <c r="E360" s="555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6"/>
    </row>
    <row r="361" spans="1:13" ht="15.75" hidden="1" customHeight="1" thickBot="1" x14ac:dyDescent="0.3">
      <c r="A361" s="98" t="s">
        <v>131</v>
      </c>
      <c r="B361" s="546"/>
      <c r="C361" s="529"/>
      <c r="D361" s="552"/>
      <c r="E361" s="555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7"/>
    </row>
    <row r="362" spans="1:13" ht="15" hidden="1" customHeight="1" x14ac:dyDescent="0.25">
      <c r="A362" s="98" t="s">
        <v>131</v>
      </c>
      <c r="B362" s="524" t="s">
        <v>128</v>
      </c>
      <c r="C362" s="527"/>
      <c r="D362" s="552"/>
      <c r="E362" s="555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526"/>
      <c r="C363" s="529"/>
      <c r="D363" s="553"/>
      <c r="E363" s="556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44">
        <v>3</v>
      </c>
      <c r="C364" s="527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45"/>
      <c r="C365" s="528"/>
      <c r="D365" s="551"/>
      <c r="E365" s="554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45"/>
      <c r="C366" s="528"/>
      <c r="D366" s="552"/>
      <c r="E366" s="555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45"/>
      <c r="C367" s="528"/>
      <c r="D367" s="552"/>
      <c r="E367" s="555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45"/>
      <c r="C368" s="528"/>
      <c r="D368" s="552"/>
      <c r="E368" s="555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45"/>
      <c r="C369" s="528"/>
      <c r="D369" s="552"/>
      <c r="E369" s="555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45"/>
      <c r="C370" s="528"/>
      <c r="D370" s="552"/>
      <c r="E370" s="555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46"/>
      <c r="C371" s="529"/>
      <c r="D371" s="552"/>
      <c r="E371" s="555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524" t="s">
        <v>128</v>
      </c>
      <c r="C372" s="527"/>
      <c r="D372" s="552"/>
      <c r="E372" s="555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526"/>
      <c r="C373" s="529"/>
      <c r="D373" s="553"/>
      <c r="E373" s="556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44">
        <v>4</v>
      </c>
      <c r="C374" s="527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45"/>
      <c r="C375" s="528"/>
      <c r="D375" s="551"/>
      <c r="E375" s="554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45"/>
      <c r="C376" s="528"/>
      <c r="D376" s="552"/>
      <c r="E376" s="555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45"/>
      <c r="C377" s="528"/>
      <c r="D377" s="552"/>
      <c r="E377" s="555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45"/>
      <c r="C378" s="528"/>
      <c r="D378" s="552"/>
      <c r="E378" s="555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45"/>
      <c r="C379" s="528"/>
      <c r="D379" s="552"/>
      <c r="E379" s="555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45"/>
      <c r="C380" s="528"/>
      <c r="D380" s="552"/>
      <c r="E380" s="555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46"/>
      <c r="C381" s="529"/>
      <c r="D381" s="552"/>
      <c r="E381" s="555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524" t="s">
        <v>128</v>
      </c>
      <c r="C382" s="527"/>
      <c r="D382" s="552"/>
      <c r="E382" s="555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526"/>
      <c r="C383" s="529"/>
      <c r="D383" s="553"/>
      <c r="E383" s="556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50">
        <v>5</v>
      </c>
      <c r="C384" s="527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45"/>
      <c r="C385" s="528"/>
      <c r="D385" s="551"/>
      <c r="E385" s="554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45"/>
      <c r="C386" s="528"/>
      <c r="D386" s="552"/>
      <c r="E386" s="555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45"/>
      <c r="C387" s="528"/>
      <c r="D387" s="552"/>
      <c r="E387" s="555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45"/>
      <c r="C388" s="528"/>
      <c r="D388" s="552"/>
      <c r="E388" s="555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45"/>
      <c r="C389" s="528"/>
      <c r="D389" s="552"/>
      <c r="E389" s="555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45"/>
      <c r="C390" s="528"/>
      <c r="D390" s="552"/>
      <c r="E390" s="555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46"/>
      <c r="C391" s="529"/>
      <c r="D391" s="552"/>
      <c r="E391" s="555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524" t="s">
        <v>128</v>
      </c>
      <c r="C392" s="527"/>
      <c r="D392" s="552"/>
      <c r="E392" s="555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526"/>
      <c r="C393" s="529"/>
      <c r="D393" s="553"/>
      <c r="E393" s="556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557" t="s">
        <v>17</v>
      </c>
      <c r="H395" s="558"/>
      <c r="I395" s="559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60">
        <v>0.25</v>
      </c>
      <c r="H396" s="561"/>
      <c r="I396" s="562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503" t="s">
        <v>124</v>
      </c>
      <c r="E397" s="504"/>
      <c r="F397" s="505" t="s">
        <v>130</v>
      </c>
      <c r="G397" s="506"/>
      <c r="H397" s="507"/>
      <c r="I397" s="101" t="s">
        <v>131</v>
      </c>
    </row>
    <row r="398" spans="1:9" ht="15.75" customHeight="1" thickBot="1" x14ac:dyDescent="0.3">
      <c r="A398" s="101" t="s">
        <v>131</v>
      </c>
      <c r="B398" s="544">
        <v>1</v>
      </c>
      <c r="C398" s="547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45"/>
      <c r="C399" s="548"/>
      <c r="D399" s="551">
        <v>1</v>
      </c>
      <c r="E399" s="554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45"/>
      <c r="C400" s="548"/>
      <c r="D400" s="552"/>
      <c r="E400" s="555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45"/>
      <c r="C401" s="548"/>
      <c r="D401" s="552"/>
      <c r="E401" s="555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45"/>
      <c r="C402" s="548"/>
      <c r="D402" s="552"/>
      <c r="E402" s="555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45"/>
      <c r="C403" s="548"/>
      <c r="D403" s="552"/>
      <c r="E403" s="555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45"/>
      <c r="C404" s="548"/>
      <c r="D404" s="552"/>
      <c r="E404" s="555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41" t="s">
        <v>128</v>
      </c>
      <c r="C405" s="352" t="s">
        <v>180</v>
      </c>
      <c r="D405" s="552"/>
      <c r="E405" s="555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42"/>
      <c r="C406" s="300"/>
      <c r="D406" s="553"/>
      <c r="E406" s="556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44">
        <v>2</v>
      </c>
      <c r="C407" s="547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45"/>
      <c r="C408" s="548"/>
      <c r="D408" s="649">
        <v>2</v>
      </c>
      <c r="E408" s="650">
        <f>IF(D408=0,0,VLOOKUP($D408,$F407:$H415,3,FALSE)*$E407)</f>
        <v>25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45"/>
      <c r="C409" s="548"/>
      <c r="D409" s="651"/>
      <c r="E409" s="652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45"/>
      <c r="C410" s="548"/>
      <c r="D410" s="651"/>
      <c r="E410" s="652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45"/>
      <c r="C411" s="548"/>
      <c r="D411" s="651"/>
      <c r="E411" s="652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45"/>
      <c r="C412" s="548"/>
      <c r="D412" s="651"/>
      <c r="E412" s="652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46"/>
      <c r="C413" s="549"/>
      <c r="D413" s="651"/>
      <c r="E413" s="652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41" t="s">
        <v>128</v>
      </c>
      <c r="C414" s="648" t="s">
        <v>181</v>
      </c>
      <c r="D414" s="651"/>
      <c r="E414" s="652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42"/>
      <c r="C415" s="346"/>
      <c r="D415" s="653"/>
      <c r="E415" s="654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44">
        <v>3</v>
      </c>
      <c r="C416" s="547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45"/>
      <c r="C417" s="548"/>
      <c r="D417" s="579">
        <v>1</v>
      </c>
      <c r="E417" s="554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45"/>
      <c r="C418" s="548"/>
      <c r="D418" s="580"/>
      <c r="E418" s="555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45"/>
      <c r="C419" s="548"/>
      <c r="D419" s="580"/>
      <c r="E419" s="555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45"/>
      <c r="C420" s="548"/>
      <c r="D420" s="580"/>
      <c r="E420" s="555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45"/>
      <c r="C421" s="548"/>
      <c r="D421" s="580"/>
      <c r="E421" s="555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45"/>
      <c r="C422" s="548"/>
      <c r="D422" s="580"/>
      <c r="E422" s="555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46"/>
      <c r="C423" s="549"/>
      <c r="D423" s="580"/>
      <c r="E423" s="555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41" t="s">
        <v>128</v>
      </c>
      <c r="C424" s="355" t="s">
        <v>248</v>
      </c>
      <c r="D424" s="580"/>
      <c r="E424" s="555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42"/>
      <c r="C425" s="300"/>
      <c r="D425" s="581"/>
      <c r="E425" s="556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44">
        <v>4</v>
      </c>
      <c r="C426" s="547" t="s">
        <v>332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45"/>
      <c r="C427" s="548"/>
      <c r="D427" s="579">
        <v>1</v>
      </c>
      <c r="E427" s="554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45"/>
      <c r="C428" s="548"/>
      <c r="D428" s="580"/>
      <c r="E428" s="555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45"/>
      <c r="C429" s="548"/>
      <c r="D429" s="580"/>
      <c r="E429" s="555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45"/>
      <c r="C430" s="548"/>
      <c r="D430" s="580"/>
      <c r="E430" s="555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45"/>
      <c r="C431" s="548"/>
      <c r="D431" s="580"/>
      <c r="E431" s="555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45"/>
      <c r="C432" s="548"/>
      <c r="D432" s="580"/>
      <c r="E432" s="555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46"/>
      <c r="C433" s="549"/>
      <c r="D433" s="580"/>
      <c r="E433" s="555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41" t="s">
        <v>128</v>
      </c>
      <c r="C434" s="352" t="s">
        <v>253</v>
      </c>
      <c r="D434" s="580"/>
      <c r="E434" s="555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42"/>
      <c r="C435" s="300"/>
      <c r="D435" s="581"/>
      <c r="E435" s="556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50">
        <v>5</v>
      </c>
      <c r="C436" s="527" t="s">
        <v>258</v>
      </c>
      <c r="D436" s="271" t="s">
        <v>125</v>
      </c>
      <c r="E436" s="107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45"/>
      <c r="C437" s="528"/>
      <c r="D437" s="649">
        <v>1</v>
      </c>
      <c r="E437" s="650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45"/>
      <c r="C438" s="528"/>
      <c r="D438" s="651"/>
      <c r="E438" s="652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45"/>
      <c r="C439" s="528"/>
      <c r="D439" s="651"/>
      <c r="E439" s="652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45"/>
      <c r="C440" s="528"/>
      <c r="D440" s="651"/>
      <c r="E440" s="652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45"/>
      <c r="C441" s="528"/>
      <c r="D441" s="651"/>
      <c r="E441" s="652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45"/>
      <c r="C442" s="528"/>
      <c r="D442" s="651"/>
      <c r="E442" s="652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46"/>
      <c r="C443" s="529"/>
      <c r="D443" s="651"/>
      <c r="E443" s="652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524" t="s">
        <v>128</v>
      </c>
      <c r="C444" s="655" t="s">
        <v>248</v>
      </c>
      <c r="D444" s="651"/>
      <c r="E444" s="652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526"/>
      <c r="C445" s="297"/>
      <c r="D445" s="653"/>
      <c r="E445" s="654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44">
        <v>6</v>
      </c>
      <c r="C446" s="582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45"/>
      <c r="C447" s="583"/>
      <c r="D447" s="551"/>
      <c r="E447" s="554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45"/>
      <c r="C448" s="583"/>
      <c r="D448" s="552"/>
      <c r="E448" s="555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45"/>
      <c r="C449" s="583"/>
      <c r="D449" s="552"/>
      <c r="E449" s="555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45"/>
      <c r="C450" s="583"/>
      <c r="D450" s="552"/>
      <c r="E450" s="555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45"/>
      <c r="C451" s="583"/>
      <c r="D451" s="552"/>
      <c r="E451" s="555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45"/>
      <c r="C452" s="583"/>
      <c r="D452" s="552"/>
      <c r="E452" s="555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46"/>
      <c r="C453" s="584"/>
      <c r="D453" s="552"/>
      <c r="E453" s="555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524" t="s">
        <v>128</v>
      </c>
      <c r="C454" s="585"/>
      <c r="D454" s="552"/>
      <c r="E454" s="555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526"/>
      <c r="C455" s="586"/>
      <c r="D455" s="553"/>
      <c r="E455" s="556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44">
        <v>7</v>
      </c>
      <c r="C456" s="527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45"/>
      <c r="C457" s="528"/>
      <c r="D457" s="551"/>
      <c r="E457" s="554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45"/>
      <c r="C458" s="528"/>
      <c r="D458" s="552"/>
      <c r="E458" s="555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45"/>
      <c r="C459" s="528"/>
      <c r="D459" s="552"/>
      <c r="E459" s="555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45"/>
      <c r="C460" s="528"/>
      <c r="D460" s="552"/>
      <c r="E460" s="555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45"/>
      <c r="C461" s="528"/>
      <c r="D461" s="552"/>
      <c r="E461" s="555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45"/>
      <c r="C462" s="528"/>
      <c r="D462" s="552"/>
      <c r="E462" s="555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46"/>
      <c r="C463" s="529"/>
      <c r="D463" s="552"/>
      <c r="E463" s="555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524" t="s">
        <v>128</v>
      </c>
      <c r="C464" s="527"/>
      <c r="D464" s="552"/>
      <c r="E464" s="555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526"/>
      <c r="C465" s="529"/>
      <c r="D465" s="553"/>
      <c r="E465" s="556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44">
        <v>8</v>
      </c>
      <c r="C466" s="527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45"/>
      <c r="C467" s="528"/>
      <c r="D467" s="551"/>
      <c r="E467" s="554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45"/>
      <c r="C468" s="528"/>
      <c r="D468" s="552"/>
      <c r="E468" s="555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45"/>
      <c r="C469" s="528"/>
      <c r="D469" s="552"/>
      <c r="E469" s="555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45"/>
      <c r="C470" s="528"/>
      <c r="D470" s="552"/>
      <c r="E470" s="555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45"/>
      <c r="C471" s="528"/>
      <c r="D471" s="552"/>
      <c r="E471" s="555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45"/>
      <c r="C472" s="528"/>
      <c r="D472" s="552"/>
      <c r="E472" s="555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46"/>
      <c r="C473" s="529"/>
      <c r="D473" s="552"/>
      <c r="E473" s="555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524" t="s">
        <v>128</v>
      </c>
      <c r="C474" s="527"/>
      <c r="D474" s="552"/>
      <c r="E474" s="555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526"/>
      <c r="C475" s="529"/>
      <c r="D475" s="553"/>
      <c r="E475" s="556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44">
        <v>9</v>
      </c>
      <c r="C476" s="527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45"/>
      <c r="C477" s="528"/>
      <c r="D477" s="551"/>
      <c r="E477" s="554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45"/>
      <c r="C478" s="528"/>
      <c r="D478" s="552"/>
      <c r="E478" s="555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45"/>
      <c r="C479" s="528"/>
      <c r="D479" s="552"/>
      <c r="E479" s="555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45"/>
      <c r="C480" s="528"/>
      <c r="D480" s="552"/>
      <c r="E480" s="555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45"/>
      <c r="C481" s="528"/>
      <c r="D481" s="552"/>
      <c r="E481" s="555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45"/>
      <c r="C482" s="528"/>
      <c r="D482" s="552"/>
      <c r="E482" s="555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46"/>
      <c r="C483" s="529"/>
      <c r="D483" s="552"/>
      <c r="E483" s="555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524" t="s">
        <v>128</v>
      </c>
      <c r="C484" s="527"/>
      <c r="D484" s="552"/>
      <c r="E484" s="555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526"/>
      <c r="C485" s="529"/>
      <c r="D485" s="553"/>
      <c r="E485" s="556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50">
        <v>10</v>
      </c>
      <c r="C486" s="527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45"/>
      <c r="C487" s="528"/>
      <c r="D487" s="551"/>
      <c r="E487" s="554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45"/>
      <c r="C488" s="528"/>
      <c r="D488" s="552"/>
      <c r="E488" s="555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45"/>
      <c r="C489" s="528"/>
      <c r="D489" s="552"/>
      <c r="E489" s="555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45"/>
      <c r="C490" s="528"/>
      <c r="D490" s="552"/>
      <c r="E490" s="555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45"/>
      <c r="C491" s="528"/>
      <c r="D491" s="552"/>
      <c r="E491" s="555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45"/>
      <c r="C492" s="528"/>
      <c r="D492" s="552"/>
      <c r="E492" s="555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46"/>
      <c r="C493" s="529"/>
      <c r="D493" s="552"/>
      <c r="E493" s="555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524" t="s">
        <v>128</v>
      </c>
      <c r="C494" s="527"/>
      <c r="D494" s="552"/>
      <c r="E494" s="555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526"/>
      <c r="C495" s="529"/>
      <c r="D495" s="553"/>
      <c r="E495" s="556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498" t="s">
        <v>17</v>
      </c>
      <c r="H498" s="498"/>
      <c r="I498" s="499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500">
        <v>0.1</v>
      </c>
      <c r="H499" s="501"/>
      <c r="I499" s="502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503" t="s">
        <v>124</v>
      </c>
      <c r="E501" s="504"/>
      <c r="F501" s="505" t="s">
        <v>127</v>
      </c>
      <c r="G501" s="506"/>
      <c r="H501" s="507"/>
      <c r="I501" s="98" t="s">
        <v>131</v>
      </c>
      <c r="K501" s="521" t="s">
        <v>129</v>
      </c>
      <c r="L501" s="522"/>
      <c r="M501" s="523"/>
    </row>
    <row r="502" spans="1:15" ht="15.75" thickBot="1" x14ac:dyDescent="0.3">
      <c r="A502" s="98" t="s">
        <v>131</v>
      </c>
      <c r="B502" s="544">
        <v>1</v>
      </c>
      <c r="C502" s="527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45"/>
      <c r="C503" s="528"/>
      <c r="D503" s="530">
        <v>1</v>
      </c>
      <c r="E503" s="533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6">
        <f>SUM(L503:L507)</f>
        <v>115</v>
      </c>
    </row>
    <row r="504" spans="1:15" x14ac:dyDescent="0.25">
      <c r="A504" s="98" t="s">
        <v>131</v>
      </c>
      <c r="B504" s="545"/>
      <c r="C504" s="528"/>
      <c r="D504" s="531"/>
      <c r="E504" s="534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6"/>
    </row>
    <row r="505" spans="1:15" x14ac:dyDescent="0.25">
      <c r="A505" s="98" t="s">
        <v>131</v>
      </c>
      <c r="B505" s="545"/>
      <c r="C505" s="528"/>
      <c r="D505" s="531"/>
      <c r="E505" s="534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6"/>
    </row>
    <row r="506" spans="1:15" x14ac:dyDescent="0.25">
      <c r="A506" s="98" t="s">
        <v>131</v>
      </c>
      <c r="B506" s="545"/>
      <c r="C506" s="528"/>
      <c r="D506" s="531"/>
      <c r="E506" s="534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6"/>
    </row>
    <row r="507" spans="1:15" ht="15.75" thickBot="1" x14ac:dyDescent="0.3">
      <c r="A507" s="98" t="s">
        <v>131</v>
      </c>
      <c r="B507" s="545"/>
      <c r="C507" s="528"/>
      <c r="D507" s="531"/>
      <c r="E507" s="534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7"/>
    </row>
    <row r="508" spans="1:15" ht="15.75" thickBot="1" x14ac:dyDescent="0.3">
      <c r="A508" s="98" t="s">
        <v>131</v>
      </c>
      <c r="B508" s="545"/>
      <c r="C508" s="528"/>
      <c r="D508" s="531"/>
      <c r="E508" s="534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46"/>
      <c r="C509" s="529"/>
      <c r="D509" s="531"/>
      <c r="E509" s="534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8" t="s">
        <v>62</v>
      </c>
      <c r="L509" s="539"/>
      <c r="M509" s="540"/>
    </row>
    <row r="510" spans="1:15" ht="15.75" thickBot="1" x14ac:dyDescent="0.3">
      <c r="A510" s="98" t="s">
        <v>131</v>
      </c>
      <c r="B510" s="541" t="s">
        <v>128</v>
      </c>
      <c r="C510" s="587" t="s">
        <v>307</v>
      </c>
      <c r="D510" s="531"/>
      <c r="E510" s="534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42"/>
      <c r="C511" s="588"/>
      <c r="D511" s="532"/>
      <c r="E511" s="535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43">
        <f>SUM(L511:L520)</f>
        <v>115</v>
      </c>
    </row>
    <row r="512" spans="1:15" ht="15.75" hidden="1" thickBot="1" x14ac:dyDescent="0.3">
      <c r="A512" s="98" t="s">
        <v>131</v>
      </c>
      <c r="B512" s="544"/>
      <c r="C512" s="527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6"/>
    </row>
    <row r="513" spans="1:13" ht="15.75" hidden="1" customHeight="1" x14ac:dyDescent="0.25">
      <c r="A513" s="98" t="s">
        <v>131</v>
      </c>
      <c r="B513" s="545"/>
      <c r="C513" s="528"/>
      <c r="D513" s="551"/>
      <c r="E513" s="554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6"/>
    </row>
    <row r="514" spans="1:13" ht="15" hidden="1" customHeight="1" x14ac:dyDescent="0.25">
      <c r="A514" s="98" t="s">
        <v>131</v>
      </c>
      <c r="B514" s="545"/>
      <c r="C514" s="528"/>
      <c r="D514" s="552"/>
      <c r="E514" s="555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6"/>
    </row>
    <row r="515" spans="1:13" ht="15" hidden="1" customHeight="1" x14ac:dyDescent="0.25">
      <c r="A515" s="98" t="s">
        <v>131</v>
      </c>
      <c r="B515" s="545"/>
      <c r="C515" s="528"/>
      <c r="D515" s="552"/>
      <c r="E515" s="555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6"/>
    </row>
    <row r="516" spans="1:13" ht="15" hidden="1" customHeight="1" x14ac:dyDescent="0.25">
      <c r="A516" s="98" t="s">
        <v>131</v>
      </c>
      <c r="B516" s="545"/>
      <c r="C516" s="528"/>
      <c r="D516" s="552"/>
      <c r="E516" s="555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6"/>
    </row>
    <row r="517" spans="1:13" ht="15" hidden="1" customHeight="1" x14ac:dyDescent="0.25">
      <c r="A517" s="98" t="s">
        <v>131</v>
      </c>
      <c r="B517" s="545"/>
      <c r="C517" s="528"/>
      <c r="D517" s="552"/>
      <c r="E517" s="555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6"/>
    </row>
    <row r="518" spans="1:13" ht="15" hidden="1" customHeight="1" x14ac:dyDescent="0.25">
      <c r="A518" s="98" t="s">
        <v>131</v>
      </c>
      <c r="B518" s="545"/>
      <c r="C518" s="528"/>
      <c r="D518" s="552"/>
      <c r="E518" s="555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6"/>
    </row>
    <row r="519" spans="1:13" ht="15" hidden="1" customHeight="1" thickBot="1" x14ac:dyDescent="0.3">
      <c r="A519" s="98" t="s">
        <v>131</v>
      </c>
      <c r="B519" s="546"/>
      <c r="C519" s="529"/>
      <c r="D519" s="552"/>
      <c r="E519" s="555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6"/>
    </row>
    <row r="520" spans="1:13" ht="15.75" hidden="1" customHeight="1" thickBot="1" x14ac:dyDescent="0.3">
      <c r="A520" s="98" t="s">
        <v>131</v>
      </c>
      <c r="B520" s="524" t="s">
        <v>128</v>
      </c>
      <c r="C520" s="527"/>
      <c r="D520" s="552"/>
      <c r="E520" s="555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7"/>
    </row>
    <row r="521" spans="1:13" ht="15" hidden="1" customHeight="1" thickBot="1" x14ac:dyDescent="0.3">
      <c r="A521" s="98" t="s">
        <v>131</v>
      </c>
      <c r="B521" s="526"/>
      <c r="C521" s="529"/>
      <c r="D521" s="553"/>
      <c r="E521" s="556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44">
        <v>3</v>
      </c>
      <c r="C522" s="527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45"/>
      <c r="C523" s="528"/>
      <c r="D523" s="551"/>
      <c r="E523" s="554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45"/>
      <c r="C524" s="528"/>
      <c r="D524" s="552"/>
      <c r="E524" s="555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45"/>
      <c r="C525" s="528"/>
      <c r="D525" s="552"/>
      <c r="E525" s="555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45"/>
      <c r="C526" s="528"/>
      <c r="D526" s="552"/>
      <c r="E526" s="555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45"/>
      <c r="C527" s="528"/>
      <c r="D527" s="552"/>
      <c r="E527" s="555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45"/>
      <c r="C528" s="528"/>
      <c r="D528" s="552"/>
      <c r="E528" s="555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46"/>
      <c r="C529" s="529"/>
      <c r="D529" s="552"/>
      <c r="E529" s="555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524" t="s">
        <v>128</v>
      </c>
      <c r="C530" s="527"/>
      <c r="D530" s="552"/>
      <c r="E530" s="555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526"/>
      <c r="C531" s="529"/>
      <c r="D531" s="553"/>
      <c r="E531" s="556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44">
        <v>4</v>
      </c>
      <c r="C532" s="527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45"/>
      <c r="C533" s="528"/>
      <c r="D533" s="551"/>
      <c r="E533" s="554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45"/>
      <c r="C534" s="528"/>
      <c r="D534" s="552"/>
      <c r="E534" s="555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45"/>
      <c r="C535" s="528"/>
      <c r="D535" s="552"/>
      <c r="E535" s="555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45"/>
      <c r="C536" s="528"/>
      <c r="D536" s="552"/>
      <c r="E536" s="555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45"/>
      <c r="C537" s="528"/>
      <c r="D537" s="552"/>
      <c r="E537" s="555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45"/>
      <c r="C538" s="528"/>
      <c r="D538" s="552"/>
      <c r="E538" s="555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46"/>
      <c r="C539" s="529"/>
      <c r="D539" s="552"/>
      <c r="E539" s="555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524" t="s">
        <v>128</v>
      </c>
      <c r="C540" s="527"/>
      <c r="D540" s="552"/>
      <c r="E540" s="555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526"/>
      <c r="C541" s="529"/>
      <c r="D541" s="553"/>
      <c r="E541" s="556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50">
        <v>5</v>
      </c>
      <c r="C542" s="527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45"/>
      <c r="C543" s="528"/>
      <c r="D543" s="551"/>
      <c r="E543" s="554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45"/>
      <c r="C544" s="528"/>
      <c r="D544" s="552"/>
      <c r="E544" s="555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45"/>
      <c r="C545" s="528"/>
      <c r="D545" s="552"/>
      <c r="E545" s="555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45"/>
      <c r="C546" s="528"/>
      <c r="D546" s="552"/>
      <c r="E546" s="555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45"/>
      <c r="C547" s="528"/>
      <c r="D547" s="552"/>
      <c r="E547" s="555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45"/>
      <c r="C548" s="528"/>
      <c r="D548" s="552"/>
      <c r="E548" s="555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46"/>
      <c r="C549" s="529"/>
      <c r="D549" s="552"/>
      <c r="E549" s="555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524" t="s">
        <v>128</v>
      </c>
      <c r="C550" s="527"/>
      <c r="D550" s="552"/>
      <c r="E550" s="555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526"/>
      <c r="C551" s="529"/>
      <c r="D551" s="553"/>
      <c r="E551" s="556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557" t="s">
        <v>17</v>
      </c>
      <c r="H553" s="558"/>
      <c r="I553" s="559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60">
        <v>0.1</v>
      </c>
      <c r="H554" s="561"/>
      <c r="I554" s="562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503" t="s">
        <v>124</v>
      </c>
      <c r="E555" s="504"/>
      <c r="F555" s="505" t="s">
        <v>130</v>
      </c>
      <c r="G555" s="506"/>
      <c r="H555" s="507"/>
      <c r="I555" s="101" t="s">
        <v>131</v>
      </c>
    </row>
    <row r="556" spans="1:9" ht="15.75" thickBot="1" x14ac:dyDescent="0.3">
      <c r="A556" s="101" t="s">
        <v>131</v>
      </c>
      <c r="B556" s="544">
        <v>1</v>
      </c>
      <c r="C556" s="527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45"/>
      <c r="C557" s="528"/>
      <c r="D557" s="530">
        <v>1</v>
      </c>
      <c r="E557" s="533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45"/>
      <c r="C558" s="528"/>
      <c r="D558" s="531"/>
      <c r="E558" s="534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45"/>
      <c r="C559" s="528"/>
      <c r="D559" s="531"/>
      <c r="E559" s="534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45"/>
      <c r="C560" s="528"/>
      <c r="D560" s="531"/>
      <c r="E560" s="534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45"/>
      <c r="C561" s="528"/>
      <c r="D561" s="531"/>
      <c r="E561" s="534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46"/>
      <c r="C562" s="529"/>
      <c r="D562" s="531"/>
      <c r="E562" s="534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41" t="s">
        <v>128</v>
      </c>
      <c r="C563" s="587" t="s">
        <v>179</v>
      </c>
      <c r="D563" s="531"/>
      <c r="E563" s="534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42"/>
      <c r="C564" s="588"/>
      <c r="D564" s="532"/>
      <c r="E564" s="535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44">
        <v>2</v>
      </c>
      <c r="C565" s="527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45"/>
      <c r="C566" s="528"/>
      <c r="D566" s="551">
        <v>1</v>
      </c>
      <c r="E566" s="554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45"/>
      <c r="C567" s="528"/>
      <c r="D567" s="552"/>
      <c r="E567" s="555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45"/>
      <c r="C568" s="528"/>
      <c r="D568" s="552"/>
      <c r="E568" s="555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45"/>
      <c r="C569" s="528"/>
      <c r="D569" s="552"/>
      <c r="E569" s="555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45"/>
      <c r="C570" s="528"/>
      <c r="D570" s="552"/>
      <c r="E570" s="555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46"/>
      <c r="C571" s="529"/>
      <c r="D571" s="552"/>
      <c r="E571" s="555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41" t="s">
        <v>128</v>
      </c>
      <c r="C572" s="574" t="s">
        <v>160</v>
      </c>
      <c r="D572" s="552"/>
      <c r="E572" s="555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42"/>
      <c r="C573" s="576"/>
      <c r="D573" s="553"/>
      <c r="E573" s="556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44">
        <v>3</v>
      </c>
      <c r="C574" s="527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45"/>
      <c r="C575" s="528"/>
      <c r="D575" s="589">
        <v>1</v>
      </c>
      <c r="E575" s="533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45"/>
      <c r="C576" s="528"/>
      <c r="D576" s="590"/>
      <c r="E576" s="534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45"/>
      <c r="C577" s="528"/>
      <c r="D577" s="590"/>
      <c r="E577" s="534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45"/>
      <c r="C578" s="528"/>
      <c r="D578" s="590"/>
      <c r="E578" s="534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45"/>
      <c r="C579" s="528"/>
      <c r="D579" s="590"/>
      <c r="E579" s="534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46"/>
      <c r="C580" s="529"/>
      <c r="D580" s="590"/>
      <c r="E580" s="534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41" t="s">
        <v>128</v>
      </c>
      <c r="C581" s="313" t="s">
        <v>145</v>
      </c>
      <c r="D581" s="590"/>
      <c r="E581" s="534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42"/>
      <c r="C582" s="314"/>
      <c r="D582" s="591"/>
      <c r="E582" s="535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44">
        <v>4</v>
      </c>
      <c r="C583" s="527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45"/>
      <c r="C584" s="528"/>
      <c r="D584" s="589">
        <v>1</v>
      </c>
      <c r="E584" s="533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45"/>
      <c r="C585" s="528"/>
      <c r="D585" s="590"/>
      <c r="E585" s="534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45"/>
      <c r="C586" s="528"/>
      <c r="D586" s="590"/>
      <c r="E586" s="534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45"/>
      <c r="C587" s="528"/>
      <c r="D587" s="590"/>
      <c r="E587" s="534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45"/>
      <c r="C588" s="528"/>
      <c r="D588" s="590"/>
      <c r="E588" s="534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45"/>
      <c r="C589" s="528"/>
      <c r="D589" s="590"/>
      <c r="E589" s="534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46"/>
      <c r="C590" s="529"/>
      <c r="D590" s="590"/>
      <c r="E590" s="534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41" t="s">
        <v>128</v>
      </c>
      <c r="C591" s="313" t="s">
        <v>308</v>
      </c>
      <c r="D591" s="590"/>
      <c r="E591" s="534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42"/>
      <c r="C592" s="314"/>
      <c r="D592" s="591"/>
      <c r="E592" s="535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50">
        <v>5</v>
      </c>
      <c r="C593" s="527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45"/>
      <c r="C594" s="528"/>
      <c r="D594" s="551"/>
      <c r="E594" s="554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45"/>
      <c r="C595" s="528"/>
      <c r="D595" s="552"/>
      <c r="E595" s="555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45"/>
      <c r="C596" s="528"/>
      <c r="D596" s="552"/>
      <c r="E596" s="555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45"/>
      <c r="C597" s="528"/>
      <c r="D597" s="552"/>
      <c r="E597" s="555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45"/>
      <c r="C598" s="528"/>
      <c r="D598" s="552"/>
      <c r="E598" s="555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45"/>
      <c r="C599" s="528"/>
      <c r="D599" s="552"/>
      <c r="E599" s="555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46"/>
      <c r="C600" s="529"/>
      <c r="D600" s="552"/>
      <c r="E600" s="555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524" t="s">
        <v>128</v>
      </c>
      <c r="C601" s="527"/>
      <c r="D601" s="552"/>
      <c r="E601" s="555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526"/>
      <c r="C602" s="529"/>
      <c r="D602" s="553"/>
      <c r="E602" s="556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44">
        <v>6</v>
      </c>
      <c r="C603" s="527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45"/>
      <c r="C604" s="528"/>
      <c r="D604" s="551"/>
      <c r="E604" s="554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45"/>
      <c r="C605" s="528"/>
      <c r="D605" s="552"/>
      <c r="E605" s="555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45"/>
      <c r="C606" s="528"/>
      <c r="D606" s="552"/>
      <c r="E606" s="555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45"/>
      <c r="C607" s="528"/>
      <c r="D607" s="552"/>
      <c r="E607" s="555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45"/>
      <c r="C608" s="528"/>
      <c r="D608" s="552"/>
      <c r="E608" s="555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45"/>
      <c r="C609" s="528"/>
      <c r="D609" s="552"/>
      <c r="E609" s="555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46"/>
      <c r="C610" s="529"/>
      <c r="D610" s="552"/>
      <c r="E610" s="555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524" t="s">
        <v>128</v>
      </c>
      <c r="C611" s="527"/>
      <c r="D611" s="552"/>
      <c r="E611" s="555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526"/>
      <c r="C612" s="529"/>
      <c r="D612" s="553"/>
      <c r="E612" s="556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44">
        <v>7</v>
      </c>
      <c r="C613" s="527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45"/>
      <c r="C614" s="528"/>
      <c r="D614" s="551"/>
      <c r="E614" s="554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45"/>
      <c r="C615" s="528"/>
      <c r="D615" s="552"/>
      <c r="E615" s="555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45"/>
      <c r="C616" s="528"/>
      <c r="D616" s="552"/>
      <c r="E616" s="555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45"/>
      <c r="C617" s="528"/>
      <c r="D617" s="552"/>
      <c r="E617" s="555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45"/>
      <c r="C618" s="528"/>
      <c r="D618" s="552"/>
      <c r="E618" s="555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45"/>
      <c r="C619" s="528"/>
      <c r="D619" s="552"/>
      <c r="E619" s="555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46"/>
      <c r="C620" s="529"/>
      <c r="D620" s="552"/>
      <c r="E620" s="555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524" t="s">
        <v>128</v>
      </c>
      <c r="C621" s="527"/>
      <c r="D621" s="552"/>
      <c r="E621" s="555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526"/>
      <c r="C622" s="529"/>
      <c r="D622" s="553"/>
      <c r="E622" s="556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44">
        <v>8</v>
      </c>
      <c r="C623" s="527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45"/>
      <c r="C624" s="528"/>
      <c r="D624" s="551"/>
      <c r="E624" s="554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45"/>
      <c r="C625" s="528"/>
      <c r="D625" s="552"/>
      <c r="E625" s="555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45"/>
      <c r="C626" s="528"/>
      <c r="D626" s="552"/>
      <c r="E626" s="555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45"/>
      <c r="C627" s="528"/>
      <c r="D627" s="552"/>
      <c r="E627" s="555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45"/>
      <c r="C628" s="528"/>
      <c r="D628" s="552"/>
      <c r="E628" s="555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45"/>
      <c r="C629" s="528"/>
      <c r="D629" s="552"/>
      <c r="E629" s="555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46"/>
      <c r="C630" s="529"/>
      <c r="D630" s="552"/>
      <c r="E630" s="555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524" t="s">
        <v>128</v>
      </c>
      <c r="C631" s="527"/>
      <c r="D631" s="552"/>
      <c r="E631" s="555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526"/>
      <c r="C632" s="529"/>
      <c r="D632" s="553"/>
      <c r="E632" s="556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44">
        <v>9</v>
      </c>
      <c r="C633" s="527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45"/>
      <c r="C634" s="528"/>
      <c r="D634" s="551"/>
      <c r="E634" s="554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45"/>
      <c r="C635" s="528"/>
      <c r="D635" s="552"/>
      <c r="E635" s="555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45"/>
      <c r="C636" s="528"/>
      <c r="D636" s="552"/>
      <c r="E636" s="555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45"/>
      <c r="C637" s="528"/>
      <c r="D637" s="552"/>
      <c r="E637" s="555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45"/>
      <c r="C638" s="528"/>
      <c r="D638" s="552"/>
      <c r="E638" s="555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45"/>
      <c r="C639" s="528"/>
      <c r="D639" s="552"/>
      <c r="E639" s="555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46"/>
      <c r="C640" s="529"/>
      <c r="D640" s="552"/>
      <c r="E640" s="555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524" t="s">
        <v>128</v>
      </c>
      <c r="C641" s="527"/>
      <c r="D641" s="552"/>
      <c r="E641" s="555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526"/>
      <c r="C642" s="529"/>
      <c r="D642" s="553"/>
      <c r="E642" s="556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50">
        <v>10</v>
      </c>
      <c r="C643" s="527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45"/>
      <c r="C644" s="528"/>
      <c r="D644" s="551"/>
      <c r="E644" s="554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45"/>
      <c r="C645" s="528"/>
      <c r="D645" s="552"/>
      <c r="E645" s="555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45"/>
      <c r="C646" s="528"/>
      <c r="D646" s="552"/>
      <c r="E646" s="555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45"/>
      <c r="C647" s="528"/>
      <c r="D647" s="552"/>
      <c r="E647" s="555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45"/>
      <c r="C648" s="528"/>
      <c r="D648" s="552"/>
      <c r="E648" s="555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45"/>
      <c r="C649" s="528"/>
      <c r="D649" s="552"/>
      <c r="E649" s="555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46"/>
      <c r="C650" s="529"/>
      <c r="D650" s="552"/>
      <c r="E650" s="555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524" t="s">
        <v>128</v>
      </c>
      <c r="C651" s="527"/>
      <c r="D651" s="552"/>
      <c r="E651" s="555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526"/>
      <c r="C652" s="529"/>
      <c r="D652" s="553"/>
      <c r="E652" s="556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498" t="s">
        <v>17</v>
      </c>
      <c r="H656" s="498"/>
      <c r="I656" s="499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500"/>
      <c r="H657" s="501"/>
      <c r="I657" s="502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503" t="s">
        <v>124</v>
      </c>
      <c r="E659" s="504"/>
      <c r="F659" s="505" t="s">
        <v>127</v>
      </c>
      <c r="G659" s="506"/>
      <c r="H659" s="507"/>
      <c r="I659" s="98" t="s">
        <v>131</v>
      </c>
      <c r="K659" s="521" t="s">
        <v>129</v>
      </c>
      <c r="L659" s="522"/>
      <c r="M659" s="523"/>
    </row>
    <row r="660" spans="1:13" ht="15.75" hidden="1" thickBot="1" x14ac:dyDescent="0.3">
      <c r="A660" s="98" t="s">
        <v>131</v>
      </c>
      <c r="B660" s="544">
        <v>1</v>
      </c>
      <c r="C660" s="527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45"/>
      <c r="C661" s="528"/>
      <c r="D661" s="551"/>
      <c r="E661" s="554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6">
        <f>SUM(L661:L665)</f>
        <v>0</v>
      </c>
    </row>
    <row r="662" spans="1:13" hidden="1" x14ac:dyDescent="0.25">
      <c r="A662" s="98" t="s">
        <v>131</v>
      </c>
      <c r="B662" s="545"/>
      <c r="C662" s="528"/>
      <c r="D662" s="552"/>
      <c r="E662" s="555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6"/>
    </row>
    <row r="663" spans="1:13" hidden="1" x14ac:dyDescent="0.25">
      <c r="A663" s="98" t="s">
        <v>131</v>
      </c>
      <c r="B663" s="545"/>
      <c r="C663" s="528"/>
      <c r="D663" s="552"/>
      <c r="E663" s="555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6"/>
    </row>
    <row r="664" spans="1:13" hidden="1" x14ac:dyDescent="0.25">
      <c r="A664" s="98" t="s">
        <v>131</v>
      </c>
      <c r="B664" s="545"/>
      <c r="C664" s="528"/>
      <c r="D664" s="552"/>
      <c r="E664" s="555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6"/>
    </row>
    <row r="665" spans="1:13" ht="15.75" hidden="1" thickBot="1" x14ac:dyDescent="0.3">
      <c r="A665" s="98" t="s">
        <v>131</v>
      </c>
      <c r="B665" s="545"/>
      <c r="C665" s="528"/>
      <c r="D665" s="552"/>
      <c r="E665" s="555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7"/>
    </row>
    <row r="666" spans="1:13" ht="15.75" hidden="1" thickBot="1" x14ac:dyDescent="0.3">
      <c r="A666" s="98" t="s">
        <v>131</v>
      </c>
      <c r="B666" s="545"/>
      <c r="C666" s="528"/>
      <c r="D666" s="552"/>
      <c r="E666" s="555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46"/>
      <c r="C667" s="529"/>
      <c r="D667" s="552"/>
      <c r="E667" s="555"/>
      <c r="F667" s="59">
        <v>8</v>
      </c>
      <c r="G667" s="94" t="s">
        <v>126</v>
      </c>
      <c r="H667" s="124"/>
      <c r="I667" s="98" t="s">
        <v>131</v>
      </c>
      <c r="K667" s="538" t="s">
        <v>62</v>
      </c>
      <c r="L667" s="539"/>
      <c r="M667" s="540"/>
    </row>
    <row r="668" spans="1:13" ht="15.75" hidden="1" thickBot="1" x14ac:dyDescent="0.3">
      <c r="A668" s="98" t="s">
        <v>131</v>
      </c>
      <c r="B668" s="524" t="s">
        <v>128</v>
      </c>
      <c r="C668" s="527"/>
      <c r="D668" s="552"/>
      <c r="E668" s="555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526"/>
      <c r="C669" s="529"/>
      <c r="D669" s="553"/>
      <c r="E669" s="556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43">
        <f>SUM(L669:L678)</f>
        <v>0</v>
      </c>
    </row>
    <row r="670" spans="1:13" ht="15.75" hidden="1" thickBot="1" x14ac:dyDescent="0.3">
      <c r="A670" s="98" t="s">
        <v>131</v>
      </c>
      <c r="B670" s="544">
        <v>2</v>
      </c>
      <c r="C670" s="527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6"/>
    </row>
    <row r="671" spans="1:13" hidden="1" x14ac:dyDescent="0.25">
      <c r="A671" s="98" t="s">
        <v>131</v>
      </c>
      <c r="B671" s="545"/>
      <c r="C671" s="528"/>
      <c r="D671" s="551"/>
      <c r="E671" s="554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6"/>
    </row>
    <row r="672" spans="1:13" hidden="1" x14ac:dyDescent="0.25">
      <c r="A672" s="98" t="s">
        <v>131</v>
      </c>
      <c r="B672" s="545"/>
      <c r="C672" s="528"/>
      <c r="D672" s="552"/>
      <c r="E672" s="555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6"/>
    </row>
    <row r="673" spans="1:13" hidden="1" x14ac:dyDescent="0.25">
      <c r="A673" s="98" t="s">
        <v>131</v>
      </c>
      <c r="B673" s="545"/>
      <c r="C673" s="528"/>
      <c r="D673" s="552"/>
      <c r="E673" s="555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6"/>
    </row>
    <row r="674" spans="1:13" hidden="1" x14ac:dyDescent="0.25">
      <c r="A674" s="98" t="s">
        <v>131</v>
      </c>
      <c r="B674" s="545"/>
      <c r="C674" s="528"/>
      <c r="D674" s="552"/>
      <c r="E674" s="555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6"/>
    </row>
    <row r="675" spans="1:13" hidden="1" x14ac:dyDescent="0.25">
      <c r="A675" s="98" t="s">
        <v>131</v>
      </c>
      <c r="B675" s="545"/>
      <c r="C675" s="528"/>
      <c r="D675" s="552"/>
      <c r="E675" s="555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6"/>
    </row>
    <row r="676" spans="1:13" hidden="1" x14ac:dyDescent="0.25">
      <c r="A676" s="98" t="s">
        <v>131</v>
      </c>
      <c r="B676" s="545"/>
      <c r="C676" s="528"/>
      <c r="D676" s="552"/>
      <c r="E676" s="555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6"/>
    </row>
    <row r="677" spans="1:13" ht="15.75" hidden="1" thickBot="1" x14ac:dyDescent="0.3">
      <c r="A677" s="98" t="s">
        <v>131</v>
      </c>
      <c r="B677" s="546"/>
      <c r="C677" s="529"/>
      <c r="D677" s="552"/>
      <c r="E677" s="555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6"/>
    </row>
    <row r="678" spans="1:13" ht="15.75" hidden="1" thickBot="1" x14ac:dyDescent="0.3">
      <c r="A678" s="98" t="s">
        <v>131</v>
      </c>
      <c r="B678" s="524" t="s">
        <v>128</v>
      </c>
      <c r="C678" s="527"/>
      <c r="D678" s="552"/>
      <c r="E678" s="555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7"/>
    </row>
    <row r="679" spans="1:13" ht="15.75" hidden="1" thickBot="1" x14ac:dyDescent="0.3">
      <c r="A679" s="98" t="s">
        <v>131</v>
      </c>
      <c r="B679" s="526"/>
      <c r="C679" s="529"/>
      <c r="D679" s="553"/>
      <c r="E679" s="556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44">
        <v>3</v>
      </c>
      <c r="C680" s="527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45"/>
      <c r="C681" s="528"/>
      <c r="D681" s="551"/>
      <c r="E681" s="554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45"/>
      <c r="C682" s="528"/>
      <c r="D682" s="552"/>
      <c r="E682" s="555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45"/>
      <c r="C683" s="528"/>
      <c r="D683" s="552"/>
      <c r="E683" s="555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45"/>
      <c r="C684" s="528"/>
      <c r="D684" s="552"/>
      <c r="E684" s="555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45"/>
      <c r="C685" s="528"/>
      <c r="D685" s="552"/>
      <c r="E685" s="555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45"/>
      <c r="C686" s="528"/>
      <c r="D686" s="552"/>
      <c r="E686" s="555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46"/>
      <c r="C687" s="529"/>
      <c r="D687" s="552"/>
      <c r="E687" s="555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524" t="s">
        <v>128</v>
      </c>
      <c r="C688" s="527"/>
      <c r="D688" s="552"/>
      <c r="E688" s="555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526"/>
      <c r="C689" s="529"/>
      <c r="D689" s="553"/>
      <c r="E689" s="556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44">
        <v>4</v>
      </c>
      <c r="C690" s="527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45"/>
      <c r="C691" s="528"/>
      <c r="D691" s="551"/>
      <c r="E691" s="554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45"/>
      <c r="C692" s="528"/>
      <c r="D692" s="552"/>
      <c r="E692" s="555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45"/>
      <c r="C693" s="528"/>
      <c r="D693" s="552"/>
      <c r="E693" s="555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45"/>
      <c r="C694" s="528"/>
      <c r="D694" s="552"/>
      <c r="E694" s="555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45"/>
      <c r="C695" s="528"/>
      <c r="D695" s="552"/>
      <c r="E695" s="555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45"/>
      <c r="C696" s="528"/>
      <c r="D696" s="552"/>
      <c r="E696" s="555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46"/>
      <c r="C697" s="529"/>
      <c r="D697" s="552"/>
      <c r="E697" s="555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524" t="s">
        <v>128</v>
      </c>
      <c r="C698" s="527"/>
      <c r="D698" s="552"/>
      <c r="E698" s="555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526"/>
      <c r="C699" s="529"/>
      <c r="D699" s="553"/>
      <c r="E699" s="556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50">
        <v>5</v>
      </c>
      <c r="C700" s="527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45"/>
      <c r="C701" s="528"/>
      <c r="D701" s="551"/>
      <c r="E701" s="554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45"/>
      <c r="C702" s="528"/>
      <c r="D702" s="552"/>
      <c r="E702" s="555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45"/>
      <c r="C703" s="528"/>
      <c r="D703" s="552"/>
      <c r="E703" s="555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45"/>
      <c r="C704" s="528"/>
      <c r="D704" s="552"/>
      <c r="E704" s="555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45"/>
      <c r="C705" s="528"/>
      <c r="D705" s="552"/>
      <c r="E705" s="555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45"/>
      <c r="C706" s="528"/>
      <c r="D706" s="552"/>
      <c r="E706" s="555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46"/>
      <c r="C707" s="529"/>
      <c r="D707" s="552"/>
      <c r="E707" s="555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524" t="s">
        <v>128</v>
      </c>
      <c r="C708" s="527"/>
      <c r="D708" s="552"/>
      <c r="E708" s="555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526"/>
      <c r="C709" s="529"/>
      <c r="D709" s="553"/>
      <c r="E709" s="556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557" t="s">
        <v>17</v>
      </c>
      <c r="H711" s="558"/>
      <c r="I711" s="559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60"/>
      <c r="H712" s="561"/>
      <c r="I712" s="562"/>
    </row>
    <row r="713" spans="1:9" ht="15.75" hidden="1" thickBot="1" x14ac:dyDescent="0.3">
      <c r="A713" s="101" t="s">
        <v>131</v>
      </c>
      <c r="B713" s="55" t="s">
        <v>119</v>
      </c>
      <c r="C713" s="55"/>
      <c r="D713" s="503" t="s">
        <v>124</v>
      </c>
      <c r="E713" s="504"/>
      <c r="F713" s="505" t="s">
        <v>130</v>
      </c>
      <c r="G713" s="506"/>
      <c r="H713" s="507"/>
      <c r="I713" s="101" t="s">
        <v>131</v>
      </c>
    </row>
    <row r="714" spans="1:9" ht="15.75" hidden="1" thickBot="1" x14ac:dyDescent="0.3">
      <c r="A714" s="101" t="s">
        <v>131</v>
      </c>
      <c r="B714" s="544">
        <v>1</v>
      </c>
      <c r="C714" s="527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45"/>
      <c r="C715" s="528"/>
      <c r="D715" s="551"/>
      <c r="E715" s="554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45"/>
      <c r="C716" s="528"/>
      <c r="D716" s="552"/>
      <c r="E716" s="555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45"/>
      <c r="C717" s="528"/>
      <c r="D717" s="552"/>
      <c r="E717" s="555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45"/>
      <c r="C718" s="528"/>
      <c r="D718" s="552"/>
      <c r="E718" s="555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45"/>
      <c r="C719" s="528"/>
      <c r="D719" s="552"/>
      <c r="E719" s="555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45"/>
      <c r="C720" s="528"/>
      <c r="D720" s="552"/>
      <c r="E720" s="555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46"/>
      <c r="C721" s="529"/>
      <c r="D721" s="552"/>
      <c r="E721" s="555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524" t="s">
        <v>128</v>
      </c>
      <c r="C722" s="527"/>
      <c r="D722" s="552"/>
      <c r="E722" s="555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526"/>
      <c r="C723" s="529"/>
      <c r="D723" s="553"/>
      <c r="E723" s="556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44">
        <v>2</v>
      </c>
      <c r="C724" s="527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45"/>
      <c r="C725" s="528"/>
      <c r="D725" s="551"/>
      <c r="E725" s="554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45"/>
      <c r="C726" s="528"/>
      <c r="D726" s="552"/>
      <c r="E726" s="555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45"/>
      <c r="C727" s="528"/>
      <c r="D727" s="552"/>
      <c r="E727" s="555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45"/>
      <c r="C728" s="528"/>
      <c r="D728" s="552"/>
      <c r="E728" s="555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45"/>
      <c r="C729" s="528"/>
      <c r="D729" s="552"/>
      <c r="E729" s="555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45"/>
      <c r="C730" s="528"/>
      <c r="D730" s="552"/>
      <c r="E730" s="555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46"/>
      <c r="C731" s="529"/>
      <c r="D731" s="552"/>
      <c r="E731" s="555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524" t="s">
        <v>128</v>
      </c>
      <c r="C732" s="527"/>
      <c r="D732" s="552"/>
      <c r="E732" s="555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526"/>
      <c r="C733" s="529"/>
      <c r="D733" s="553"/>
      <c r="E733" s="556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44">
        <v>3</v>
      </c>
      <c r="C734" s="527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45"/>
      <c r="C735" s="528"/>
      <c r="D735" s="551"/>
      <c r="E735" s="554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45"/>
      <c r="C736" s="528"/>
      <c r="D736" s="552"/>
      <c r="E736" s="555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45"/>
      <c r="C737" s="528"/>
      <c r="D737" s="552"/>
      <c r="E737" s="555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45"/>
      <c r="C738" s="528"/>
      <c r="D738" s="552"/>
      <c r="E738" s="555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45"/>
      <c r="C739" s="528"/>
      <c r="D739" s="552"/>
      <c r="E739" s="555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45"/>
      <c r="C740" s="528"/>
      <c r="D740" s="552"/>
      <c r="E740" s="555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46"/>
      <c r="C741" s="529"/>
      <c r="D741" s="552"/>
      <c r="E741" s="555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524" t="s">
        <v>128</v>
      </c>
      <c r="C742" s="527"/>
      <c r="D742" s="552"/>
      <c r="E742" s="555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526"/>
      <c r="C743" s="529"/>
      <c r="D743" s="553"/>
      <c r="E743" s="556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44">
        <v>4</v>
      </c>
      <c r="C744" s="527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45"/>
      <c r="C745" s="528"/>
      <c r="D745" s="551"/>
      <c r="E745" s="554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45"/>
      <c r="C746" s="528"/>
      <c r="D746" s="552"/>
      <c r="E746" s="555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45"/>
      <c r="C747" s="528"/>
      <c r="D747" s="552"/>
      <c r="E747" s="555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45"/>
      <c r="C748" s="528"/>
      <c r="D748" s="552"/>
      <c r="E748" s="555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45"/>
      <c r="C749" s="528"/>
      <c r="D749" s="552"/>
      <c r="E749" s="555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45"/>
      <c r="C750" s="528"/>
      <c r="D750" s="552"/>
      <c r="E750" s="555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46"/>
      <c r="C751" s="529"/>
      <c r="D751" s="552"/>
      <c r="E751" s="555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524" t="s">
        <v>128</v>
      </c>
      <c r="C752" s="527"/>
      <c r="D752" s="552"/>
      <c r="E752" s="555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526"/>
      <c r="C753" s="529"/>
      <c r="D753" s="553"/>
      <c r="E753" s="556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50">
        <v>5</v>
      </c>
      <c r="C754" s="527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45"/>
      <c r="C755" s="528"/>
      <c r="D755" s="551"/>
      <c r="E755" s="554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45"/>
      <c r="C756" s="528"/>
      <c r="D756" s="552"/>
      <c r="E756" s="555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45"/>
      <c r="C757" s="528"/>
      <c r="D757" s="552"/>
      <c r="E757" s="555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45"/>
      <c r="C758" s="528"/>
      <c r="D758" s="552"/>
      <c r="E758" s="555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45"/>
      <c r="C759" s="528"/>
      <c r="D759" s="552"/>
      <c r="E759" s="555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45"/>
      <c r="C760" s="528"/>
      <c r="D760" s="552"/>
      <c r="E760" s="555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46"/>
      <c r="C761" s="529"/>
      <c r="D761" s="552"/>
      <c r="E761" s="555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524" t="s">
        <v>128</v>
      </c>
      <c r="C762" s="527"/>
      <c r="D762" s="552"/>
      <c r="E762" s="555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526"/>
      <c r="C763" s="529"/>
      <c r="D763" s="553"/>
      <c r="E763" s="556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44">
        <v>6</v>
      </c>
      <c r="C764" s="527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45"/>
      <c r="C765" s="528"/>
      <c r="D765" s="551"/>
      <c r="E765" s="554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45"/>
      <c r="C766" s="528"/>
      <c r="D766" s="552"/>
      <c r="E766" s="555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45"/>
      <c r="C767" s="528"/>
      <c r="D767" s="552"/>
      <c r="E767" s="555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45"/>
      <c r="C768" s="528"/>
      <c r="D768" s="552"/>
      <c r="E768" s="555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45"/>
      <c r="C769" s="528"/>
      <c r="D769" s="552"/>
      <c r="E769" s="555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45"/>
      <c r="C770" s="528"/>
      <c r="D770" s="552"/>
      <c r="E770" s="555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46"/>
      <c r="C771" s="529"/>
      <c r="D771" s="552"/>
      <c r="E771" s="555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524" t="s">
        <v>128</v>
      </c>
      <c r="C772" s="527"/>
      <c r="D772" s="552"/>
      <c r="E772" s="555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526"/>
      <c r="C773" s="529"/>
      <c r="D773" s="553"/>
      <c r="E773" s="556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44">
        <v>7</v>
      </c>
      <c r="C774" s="527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45"/>
      <c r="C775" s="528"/>
      <c r="D775" s="551"/>
      <c r="E775" s="554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45"/>
      <c r="C776" s="528"/>
      <c r="D776" s="552"/>
      <c r="E776" s="555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45"/>
      <c r="C777" s="528"/>
      <c r="D777" s="552"/>
      <c r="E777" s="555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45"/>
      <c r="C778" s="528"/>
      <c r="D778" s="552"/>
      <c r="E778" s="555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45"/>
      <c r="C779" s="528"/>
      <c r="D779" s="552"/>
      <c r="E779" s="555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45"/>
      <c r="C780" s="528"/>
      <c r="D780" s="552"/>
      <c r="E780" s="555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46"/>
      <c r="C781" s="529"/>
      <c r="D781" s="552"/>
      <c r="E781" s="555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524" t="s">
        <v>128</v>
      </c>
      <c r="C782" s="527"/>
      <c r="D782" s="552"/>
      <c r="E782" s="555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526"/>
      <c r="C783" s="529"/>
      <c r="D783" s="553"/>
      <c r="E783" s="556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44">
        <v>8</v>
      </c>
      <c r="C784" s="527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45"/>
      <c r="C785" s="528"/>
      <c r="D785" s="551"/>
      <c r="E785" s="554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45"/>
      <c r="C786" s="528"/>
      <c r="D786" s="552"/>
      <c r="E786" s="555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45"/>
      <c r="C787" s="528"/>
      <c r="D787" s="552"/>
      <c r="E787" s="555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45"/>
      <c r="C788" s="528"/>
      <c r="D788" s="552"/>
      <c r="E788" s="555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45"/>
      <c r="C789" s="528"/>
      <c r="D789" s="552"/>
      <c r="E789" s="555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45"/>
      <c r="C790" s="528"/>
      <c r="D790" s="552"/>
      <c r="E790" s="555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46"/>
      <c r="C791" s="529"/>
      <c r="D791" s="552"/>
      <c r="E791" s="555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524" t="s">
        <v>128</v>
      </c>
      <c r="C792" s="527"/>
      <c r="D792" s="552"/>
      <c r="E792" s="555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526"/>
      <c r="C793" s="529"/>
      <c r="D793" s="553"/>
      <c r="E793" s="556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44">
        <v>9</v>
      </c>
      <c r="C794" s="527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45"/>
      <c r="C795" s="528"/>
      <c r="D795" s="551"/>
      <c r="E795" s="554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45"/>
      <c r="C796" s="528"/>
      <c r="D796" s="552"/>
      <c r="E796" s="555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45"/>
      <c r="C797" s="528"/>
      <c r="D797" s="552"/>
      <c r="E797" s="555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45"/>
      <c r="C798" s="528"/>
      <c r="D798" s="552"/>
      <c r="E798" s="555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45"/>
      <c r="C799" s="528"/>
      <c r="D799" s="552"/>
      <c r="E799" s="555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45"/>
      <c r="C800" s="528"/>
      <c r="D800" s="552"/>
      <c r="E800" s="555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46"/>
      <c r="C801" s="529"/>
      <c r="D801" s="552"/>
      <c r="E801" s="555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524" t="s">
        <v>128</v>
      </c>
      <c r="C802" s="527"/>
      <c r="D802" s="552"/>
      <c r="E802" s="555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526"/>
      <c r="C803" s="529"/>
      <c r="D803" s="553"/>
      <c r="E803" s="556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50">
        <v>10</v>
      </c>
      <c r="C804" s="527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45"/>
      <c r="C805" s="528"/>
      <c r="D805" s="551"/>
      <c r="E805" s="554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45"/>
      <c r="C806" s="528"/>
      <c r="D806" s="552"/>
      <c r="E806" s="555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45"/>
      <c r="C807" s="528"/>
      <c r="D807" s="552"/>
      <c r="E807" s="555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45"/>
      <c r="C808" s="528"/>
      <c r="D808" s="552"/>
      <c r="E808" s="555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45"/>
      <c r="C809" s="528"/>
      <c r="D809" s="552"/>
      <c r="E809" s="555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45"/>
      <c r="C810" s="528"/>
      <c r="D810" s="552"/>
      <c r="E810" s="555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46"/>
      <c r="C811" s="529"/>
      <c r="D811" s="552"/>
      <c r="E811" s="555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524" t="s">
        <v>128</v>
      </c>
      <c r="C812" s="527"/>
      <c r="D812" s="552"/>
      <c r="E812" s="555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526"/>
      <c r="C813" s="529"/>
      <c r="D813" s="553"/>
      <c r="E813" s="556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498" t="s">
        <v>17</v>
      </c>
      <c r="H816" s="498"/>
      <c r="I816" s="499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500"/>
      <c r="H817" s="501"/>
      <c r="I817" s="502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503" t="s">
        <v>124</v>
      </c>
      <c r="E819" s="504"/>
      <c r="F819" s="505" t="s">
        <v>127</v>
      </c>
      <c r="G819" s="506"/>
      <c r="H819" s="507"/>
      <c r="I819" s="98" t="s">
        <v>131</v>
      </c>
      <c r="K819" s="521" t="s">
        <v>129</v>
      </c>
      <c r="L819" s="522"/>
      <c r="M819" s="523"/>
    </row>
    <row r="820" spans="1:13" ht="15.75" hidden="1" thickBot="1" x14ac:dyDescent="0.3">
      <c r="A820" s="98" t="s">
        <v>131</v>
      </c>
      <c r="B820" s="544">
        <v>1</v>
      </c>
      <c r="C820" s="527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45"/>
      <c r="C821" s="528"/>
      <c r="D821" s="551"/>
      <c r="E821" s="554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6">
        <f>SUM(L821:L825)</f>
        <v>0</v>
      </c>
    </row>
    <row r="822" spans="1:13" hidden="1" x14ac:dyDescent="0.25">
      <c r="A822" s="98" t="s">
        <v>131</v>
      </c>
      <c r="B822" s="545"/>
      <c r="C822" s="528"/>
      <c r="D822" s="552"/>
      <c r="E822" s="555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6"/>
    </row>
    <row r="823" spans="1:13" hidden="1" x14ac:dyDescent="0.25">
      <c r="A823" s="98" t="s">
        <v>131</v>
      </c>
      <c r="B823" s="545"/>
      <c r="C823" s="528"/>
      <c r="D823" s="552"/>
      <c r="E823" s="555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6"/>
    </row>
    <row r="824" spans="1:13" hidden="1" x14ac:dyDescent="0.25">
      <c r="A824" s="98" t="s">
        <v>131</v>
      </c>
      <c r="B824" s="545"/>
      <c r="C824" s="528"/>
      <c r="D824" s="552"/>
      <c r="E824" s="555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6"/>
    </row>
    <row r="825" spans="1:13" ht="15.75" hidden="1" thickBot="1" x14ac:dyDescent="0.3">
      <c r="A825" s="98" t="s">
        <v>131</v>
      </c>
      <c r="B825" s="545"/>
      <c r="C825" s="528"/>
      <c r="D825" s="552"/>
      <c r="E825" s="555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7"/>
    </row>
    <row r="826" spans="1:13" ht="15.75" hidden="1" thickBot="1" x14ac:dyDescent="0.3">
      <c r="A826" s="98" t="s">
        <v>131</v>
      </c>
      <c r="B826" s="545"/>
      <c r="C826" s="528"/>
      <c r="D826" s="552"/>
      <c r="E826" s="555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46"/>
      <c r="C827" s="529"/>
      <c r="D827" s="552"/>
      <c r="E827" s="555"/>
      <c r="F827" s="59"/>
      <c r="G827" s="94"/>
      <c r="H827" s="124"/>
      <c r="I827" s="98" t="s">
        <v>131</v>
      </c>
      <c r="K827" s="538" t="s">
        <v>62</v>
      </c>
      <c r="L827" s="539"/>
      <c r="M827" s="540"/>
    </row>
    <row r="828" spans="1:13" ht="15.75" hidden="1" thickBot="1" x14ac:dyDescent="0.3">
      <c r="A828" s="98" t="s">
        <v>131</v>
      </c>
      <c r="B828" s="524" t="s">
        <v>128</v>
      </c>
      <c r="C828" s="527"/>
      <c r="D828" s="552"/>
      <c r="E828" s="555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526"/>
      <c r="C829" s="529"/>
      <c r="D829" s="553"/>
      <c r="E829" s="556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43">
        <f>SUM(L829:L838)</f>
        <v>0</v>
      </c>
    </row>
    <row r="830" spans="1:13" ht="15.75" hidden="1" customHeight="1" thickBot="1" x14ac:dyDescent="0.3">
      <c r="A830" s="98" t="s">
        <v>131</v>
      </c>
      <c r="B830" s="544"/>
      <c r="C830" s="527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6"/>
    </row>
    <row r="831" spans="1:13" ht="15" hidden="1" customHeight="1" x14ac:dyDescent="0.25">
      <c r="A831" s="98" t="s">
        <v>131</v>
      </c>
      <c r="B831" s="545"/>
      <c r="C831" s="528"/>
      <c r="D831" s="551"/>
      <c r="E831" s="554"/>
      <c r="F831" s="59"/>
      <c r="G831" s="94"/>
      <c r="H831" s="124"/>
      <c r="I831" s="98"/>
      <c r="K831" s="71">
        <v>3</v>
      </c>
      <c r="L831" s="126">
        <f>E895</f>
        <v>0</v>
      </c>
      <c r="M831" s="536"/>
    </row>
    <row r="832" spans="1:13" ht="15" hidden="1" customHeight="1" x14ac:dyDescent="0.25">
      <c r="A832" s="98" t="s">
        <v>131</v>
      </c>
      <c r="B832" s="545"/>
      <c r="C832" s="528"/>
      <c r="D832" s="552"/>
      <c r="E832" s="555"/>
      <c r="F832" s="59"/>
      <c r="G832" s="94"/>
      <c r="H832" s="124"/>
      <c r="I832" s="98"/>
      <c r="K832" s="71">
        <v>4</v>
      </c>
      <c r="L832" s="126">
        <f>E905</f>
        <v>0</v>
      </c>
      <c r="M832" s="536"/>
    </row>
    <row r="833" spans="1:13" ht="15" hidden="1" customHeight="1" x14ac:dyDescent="0.25">
      <c r="A833" s="98" t="s">
        <v>131</v>
      </c>
      <c r="B833" s="545"/>
      <c r="C833" s="528"/>
      <c r="D833" s="552"/>
      <c r="E833" s="555"/>
      <c r="F833" s="59"/>
      <c r="G833" s="94"/>
      <c r="H833" s="124"/>
      <c r="I833" s="98"/>
      <c r="K833" s="71">
        <v>5</v>
      </c>
      <c r="L833" s="126">
        <f>E915</f>
        <v>0</v>
      </c>
      <c r="M833" s="536"/>
    </row>
    <row r="834" spans="1:13" ht="15" hidden="1" customHeight="1" x14ac:dyDescent="0.25">
      <c r="A834" s="98" t="s">
        <v>131</v>
      </c>
      <c r="B834" s="545"/>
      <c r="C834" s="528"/>
      <c r="D834" s="552"/>
      <c r="E834" s="555"/>
      <c r="F834" s="59"/>
      <c r="G834" s="94"/>
      <c r="H834" s="124"/>
      <c r="I834" s="98"/>
      <c r="K834" s="70">
        <v>6</v>
      </c>
      <c r="L834" s="126">
        <f>E925</f>
        <v>0</v>
      </c>
      <c r="M834" s="536"/>
    </row>
    <row r="835" spans="1:13" ht="15" hidden="1" customHeight="1" x14ac:dyDescent="0.25">
      <c r="A835" s="98" t="s">
        <v>131</v>
      </c>
      <c r="B835" s="545"/>
      <c r="C835" s="528"/>
      <c r="D835" s="552"/>
      <c r="E835" s="555"/>
      <c r="F835" s="59"/>
      <c r="G835" s="94"/>
      <c r="H835" s="124"/>
      <c r="I835" s="98"/>
      <c r="K835" s="71">
        <v>7</v>
      </c>
      <c r="L835" s="126">
        <f>E935</f>
        <v>0</v>
      </c>
      <c r="M835" s="536"/>
    </row>
    <row r="836" spans="1:13" ht="15" hidden="1" customHeight="1" x14ac:dyDescent="0.25">
      <c r="A836" s="98" t="s">
        <v>131</v>
      </c>
      <c r="B836" s="545"/>
      <c r="C836" s="528"/>
      <c r="D836" s="552"/>
      <c r="E836" s="555"/>
      <c r="F836" s="59"/>
      <c r="G836" s="94"/>
      <c r="H836" s="124"/>
      <c r="I836" s="98"/>
      <c r="K836" s="71">
        <v>8</v>
      </c>
      <c r="L836" s="126">
        <f>E945</f>
        <v>0</v>
      </c>
      <c r="M836" s="536"/>
    </row>
    <row r="837" spans="1:13" ht="15.75" hidden="1" customHeight="1" thickBot="1" x14ac:dyDescent="0.3">
      <c r="A837" s="98" t="s">
        <v>131</v>
      </c>
      <c r="B837" s="546"/>
      <c r="C837" s="529"/>
      <c r="D837" s="552"/>
      <c r="E837" s="555"/>
      <c r="F837" s="59"/>
      <c r="G837" s="94"/>
      <c r="H837" s="124"/>
      <c r="I837" s="98"/>
      <c r="K837" s="71">
        <v>9</v>
      </c>
      <c r="L837" s="126">
        <f>E955</f>
        <v>0</v>
      </c>
      <c r="M837" s="536"/>
    </row>
    <row r="838" spans="1:13" ht="15.75" hidden="1" customHeight="1" thickBot="1" x14ac:dyDescent="0.3">
      <c r="A838" s="98" t="s">
        <v>131</v>
      </c>
      <c r="B838" s="524"/>
      <c r="C838" s="527"/>
      <c r="D838" s="552"/>
      <c r="E838" s="555"/>
      <c r="F838" s="59"/>
      <c r="G838" s="94"/>
      <c r="H838" s="124"/>
      <c r="I838" s="98"/>
      <c r="K838" s="72">
        <v>10</v>
      </c>
      <c r="L838" s="127">
        <f>E965</f>
        <v>0</v>
      </c>
      <c r="M838" s="537"/>
    </row>
    <row r="839" spans="1:13" ht="15.75" hidden="1" customHeight="1" thickBot="1" x14ac:dyDescent="0.3">
      <c r="A839" s="98" t="s">
        <v>131</v>
      </c>
      <c r="B839" s="526"/>
      <c r="C839" s="529"/>
      <c r="D839" s="553"/>
      <c r="E839" s="556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44"/>
      <c r="C840" s="527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45"/>
      <c r="C841" s="528"/>
      <c r="D841" s="551"/>
      <c r="E841" s="554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45"/>
      <c r="C842" s="528"/>
      <c r="D842" s="552"/>
      <c r="E842" s="555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45"/>
      <c r="C843" s="528"/>
      <c r="D843" s="552"/>
      <c r="E843" s="555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45"/>
      <c r="C844" s="528"/>
      <c r="D844" s="552"/>
      <c r="E844" s="555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45"/>
      <c r="C845" s="528"/>
      <c r="D845" s="552"/>
      <c r="E845" s="555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45"/>
      <c r="C846" s="528"/>
      <c r="D846" s="552"/>
      <c r="E846" s="555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46"/>
      <c r="C847" s="529"/>
      <c r="D847" s="552"/>
      <c r="E847" s="555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524"/>
      <c r="C848" s="527"/>
      <c r="D848" s="552"/>
      <c r="E848" s="555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526"/>
      <c r="C849" s="529"/>
      <c r="D849" s="553"/>
      <c r="E849" s="556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44"/>
      <c r="C850" s="527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45"/>
      <c r="C851" s="528"/>
      <c r="D851" s="551"/>
      <c r="E851" s="554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45"/>
      <c r="C852" s="528"/>
      <c r="D852" s="552"/>
      <c r="E852" s="555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45"/>
      <c r="C853" s="528"/>
      <c r="D853" s="552"/>
      <c r="E853" s="555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45"/>
      <c r="C854" s="528"/>
      <c r="D854" s="552"/>
      <c r="E854" s="555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45"/>
      <c r="C855" s="528"/>
      <c r="D855" s="552"/>
      <c r="E855" s="555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45"/>
      <c r="C856" s="528"/>
      <c r="D856" s="552"/>
      <c r="E856" s="555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46"/>
      <c r="C857" s="529"/>
      <c r="D857" s="552"/>
      <c r="E857" s="555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524"/>
      <c r="C858" s="527"/>
      <c r="D858" s="552"/>
      <c r="E858" s="555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526"/>
      <c r="C859" s="529"/>
      <c r="D859" s="553"/>
      <c r="E859" s="556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50"/>
      <c r="C860" s="527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45"/>
      <c r="C861" s="528"/>
      <c r="D861" s="551"/>
      <c r="E861" s="554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45"/>
      <c r="C862" s="528"/>
      <c r="D862" s="552"/>
      <c r="E862" s="555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45"/>
      <c r="C863" s="528"/>
      <c r="D863" s="552"/>
      <c r="E863" s="555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45"/>
      <c r="C864" s="528"/>
      <c r="D864" s="552"/>
      <c r="E864" s="555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45"/>
      <c r="C865" s="528"/>
      <c r="D865" s="552"/>
      <c r="E865" s="555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45"/>
      <c r="C866" s="528"/>
      <c r="D866" s="552"/>
      <c r="E866" s="555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46"/>
      <c r="C867" s="529"/>
      <c r="D867" s="552"/>
      <c r="E867" s="555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524"/>
      <c r="C868" s="527"/>
      <c r="D868" s="552"/>
      <c r="E868" s="555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526"/>
      <c r="C869" s="529"/>
      <c r="D869" s="553"/>
      <c r="E869" s="556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557" t="s">
        <v>17</v>
      </c>
      <c r="H871" s="558"/>
      <c r="I871" s="559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60"/>
      <c r="H872" s="561"/>
      <c r="I872" s="562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503" t="s">
        <v>124</v>
      </c>
      <c r="E873" s="504"/>
      <c r="F873" s="505" t="s">
        <v>130</v>
      </c>
      <c r="G873" s="506"/>
      <c r="H873" s="507"/>
      <c r="I873" s="101" t="s">
        <v>131</v>
      </c>
    </row>
    <row r="874" spans="1:9" ht="15.75" hidden="1" thickBot="1" x14ac:dyDescent="0.3">
      <c r="A874" s="101" t="s">
        <v>131</v>
      </c>
      <c r="B874" s="544">
        <v>1</v>
      </c>
      <c r="C874" s="527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45"/>
      <c r="C875" s="528"/>
      <c r="D875" s="551"/>
      <c r="E875" s="554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45"/>
      <c r="C876" s="528"/>
      <c r="D876" s="552"/>
      <c r="E876" s="555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45"/>
      <c r="C877" s="528"/>
      <c r="D877" s="552"/>
      <c r="E877" s="555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45"/>
      <c r="C878" s="528"/>
      <c r="D878" s="552"/>
      <c r="E878" s="555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45"/>
      <c r="C879" s="528"/>
      <c r="D879" s="552"/>
      <c r="E879" s="555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45"/>
      <c r="C880" s="528"/>
      <c r="D880" s="552"/>
      <c r="E880" s="555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46"/>
      <c r="C881" s="529"/>
      <c r="D881" s="552"/>
      <c r="E881" s="555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524" t="s">
        <v>128</v>
      </c>
      <c r="C882" s="527"/>
      <c r="D882" s="552"/>
      <c r="E882" s="555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526"/>
      <c r="C883" s="529"/>
      <c r="D883" s="553"/>
      <c r="E883" s="556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44">
        <v>2</v>
      </c>
      <c r="C884" s="527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45"/>
      <c r="C885" s="528"/>
      <c r="D885" s="551"/>
      <c r="E885" s="554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45"/>
      <c r="C886" s="528"/>
      <c r="D886" s="552"/>
      <c r="E886" s="555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45"/>
      <c r="C887" s="528"/>
      <c r="D887" s="552"/>
      <c r="E887" s="555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45"/>
      <c r="C888" s="528"/>
      <c r="D888" s="552"/>
      <c r="E888" s="555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45"/>
      <c r="C889" s="528"/>
      <c r="D889" s="552"/>
      <c r="E889" s="555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45"/>
      <c r="C890" s="528"/>
      <c r="D890" s="552"/>
      <c r="E890" s="555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46"/>
      <c r="C891" s="529"/>
      <c r="D891" s="552"/>
      <c r="E891" s="555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524" t="s">
        <v>128</v>
      </c>
      <c r="C892" s="527"/>
      <c r="D892" s="552"/>
      <c r="E892" s="555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526"/>
      <c r="C893" s="529"/>
      <c r="D893" s="553"/>
      <c r="E893" s="556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44">
        <v>3</v>
      </c>
      <c r="C894" s="527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45"/>
      <c r="C895" s="528"/>
      <c r="D895" s="579"/>
      <c r="E895" s="554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45"/>
      <c r="C896" s="528"/>
      <c r="D896" s="580"/>
      <c r="E896" s="555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45"/>
      <c r="C897" s="528"/>
      <c r="D897" s="580"/>
      <c r="E897" s="555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45"/>
      <c r="C898" s="528"/>
      <c r="D898" s="580"/>
      <c r="E898" s="555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45"/>
      <c r="C899" s="528"/>
      <c r="D899" s="580"/>
      <c r="E899" s="555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45"/>
      <c r="C900" s="528"/>
      <c r="D900" s="580"/>
      <c r="E900" s="555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46"/>
      <c r="C901" s="529"/>
      <c r="D901" s="580"/>
      <c r="E901" s="555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524" t="s">
        <v>128</v>
      </c>
      <c r="C902" s="527"/>
      <c r="D902" s="580"/>
      <c r="E902" s="555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526"/>
      <c r="C903" s="529"/>
      <c r="D903" s="581"/>
      <c r="E903" s="556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44">
        <v>4</v>
      </c>
      <c r="C904" s="527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45"/>
      <c r="C905" s="528"/>
      <c r="D905" s="579"/>
      <c r="E905" s="554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45"/>
      <c r="C906" s="528"/>
      <c r="D906" s="580"/>
      <c r="E906" s="555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45"/>
      <c r="C907" s="528"/>
      <c r="D907" s="580"/>
      <c r="E907" s="555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45"/>
      <c r="C908" s="528"/>
      <c r="D908" s="580"/>
      <c r="E908" s="555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45"/>
      <c r="C909" s="528"/>
      <c r="D909" s="580"/>
      <c r="E909" s="555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45"/>
      <c r="C910" s="528"/>
      <c r="D910" s="580"/>
      <c r="E910" s="555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46"/>
      <c r="C911" s="529"/>
      <c r="D911" s="580"/>
      <c r="E911" s="555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524" t="s">
        <v>128</v>
      </c>
      <c r="C912" s="527"/>
      <c r="D912" s="580"/>
      <c r="E912" s="555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526"/>
      <c r="C913" s="529"/>
      <c r="D913" s="581"/>
      <c r="E913" s="556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50"/>
      <c r="C914" s="527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45"/>
      <c r="C915" s="528"/>
      <c r="D915" s="579"/>
      <c r="E915" s="554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45"/>
      <c r="C916" s="528"/>
      <c r="D916" s="580"/>
      <c r="E916" s="555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45"/>
      <c r="C917" s="528"/>
      <c r="D917" s="580"/>
      <c r="E917" s="555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45"/>
      <c r="C918" s="528"/>
      <c r="D918" s="580"/>
      <c r="E918" s="555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45"/>
      <c r="C919" s="528"/>
      <c r="D919" s="580"/>
      <c r="E919" s="555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45"/>
      <c r="C920" s="528"/>
      <c r="D920" s="580"/>
      <c r="E920" s="555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46"/>
      <c r="C921" s="529"/>
      <c r="D921" s="580"/>
      <c r="E921" s="555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524"/>
      <c r="C922" s="527"/>
      <c r="D922" s="580"/>
      <c r="E922" s="555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526"/>
      <c r="C923" s="529"/>
      <c r="D923" s="581"/>
      <c r="E923" s="556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44"/>
      <c r="C924" s="527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45"/>
      <c r="C925" s="528"/>
      <c r="D925" s="579"/>
      <c r="E925" s="554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45"/>
      <c r="C926" s="528"/>
      <c r="D926" s="580"/>
      <c r="E926" s="555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45"/>
      <c r="C927" s="528"/>
      <c r="D927" s="580"/>
      <c r="E927" s="555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45"/>
      <c r="C928" s="528"/>
      <c r="D928" s="580"/>
      <c r="E928" s="555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45"/>
      <c r="C929" s="528"/>
      <c r="D929" s="580"/>
      <c r="E929" s="555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45"/>
      <c r="C930" s="528"/>
      <c r="D930" s="580"/>
      <c r="E930" s="555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46"/>
      <c r="C931" s="529"/>
      <c r="D931" s="580"/>
      <c r="E931" s="555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524"/>
      <c r="C932" s="527"/>
      <c r="D932" s="580"/>
      <c r="E932" s="555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526"/>
      <c r="C933" s="529"/>
      <c r="D933" s="581"/>
      <c r="E933" s="556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44"/>
      <c r="C934" s="527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45"/>
      <c r="C935" s="528"/>
      <c r="D935" s="579"/>
      <c r="E935" s="554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45"/>
      <c r="C936" s="528"/>
      <c r="D936" s="580"/>
      <c r="E936" s="555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45"/>
      <c r="C937" s="528"/>
      <c r="D937" s="580"/>
      <c r="E937" s="555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45"/>
      <c r="C938" s="528"/>
      <c r="D938" s="580"/>
      <c r="E938" s="555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45"/>
      <c r="C939" s="528"/>
      <c r="D939" s="580"/>
      <c r="E939" s="555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45"/>
      <c r="C940" s="528"/>
      <c r="D940" s="580"/>
      <c r="E940" s="555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46"/>
      <c r="C941" s="529"/>
      <c r="D941" s="580"/>
      <c r="E941" s="555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524"/>
      <c r="C942" s="527"/>
      <c r="D942" s="580"/>
      <c r="E942" s="555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526"/>
      <c r="C943" s="529"/>
      <c r="D943" s="581"/>
      <c r="E943" s="556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44"/>
      <c r="C944" s="527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45"/>
      <c r="C945" s="528"/>
      <c r="D945" s="551"/>
      <c r="E945" s="554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45"/>
      <c r="C946" s="528"/>
      <c r="D946" s="552"/>
      <c r="E946" s="555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45"/>
      <c r="C947" s="528"/>
      <c r="D947" s="552"/>
      <c r="E947" s="555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45"/>
      <c r="C948" s="528"/>
      <c r="D948" s="552"/>
      <c r="E948" s="555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45"/>
      <c r="C949" s="528"/>
      <c r="D949" s="552"/>
      <c r="E949" s="555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45"/>
      <c r="C950" s="528"/>
      <c r="D950" s="552"/>
      <c r="E950" s="555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46"/>
      <c r="C951" s="529"/>
      <c r="D951" s="552"/>
      <c r="E951" s="555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524"/>
      <c r="C952" s="527"/>
      <c r="D952" s="552"/>
      <c r="E952" s="555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526"/>
      <c r="C953" s="529"/>
      <c r="D953" s="553"/>
      <c r="E953" s="556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44"/>
      <c r="C954" s="527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45"/>
      <c r="C955" s="528"/>
      <c r="D955" s="551"/>
      <c r="E955" s="554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45"/>
      <c r="C956" s="528"/>
      <c r="D956" s="552"/>
      <c r="E956" s="555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45"/>
      <c r="C957" s="528"/>
      <c r="D957" s="552"/>
      <c r="E957" s="555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45"/>
      <c r="C958" s="528"/>
      <c r="D958" s="552"/>
      <c r="E958" s="555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45"/>
      <c r="C959" s="528"/>
      <c r="D959" s="552"/>
      <c r="E959" s="555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45"/>
      <c r="C960" s="528"/>
      <c r="D960" s="552"/>
      <c r="E960" s="555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46"/>
      <c r="C961" s="529"/>
      <c r="D961" s="552"/>
      <c r="E961" s="555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524"/>
      <c r="C962" s="527"/>
      <c r="D962" s="552"/>
      <c r="E962" s="555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526"/>
      <c r="C963" s="529"/>
      <c r="D963" s="553"/>
      <c r="E963" s="556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50"/>
      <c r="C964" s="527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45"/>
      <c r="C965" s="528"/>
      <c r="D965" s="551"/>
      <c r="E965" s="554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45"/>
      <c r="C966" s="528"/>
      <c r="D966" s="552"/>
      <c r="E966" s="555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45"/>
      <c r="C967" s="528"/>
      <c r="D967" s="552"/>
      <c r="E967" s="555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45"/>
      <c r="C968" s="528"/>
      <c r="D968" s="552"/>
      <c r="E968" s="555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45"/>
      <c r="C969" s="528"/>
      <c r="D969" s="552"/>
      <c r="E969" s="555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45"/>
      <c r="C970" s="528"/>
      <c r="D970" s="552"/>
      <c r="E970" s="555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46"/>
      <c r="C971" s="529"/>
      <c r="D971" s="552"/>
      <c r="E971" s="555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524"/>
      <c r="C972" s="527"/>
      <c r="D972" s="552"/>
      <c r="E972" s="555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526"/>
      <c r="C973" s="529"/>
      <c r="D973" s="553"/>
      <c r="E973" s="556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92" t="s">
        <v>105</v>
      </c>
      <c r="C975" s="592"/>
      <c r="D975" s="592"/>
      <c r="E975" s="592"/>
      <c r="F975" s="592"/>
      <c r="G975" s="592"/>
      <c r="H975" s="592"/>
      <c r="I975" s="46"/>
      <c r="J975" s="46"/>
      <c r="K975" s="46"/>
      <c r="L975" s="46"/>
    </row>
    <row r="982" spans="2:23" ht="30.75" customHeight="1" x14ac:dyDescent="0.25">
      <c r="B982" s="592" t="s">
        <v>106</v>
      </c>
      <c r="C982" s="592"/>
      <c r="D982" s="592"/>
      <c r="E982" s="592"/>
      <c r="F982" s="592"/>
      <c r="G982" s="592"/>
      <c r="H982" s="592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10" t="s">
        <v>0</v>
      </c>
      <c r="G2" s="611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12"/>
      <c r="G3" s="613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113.5</v>
      </c>
      <c r="L3" s="263">
        <f>IKA!Y28</f>
        <v>39.724999999999994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458.5</v>
      </c>
      <c r="L7" s="239">
        <f>SUM(L3:L6)</f>
        <v>114.47499999999999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608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609"/>
      <c r="K9" s="243">
        <v>0.6</v>
      </c>
      <c r="L9" s="244">
        <f>L7*K9</f>
        <v>68.684999999999988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14" t="s">
        <v>44</v>
      </c>
      <c r="G12" s="615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113.36499999999998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602" t="str">
        <f>IF(G13&lt;90,"POOR",IF(G13&lt;=100,"GOOD",IF(G13&lt;=110,"Very Good",IF(G13&gt;110,"Excellent"))))</f>
        <v>Excellent</v>
      </c>
      <c r="G14" s="603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108.25</v>
      </c>
      <c r="L14" s="276">
        <f>IKA!Y36</f>
        <v>37.887499999999996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604"/>
      <c r="G15" s="605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115</v>
      </c>
      <c r="L15" s="277">
        <f>IKA!Y37</f>
        <v>34.5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604"/>
      <c r="G16" s="605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111.25</v>
      </c>
      <c r="L16" s="251">
        <f>IKA!Y38</f>
        <v>27.8125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606"/>
      <c r="G17" s="607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449.5</v>
      </c>
      <c r="L18" s="239">
        <f t="shared" si="0"/>
        <v>111.69999999999999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608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609"/>
      <c r="K20" s="254">
        <f>100%-K9</f>
        <v>0.4</v>
      </c>
      <c r="L20" s="255">
        <f>K20*L18</f>
        <v>44.68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5"/>
  <sheetViews>
    <sheetView workbookViewId="0">
      <pane xSplit="3" ySplit="6" topLeftCell="F34" activePane="bottomRight" state="frozen"/>
      <selection pane="topRight" activeCell="D1" sqref="D1"/>
      <selection pane="bottomLeft" activeCell="A7" sqref="A7"/>
      <selection pane="bottomRight" activeCell="H38" sqref="H38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</cols>
  <sheetData>
    <row r="2" spans="1:17 16357:16357" ht="24.95" customHeight="1" x14ac:dyDescent="0.25">
      <c r="A2" s="616" t="s">
        <v>275</v>
      </c>
      <c r="B2" s="617"/>
      <c r="C2" s="617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7"/>
      <c r="P2" s="617"/>
      <c r="Q2" s="618"/>
    </row>
    <row r="3" spans="1:17 16357:16357" ht="15" customHeight="1" x14ac:dyDescent="0.25">
      <c r="A3" s="622" t="s">
        <v>172</v>
      </c>
      <c r="B3" s="622" t="s">
        <v>116</v>
      </c>
      <c r="C3" s="309"/>
      <c r="D3" s="622" t="s">
        <v>195</v>
      </c>
      <c r="E3" s="622" t="s">
        <v>162</v>
      </c>
      <c r="F3" s="625" t="s">
        <v>163</v>
      </c>
      <c r="G3" s="626"/>
      <c r="H3" s="622" t="s">
        <v>237</v>
      </c>
      <c r="I3" s="625" t="s">
        <v>201</v>
      </c>
      <c r="J3" s="629"/>
      <c r="K3" s="629"/>
      <c r="L3" s="626"/>
      <c r="M3" s="625" t="s">
        <v>277</v>
      </c>
      <c r="N3" s="629"/>
      <c r="O3" s="629"/>
      <c r="P3" s="629"/>
      <c r="Q3" s="626"/>
    </row>
    <row r="4" spans="1:17 16357:16357" ht="83.25" customHeight="1" x14ac:dyDescent="0.25">
      <c r="A4" s="623"/>
      <c r="B4" s="623"/>
      <c r="C4" s="304" t="s">
        <v>269</v>
      </c>
      <c r="D4" s="624"/>
      <c r="E4" s="624"/>
      <c r="F4" s="627"/>
      <c r="G4" s="628"/>
      <c r="H4" s="624"/>
      <c r="I4" s="627"/>
      <c r="J4" s="630"/>
      <c r="K4" s="630"/>
      <c r="L4" s="628"/>
      <c r="M4" s="627"/>
      <c r="N4" s="630"/>
      <c r="O4" s="630"/>
      <c r="P4" s="630"/>
      <c r="Q4" s="628"/>
    </row>
    <row r="5" spans="1:17 16357:16357" ht="15" customHeight="1" x14ac:dyDescent="0.25">
      <c r="A5" s="623"/>
      <c r="B5" s="623"/>
      <c r="C5" s="304" t="s">
        <v>273</v>
      </c>
      <c r="D5" s="308" t="s">
        <v>269</v>
      </c>
      <c r="E5" s="308" t="s">
        <v>270</v>
      </c>
      <c r="F5" s="311" t="s">
        <v>271</v>
      </c>
      <c r="G5" s="311" t="s">
        <v>272</v>
      </c>
      <c r="H5" s="308" t="s">
        <v>269</v>
      </c>
      <c r="I5" s="308" t="s">
        <v>167</v>
      </c>
      <c r="J5" s="308" t="s">
        <v>169</v>
      </c>
      <c r="K5" s="308" t="s">
        <v>168</v>
      </c>
      <c r="L5" s="308" t="s">
        <v>334</v>
      </c>
      <c r="M5" s="377" t="s">
        <v>276</v>
      </c>
      <c r="N5" s="377" t="s">
        <v>167</v>
      </c>
      <c r="O5" s="377" t="s">
        <v>169</v>
      </c>
      <c r="P5" s="377" t="s">
        <v>168</v>
      </c>
      <c r="Q5" s="377" t="s">
        <v>334</v>
      </c>
    </row>
    <row r="6" spans="1:17 16357:16357" ht="15" customHeight="1" x14ac:dyDescent="0.25">
      <c r="A6" s="624"/>
      <c r="B6" s="624"/>
      <c r="C6" s="306"/>
      <c r="D6" s="310">
        <v>0.25</v>
      </c>
      <c r="E6" s="305">
        <v>0.2</v>
      </c>
      <c r="F6" s="619">
        <v>0.25</v>
      </c>
      <c r="G6" s="621"/>
      <c r="H6" s="305">
        <v>0.1</v>
      </c>
      <c r="I6" s="619">
        <v>0.1</v>
      </c>
      <c r="J6" s="620"/>
      <c r="K6" s="620"/>
      <c r="L6" s="621"/>
      <c r="M6" s="619">
        <v>0.1</v>
      </c>
      <c r="N6" s="620"/>
      <c r="O6" s="620"/>
      <c r="P6" s="620"/>
      <c r="Q6" s="621"/>
    </row>
    <row r="7" spans="1:17 16357:16357" x14ac:dyDescent="0.25">
      <c r="A7" s="358" t="s">
        <v>178</v>
      </c>
      <c r="B7" s="358">
        <v>46082</v>
      </c>
      <c r="C7" s="208"/>
      <c r="D7" s="357"/>
      <c r="E7" s="357"/>
      <c r="F7" s="357"/>
      <c r="G7" s="357"/>
      <c r="H7" s="357"/>
      <c r="I7" s="357"/>
      <c r="J7" s="357"/>
      <c r="K7" s="357"/>
      <c r="L7" s="357"/>
      <c r="M7" s="378"/>
      <c r="N7" s="378"/>
      <c r="O7" s="378"/>
      <c r="P7" s="378"/>
      <c r="Q7" s="378"/>
    </row>
    <row r="8" spans="1:17 16357:16357" x14ac:dyDescent="0.25">
      <c r="A8" s="208" t="s">
        <v>285</v>
      </c>
      <c r="B8" s="208">
        <v>46083</v>
      </c>
      <c r="C8" s="208"/>
      <c r="D8" s="224">
        <v>0.4548611111111111</v>
      </c>
      <c r="E8" s="224">
        <v>0.5131944444444444</v>
      </c>
      <c r="F8" s="224">
        <v>0.50347222222222221</v>
      </c>
      <c r="G8" s="224">
        <v>0.53055555555555556</v>
      </c>
      <c r="H8" s="224">
        <v>0.54583333333333328</v>
      </c>
      <c r="I8" s="224">
        <v>0.6</v>
      </c>
      <c r="J8" s="224">
        <v>0.60347222222222219</v>
      </c>
      <c r="K8" s="224" t="s">
        <v>170</v>
      </c>
      <c r="L8" s="224" t="s">
        <v>170</v>
      </c>
      <c r="M8" s="224">
        <v>0.54652777777777783</v>
      </c>
      <c r="N8" s="224">
        <v>0.54027777777777775</v>
      </c>
      <c r="O8" s="224">
        <v>0.53125</v>
      </c>
      <c r="P8" s="224">
        <v>0.55208333333333337</v>
      </c>
      <c r="Q8" s="224" t="s">
        <v>170</v>
      </c>
    </row>
    <row r="9" spans="1:17 16357:16357" x14ac:dyDescent="0.25">
      <c r="A9" s="208" t="s">
        <v>286</v>
      </c>
      <c r="B9" s="208">
        <v>46084</v>
      </c>
      <c r="C9" s="208"/>
      <c r="D9" s="224">
        <v>0.46180555555555558</v>
      </c>
      <c r="E9" s="224">
        <v>0.52638888888888891</v>
      </c>
      <c r="F9" s="224">
        <v>0.54305555555555551</v>
      </c>
      <c r="G9" s="224">
        <v>0.54166666666666663</v>
      </c>
      <c r="H9" s="224">
        <v>0.5493055555555556</v>
      </c>
      <c r="I9" s="224">
        <v>0.56736111111111109</v>
      </c>
      <c r="J9" s="224">
        <v>0.56388888888888888</v>
      </c>
      <c r="K9" s="224" t="s">
        <v>170</v>
      </c>
      <c r="L9" s="224" t="s">
        <v>170</v>
      </c>
      <c r="M9" s="224">
        <v>0.52777777777777779</v>
      </c>
      <c r="N9" s="224">
        <v>0.55486111111111114</v>
      </c>
      <c r="O9" s="224">
        <v>0.54999999999999993</v>
      </c>
      <c r="P9" s="224">
        <v>0.54513888888888895</v>
      </c>
      <c r="Q9" s="224" t="s">
        <v>170</v>
      </c>
    </row>
    <row r="10" spans="1:17 16357:16357" s="25" customFormat="1" x14ac:dyDescent="0.25">
      <c r="A10" s="208" t="s">
        <v>175</v>
      </c>
      <c r="B10" s="208">
        <v>46085</v>
      </c>
      <c r="C10" s="208"/>
      <c r="D10" s="224">
        <v>0.37847222222222227</v>
      </c>
      <c r="E10" s="224">
        <v>0.52430555555555558</v>
      </c>
      <c r="F10" s="224">
        <v>0.5444444444444444</v>
      </c>
      <c r="G10" s="224">
        <v>0.46319444444444446</v>
      </c>
      <c r="H10" s="224">
        <v>0.56319444444444444</v>
      </c>
      <c r="I10" s="224">
        <v>0.625</v>
      </c>
      <c r="J10" s="224">
        <v>0.60902777777777783</v>
      </c>
      <c r="K10" s="224" t="s">
        <v>170</v>
      </c>
      <c r="L10" s="224" t="s">
        <v>170</v>
      </c>
      <c r="M10" s="224">
        <v>0.52708333333333335</v>
      </c>
      <c r="N10" s="224">
        <v>0.54027777777777775</v>
      </c>
      <c r="O10" s="224">
        <v>0.53055555555555556</v>
      </c>
      <c r="P10" s="224" t="s">
        <v>170</v>
      </c>
      <c r="Q10" s="224" t="s">
        <v>170</v>
      </c>
    </row>
    <row r="11" spans="1:17 16357:16357" x14ac:dyDescent="0.25">
      <c r="A11" s="208" t="s">
        <v>284</v>
      </c>
      <c r="B11" s="208">
        <v>46086</v>
      </c>
      <c r="C11" s="208"/>
      <c r="D11" s="224">
        <v>0.44791666666666669</v>
      </c>
      <c r="E11" s="224">
        <v>0.52847222222222223</v>
      </c>
      <c r="F11" s="224">
        <v>0.56874999999999998</v>
      </c>
      <c r="G11" s="224">
        <v>0.5493055555555556</v>
      </c>
      <c r="H11" s="224">
        <v>0.58263888888888882</v>
      </c>
      <c r="I11" s="224">
        <v>0.60416666666666663</v>
      </c>
      <c r="J11" s="224">
        <v>0.60069444444444442</v>
      </c>
      <c r="K11" s="224">
        <v>0.58888888888888891</v>
      </c>
      <c r="L11" s="224" t="s">
        <v>170</v>
      </c>
      <c r="M11" s="224">
        <v>0.53333333333333333</v>
      </c>
      <c r="N11" s="224">
        <v>0.55763888888888891</v>
      </c>
      <c r="O11" s="224">
        <v>0.54861111111111105</v>
      </c>
      <c r="P11" s="224">
        <v>0.54027777777777775</v>
      </c>
      <c r="Q11" s="224" t="s">
        <v>170</v>
      </c>
    </row>
    <row r="12" spans="1:17 16357:16357" x14ac:dyDescent="0.25">
      <c r="A12" s="208" t="s">
        <v>177</v>
      </c>
      <c r="B12" s="208">
        <v>46087</v>
      </c>
      <c r="C12" s="217"/>
      <c r="D12" s="224" t="s">
        <v>170</v>
      </c>
      <c r="E12" s="224" t="s">
        <v>170</v>
      </c>
      <c r="F12" s="224" t="s">
        <v>170</v>
      </c>
      <c r="G12" s="224" t="s">
        <v>170</v>
      </c>
      <c r="H12" s="224" t="s">
        <v>170</v>
      </c>
      <c r="I12" s="224" t="s">
        <v>170</v>
      </c>
      <c r="J12" s="224" t="s">
        <v>170</v>
      </c>
      <c r="K12" s="224" t="s">
        <v>170</v>
      </c>
      <c r="L12" s="224" t="s">
        <v>170</v>
      </c>
      <c r="M12" s="224" t="s">
        <v>170</v>
      </c>
      <c r="N12" s="224" t="s">
        <v>170</v>
      </c>
      <c r="O12" s="224" t="s">
        <v>170</v>
      </c>
      <c r="P12" s="224" t="s">
        <v>170</v>
      </c>
      <c r="Q12" s="224" t="s">
        <v>170</v>
      </c>
      <c r="XEC12" s="208"/>
    </row>
    <row r="13" spans="1:17 16357:16357" x14ac:dyDescent="0.25">
      <c r="A13" s="208" t="s">
        <v>174</v>
      </c>
      <c r="B13" s="208">
        <v>46088</v>
      </c>
      <c r="C13" s="217"/>
      <c r="D13" s="224">
        <v>0.46180555555555558</v>
      </c>
      <c r="E13" s="224">
        <v>0.51458333333333328</v>
      </c>
      <c r="F13" s="224">
        <v>0.5708333333333333</v>
      </c>
      <c r="G13" s="224" t="s">
        <v>170</v>
      </c>
      <c r="H13" s="224">
        <v>0.62847222222222221</v>
      </c>
      <c r="I13" s="224">
        <v>0.63263888888888886</v>
      </c>
      <c r="J13" s="224">
        <v>0.59375</v>
      </c>
      <c r="K13" s="224" t="s">
        <v>170</v>
      </c>
      <c r="L13" s="224" t="s">
        <v>170</v>
      </c>
      <c r="M13" s="224">
        <v>0.53055555555555556</v>
      </c>
      <c r="N13" s="224">
        <v>0.53749999999999998</v>
      </c>
      <c r="O13" s="224">
        <v>0.54513888888888895</v>
      </c>
      <c r="P13" s="224">
        <v>0.53263888888888888</v>
      </c>
      <c r="Q13" s="224" t="s">
        <v>170</v>
      </c>
    </row>
    <row r="14" spans="1:17 16357:16357" x14ac:dyDescent="0.25">
      <c r="A14" s="358" t="s">
        <v>178</v>
      </c>
      <c r="B14" s="358">
        <v>46089</v>
      </c>
      <c r="C14" s="217"/>
      <c r="D14" s="357"/>
      <c r="E14" s="357"/>
      <c r="F14" s="357"/>
      <c r="G14" s="357"/>
      <c r="H14" s="357"/>
      <c r="I14" s="357"/>
      <c r="J14" s="357"/>
      <c r="K14" s="357"/>
      <c r="L14" s="357"/>
      <c r="M14" s="357"/>
      <c r="N14" s="357"/>
      <c r="O14" s="357"/>
      <c r="P14" s="357"/>
      <c r="Q14" s="357"/>
    </row>
    <row r="15" spans="1:17 16357:16357" x14ac:dyDescent="0.25">
      <c r="A15" s="208" t="s">
        <v>285</v>
      </c>
      <c r="B15" s="208">
        <v>46090</v>
      </c>
      <c r="C15" s="217"/>
      <c r="D15" s="224">
        <v>0.44444444444444442</v>
      </c>
      <c r="E15" s="224">
        <v>0.52777777777777779</v>
      </c>
      <c r="F15" s="224">
        <v>0.52986111111111112</v>
      </c>
      <c r="G15" s="224">
        <v>0.53125</v>
      </c>
      <c r="H15" s="224">
        <v>0.54236111111111118</v>
      </c>
      <c r="I15" s="224">
        <v>0.5493055555555556</v>
      </c>
      <c r="J15" s="224">
        <v>0.55069444444444449</v>
      </c>
      <c r="K15" s="224" t="s">
        <v>170</v>
      </c>
      <c r="L15" s="224" t="s">
        <v>170</v>
      </c>
      <c r="M15" s="224">
        <v>0.53263888888888888</v>
      </c>
      <c r="N15" s="224">
        <v>0.5541666666666667</v>
      </c>
      <c r="O15" s="224">
        <v>0.54513888888888895</v>
      </c>
      <c r="P15" s="224">
        <v>0.54861111111111105</v>
      </c>
      <c r="Q15" s="224" t="s">
        <v>170</v>
      </c>
    </row>
    <row r="16" spans="1:17 16357:16357" x14ac:dyDescent="0.25">
      <c r="A16" s="208" t="s">
        <v>286</v>
      </c>
      <c r="B16" s="208">
        <v>46091</v>
      </c>
      <c r="C16" s="217"/>
      <c r="D16" s="224">
        <v>0.46180555555555558</v>
      </c>
      <c r="E16" s="224">
        <v>0.51666666666666672</v>
      </c>
      <c r="F16" s="224">
        <v>0.55208333333333337</v>
      </c>
      <c r="G16" s="224">
        <v>0.53194444444444444</v>
      </c>
      <c r="H16" s="224">
        <v>0.55833333333333335</v>
      </c>
      <c r="I16" s="224">
        <v>0.5625</v>
      </c>
      <c r="J16" s="224">
        <v>0.56388888888888888</v>
      </c>
      <c r="K16" s="224" t="s">
        <v>170</v>
      </c>
      <c r="L16" s="224" t="s">
        <v>170</v>
      </c>
      <c r="M16" s="224">
        <v>0.54375000000000007</v>
      </c>
      <c r="N16" s="224">
        <v>0.55625000000000002</v>
      </c>
      <c r="O16" s="224">
        <v>0.55138888888888882</v>
      </c>
      <c r="P16" s="224">
        <v>0.55277777777777781</v>
      </c>
      <c r="Q16" s="224" t="s">
        <v>170</v>
      </c>
    </row>
    <row r="17" spans="1:17" s="25" customFormat="1" x14ac:dyDescent="0.25">
      <c r="A17" s="208" t="s">
        <v>175</v>
      </c>
      <c r="B17" s="208">
        <v>46092</v>
      </c>
      <c r="C17" s="217"/>
      <c r="D17" s="224">
        <v>0.46875</v>
      </c>
      <c r="E17" s="224">
        <v>0.49305555555555558</v>
      </c>
      <c r="F17" s="224">
        <v>0.57430555555555551</v>
      </c>
      <c r="G17" s="224">
        <v>0.57638888888888895</v>
      </c>
      <c r="H17" s="224">
        <v>0.59791666666666665</v>
      </c>
      <c r="I17" s="224">
        <v>0.65833333333333333</v>
      </c>
      <c r="J17" s="224">
        <v>0.64930555555555558</v>
      </c>
      <c r="K17" s="224" t="s">
        <v>170</v>
      </c>
      <c r="L17" s="224" t="s">
        <v>170</v>
      </c>
      <c r="M17" s="224">
        <v>0.53611111111111109</v>
      </c>
      <c r="N17" s="224">
        <v>0.54097222222222219</v>
      </c>
      <c r="O17" s="224">
        <v>0.54583333333333328</v>
      </c>
      <c r="P17" s="224">
        <v>0.5395833333333333</v>
      </c>
      <c r="Q17" s="224" t="s">
        <v>170</v>
      </c>
    </row>
    <row r="18" spans="1:17" x14ac:dyDescent="0.25">
      <c r="A18" s="208" t="s">
        <v>284</v>
      </c>
      <c r="B18" s="208">
        <v>46093</v>
      </c>
      <c r="C18" s="217"/>
      <c r="D18" s="224">
        <v>0.4201388888888889</v>
      </c>
      <c r="E18" s="224">
        <v>0.5180555555555556</v>
      </c>
      <c r="F18" s="224">
        <v>0.52708333333333335</v>
      </c>
      <c r="G18" s="224">
        <v>0.57291666666666663</v>
      </c>
      <c r="H18" s="224">
        <v>0.55069444444444449</v>
      </c>
      <c r="I18" s="224">
        <v>0.65972222222222221</v>
      </c>
      <c r="J18" s="224">
        <v>0.66319444444444442</v>
      </c>
      <c r="K18" s="224" t="s">
        <v>170</v>
      </c>
      <c r="L18" s="224" t="s">
        <v>170</v>
      </c>
      <c r="M18" s="224">
        <v>0.53541666666666665</v>
      </c>
      <c r="N18" s="224">
        <v>0.54236111111111118</v>
      </c>
      <c r="O18" s="224">
        <v>0.54513888888888895</v>
      </c>
      <c r="P18" s="224">
        <v>0.52638888888888891</v>
      </c>
      <c r="Q18" s="224" t="s">
        <v>170</v>
      </c>
    </row>
    <row r="19" spans="1:17" x14ac:dyDescent="0.25">
      <c r="A19" s="208" t="s">
        <v>177</v>
      </c>
      <c r="B19" s="208">
        <v>46094</v>
      </c>
      <c r="C19" s="217"/>
      <c r="D19" s="224">
        <v>0.48958333333333331</v>
      </c>
      <c r="E19" s="224">
        <v>0.5444444444444444</v>
      </c>
      <c r="F19" s="224">
        <v>0.56041666666666667</v>
      </c>
      <c r="G19" s="224">
        <v>0.5625</v>
      </c>
      <c r="H19" s="224">
        <v>0.56666666666666665</v>
      </c>
      <c r="I19" s="224">
        <v>0.59375</v>
      </c>
      <c r="J19" s="224">
        <v>0.59444444444444444</v>
      </c>
      <c r="K19" s="224" t="s">
        <v>170</v>
      </c>
      <c r="L19" s="224" t="s">
        <v>170</v>
      </c>
      <c r="M19" s="224">
        <v>0.53333333333333333</v>
      </c>
      <c r="N19" s="224">
        <v>0.53888888888888886</v>
      </c>
      <c r="O19" s="224">
        <v>0.54305555555555551</v>
      </c>
      <c r="P19" s="224">
        <v>0.53611111111111109</v>
      </c>
      <c r="Q19" s="224" t="s">
        <v>170</v>
      </c>
    </row>
    <row r="20" spans="1:17" x14ac:dyDescent="0.25">
      <c r="A20" s="208" t="s">
        <v>174</v>
      </c>
      <c r="B20" s="208">
        <v>46095</v>
      </c>
      <c r="C20" s="217"/>
      <c r="D20" s="224">
        <v>0.4375</v>
      </c>
      <c r="E20" s="224">
        <v>0.55138888888888882</v>
      </c>
      <c r="F20" s="224">
        <v>0.55625000000000002</v>
      </c>
      <c r="G20" s="224">
        <v>0.55833333333333335</v>
      </c>
      <c r="H20" s="224">
        <v>0.56111111111111112</v>
      </c>
      <c r="I20" s="224">
        <v>0.60972222222222217</v>
      </c>
      <c r="J20" s="224">
        <v>0.60416666666666663</v>
      </c>
      <c r="K20" s="224">
        <v>0.56666666666666665</v>
      </c>
      <c r="L20" s="224" t="s">
        <v>170</v>
      </c>
      <c r="M20" s="224">
        <v>0.53333333333333333</v>
      </c>
      <c r="N20" s="224">
        <v>0.55277777777777781</v>
      </c>
      <c r="O20" s="224">
        <v>0.55625000000000002</v>
      </c>
      <c r="P20" s="224">
        <v>0.54027777777777775</v>
      </c>
      <c r="Q20" s="224" t="s">
        <v>170</v>
      </c>
    </row>
    <row r="21" spans="1:17" x14ac:dyDescent="0.25">
      <c r="A21" s="358" t="s">
        <v>178</v>
      </c>
      <c r="B21" s="358">
        <v>46096</v>
      </c>
      <c r="C21" s="21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</row>
    <row r="22" spans="1:17" x14ac:dyDescent="0.25">
      <c r="A22" s="208" t="s">
        <v>285</v>
      </c>
      <c r="B22" s="208">
        <v>46097</v>
      </c>
      <c r="C22" s="217"/>
      <c r="D22" s="224">
        <v>0.63541666666666663</v>
      </c>
      <c r="E22" s="224">
        <v>0.63888888888888895</v>
      </c>
      <c r="F22" s="224">
        <v>0.63888888888888895</v>
      </c>
      <c r="G22" s="224">
        <v>0.52847222222222223</v>
      </c>
      <c r="H22" s="224">
        <v>0.59930555555555554</v>
      </c>
      <c r="I22" s="224">
        <v>0.57291666666666663</v>
      </c>
      <c r="J22" s="224">
        <v>0.57500000000000007</v>
      </c>
      <c r="K22" s="224" t="s">
        <v>170</v>
      </c>
      <c r="L22" s="224" t="s">
        <v>170</v>
      </c>
      <c r="M22" s="224">
        <v>0.5444444444444444</v>
      </c>
      <c r="N22" s="224">
        <v>0.54861111111111105</v>
      </c>
      <c r="O22" s="224">
        <v>0.55208333333333337</v>
      </c>
      <c r="P22" s="224">
        <v>0.54513888888888895</v>
      </c>
      <c r="Q22" s="224" t="s">
        <v>170</v>
      </c>
    </row>
    <row r="23" spans="1:17" s="25" customFormat="1" x14ac:dyDescent="0.25">
      <c r="A23" s="208" t="s">
        <v>286</v>
      </c>
      <c r="B23" s="208">
        <v>46098</v>
      </c>
      <c r="C23" s="217"/>
      <c r="D23" s="224">
        <v>0.44097222222222227</v>
      </c>
      <c r="E23" s="224">
        <v>0.52013888888888882</v>
      </c>
      <c r="F23" s="224">
        <v>0.53472222222222221</v>
      </c>
      <c r="G23" s="224">
        <v>0.52013888888888882</v>
      </c>
      <c r="H23" s="224">
        <v>0.53611111111111109</v>
      </c>
      <c r="I23" s="224">
        <v>0.56527777777777777</v>
      </c>
      <c r="J23" s="224">
        <v>0.55208333333333337</v>
      </c>
      <c r="K23" s="224" t="s">
        <v>170</v>
      </c>
      <c r="L23" s="224" t="s">
        <v>170</v>
      </c>
      <c r="M23" s="224">
        <v>0.53680555555555554</v>
      </c>
      <c r="N23" s="224">
        <v>0.54097222222222219</v>
      </c>
      <c r="O23" s="224">
        <v>0.54166666666666663</v>
      </c>
      <c r="P23" s="224">
        <v>0.52847222222222223</v>
      </c>
      <c r="Q23" s="224" t="s">
        <v>170</v>
      </c>
    </row>
    <row r="24" spans="1:17" s="25" customFormat="1" x14ac:dyDescent="0.25">
      <c r="A24" s="208" t="s">
        <v>175</v>
      </c>
      <c r="B24" s="208">
        <v>46099</v>
      </c>
      <c r="C24" s="217"/>
      <c r="D24" s="224">
        <v>0.46180555555555558</v>
      </c>
      <c r="E24" s="224" t="s">
        <v>170</v>
      </c>
      <c r="F24" s="224" t="s">
        <v>170</v>
      </c>
      <c r="G24" s="224">
        <v>0.53472222222222221</v>
      </c>
      <c r="H24" s="224">
        <v>0.53611111111111109</v>
      </c>
      <c r="I24" s="224">
        <v>0.60555555555555551</v>
      </c>
      <c r="J24" s="224" t="s">
        <v>170</v>
      </c>
      <c r="K24" s="224" t="s">
        <v>170</v>
      </c>
      <c r="L24" s="224" t="s">
        <v>170</v>
      </c>
      <c r="M24" s="224">
        <v>0.52083333333333337</v>
      </c>
      <c r="N24" s="224">
        <v>0.52430555555555558</v>
      </c>
      <c r="O24" s="224">
        <v>0.52777777777777779</v>
      </c>
      <c r="P24" s="224" t="s">
        <v>170</v>
      </c>
      <c r="Q24" s="224" t="s">
        <v>170</v>
      </c>
    </row>
    <row r="25" spans="1:17" x14ac:dyDescent="0.25">
      <c r="A25" s="358" t="s">
        <v>284</v>
      </c>
      <c r="B25" s="358">
        <v>46100</v>
      </c>
      <c r="C25" s="217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</row>
    <row r="26" spans="1:17" x14ac:dyDescent="0.25">
      <c r="A26" s="208" t="s">
        <v>177</v>
      </c>
      <c r="B26" s="208">
        <v>46101</v>
      </c>
      <c r="C26" s="217"/>
      <c r="D26" s="375"/>
      <c r="E26" s="375"/>
      <c r="F26" s="375"/>
      <c r="G26" s="376"/>
      <c r="H26" s="376"/>
      <c r="I26" s="376"/>
      <c r="J26" s="376"/>
      <c r="K26" s="376"/>
      <c r="L26" s="376"/>
      <c r="M26" s="376"/>
      <c r="N26" s="376"/>
      <c r="O26" s="376"/>
      <c r="P26" s="376"/>
      <c r="Q26" s="375"/>
    </row>
    <row r="27" spans="1:17" x14ac:dyDescent="0.25">
      <c r="A27" s="208" t="s">
        <v>174</v>
      </c>
      <c r="B27" s="208">
        <v>46102</v>
      </c>
      <c r="C27" s="217"/>
      <c r="D27" s="375"/>
      <c r="E27" s="375"/>
      <c r="F27" s="375"/>
      <c r="G27" s="376"/>
      <c r="H27" s="376"/>
      <c r="I27" s="376"/>
      <c r="J27" s="376"/>
      <c r="K27" s="376"/>
      <c r="L27" s="376"/>
      <c r="M27" s="376"/>
      <c r="N27" s="376"/>
      <c r="O27" s="376"/>
      <c r="P27" s="376"/>
      <c r="Q27" s="375"/>
    </row>
    <row r="28" spans="1:17" x14ac:dyDescent="0.25">
      <c r="A28" s="358" t="s">
        <v>178</v>
      </c>
      <c r="B28" s="358">
        <v>46103</v>
      </c>
      <c r="C28" s="217"/>
      <c r="D28" s="359"/>
      <c r="E28" s="359"/>
      <c r="F28" s="359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59"/>
    </row>
    <row r="29" spans="1:17" x14ac:dyDescent="0.25">
      <c r="A29" s="208" t="s">
        <v>285</v>
      </c>
      <c r="B29" s="208">
        <v>46104</v>
      </c>
      <c r="C29" s="217"/>
      <c r="D29" s="375"/>
      <c r="E29" s="375"/>
      <c r="F29" s="375"/>
      <c r="G29" s="376"/>
      <c r="H29" s="376"/>
      <c r="I29" s="376"/>
      <c r="J29" s="376"/>
      <c r="K29" s="376"/>
      <c r="L29" s="376"/>
      <c r="M29" s="376"/>
      <c r="N29" s="376"/>
      <c r="O29" s="376"/>
      <c r="P29" s="376"/>
      <c r="Q29" s="375"/>
    </row>
    <row r="30" spans="1:17" x14ac:dyDescent="0.25">
      <c r="A30" s="208" t="s">
        <v>286</v>
      </c>
      <c r="B30" s="208">
        <v>46105</v>
      </c>
      <c r="C30" s="217"/>
      <c r="D30" s="375"/>
      <c r="E30" s="375"/>
      <c r="F30" s="375"/>
      <c r="G30" s="376"/>
      <c r="H30" s="376"/>
      <c r="I30" s="376"/>
      <c r="J30" s="376"/>
      <c r="K30" s="376"/>
      <c r="L30" s="376"/>
      <c r="M30" s="376"/>
      <c r="N30" s="376"/>
      <c r="O30" s="376"/>
      <c r="P30" s="376"/>
      <c r="Q30" s="375"/>
    </row>
    <row r="31" spans="1:17" s="25" customFormat="1" x14ac:dyDescent="0.25">
      <c r="A31" s="208" t="s">
        <v>175</v>
      </c>
      <c r="B31" s="208">
        <v>46106</v>
      </c>
      <c r="C31" s="217"/>
      <c r="D31" s="375"/>
      <c r="E31" s="375"/>
      <c r="F31" s="375"/>
      <c r="G31" s="376"/>
      <c r="H31" s="376"/>
      <c r="I31" s="376"/>
      <c r="J31" s="376"/>
      <c r="K31" s="376"/>
      <c r="L31" s="376"/>
      <c r="M31" s="376"/>
      <c r="N31" s="376"/>
      <c r="O31" s="376"/>
      <c r="P31" s="376"/>
      <c r="Q31" s="375"/>
    </row>
    <row r="32" spans="1:17" s="25" customFormat="1" x14ac:dyDescent="0.25">
      <c r="A32" s="208" t="s">
        <v>284</v>
      </c>
      <c r="B32" s="208">
        <v>46107</v>
      </c>
      <c r="C32" s="217"/>
      <c r="D32" s="224" t="s">
        <v>170</v>
      </c>
      <c r="E32" s="224" t="s">
        <v>170</v>
      </c>
      <c r="F32" s="224" t="s">
        <v>170</v>
      </c>
      <c r="G32" s="224">
        <v>0.44444444444444442</v>
      </c>
      <c r="H32" s="224">
        <v>0.48958333333333331</v>
      </c>
      <c r="I32" s="224">
        <v>0.53125</v>
      </c>
      <c r="J32" s="224">
        <v>0.50347222222222221</v>
      </c>
      <c r="K32" s="224" t="s">
        <v>170</v>
      </c>
      <c r="L32" s="224">
        <v>0.55208333333333337</v>
      </c>
      <c r="M32" s="224">
        <v>0.53611111111111109</v>
      </c>
      <c r="N32" s="224">
        <v>0.53125</v>
      </c>
      <c r="O32" s="224">
        <v>0.52777777777777779</v>
      </c>
      <c r="P32" s="224">
        <v>0.5229166666666667</v>
      </c>
      <c r="Q32" s="224" t="s">
        <v>170</v>
      </c>
    </row>
    <row r="33" spans="1:17" s="25" customFormat="1" x14ac:dyDescent="0.25">
      <c r="A33" s="208" t="s">
        <v>177</v>
      </c>
      <c r="B33" s="208">
        <v>46108</v>
      </c>
      <c r="C33" s="217"/>
      <c r="D33" s="224">
        <v>0.44444444444444442</v>
      </c>
      <c r="E33" s="224">
        <v>0.48819444444444443</v>
      </c>
      <c r="F33" s="224">
        <v>0.49305555555555558</v>
      </c>
      <c r="G33" s="224">
        <v>0.54513888888888895</v>
      </c>
      <c r="H33" s="224">
        <v>0.56319444444444444</v>
      </c>
      <c r="I33" s="224">
        <v>0.6166666666666667</v>
      </c>
      <c r="J33" s="224">
        <v>0.61805555555555558</v>
      </c>
      <c r="K33" s="224" t="s">
        <v>170</v>
      </c>
      <c r="L33" s="224">
        <v>0.62152777777777779</v>
      </c>
      <c r="M33" s="224">
        <v>0.53819444444444442</v>
      </c>
      <c r="N33" s="224">
        <v>0.54513888888888895</v>
      </c>
      <c r="O33" s="224">
        <v>0.53055555555555556</v>
      </c>
      <c r="P33" s="224">
        <v>0.52430555555555558</v>
      </c>
      <c r="Q33" s="224" t="s">
        <v>170</v>
      </c>
    </row>
    <row r="34" spans="1:17" s="25" customFormat="1" x14ac:dyDescent="0.25">
      <c r="A34" s="208" t="s">
        <v>174</v>
      </c>
      <c r="B34" s="208">
        <v>46109</v>
      </c>
      <c r="C34" s="217"/>
      <c r="D34" s="224">
        <v>0.44097222222222227</v>
      </c>
      <c r="E34" s="224">
        <v>0.49722222222222223</v>
      </c>
      <c r="F34" s="224">
        <v>0.50347222222222221</v>
      </c>
      <c r="G34" s="224">
        <v>0.50208333333333333</v>
      </c>
      <c r="H34" s="224">
        <v>0.50624999999999998</v>
      </c>
      <c r="I34" s="224">
        <v>0.58680555555555558</v>
      </c>
      <c r="J34" s="224">
        <v>0.58194444444444449</v>
      </c>
      <c r="K34" s="224" t="s">
        <v>170</v>
      </c>
      <c r="L34" s="224" t="s">
        <v>170</v>
      </c>
      <c r="M34" s="224">
        <v>0.52986111111111112</v>
      </c>
      <c r="N34" s="224">
        <v>0.53611111111111109</v>
      </c>
      <c r="O34" s="224">
        <v>0.54513888888888895</v>
      </c>
      <c r="P34" s="224" t="s">
        <v>170</v>
      </c>
      <c r="Q34" s="224" t="s">
        <v>170</v>
      </c>
    </row>
    <row r="35" spans="1:17" x14ac:dyDescent="0.25">
      <c r="A35" s="358" t="s">
        <v>178</v>
      </c>
      <c r="B35" s="358">
        <v>46110</v>
      </c>
      <c r="C35" s="217"/>
      <c r="D35" s="357"/>
      <c r="E35" s="357"/>
      <c r="F35" s="357"/>
      <c r="G35" s="357"/>
      <c r="H35" s="357"/>
      <c r="I35" s="357"/>
      <c r="J35" s="357"/>
      <c r="K35" s="357"/>
      <c r="L35" s="357"/>
      <c r="M35" s="357"/>
      <c r="N35" s="357"/>
      <c r="O35" s="357"/>
      <c r="P35" s="357"/>
      <c r="Q35" s="357"/>
    </row>
    <row r="36" spans="1:17" x14ac:dyDescent="0.25">
      <c r="A36" s="208" t="s">
        <v>285</v>
      </c>
      <c r="B36" s="208">
        <v>46111</v>
      </c>
      <c r="C36" s="217"/>
      <c r="D36" s="224">
        <v>0.4375</v>
      </c>
      <c r="E36" s="224">
        <v>0.51527777777777783</v>
      </c>
      <c r="F36" s="224">
        <v>0.55694444444444446</v>
      </c>
      <c r="G36" s="224">
        <v>0.56736111111111109</v>
      </c>
      <c r="H36" s="224">
        <v>0.53472222222222221</v>
      </c>
      <c r="I36" s="224">
        <v>0.63263888888888886</v>
      </c>
      <c r="J36" s="224">
        <v>0.6333333333333333</v>
      </c>
      <c r="K36" s="224">
        <v>0.62916666666666665</v>
      </c>
      <c r="L36" s="224">
        <v>0.63750000000000007</v>
      </c>
      <c r="M36" s="224">
        <v>0.52986111111111112</v>
      </c>
      <c r="N36" s="224">
        <v>0.5625</v>
      </c>
      <c r="O36" s="224">
        <v>0.53819444444444442</v>
      </c>
      <c r="P36" s="224">
        <v>0.52500000000000002</v>
      </c>
      <c r="Q36" s="224" t="s">
        <v>170</v>
      </c>
    </row>
    <row r="37" spans="1:17" x14ac:dyDescent="0.25">
      <c r="A37" s="208" t="s">
        <v>286</v>
      </c>
      <c r="B37" s="208">
        <v>46112</v>
      </c>
      <c r="C37" s="217"/>
      <c r="D37" s="224">
        <v>0.42708333333333331</v>
      </c>
      <c r="E37" s="224">
        <v>0.50972222222222219</v>
      </c>
      <c r="F37" s="224">
        <v>0.51736111111111105</v>
      </c>
      <c r="G37" s="224">
        <v>0.46180555555555558</v>
      </c>
      <c r="H37" s="224">
        <v>0.53472222222222221</v>
      </c>
      <c r="I37" s="224">
        <v>0.60763888888888895</v>
      </c>
      <c r="J37" s="224">
        <v>0.61111111111111105</v>
      </c>
      <c r="K37" s="224" t="s">
        <v>170</v>
      </c>
      <c r="L37" s="224" t="s">
        <v>170</v>
      </c>
      <c r="M37" s="224">
        <v>0.54375000000000007</v>
      </c>
      <c r="N37" s="224">
        <v>0.5493055555555556</v>
      </c>
      <c r="O37" s="224">
        <v>0.53333333333333333</v>
      </c>
      <c r="P37" s="224">
        <v>0.53125</v>
      </c>
      <c r="Q37" s="224">
        <v>0.55208333333333337</v>
      </c>
    </row>
    <row r="38" spans="1:17" ht="18" customHeight="1" x14ac:dyDescent="0.25">
      <c r="A38" s="207" t="s">
        <v>171</v>
      </c>
      <c r="B38" s="279"/>
      <c r="C38" s="279"/>
      <c r="D38" s="213">
        <f>AVERAGE(D10:D37)</f>
        <v>0.45616319444444448</v>
      </c>
      <c r="E38" s="213">
        <f>AVERAGE(E10:E37)</f>
        <v>0.52587962962962964</v>
      </c>
      <c r="F38" s="213">
        <f>AVERAGE(F10:F37)</f>
        <v>0.54856481481481489</v>
      </c>
      <c r="G38" s="213">
        <f>AVERAGE(G10:G37)</f>
        <v>0.52812500000000007</v>
      </c>
      <c r="H38" s="213">
        <f t="shared" ref="H38:P38" si="0">AVERAGE(H10:H37)</f>
        <v>0.55596405228758161</v>
      </c>
      <c r="I38" s="213">
        <f t="shared" si="0"/>
        <v>0.60081699346405226</v>
      </c>
      <c r="J38" s="213">
        <f t="shared" si="0"/>
        <v>0.59401041666666654</v>
      </c>
      <c r="K38" s="213">
        <f t="shared" ref="K38" si="1">AVERAGE(K10:K37)</f>
        <v>0.59490740740740733</v>
      </c>
      <c r="L38" s="213"/>
      <c r="M38" s="213">
        <f t="shared" si="0"/>
        <v>0.53443627450980391</v>
      </c>
      <c r="N38" s="213">
        <f t="shared" si="0"/>
        <v>0.54464869281045747</v>
      </c>
      <c r="O38" s="213">
        <f t="shared" si="0"/>
        <v>0.54162581699346402</v>
      </c>
      <c r="P38" s="213">
        <f t="shared" si="0"/>
        <v>0.53526785714285718</v>
      </c>
      <c r="Q38" s="213">
        <f t="shared" ref="Q38" si="2">AVERAGE(Q10:Q37)</f>
        <v>0.55208333333333337</v>
      </c>
    </row>
    <row r="39" spans="1:17" ht="18" customHeight="1" x14ac:dyDescent="0.25">
      <c r="A39" s="207" t="s">
        <v>274</v>
      </c>
      <c r="B39" s="260"/>
      <c r="C39" s="260"/>
      <c r="D39" s="280">
        <f>MIN(D11:D37)</f>
        <v>0.4201388888888889</v>
      </c>
      <c r="E39" s="280">
        <f>MIN(E11:E37)</f>
        <v>0.48819444444444443</v>
      </c>
      <c r="F39" s="280">
        <f>MIN(F11:F37)</f>
        <v>0.49305555555555558</v>
      </c>
      <c r="G39" s="280">
        <f>MIN(G11:G37)</f>
        <v>0.44444444444444442</v>
      </c>
      <c r="H39" s="280">
        <f t="shared" ref="H39:P39" si="3">MIN(H11:H37)</f>
        <v>0.48958333333333331</v>
      </c>
      <c r="I39" s="280">
        <f t="shared" si="3"/>
        <v>0.53125</v>
      </c>
      <c r="J39" s="280">
        <f t="shared" si="3"/>
        <v>0.50347222222222221</v>
      </c>
      <c r="K39" s="280">
        <f t="shared" ref="K39" si="4">MIN(K11:K37)</f>
        <v>0.56666666666666665</v>
      </c>
      <c r="L39" s="280"/>
      <c r="M39" s="280">
        <f t="shared" si="3"/>
        <v>0.52083333333333337</v>
      </c>
      <c r="N39" s="280">
        <f t="shared" si="3"/>
        <v>0.52430555555555558</v>
      </c>
      <c r="O39" s="280">
        <f t="shared" si="3"/>
        <v>0.52777777777777779</v>
      </c>
      <c r="P39" s="280">
        <f t="shared" si="3"/>
        <v>0.5229166666666667</v>
      </c>
      <c r="Q39" s="280">
        <f t="shared" ref="Q39" si="5">MIN(Q11:Q37)</f>
        <v>0.55208333333333337</v>
      </c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F47" s="214"/>
      <c r="G47" s="214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69" spans="4:16" x14ac:dyDescent="0.25">
      <c r="D69"/>
      <c r="E69"/>
      <c r="F69" s="214"/>
      <c r="G69" s="214"/>
      <c r="H69"/>
      <c r="I69"/>
      <c r="J69"/>
      <c r="K69"/>
      <c r="L69"/>
      <c r="M69"/>
      <c r="N69"/>
      <c r="O69"/>
      <c r="P69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5" spans="4:16" x14ac:dyDescent="0.25">
      <c r="D105"/>
      <c r="E105"/>
      <c r="F105" s="214"/>
      <c r="G105" s="214"/>
      <c r="H105"/>
      <c r="I105"/>
      <c r="J105"/>
      <c r="K105"/>
      <c r="L105"/>
      <c r="M105"/>
      <c r="N105"/>
      <c r="O105"/>
      <c r="P105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0" spans="4:16" x14ac:dyDescent="0.25">
      <c r="D140"/>
      <c r="E140"/>
      <c r="F140" s="214"/>
      <c r="G140" s="214"/>
      <c r="H140"/>
      <c r="I140"/>
      <c r="J140"/>
      <c r="K140"/>
      <c r="L140"/>
      <c r="M140"/>
      <c r="N140"/>
      <c r="O140"/>
      <c r="P140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5" spans="4:16" x14ac:dyDescent="0.25">
      <c r="D175"/>
      <c r="E175"/>
      <c r="F175" s="214"/>
      <c r="G175" s="214"/>
      <c r="H175"/>
      <c r="I175"/>
      <c r="J175"/>
      <c r="K175"/>
      <c r="L175"/>
      <c r="M175"/>
      <c r="N175"/>
      <c r="O175"/>
      <c r="P175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0" spans="4:16" x14ac:dyDescent="0.25">
      <c r="D210"/>
      <c r="E210"/>
      <c r="F210" s="214"/>
      <c r="G210" s="214"/>
      <c r="H210"/>
      <c r="I210"/>
      <c r="J210"/>
      <c r="K210"/>
      <c r="L210"/>
      <c r="M210"/>
      <c r="N210"/>
      <c r="O210"/>
      <c r="P210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5" spans="4:16" x14ac:dyDescent="0.25">
      <c r="D245"/>
      <c r="E245"/>
      <c r="F245" s="214"/>
      <c r="G245" s="214"/>
      <c r="H245"/>
      <c r="I245"/>
      <c r="J245"/>
      <c r="K245"/>
      <c r="L245"/>
      <c r="M245"/>
      <c r="N245"/>
      <c r="O245"/>
      <c r="P245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3" spans="4:16" x14ac:dyDescent="0.25">
      <c r="D443"/>
      <c r="E443"/>
      <c r="F443" s="214"/>
      <c r="G443" s="214"/>
      <c r="H443"/>
      <c r="I443"/>
      <c r="J443"/>
      <c r="K443"/>
      <c r="L443"/>
      <c r="M443"/>
      <c r="N443"/>
      <c r="O443"/>
      <c r="P443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1" spans="4:16" x14ac:dyDescent="0.25">
      <c r="D561"/>
      <c r="E561"/>
      <c r="F561" s="214"/>
      <c r="G561" s="214"/>
      <c r="H561"/>
      <c r="I561"/>
      <c r="J561"/>
      <c r="K561"/>
      <c r="L561"/>
      <c r="M561"/>
      <c r="N561"/>
      <c r="O561"/>
      <c r="P561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79" spans="4:16" x14ac:dyDescent="0.25">
      <c r="D679"/>
      <c r="E679"/>
      <c r="F679" s="214"/>
      <c r="G679" s="214"/>
      <c r="H679"/>
      <c r="I679"/>
      <c r="J679"/>
      <c r="K679"/>
      <c r="L679"/>
      <c r="M679"/>
      <c r="N679"/>
      <c r="O679"/>
      <c r="P679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19" spans="4:16" x14ac:dyDescent="0.25">
      <c r="D719"/>
      <c r="E719"/>
      <c r="F719" s="214"/>
      <c r="G719" s="214"/>
      <c r="H719"/>
      <c r="I719"/>
      <c r="J719"/>
      <c r="K719"/>
      <c r="L719"/>
      <c r="M719"/>
      <c r="N719"/>
      <c r="O719"/>
      <c r="P719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0" spans="4:16" x14ac:dyDescent="0.25">
      <c r="D760"/>
      <c r="E760"/>
      <c r="F760" s="214"/>
      <c r="G760" s="214"/>
      <c r="H760"/>
      <c r="I760"/>
      <c r="J760"/>
      <c r="K760"/>
      <c r="L760"/>
      <c r="M760"/>
      <c r="N760"/>
      <c r="O760"/>
      <c r="P760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799" spans="4:16" x14ac:dyDescent="0.25">
      <c r="D799"/>
      <c r="E799"/>
      <c r="F799" s="214"/>
      <c r="G799" s="214"/>
      <c r="H799"/>
      <c r="I799"/>
      <c r="J799"/>
      <c r="K799"/>
      <c r="L799"/>
      <c r="M799"/>
      <c r="N799"/>
      <c r="O799"/>
      <c r="P799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39" spans="4:16" x14ac:dyDescent="0.25">
      <c r="D839"/>
      <c r="E839"/>
      <c r="F839" s="214"/>
      <c r="G839" s="214"/>
      <c r="H839"/>
      <c r="I839"/>
      <c r="J839"/>
      <c r="K839"/>
      <c r="L839"/>
      <c r="M839"/>
      <c r="N839"/>
      <c r="O839"/>
      <c r="P839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79" spans="4:16" x14ac:dyDescent="0.25">
      <c r="D879"/>
      <c r="E879"/>
      <c r="F879" s="214"/>
      <c r="G879" s="214"/>
      <c r="H879"/>
      <c r="I879"/>
      <c r="J879"/>
      <c r="K879"/>
      <c r="L879"/>
      <c r="M879"/>
      <c r="N879"/>
      <c r="O879"/>
      <c r="P879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  <row r="915" spans="4:16" x14ac:dyDescent="0.25">
      <c r="D915"/>
      <c r="E915"/>
      <c r="F915" s="214"/>
      <c r="G915" s="214"/>
      <c r="H915"/>
      <c r="I915"/>
      <c r="J915"/>
      <c r="K915"/>
      <c r="L915"/>
      <c r="M915"/>
      <c r="N915"/>
      <c r="O915"/>
      <c r="P915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9"/>
  <sheetViews>
    <sheetView workbookViewId="0">
      <pane xSplit="2" ySplit="6" topLeftCell="C28" activePane="bottomRight" state="frozen"/>
      <selection pane="topRight" activeCell="C1" sqref="C1"/>
      <selection pane="bottomLeft" activeCell="A7" sqref="A7"/>
      <selection pane="bottomRight" activeCell="F33" sqref="F33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16" t="s">
        <v>218</v>
      </c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8"/>
      <c r="M1" s="337"/>
      <c r="N1" s="337"/>
      <c r="O1" s="337"/>
      <c r="P1" s="337"/>
      <c r="Q1" s="338"/>
    </row>
    <row r="2" spans="1:17 16346:16346" x14ac:dyDescent="0.25">
      <c r="A2" s="336"/>
      <c r="B2" s="373"/>
      <c r="C2" s="636" t="s">
        <v>222</v>
      </c>
      <c r="D2" s="637"/>
      <c r="E2" s="638"/>
      <c r="F2" s="339" t="s">
        <v>306</v>
      </c>
      <c r="G2" s="636" t="s">
        <v>224</v>
      </c>
      <c r="H2" s="637"/>
      <c r="I2" s="637"/>
      <c r="J2" s="637"/>
      <c r="K2" s="637"/>
      <c r="L2" s="638"/>
    </row>
    <row r="3" spans="1:17 16346:16346" ht="84.75" customHeight="1" x14ac:dyDescent="0.25">
      <c r="A3" s="626" t="s">
        <v>172</v>
      </c>
      <c r="B3" s="641" t="s">
        <v>116</v>
      </c>
      <c r="C3" s="329" t="s">
        <v>164</v>
      </c>
      <c r="D3" s="625" t="s">
        <v>165</v>
      </c>
      <c r="E3" s="626"/>
      <c r="F3" s="330" t="s">
        <v>166</v>
      </c>
      <c r="G3" s="631" t="s">
        <v>260</v>
      </c>
      <c r="H3" s="632"/>
      <c r="I3" s="632"/>
      <c r="J3" s="632"/>
      <c r="K3" s="631" t="s">
        <v>318</v>
      </c>
      <c r="L3" s="633"/>
    </row>
    <row r="4" spans="1:17 16346:16346" ht="18" customHeight="1" x14ac:dyDescent="0.25">
      <c r="A4" s="640"/>
      <c r="B4" s="642"/>
      <c r="C4" s="332"/>
      <c r="D4" s="334"/>
      <c r="E4" s="335"/>
      <c r="F4" s="333"/>
      <c r="G4" s="631" t="s">
        <v>305</v>
      </c>
      <c r="H4" s="632"/>
      <c r="I4" s="632"/>
      <c r="J4" s="633"/>
      <c r="K4" s="639" t="s">
        <v>326</v>
      </c>
      <c r="L4" s="639"/>
    </row>
    <row r="5" spans="1:17 16346:16346" ht="24" customHeight="1" x14ac:dyDescent="0.25">
      <c r="A5" s="640"/>
      <c r="B5" s="642"/>
      <c r="C5" s="308" t="s">
        <v>219</v>
      </c>
      <c r="D5" s="312" t="s">
        <v>283</v>
      </c>
      <c r="E5" s="308" t="s">
        <v>220</v>
      </c>
      <c r="F5" s="308" t="s">
        <v>221</v>
      </c>
      <c r="G5" s="307" t="s">
        <v>167</v>
      </c>
      <c r="H5" s="308" t="s">
        <v>173</v>
      </c>
      <c r="I5" s="308" t="s">
        <v>169</v>
      </c>
      <c r="J5" s="308" t="s">
        <v>168</v>
      </c>
      <c r="K5" s="328" t="s">
        <v>325</v>
      </c>
      <c r="L5" s="328" t="s">
        <v>304</v>
      </c>
    </row>
    <row r="6" spans="1:17 16346:16346" x14ac:dyDescent="0.25">
      <c r="A6" s="628"/>
      <c r="B6" s="643"/>
      <c r="C6" s="305">
        <v>0.4</v>
      </c>
      <c r="D6" s="634">
        <v>0.25</v>
      </c>
      <c r="E6" s="635"/>
      <c r="F6" s="331">
        <v>0.1</v>
      </c>
      <c r="G6" s="619">
        <v>0.25</v>
      </c>
      <c r="H6" s="620"/>
      <c r="I6" s="620"/>
      <c r="J6" s="621"/>
      <c r="K6" s="620">
        <v>0.05</v>
      </c>
      <c r="L6" s="621"/>
    </row>
    <row r="7" spans="1:17 16346:16346" x14ac:dyDescent="0.25">
      <c r="A7" s="358" t="s">
        <v>178</v>
      </c>
      <c r="B7" s="358">
        <v>46082</v>
      </c>
      <c r="C7" s="359"/>
      <c r="D7" s="359"/>
      <c r="E7" s="359"/>
      <c r="F7" s="359"/>
      <c r="G7" s="360"/>
      <c r="H7" s="360"/>
      <c r="I7" s="360"/>
      <c r="J7" s="360"/>
      <c r="K7" s="360"/>
      <c r="L7" s="360"/>
    </row>
    <row r="8" spans="1:17 16346:16346" x14ac:dyDescent="0.25">
      <c r="A8" s="208" t="s">
        <v>285</v>
      </c>
      <c r="B8" s="208">
        <v>46083</v>
      </c>
      <c r="C8" s="224">
        <v>0.4694444444444445</v>
      </c>
      <c r="D8" s="224">
        <v>0.47569444444444442</v>
      </c>
      <c r="E8" s="224">
        <v>0.50138888888888888</v>
      </c>
      <c r="F8" s="224">
        <v>0.47222222222222227</v>
      </c>
      <c r="G8" s="356" t="s">
        <v>170</v>
      </c>
      <c r="H8" s="356" t="s">
        <v>170</v>
      </c>
      <c r="I8" s="356" t="s">
        <v>170</v>
      </c>
      <c r="J8" s="356" t="s">
        <v>170</v>
      </c>
      <c r="K8" s="356" t="s">
        <v>170</v>
      </c>
      <c r="L8" s="356" t="s">
        <v>170</v>
      </c>
    </row>
    <row r="9" spans="1:17 16346:16346" x14ac:dyDescent="0.25">
      <c r="A9" s="208" t="s">
        <v>286</v>
      </c>
      <c r="B9" s="208">
        <v>46084</v>
      </c>
      <c r="C9" s="224">
        <v>0.4152777777777778</v>
      </c>
      <c r="D9" s="224">
        <v>0.41597222222222219</v>
      </c>
      <c r="E9" s="224">
        <v>0.44444444444444442</v>
      </c>
      <c r="F9" s="224" t="s">
        <v>170</v>
      </c>
      <c r="G9" s="356">
        <v>0.37847222222222227</v>
      </c>
      <c r="H9" s="356" t="s">
        <v>170</v>
      </c>
      <c r="I9" s="356" t="s">
        <v>170</v>
      </c>
      <c r="J9" s="356" t="s">
        <v>170</v>
      </c>
      <c r="K9" s="356">
        <v>0.5180555555555556</v>
      </c>
      <c r="L9" s="356">
        <v>0.54513888888888895</v>
      </c>
    </row>
    <row r="10" spans="1:17 16346:16346" s="25" customFormat="1" x14ac:dyDescent="0.25">
      <c r="A10" s="208" t="s">
        <v>175</v>
      </c>
      <c r="B10" s="208">
        <v>46085</v>
      </c>
      <c r="C10" s="224">
        <v>0.48958333333333331</v>
      </c>
      <c r="D10" s="224">
        <v>0.4916666666666667</v>
      </c>
      <c r="E10" s="224">
        <v>0.54027777777777775</v>
      </c>
      <c r="F10" s="224">
        <v>0.49444444444444446</v>
      </c>
      <c r="G10" s="356" t="s">
        <v>170</v>
      </c>
      <c r="H10" s="356" t="s">
        <v>170</v>
      </c>
      <c r="I10" s="356" t="s">
        <v>170</v>
      </c>
      <c r="J10" s="356" t="s">
        <v>170</v>
      </c>
      <c r="K10" s="356" t="s">
        <v>170</v>
      </c>
      <c r="L10" s="356" t="s">
        <v>170</v>
      </c>
    </row>
    <row r="11" spans="1:17 16346:16346" x14ac:dyDescent="0.25">
      <c r="A11" s="208" t="s">
        <v>284</v>
      </c>
      <c r="B11" s="208">
        <v>46086</v>
      </c>
      <c r="C11" s="224">
        <v>0.43402777777777773</v>
      </c>
      <c r="D11" s="224">
        <v>0.43541666666666662</v>
      </c>
      <c r="E11" s="224">
        <v>0.53333333333333333</v>
      </c>
      <c r="F11" s="224" t="s">
        <v>170</v>
      </c>
      <c r="G11" s="356" t="s">
        <v>170</v>
      </c>
      <c r="H11" s="356" t="s">
        <v>170</v>
      </c>
      <c r="I11" s="356" t="s">
        <v>170</v>
      </c>
      <c r="J11" s="356" t="s">
        <v>170</v>
      </c>
      <c r="K11" s="356" t="s">
        <v>170</v>
      </c>
      <c r="L11" s="356" t="s">
        <v>170</v>
      </c>
    </row>
    <row r="12" spans="1:17 16346:16346" x14ac:dyDescent="0.25">
      <c r="A12" s="208" t="s">
        <v>177</v>
      </c>
      <c r="B12" s="208">
        <v>46087</v>
      </c>
      <c r="C12" s="224" t="s">
        <v>170</v>
      </c>
      <c r="D12" s="224" t="s">
        <v>170</v>
      </c>
      <c r="E12" s="224" t="s">
        <v>170</v>
      </c>
      <c r="F12" s="224" t="s">
        <v>170</v>
      </c>
      <c r="G12" s="356" t="s">
        <v>170</v>
      </c>
      <c r="H12" s="356" t="s">
        <v>170</v>
      </c>
      <c r="I12" s="356" t="s">
        <v>170</v>
      </c>
      <c r="J12" s="356" t="s">
        <v>170</v>
      </c>
      <c r="K12" s="356" t="s">
        <v>170</v>
      </c>
      <c r="L12" s="356" t="s">
        <v>170</v>
      </c>
      <c r="XDR12" s="208"/>
    </row>
    <row r="13" spans="1:17 16346:16346" x14ac:dyDescent="0.25">
      <c r="A13" s="208" t="s">
        <v>174</v>
      </c>
      <c r="B13" s="208">
        <v>46088</v>
      </c>
      <c r="C13" s="224">
        <v>0.39513888888888887</v>
      </c>
      <c r="D13" s="224">
        <v>0.39583333333333331</v>
      </c>
      <c r="E13" s="224">
        <v>0.41597222222222219</v>
      </c>
      <c r="F13" s="224" t="s">
        <v>170</v>
      </c>
      <c r="G13" s="356" t="s">
        <v>170</v>
      </c>
      <c r="H13" s="356" t="s">
        <v>170</v>
      </c>
      <c r="I13" s="356" t="s">
        <v>170</v>
      </c>
      <c r="J13" s="356" t="s">
        <v>170</v>
      </c>
      <c r="K13" s="356" t="s">
        <v>170</v>
      </c>
      <c r="L13" s="356" t="s">
        <v>170</v>
      </c>
    </row>
    <row r="14" spans="1:17 16346:16346" x14ac:dyDescent="0.25">
      <c r="A14" s="358" t="s">
        <v>178</v>
      </c>
      <c r="B14" s="358">
        <v>46089</v>
      </c>
      <c r="C14" s="359"/>
      <c r="D14" s="359"/>
      <c r="E14" s="359"/>
      <c r="F14" s="359"/>
      <c r="G14" s="360"/>
      <c r="H14" s="360"/>
      <c r="I14" s="360"/>
      <c r="J14" s="360"/>
      <c r="K14" s="360"/>
      <c r="L14" s="360"/>
    </row>
    <row r="15" spans="1:17 16346:16346" x14ac:dyDescent="0.25">
      <c r="A15" s="208" t="s">
        <v>285</v>
      </c>
      <c r="B15" s="208">
        <v>46090</v>
      </c>
      <c r="C15" s="224">
        <v>0.47569444444444442</v>
      </c>
      <c r="D15" s="224">
        <v>0.47638888888888892</v>
      </c>
      <c r="E15" s="224">
        <v>0.49305555555555558</v>
      </c>
      <c r="F15" s="224" t="s">
        <v>170</v>
      </c>
      <c r="G15" s="356">
        <v>0.40277777777777773</v>
      </c>
      <c r="H15" s="356">
        <v>0.40277777777777773</v>
      </c>
      <c r="I15" s="356" t="s">
        <v>170</v>
      </c>
      <c r="J15" s="356" t="s">
        <v>170</v>
      </c>
      <c r="K15" s="356">
        <v>0.52777777777777779</v>
      </c>
      <c r="L15" s="356">
        <v>0.54861111111111105</v>
      </c>
    </row>
    <row r="16" spans="1:17 16346:16346" x14ac:dyDescent="0.25">
      <c r="A16" s="208" t="s">
        <v>286</v>
      </c>
      <c r="B16" s="208">
        <v>46091</v>
      </c>
      <c r="C16" s="224">
        <v>0.45833333333333331</v>
      </c>
      <c r="D16" s="224">
        <v>0.4597222222222222</v>
      </c>
      <c r="E16" s="224">
        <v>0.47569444444444442</v>
      </c>
      <c r="F16" s="224" t="s">
        <v>170</v>
      </c>
      <c r="G16" s="356">
        <v>0.3833333333333333</v>
      </c>
      <c r="H16" s="356" t="s">
        <v>170</v>
      </c>
      <c r="I16" s="356" t="s">
        <v>170</v>
      </c>
      <c r="J16" s="356" t="s">
        <v>170</v>
      </c>
      <c r="K16" s="356">
        <v>0.49652777777777773</v>
      </c>
      <c r="L16" s="356">
        <v>0.51736111111111105</v>
      </c>
    </row>
    <row r="17" spans="1:12" s="25" customFormat="1" x14ac:dyDescent="0.25">
      <c r="A17" s="208" t="s">
        <v>175</v>
      </c>
      <c r="B17" s="208">
        <v>46092</v>
      </c>
      <c r="C17" s="224">
        <v>0.43402777777777773</v>
      </c>
      <c r="D17" s="224">
        <v>0.43611111111111112</v>
      </c>
      <c r="E17" s="224">
        <v>0.48958333333333331</v>
      </c>
      <c r="F17" s="224">
        <v>0.44097222222222227</v>
      </c>
      <c r="G17" s="356" t="s">
        <v>170</v>
      </c>
      <c r="H17" s="356" t="s">
        <v>170</v>
      </c>
      <c r="I17" s="356" t="s">
        <v>170</v>
      </c>
      <c r="J17" s="356" t="s">
        <v>170</v>
      </c>
      <c r="K17" s="356" t="s">
        <v>170</v>
      </c>
      <c r="L17" s="356" t="s">
        <v>170</v>
      </c>
    </row>
    <row r="18" spans="1:12" x14ac:dyDescent="0.25">
      <c r="A18" s="208" t="s">
        <v>284</v>
      </c>
      <c r="B18" s="208">
        <v>46093</v>
      </c>
      <c r="C18" s="224">
        <v>0.4513888888888889</v>
      </c>
      <c r="D18" s="224">
        <v>0.45347222222222222</v>
      </c>
      <c r="E18" s="224">
        <v>0.47569444444444442</v>
      </c>
      <c r="F18" s="224">
        <v>0.46180555555555558</v>
      </c>
      <c r="G18" s="356" t="s">
        <v>170</v>
      </c>
      <c r="H18" s="356" t="s">
        <v>170</v>
      </c>
      <c r="I18" s="356" t="s">
        <v>170</v>
      </c>
      <c r="J18" s="356" t="s">
        <v>170</v>
      </c>
      <c r="K18" s="356" t="s">
        <v>170</v>
      </c>
      <c r="L18" s="356" t="s">
        <v>170</v>
      </c>
    </row>
    <row r="19" spans="1:12" x14ac:dyDescent="0.25">
      <c r="A19" s="208" t="s">
        <v>177</v>
      </c>
      <c r="B19" s="208">
        <v>46094</v>
      </c>
      <c r="C19" s="224">
        <v>0.42708333333333331</v>
      </c>
      <c r="D19" s="224">
        <v>0.4291666666666667</v>
      </c>
      <c r="E19" s="224">
        <v>0.48958333333333331</v>
      </c>
      <c r="F19" s="224" t="s">
        <v>170</v>
      </c>
      <c r="G19" s="356" t="s">
        <v>170</v>
      </c>
      <c r="H19" s="356" t="s">
        <v>170</v>
      </c>
      <c r="I19" s="356" t="s">
        <v>170</v>
      </c>
      <c r="J19" s="356" t="s">
        <v>170</v>
      </c>
      <c r="K19" s="356" t="s">
        <v>170</v>
      </c>
      <c r="L19" s="356" t="s">
        <v>170</v>
      </c>
    </row>
    <row r="20" spans="1:12" x14ac:dyDescent="0.25">
      <c r="A20" s="208" t="s">
        <v>174</v>
      </c>
      <c r="B20" s="208">
        <v>46095</v>
      </c>
      <c r="C20" s="224">
        <v>0.42708333333333331</v>
      </c>
      <c r="D20" s="224">
        <v>0.4284722222222222</v>
      </c>
      <c r="E20" s="224">
        <v>0.4548611111111111</v>
      </c>
      <c r="F20" s="224">
        <v>0.42986111111111108</v>
      </c>
      <c r="G20" s="356" t="s">
        <v>170</v>
      </c>
      <c r="H20" s="356" t="s">
        <v>170</v>
      </c>
      <c r="I20" s="356" t="s">
        <v>170</v>
      </c>
      <c r="J20" s="356" t="s">
        <v>170</v>
      </c>
      <c r="K20" s="356" t="s">
        <v>170</v>
      </c>
      <c r="L20" s="356" t="s">
        <v>170</v>
      </c>
    </row>
    <row r="21" spans="1:12" x14ac:dyDescent="0.25">
      <c r="A21" s="358" t="s">
        <v>178</v>
      </c>
      <c r="B21" s="358">
        <v>46096</v>
      </c>
      <c r="C21" s="359"/>
      <c r="D21" s="359"/>
      <c r="E21" s="359"/>
      <c r="F21" s="359"/>
      <c r="G21" s="360"/>
      <c r="H21" s="360"/>
      <c r="I21" s="360"/>
      <c r="J21" s="360"/>
      <c r="K21" s="360"/>
      <c r="L21" s="360"/>
    </row>
    <row r="22" spans="1:12" x14ac:dyDescent="0.25">
      <c r="A22" s="208" t="s">
        <v>285</v>
      </c>
      <c r="B22" s="208">
        <v>46097</v>
      </c>
      <c r="C22" s="224">
        <v>0.43402777777777773</v>
      </c>
      <c r="D22" s="224">
        <v>0.4375</v>
      </c>
      <c r="E22" s="224">
        <v>0.45694444444444443</v>
      </c>
      <c r="F22" s="224">
        <v>0.44097222222222227</v>
      </c>
      <c r="G22" s="356" t="s">
        <v>170</v>
      </c>
      <c r="H22" s="356" t="s">
        <v>170</v>
      </c>
      <c r="I22" s="356" t="s">
        <v>170</v>
      </c>
      <c r="J22" s="356" t="s">
        <v>170</v>
      </c>
      <c r="K22" s="356" t="s">
        <v>170</v>
      </c>
      <c r="L22" s="356" t="s">
        <v>170</v>
      </c>
    </row>
    <row r="23" spans="1:12" s="25" customFormat="1" x14ac:dyDescent="0.25">
      <c r="A23" s="208" t="s">
        <v>286</v>
      </c>
      <c r="B23" s="208">
        <v>46098</v>
      </c>
      <c r="C23" s="224">
        <v>0.40625</v>
      </c>
      <c r="D23" s="224">
        <v>0.41319444444444442</v>
      </c>
      <c r="E23" s="224">
        <v>0.43402777777777773</v>
      </c>
      <c r="F23" s="224" t="s">
        <v>170</v>
      </c>
      <c r="G23" s="356">
        <v>0.35069444444444442</v>
      </c>
      <c r="H23" s="356" t="s">
        <v>170</v>
      </c>
      <c r="I23" s="356" t="s">
        <v>170</v>
      </c>
      <c r="J23" s="356" t="s">
        <v>170</v>
      </c>
      <c r="K23" s="356">
        <v>0.49374999999999997</v>
      </c>
      <c r="L23" s="356">
        <v>0.52083333333333337</v>
      </c>
    </row>
    <row r="24" spans="1:12" s="25" customFormat="1" x14ac:dyDescent="0.25">
      <c r="A24" s="208" t="s">
        <v>175</v>
      </c>
      <c r="B24" s="208">
        <v>46099</v>
      </c>
      <c r="C24" s="224">
        <v>0.46527777777777773</v>
      </c>
      <c r="D24" s="224">
        <v>0.46666666666666662</v>
      </c>
      <c r="E24" s="224">
        <v>0.5708333333333333</v>
      </c>
      <c r="F24" s="224" t="s">
        <v>170</v>
      </c>
      <c r="G24" s="356" t="s">
        <v>170</v>
      </c>
      <c r="H24" s="356" t="s">
        <v>170</v>
      </c>
      <c r="I24" s="356" t="s">
        <v>170</v>
      </c>
      <c r="J24" s="356" t="s">
        <v>170</v>
      </c>
      <c r="K24" s="356" t="s">
        <v>170</v>
      </c>
      <c r="L24" s="356" t="s">
        <v>170</v>
      </c>
    </row>
    <row r="25" spans="1:12" x14ac:dyDescent="0.25">
      <c r="A25" s="358" t="s">
        <v>284</v>
      </c>
      <c r="B25" s="358">
        <v>46100</v>
      </c>
      <c r="C25" s="359"/>
      <c r="D25" s="359"/>
      <c r="E25" s="359"/>
      <c r="F25" s="359"/>
      <c r="G25" s="360"/>
      <c r="H25" s="360"/>
      <c r="I25" s="360"/>
      <c r="J25" s="360"/>
      <c r="K25" s="360"/>
      <c r="L25" s="360"/>
    </row>
    <row r="26" spans="1:12" x14ac:dyDescent="0.25">
      <c r="A26" s="208" t="s">
        <v>177</v>
      </c>
      <c r="B26" s="208">
        <v>46101</v>
      </c>
      <c r="C26" s="375"/>
      <c r="D26" s="375"/>
      <c r="E26" s="375"/>
      <c r="F26" s="375"/>
      <c r="G26" s="376"/>
      <c r="H26" s="376"/>
      <c r="I26" s="376"/>
      <c r="J26" s="376"/>
      <c r="K26" s="376"/>
      <c r="L26" s="376"/>
    </row>
    <row r="27" spans="1:12" x14ac:dyDescent="0.25">
      <c r="A27" s="208" t="s">
        <v>174</v>
      </c>
      <c r="B27" s="208">
        <v>46102</v>
      </c>
      <c r="C27" s="375"/>
      <c r="D27" s="375"/>
      <c r="E27" s="375"/>
      <c r="F27" s="375"/>
      <c r="G27" s="376"/>
      <c r="H27" s="376"/>
      <c r="I27" s="376"/>
      <c r="J27" s="376"/>
      <c r="K27" s="376"/>
      <c r="L27" s="376"/>
    </row>
    <row r="28" spans="1:12" x14ac:dyDescent="0.25">
      <c r="A28" s="358" t="s">
        <v>178</v>
      </c>
      <c r="B28" s="358">
        <v>46103</v>
      </c>
      <c r="C28" s="359"/>
      <c r="D28" s="359"/>
      <c r="E28" s="359"/>
      <c r="F28" s="359"/>
      <c r="G28" s="360"/>
      <c r="H28" s="360"/>
      <c r="I28" s="360"/>
      <c r="J28" s="360"/>
      <c r="K28" s="360"/>
      <c r="L28" s="360"/>
    </row>
    <row r="29" spans="1:12" x14ac:dyDescent="0.25">
      <c r="A29" s="208" t="s">
        <v>285</v>
      </c>
      <c r="B29" s="208">
        <v>46104</v>
      </c>
      <c r="C29" s="375"/>
      <c r="D29" s="375"/>
      <c r="E29" s="375"/>
      <c r="F29" s="375"/>
      <c r="G29" s="376"/>
      <c r="H29" s="376"/>
      <c r="I29" s="376"/>
      <c r="J29" s="376"/>
      <c r="K29" s="376"/>
      <c r="L29" s="376"/>
    </row>
    <row r="30" spans="1:12" x14ac:dyDescent="0.25">
      <c r="A30" s="208" t="s">
        <v>286</v>
      </c>
      <c r="B30" s="208">
        <v>46105</v>
      </c>
      <c r="C30" s="375"/>
      <c r="D30" s="375"/>
      <c r="E30" s="375"/>
      <c r="F30" s="375"/>
      <c r="G30" s="376"/>
      <c r="H30" s="376"/>
      <c r="I30" s="376"/>
      <c r="J30" s="376"/>
      <c r="K30" s="376"/>
      <c r="L30" s="376"/>
    </row>
    <row r="31" spans="1:12" s="25" customFormat="1" x14ac:dyDescent="0.25">
      <c r="A31" s="208" t="s">
        <v>175</v>
      </c>
      <c r="B31" s="208">
        <v>46106</v>
      </c>
      <c r="C31" s="375"/>
      <c r="D31" s="375"/>
      <c r="E31" s="375"/>
      <c r="F31" s="375"/>
      <c r="G31" s="376"/>
      <c r="H31" s="376"/>
      <c r="I31" s="376"/>
      <c r="J31" s="376"/>
      <c r="K31" s="376"/>
      <c r="L31" s="376"/>
    </row>
    <row r="32" spans="1:12" s="25" customFormat="1" x14ac:dyDescent="0.25">
      <c r="A32" s="208" t="s">
        <v>284</v>
      </c>
      <c r="B32" s="208">
        <v>46107</v>
      </c>
      <c r="C32" s="224">
        <v>0.4861111111111111</v>
      </c>
      <c r="D32" s="224">
        <v>0.48680555555555555</v>
      </c>
      <c r="E32" s="224">
        <v>0.54513888888888895</v>
      </c>
      <c r="F32" s="224" t="s">
        <v>170</v>
      </c>
      <c r="G32" s="356">
        <v>0.37847222222222227</v>
      </c>
      <c r="H32" s="356" t="s">
        <v>170</v>
      </c>
      <c r="I32" s="356" t="s">
        <v>170</v>
      </c>
      <c r="J32" s="356" t="s">
        <v>170</v>
      </c>
      <c r="K32" s="356">
        <v>0.4861111111111111</v>
      </c>
      <c r="L32" s="356">
        <v>0.5083333333333333</v>
      </c>
    </row>
    <row r="33" spans="1:12" s="25" customFormat="1" x14ac:dyDescent="0.25">
      <c r="A33" s="208" t="s">
        <v>177</v>
      </c>
      <c r="B33" s="208">
        <v>46108</v>
      </c>
      <c r="C33" s="224">
        <v>0.3611111111111111</v>
      </c>
      <c r="D33" s="224">
        <v>0.3611111111111111</v>
      </c>
      <c r="E33" s="224">
        <v>0.38541666666666669</v>
      </c>
      <c r="F33" s="224">
        <v>0.37847222222222227</v>
      </c>
      <c r="G33" s="356" t="s">
        <v>170</v>
      </c>
      <c r="H33" s="356" t="s">
        <v>170</v>
      </c>
      <c r="I33" s="356" t="s">
        <v>170</v>
      </c>
      <c r="J33" s="356" t="s">
        <v>170</v>
      </c>
      <c r="K33" s="356" t="s">
        <v>170</v>
      </c>
      <c r="L33" s="356" t="s">
        <v>170</v>
      </c>
    </row>
    <row r="34" spans="1:12" s="25" customFormat="1" x14ac:dyDescent="0.25">
      <c r="A34" s="208" t="s">
        <v>174</v>
      </c>
      <c r="B34" s="208">
        <v>46109</v>
      </c>
      <c r="C34" s="224">
        <v>0.44791666666666669</v>
      </c>
      <c r="D34" s="224">
        <v>0.44861111111111113</v>
      </c>
      <c r="E34" s="224">
        <v>0.47569444444444442</v>
      </c>
      <c r="F34" s="224" t="s">
        <v>170</v>
      </c>
      <c r="G34" s="356" t="s">
        <v>170</v>
      </c>
      <c r="H34" s="356" t="s">
        <v>170</v>
      </c>
      <c r="I34" s="356" t="s">
        <v>170</v>
      </c>
      <c r="J34" s="356" t="s">
        <v>170</v>
      </c>
      <c r="K34" s="356" t="s">
        <v>170</v>
      </c>
      <c r="L34" s="356" t="s">
        <v>170</v>
      </c>
    </row>
    <row r="35" spans="1:12" s="25" customFormat="1" x14ac:dyDescent="0.25">
      <c r="A35" s="358" t="s">
        <v>178</v>
      </c>
      <c r="B35" s="358">
        <v>46110</v>
      </c>
      <c r="C35" s="359"/>
      <c r="D35" s="359"/>
      <c r="E35" s="359"/>
      <c r="F35" s="359"/>
      <c r="G35" s="360"/>
      <c r="H35" s="360"/>
      <c r="I35" s="360"/>
      <c r="J35" s="360"/>
      <c r="K35" s="360"/>
      <c r="L35" s="360"/>
    </row>
    <row r="36" spans="1:12" s="25" customFormat="1" x14ac:dyDescent="0.25">
      <c r="A36" s="208" t="s">
        <v>285</v>
      </c>
      <c r="B36" s="208">
        <v>46111</v>
      </c>
      <c r="C36" s="224">
        <v>0.5083333333333333</v>
      </c>
      <c r="D36" s="224">
        <v>0.51736111111111105</v>
      </c>
      <c r="E36" s="224">
        <v>0.56944444444444442</v>
      </c>
      <c r="F36" s="224" t="s">
        <v>170</v>
      </c>
      <c r="G36" s="356" t="s">
        <v>170</v>
      </c>
      <c r="H36" s="356" t="s">
        <v>170</v>
      </c>
      <c r="I36" s="356" t="s">
        <v>170</v>
      </c>
      <c r="J36" s="356" t="s">
        <v>170</v>
      </c>
      <c r="K36" s="356" t="s">
        <v>170</v>
      </c>
      <c r="L36" s="356" t="s">
        <v>170</v>
      </c>
    </row>
    <row r="37" spans="1:12" s="25" customFormat="1" x14ac:dyDescent="0.25">
      <c r="A37" s="208" t="s">
        <v>286</v>
      </c>
      <c r="B37" s="208">
        <v>46112</v>
      </c>
      <c r="C37" s="224">
        <v>0.4548611111111111</v>
      </c>
      <c r="D37" s="224">
        <v>0.4597222222222222</v>
      </c>
      <c r="E37" s="224">
        <v>0.4826388888888889</v>
      </c>
      <c r="F37" s="224" t="s">
        <v>170</v>
      </c>
      <c r="G37" s="356">
        <v>0.36805555555555558</v>
      </c>
      <c r="H37" s="356" t="s">
        <v>170</v>
      </c>
      <c r="I37" s="356" t="s">
        <v>170</v>
      </c>
      <c r="J37" s="356" t="s">
        <v>170</v>
      </c>
      <c r="K37" s="356">
        <v>0.49652777777777773</v>
      </c>
      <c r="L37" s="356">
        <v>0.5083333333333333</v>
      </c>
    </row>
    <row r="38" spans="1:12" ht="18.75" customHeight="1" x14ac:dyDescent="0.25">
      <c r="A38" s="207" t="s">
        <v>171</v>
      </c>
      <c r="B38" s="213"/>
      <c r="C38" s="213">
        <f>AVERAGE(C7:C37)</f>
        <v>0.44426169590643261</v>
      </c>
      <c r="D38" s="213">
        <f>AVERAGE(D7:D37)</f>
        <v>0.44678362573099417</v>
      </c>
      <c r="E38" s="213">
        <f>AVERAGE(E7:E37)</f>
        <v>0.48600146198830407</v>
      </c>
      <c r="F38" s="213">
        <f>AVERAGE(F7:F37)</f>
        <v>0.44553571428571431</v>
      </c>
      <c r="G38" s="213">
        <f t="shared" ref="G38:L38" si="0">AVERAGE(G6:G37)</f>
        <v>0.35882936507936503</v>
      </c>
      <c r="H38" s="213">
        <f t="shared" si="0"/>
        <v>0.40277777777777773</v>
      </c>
      <c r="I38" s="213" t="e">
        <f t="shared" si="0"/>
        <v>#DIV/0!</v>
      </c>
      <c r="J38" s="213" t="e">
        <f t="shared" si="0"/>
        <v>#DIV/0!</v>
      </c>
      <c r="K38" s="213">
        <f t="shared" si="0"/>
        <v>0.43839285714285714</v>
      </c>
      <c r="L38" s="213">
        <f t="shared" si="0"/>
        <v>0.52476851851851858</v>
      </c>
    </row>
    <row r="39" spans="1:12" x14ac:dyDescent="0.25">
      <c r="A39" s="207"/>
      <c r="B39" s="374"/>
      <c r="C39" s="229"/>
      <c r="D39" s="228"/>
      <c r="E39" s="228"/>
      <c r="F39" s="228"/>
      <c r="G39" s="214"/>
      <c r="H39" s="214"/>
      <c r="I39" s="214"/>
      <c r="J39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workbookViewId="0">
      <pane xSplit="2" ySplit="4" topLeftCell="H16" activePane="bottomRight" state="frozen"/>
      <selection pane="topRight" activeCell="C1" sqref="C1"/>
      <selection pane="bottomLeft" activeCell="A5" sqref="A5"/>
      <selection pane="bottomRight" activeCell="H26" sqref="H26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5.7109375" customWidth="1"/>
    <col min="6" max="6" width="10" customWidth="1"/>
    <col min="7" max="7" width="5.7109375" customWidth="1"/>
    <col min="8" max="8" width="14.7109375" customWidth="1"/>
    <col min="9" max="9" width="5.7109375" customWidth="1"/>
    <col min="10" max="10" width="14.7109375" customWidth="1"/>
    <col min="11" max="11" width="5.7109375" customWidth="1"/>
    <col min="12" max="12" width="14.7109375" customWidth="1"/>
    <col min="13" max="13" width="5.7109375" customWidth="1"/>
    <col min="14" max="14" width="14.7109375" customWidth="1"/>
    <col min="15" max="15" width="5.7109375" customWidth="1"/>
    <col min="16" max="16" width="14.7109375" customWidth="1"/>
    <col min="17" max="17" width="5.7109375" customWidth="1"/>
    <col min="18" max="18" width="41.42578125" style="343" customWidth="1"/>
    <col min="19" max="19" width="6.7109375" customWidth="1"/>
  </cols>
  <sheetData>
    <row r="1" spans="1:18" ht="24.95" customHeight="1" x14ac:dyDescent="0.25">
      <c r="A1" s="644" t="s">
        <v>328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</row>
    <row r="2" spans="1:18" ht="15" customHeight="1" x14ac:dyDescent="0.25">
      <c r="A2" s="645" t="s">
        <v>278</v>
      </c>
      <c r="B2" s="622" t="s">
        <v>287</v>
      </c>
      <c r="C2" s="622" t="s">
        <v>282</v>
      </c>
      <c r="D2" s="622" t="s">
        <v>321</v>
      </c>
      <c r="E2" s="622" t="s">
        <v>172</v>
      </c>
      <c r="F2" s="622" t="s">
        <v>330</v>
      </c>
      <c r="G2" s="622" t="s">
        <v>172</v>
      </c>
      <c r="H2" s="622" t="s">
        <v>280</v>
      </c>
      <c r="I2" s="622" t="s">
        <v>172</v>
      </c>
      <c r="J2" s="622" t="s">
        <v>281</v>
      </c>
      <c r="K2" s="622" t="s">
        <v>172</v>
      </c>
      <c r="L2" s="622" t="s">
        <v>252</v>
      </c>
      <c r="M2" s="622" t="s">
        <v>172</v>
      </c>
      <c r="N2" s="622" t="s">
        <v>331</v>
      </c>
      <c r="O2" s="622" t="s">
        <v>172</v>
      </c>
      <c r="P2" s="622" t="s">
        <v>258</v>
      </c>
      <c r="Q2" s="622" t="s">
        <v>172</v>
      </c>
      <c r="R2" s="622" t="s">
        <v>223</v>
      </c>
    </row>
    <row r="3" spans="1:18" ht="99" customHeight="1" x14ac:dyDescent="0.25">
      <c r="A3" s="646"/>
      <c r="B3" s="623"/>
      <c r="C3" s="623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623"/>
      <c r="O3" s="623"/>
      <c r="P3" s="623"/>
      <c r="Q3" s="623"/>
      <c r="R3" s="623"/>
    </row>
    <row r="4" spans="1:18" ht="12.75" customHeight="1" x14ac:dyDescent="0.25">
      <c r="A4" s="647"/>
      <c r="B4" s="624"/>
      <c r="C4" s="624"/>
      <c r="D4" s="624"/>
      <c r="E4" s="624"/>
      <c r="F4" s="624"/>
      <c r="G4" s="624"/>
      <c r="H4" s="303">
        <v>0.25</v>
      </c>
      <c r="I4" s="332"/>
      <c r="J4" s="371">
        <v>0.25</v>
      </c>
      <c r="K4" s="372"/>
      <c r="L4" s="371">
        <v>0.15</v>
      </c>
      <c r="M4" s="372"/>
      <c r="N4" s="371">
        <v>0.1</v>
      </c>
      <c r="O4" s="372"/>
      <c r="P4" s="371">
        <v>0.25</v>
      </c>
      <c r="Q4" s="372"/>
      <c r="R4" s="624"/>
    </row>
    <row r="5" spans="1:18" x14ac:dyDescent="0.25">
      <c r="A5" s="301"/>
      <c r="B5" s="323" t="s">
        <v>288</v>
      </c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40"/>
    </row>
    <row r="6" spans="1:18" x14ac:dyDescent="0.25">
      <c r="A6" s="287">
        <v>1</v>
      </c>
      <c r="B6" s="324" t="s">
        <v>289</v>
      </c>
      <c r="C6" s="283">
        <v>46112</v>
      </c>
      <c r="D6" s="283" t="s">
        <v>170</v>
      </c>
      <c r="E6" s="261">
        <v>0</v>
      </c>
      <c r="F6" s="281" t="s">
        <v>170</v>
      </c>
      <c r="G6" s="261">
        <v>0</v>
      </c>
      <c r="H6" s="281" t="s">
        <v>170</v>
      </c>
      <c r="I6" s="284">
        <v>0</v>
      </c>
      <c r="J6" s="281" t="s">
        <v>170</v>
      </c>
      <c r="K6" s="284">
        <v>0</v>
      </c>
      <c r="L6" s="281" t="s">
        <v>170</v>
      </c>
      <c r="M6" s="284">
        <v>0</v>
      </c>
      <c r="N6" s="281" t="s">
        <v>170</v>
      </c>
      <c r="O6" s="284">
        <v>0</v>
      </c>
      <c r="P6" s="281" t="s">
        <v>170</v>
      </c>
      <c r="Q6" s="285">
        <v>0</v>
      </c>
      <c r="R6" s="326"/>
    </row>
    <row r="7" spans="1:18" x14ac:dyDescent="0.25">
      <c r="A7" s="287"/>
      <c r="B7" s="325" t="s">
        <v>290</v>
      </c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40"/>
    </row>
    <row r="8" spans="1:18" x14ac:dyDescent="0.25">
      <c r="A8" s="287">
        <v>1</v>
      </c>
      <c r="B8" s="324" t="s">
        <v>291</v>
      </c>
      <c r="C8" s="283">
        <v>46112</v>
      </c>
      <c r="D8" s="283">
        <v>46113</v>
      </c>
      <c r="E8" s="261">
        <f>+D8-C8</f>
        <v>1</v>
      </c>
      <c r="F8" s="281">
        <v>46114</v>
      </c>
      <c r="G8" s="261">
        <f t="shared" ref="G8" si="0">+F8-C8</f>
        <v>2</v>
      </c>
      <c r="H8" s="281">
        <v>46116</v>
      </c>
      <c r="I8" s="284">
        <f t="shared" ref="I8" si="1">+H8-C8</f>
        <v>4</v>
      </c>
      <c r="J8" s="281">
        <v>46116</v>
      </c>
      <c r="K8" s="284">
        <f t="shared" ref="K8" si="2">+J8-C8</f>
        <v>4</v>
      </c>
      <c r="L8" s="281">
        <v>46116</v>
      </c>
      <c r="M8" s="284">
        <f t="shared" ref="M8" si="3">+L8-C8</f>
        <v>4</v>
      </c>
      <c r="N8" s="281">
        <v>46116</v>
      </c>
      <c r="O8" s="284">
        <f t="shared" ref="O8" si="4">N8-J8</f>
        <v>0</v>
      </c>
      <c r="P8" s="281">
        <v>46118</v>
      </c>
      <c r="Q8" s="285">
        <f>P8-F8</f>
        <v>4</v>
      </c>
      <c r="R8" s="326"/>
    </row>
    <row r="9" spans="1:18" x14ac:dyDescent="0.25">
      <c r="A9" s="287"/>
      <c r="B9" s="325" t="s">
        <v>292</v>
      </c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40"/>
    </row>
    <row r="10" spans="1:18" x14ac:dyDescent="0.25">
      <c r="A10" s="287">
        <v>1</v>
      </c>
      <c r="B10" s="324" t="s">
        <v>293</v>
      </c>
      <c r="C10" s="283">
        <v>46112</v>
      </c>
      <c r="D10" s="283">
        <v>46111</v>
      </c>
      <c r="E10" s="261">
        <f>+D10-C10</f>
        <v>-1</v>
      </c>
      <c r="F10" s="281">
        <v>46113</v>
      </c>
      <c r="G10" s="261">
        <f t="shared" ref="G10" si="5">+F10-C10</f>
        <v>1</v>
      </c>
      <c r="H10" s="281">
        <v>46114</v>
      </c>
      <c r="I10" s="284">
        <f t="shared" ref="I10" si="6">+H10-C10</f>
        <v>2</v>
      </c>
      <c r="J10" s="281">
        <v>46114</v>
      </c>
      <c r="K10" s="284">
        <f t="shared" ref="K10" si="7">+J10-C10</f>
        <v>2</v>
      </c>
      <c r="L10" s="281">
        <v>46114</v>
      </c>
      <c r="M10" s="284">
        <f t="shared" ref="M10" si="8">+L10-C10</f>
        <v>2</v>
      </c>
      <c r="N10" s="281">
        <v>46114</v>
      </c>
      <c r="O10" s="284">
        <f t="shared" ref="O10" si="9">N10-J10</f>
        <v>0</v>
      </c>
      <c r="P10" s="281">
        <v>46116</v>
      </c>
      <c r="Q10" s="285">
        <f>P10-F10</f>
        <v>3</v>
      </c>
      <c r="R10" s="326"/>
    </row>
    <row r="11" spans="1:18" x14ac:dyDescent="0.25">
      <c r="A11" s="287"/>
      <c r="B11" s="325" t="s">
        <v>294</v>
      </c>
      <c r="C11" s="290"/>
      <c r="D11" s="290"/>
      <c r="E11" s="290"/>
      <c r="F11" s="291"/>
      <c r="G11" s="262"/>
      <c r="H11" s="291"/>
      <c r="I11" s="292"/>
      <c r="J11" s="291"/>
      <c r="K11" s="292"/>
      <c r="L11" s="291"/>
      <c r="M11" s="292"/>
      <c r="N11" s="291"/>
      <c r="O11" s="292"/>
      <c r="P11" s="291"/>
      <c r="Q11" s="293"/>
      <c r="R11" s="341"/>
    </row>
    <row r="12" spans="1:18" x14ac:dyDescent="0.25">
      <c r="A12" s="287">
        <v>1</v>
      </c>
      <c r="B12" s="324" t="s">
        <v>295</v>
      </c>
      <c r="C12" s="283">
        <v>46112</v>
      </c>
      <c r="D12" s="283">
        <v>46108</v>
      </c>
      <c r="E12" s="261">
        <f t="shared" ref="E12:E22" si="10">+D12-C12</f>
        <v>-4</v>
      </c>
      <c r="F12" s="281">
        <v>46113</v>
      </c>
      <c r="G12" s="261">
        <f t="shared" ref="G12" si="11">+F12-C12</f>
        <v>1</v>
      </c>
      <c r="H12" s="281">
        <v>46113</v>
      </c>
      <c r="I12" s="284">
        <f t="shared" ref="I12" si="12">+H12-C12</f>
        <v>1</v>
      </c>
      <c r="J12" s="281">
        <v>46114</v>
      </c>
      <c r="K12" s="284">
        <f t="shared" ref="K12" si="13">+J12-C12</f>
        <v>2</v>
      </c>
      <c r="L12" s="281">
        <v>46114</v>
      </c>
      <c r="M12" s="284">
        <f t="shared" ref="M12" si="14">+L12-C12</f>
        <v>2</v>
      </c>
      <c r="N12" s="281">
        <v>46114</v>
      </c>
      <c r="O12" s="284">
        <f t="shared" ref="O12" si="15">N12-J12</f>
        <v>0</v>
      </c>
      <c r="P12" s="281">
        <v>46114</v>
      </c>
      <c r="Q12" s="285">
        <f t="shared" ref="Q12:Q22" si="16">P12-F12</f>
        <v>1</v>
      </c>
      <c r="R12" s="326"/>
    </row>
    <row r="13" spans="1:18" x14ac:dyDescent="0.25">
      <c r="A13" s="287">
        <v>2</v>
      </c>
      <c r="B13" s="324" t="s">
        <v>296</v>
      </c>
      <c r="C13" s="283">
        <v>46112</v>
      </c>
      <c r="D13" s="283">
        <v>46111</v>
      </c>
      <c r="E13" s="261">
        <f t="shared" si="10"/>
        <v>-1</v>
      </c>
      <c r="F13" s="281">
        <v>46111</v>
      </c>
      <c r="G13" s="261">
        <f t="shared" ref="G13:G14" si="17">+F13-C13</f>
        <v>-1</v>
      </c>
      <c r="H13" s="281">
        <v>46111</v>
      </c>
      <c r="I13" s="284">
        <f t="shared" ref="I13:I14" si="18">+H13-C13</f>
        <v>-1</v>
      </c>
      <c r="J13" s="281">
        <v>46111</v>
      </c>
      <c r="K13" s="284">
        <f t="shared" ref="K13:K14" si="19">+J13-C13</f>
        <v>-1</v>
      </c>
      <c r="L13" s="281">
        <v>46111</v>
      </c>
      <c r="M13" s="284">
        <f t="shared" ref="M13:M14" si="20">+L13-C13</f>
        <v>-1</v>
      </c>
      <c r="N13" s="281">
        <v>46111</v>
      </c>
      <c r="O13" s="284">
        <f t="shared" ref="O13:O14" si="21">N13-J13</f>
        <v>0</v>
      </c>
      <c r="P13" s="281">
        <v>46113</v>
      </c>
      <c r="Q13" s="285">
        <f t="shared" si="16"/>
        <v>2</v>
      </c>
      <c r="R13" s="326"/>
    </row>
    <row r="14" spans="1:18" x14ac:dyDescent="0.25">
      <c r="A14" s="287">
        <v>3</v>
      </c>
      <c r="B14" s="324" t="s">
        <v>297</v>
      </c>
      <c r="C14" s="283">
        <v>46112</v>
      </c>
      <c r="D14" s="283">
        <v>46113</v>
      </c>
      <c r="E14" s="261">
        <f t="shared" si="10"/>
        <v>1</v>
      </c>
      <c r="F14" s="281">
        <v>46114</v>
      </c>
      <c r="G14" s="261">
        <f t="shared" si="17"/>
        <v>2</v>
      </c>
      <c r="H14" s="281">
        <v>46116</v>
      </c>
      <c r="I14" s="284">
        <f t="shared" si="18"/>
        <v>4</v>
      </c>
      <c r="J14" s="281">
        <v>46116</v>
      </c>
      <c r="K14" s="284">
        <f t="shared" si="19"/>
        <v>4</v>
      </c>
      <c r="L14" s="281">
        <v>46116</v>
      </c>
      <c r="M14" s="284">
        <f t="shared" si="20"/>
        <v>4</v>
      </c>
      <c r="N14" s="281">
        <v>46116</v>
      </c>
      <c r="O14" s="284">
        <f t="shared" si="21"/>
        <v>0</v>
      </c>
      <c r="P14" s="281">
        <v>46118</v>
      </c>
      <c r="Q14" s="285">
        <f t="shared" si="16"/>
        <v>4</v>
      </c>
      <c r="R14" s="326"/>
    </row>
    <row r="15" spans="1:18" x14ac:dyDescent="0.25">
      <c r="A15" s="287"/>
      <c r="B15" s="325" t="s">
        <v>298</v>
      </c>
      <c r="C15" s="290"/>
      <c r="D15" s="290"/>
      <c r="E15" s="290"/>
      <c r="F15" s="290"/>
      <c r="G15" s="292"/>
      <c r="H15" s="290"/>
      <c r="I15" s="289"/>
      <c r="J15" s="290"/>
      <c r="K15" s="288"/>
      <c r="L15" s="290"/>
      <c r="M15" s="288"/>
      <c r="N15" s="290"/>
      <c r="O15" s="289"/>
      <c r="P15" s="290"/>
      <c r="Q15" s="293"/>
      <c r="R15" s="341"/>
    </row>
    <row r="16" spans="1:18" x14ac:dyDescent="0.25">
      <c r="A16" s="287">
        <v>1</v>
      </c>
      <c r="B16" s="324" t="s">
        <v>299</v>
      </c>
      <c r="C16" s="283">
        <v>46112</v>
      </c>
      <c r="D16" s="283">
        <v>46113</v>
      </c>
      <c r="E16" s="261">
        <f t="shared" si="10"/>
        <v>1</v>
      </c>
      <c r="F16" s="281">
        <v>46113</v>
      </c>
      <c r="G16" s="261">
        <f t="shared" ref="G16" si="22">+F16-C16</f>
        <v>1</v>
      </c>
      <c r="H16" s="281">
        <v>46113</v>
      </c>
      <c r="I16" s="284">
        <f t="shared" ref="I16" si="23">+H16-C16</f>
        <v>1</v>
      </c>
      <c r="J16" s="281">
        <v>46114</v>
      </c>
      <c r="K16" s="284">
        <f t="shared" ref="K16" si="24">+J16-C16</f>
        <v>2</v>
      </c>
      <c r="L16" s="281">
        <v>46114</v>
      </c>
      <c r="M16" s="284">
        <f t="shared" ref="M16" si="25">+L16-C16</f>
        <v>2</v>
      </c>
      <c r="N16" s="281">
        <v>46114</v>
      </c>
      <c r="O16" s="284">
        <f t="shared" ref="O16" si="26">N16-J16</f>
        <v>0</v>
      </c>
      <c r="P16" s="281">
        <v>46116</v>
      </c>
      <c r="Q16" s="285">
        <f t="shared" si="16"/>
        <v>3</v>
      </c>
      <c r="R16" s="326"/>
    </row>
    <row r="17" spans="1:18" x14ac:dyDescent="0.25">
      <c r="A17" s="287"/>
      <c r="B17" s="325" t="s">
        <v>322</v>
      </c>
      <c r="C17" s="290"/>
      <c r="D17" s="290"/>
      <c r="E17" s="290"/>
      <c r="F17" s="290"/>
      <c r="G17" s="292"/>
      <c r="H17" s="290"/>
      <c r="I17" s="289"/>
      <c r="J17" s="290"/>
      <c r="K17" s="288"/>
      <c r="L17" s="290"/>
      <c r="M17" s="288"/>
      <c r="N17" s="290"/>
      <c r="O17" s="289"/>
      <c r="P17" s="290"/>
      <c r="Q17" s="293"/>
      <c r="R17" s="341"/>
    </row>
    <row r="18" spans="1:18" x14ac:dyDescent="0.25">
      <c r="A18" s="287">
        <v>1</v>
      </c>
      <c r="B18" s="324" t="s">
        <v>300</v>
      </c>
      <c r="C18" s="283">
        <v>46112</v>
      </c>
      <c r="D18" s="283">
        <v>46107</v>
      </c>
      <c r="E18" s="261">
        <f t="shared" si="10"/>
        <v>-5</v>
      </c>
      <c r="F18" s="281">
        <v>46109</v>
      </c>
      <c r="G18" s="261">
        <f t="shared" ref="G18:G20" si="27">+F18-C18</f>
        <v>-3</v>
      </c>
      <c r="H18" s="281">
        <v>46111</v>
      </c>
      <c r="I18" s="284">
        <f t="shared" ref="I18:I19" si="28">+H18-C18</f>
        <v>-1</v>
      </c>
      <c r="J18" s="281">
        <v>46112</v>
      </c>
      <c r="K18" s="284">
        <f t="shared" ref="K18:K19" si="29">+J18-C18</f>
        <v>0</v>
      </c>
      <c r="L18" s="281">
        <v>46112</v>
      </c>
      <c r="M18" s="284">
        <f t="shared" ref="M18:M19" si="30">+L18-C18</f>
        <v>0</v>
      </c>
      <c r="N18" s="281">
        <v>46112</v>
      </c>
      <c r="O18" s="284">
        <f t="shared" ref="O18:O19" si="31">N18-J18</f>
        <v>0</v>
      </c>
      <c r="P18" s="281">
        <v>46113</v>
      </c>
      <c r="Q18" s="285">
        <f t="shared" si="16"/>
        <v>4</v>
      </c>
      <c r="R18" s="344"/>
    </row>
    <row r="19" spans="1:18" x14ac:dyDescent="0.25">
      <c r="A19" s="287">
        <v>2</v>
      </c>
      <c r="B19" s="324" t="s">
        <v>301</v>
      </c>
      <c r="C19" s="283">
        <v>46112</v>
      </c>
      <c r="D19" s="283">
        <v>46113</v>
      </c>
      <c r="E19" s="261">
        <f t="shared" si="10"/>
        <v>1</v>
      </c>
      <c r="F19" s="281">
        <v>46113</v>
      </c>
      <c r="G19" s="261">
        <f t="shared" si="27"/>
        <v>1</v>
      </c>
      <c r="H19" s="281">
        <v>46113</v>
      </c>
      <c r="I19" s="284">
        <f t="shared" si="28"/>
        <v>1</v>
      </c>
      <c r="J19" s="281">
        <v>46113</v>
      </c>
      <c r="K19" s="284">
        <f t="shared" si="29"/>
        <v>1</v>
      </c>
      <c r="L19" s="281">
        <v>46114</v>
      </c>
      <c r="M19" s="284">
        <f t="shared" si="30"/>
        <v>2</v>
      </c>
      <c r="N19" s="281">
        <v>46114</v>
      </c>
      <c r="O19" s="284">
        <f t="shared" si="31"/>
        <v>1</v>
      </c>
      <c r="P19" s="281">
        <v>46114</v>
      </c>
      <c r="Q19" s="285">
        <f t="shared" si="16"/>
        <v>1</v>
      </c>
      <c r="R19" s="326"/>
    </row>
    <row r="20" spans="1:18" x14ac:dyDescent="0.25">
      <c r="A20" s="287">
        <v>3</v>
      </c>
      <c r="B20" s="324" t="s">
        <v>302</v>
      </c>
      <c r="C20" s="283">
        <v>46112</v>
      </c>
      <c r="D20" s="283">
        <v>46113</v>
      </c>
      <c r="E20" s="261">
        <f t="shared" si="10"/>
        <v>1</v>
      </c>
      <c r="F20" s="281">
        <v>46116</v>
      </c>
      <c r="G20" s="261">
        <f t="shared" si="27"/>
        <v>4</v>
      </c>
      <c r="H20" s="281">
        <v>46116</v>
      </c>
      <c r="I20" s="284">
        <f t="shared" ref="I20" si="32">+H20-C20</f>
        <v>4</v>
      </c>
      <c r="J20" s="281">
        <v>46116</v>
      </c>
      <c r="K20" s="284">
        <f t="shared" ref="K20" si="33">+J20-C20</f>
        <v>4</v>
      </c>
      <c r="L20" s="281">
        <v>46116</v>
      </c>
      <c r="M20" s="284">
        <f t="shared" ref="M20" si="34">+L20-C20</f>
        <v>4</v>
      </c>
      <c r="N20" s="281">
        <v>46118</v>
      </c>
      <c r="O20" s="284">
        <f t="shared" ref="O20" si="35">N20-J20</f>
        <v>2</v>
      </c>
      <c r="P20" s="281">
        <v>46119</v>
      </c>
      <c r="Q20" s="285">
        <f t="shared" si="16"/>
        <v>3</v>
      </c>
      <c r="R20" s="345"/>
    </row>
    <row r="21" spans="1:18" x14ac:dyDescent="0.25">
      <c r="A21" s="287"/>
      <c r="B21" s="325" t="s">
        <v>303</v>
      </c>
      <c r="C21" s="290"/>
      <c r="D21" s="290"/>
      <c r="E21" s="290"/>
      <c r="F21" s="289"/>
      <c r="G21" s="292"/>
      <c r="H21" s="289"/>
      <c r="I21" s="289"/>
      <c r="J21" s="289"/>
      <c r="K21" s="288"/>
      <c r="L21" s="289"/>
      <c r="M21" s="288"/>
      <c r="N21" s="289"/>
      <c r="O21" s="289"/>
      <c r="P21" s="289"/>
      <c r="Q21" s="293"/>
      <c r="R21" s="341"/>
    </row>
    <row r="22" spans="1:18" x14ac:dyDescent="0.25">
      <c r="A22" s="287">
        <v>1</v>
      </c>
      <c r="B22" s="363" t="s">
        <v>170</v>
      </c>
      <c r="C22" s="362"/>
      <c r="D22" s="362"/>
      <c r="E22" s="364">
        <f t="shared" si="10"/>
        <v>0</v>
      </c>
      <c r="F22" s="365"/>
      <c r="G22" s="364">
        <f t="shared" ref="G22" si="36">+F22-C22</f>
        <v>0</v>
      </c>
      <c r="H22" s="365"/>
      <c r="I22" s="366">
        <f t="shared" ref="I22" si="37">+H22-C22</f>
        <v>0</v>
      </c>
      <c r="J22" s="365"/>
      <c r="K22" s="366">
        <f t="shared" ref="K22" si="38">+J22-C22</f>
        <v>0</v>
      </c>
      <c r="L22" s="365"/>
      <c r="M22" s="366">
        <f t="shared" ref="M22" si="39">+L22-C22</f>
        <v>0</v>
      </c>
      <c r="N22" s="365"/>
      <c r="O22" s="366">
        <f t="shared" ref="O22" si="40">N22-J22</f>
        <v>0</v>
      </c>
      <c r="P22" s="365"/>
      <c r="Q22" s="367">
        <f t="shared" si="16"/>
        <v>0</v>
      </c>
      <c r="R22" s="361"/>
    </row>
    <row r="23" spans="1:18" x14ac:dyDescent="0.25">
      <c r="A23" s="368"/>
      <c r="B23" s="325" t="s">
        <v>329</v>
      </c>
      <c r="C23" s="290"/>
      <c r="D23" s="290"/>
      <c r="E23" s="290"/>
      <c r="F23" s="289"/>
      <c r="G23" s="292"/>
      <c r="H23" s="289"/>
      <c r="I23" s="289"/>
      <c r="J23" s="289"/>
      <c r="K23" s="288"/>
      <c r="L23" s="289"/>
      <c r="M23" s="288"/>
      <c r="N23" s="289"/>
      <c r="O23" s="289"/>
      <c r="P23" s="289"/>
      <c r="Q23" s="293"/>
      <c r="R23" s="341"/>
    </row>
    <row r="24" spans="1:18" x14ac:dyDescent="0.25">
      <c r="A24" s="368">
        <v>1</v>
      </c>
      <c r="B24" s="369" t="s">
        <v>333</v>
      </c>
      <c r="C24" s="283">
        <v>46112</v>
      </c>
      <c r="D24" s="362" t="s">
        <v>170</v>
      </c>
      <c r="E24" s="261">
        <v>0</v>
      </c>
      <c r="F24" s="281" t="s">
        <v>170</v>
      </c>
      <c r="G24" s="261">
        <v>0</v>
      </c>
      <c r="H24" s="281" t="s">
        <v>170</v>
      </c>
      <c r="I24" s="284">
        <v>0</v>
      </c>
      <c r="J24" s="281" t="s">
        <v>170</v>
      </c>
      <c r="K24" s="284">
        <v>0</v>
      </c>
      <c r="L24" s="281" t="s">
        <v>170</v>
      </c>
      <c r="M24" s="284">
        <v>0</v>
      </c>
      <c r="N24" s="281" t="s">
        <v>170</v>
      </c>
      <c r="O24" s="284">
        <v>0</v>
      </c>
      <c r="P24" s="281" t="s">
        <v>170</v>
      </c>
      <c r="Q24" s="285">
        <v>0</v>
      </c>
      <c r="R24" s="361" t="s">
        <v>170</v>
      </c>
    </row>
    <row r="25" spans="1:18" x14ac:dyDescent="0.25">
      <c r="A25" s="368">
        <v>2</v>
      </c>
      <c r="B25" s="369" t="s">
        <v>327</v>
      </c>
      <c r="C25" s="283">
        <v>46112</v>
      </c>
      <c r="D25" s="283">
        <v>46113</v>
      </c>
      <c r="E25" s="261">
        <f t="shared" ref="E25" si="41">+D25-C25</f>
        <v>1</v>
      </c>
      <c r="F25" s="281">
        <v>46114</v>
      </c>
      <c r="G25" s="261">
        <f t="shared" ref="G25" si="42">+F25-C25</f>
        <v>2</v>
      </c>
      <c r="H25" s="281">
        <v>46116</v>
      </c>
      <c r="I25" s="284">
        <f t="shared" ref="I25" si="43">+H25-C25</f>
        <v>4</v>
      </c>
      <c r="J25" s="281">
        <v>46116</v>
      </c>
      <c r="K25" s="284">
        <f t="shared" ref="K25" si="44">+J25-C25</f>
        <v>4</v>
      </c>
      <c r="L25" s="281">
        <v>46116</v>
      </c>
      <c r="M25" s="284">
        <f t="shared" ref="M25" si="45">+L25-C25</f>
        <v>4</v>
      </c>
      <c r="N25" s="281">
        <v>46116</v>
      </c>
      <c r="O25" s="284">
        <f t="shared" ref="O25" si="46">N25-J25</f>
        <v>0</v>
      </c>
      <c r="P25" s="281">
        <v>46118</v>
      </c>
      <c r="Q25" s="285">
        <f t="shared" ref="Q25" si="47">P25-F25</f>
        <v>4</v>
      </c>
      <c r="R25" s="361"/>
    </row>
    <row r="26" spans="1:18" ht="19.5" customHeight="1" x14ac:dyDescent="0.25">
      <c r="A26" s="327">
        <v>13</v>
      </c>
      <c r="B26" s="294" t="s">
        <v>279</v>
      </c>
      <c r="C26" s="295"/>
      <c r="D26" s="354">
        <f>AVERAGE(D6:D25)</f>
        <v>46111.5</v>
      </c>
      <c r="E26" s="296">
        <f t="shared" ref="E26:Q26" si="48">AVERAGE(E6:E22)</f>
        <v>-0.54545454545454541</v>
      </c>
      <c r="F26" s="354">
        <f>AVERAGE(F6:F25)</f>
        <v>46113</v>
      </c>
      <c r="G26" s="296">
        <f t="shared" si="48"/>
        <v>0.72727272727272729</v>
      </c>
      <c r="H26" s="354">
        <f>AVERAGE(H6:H25)</f>
        <v>46113.9</v>
      </c>
      <c r="I26" s="296">
        <f t="shared" si="48"/>
        <v>1.3636363636363635</v>
      </c>
      <c r="J26" s="354">
        <f>AVERAGE(J6:J25)</f>
        <v>46114.2</v>
      </c>
      <c r="K26" s="296">
        <f t="shared" si="48"/>
        <v>1.6363636363636365</v>
      </c>
      <c r="L26" s="354">
        <f>AVERAGE(L6:L25)</f>
        <v>46114.3</v>
      </c>
      <c r="M26" s="296">
        <f t="shared" si="48"/>
        <v>1.7272727272727273</v>
      </c>
      <c r="N26" s="354">
        <f>AVERAGE(N6:N25)</f>
        <v>46114.5</v>
      </c>
      <c r="O26" s="296">
        <f t="shared" si="48"/>
        <v>0.27272727272727271</v>
      </c>
      <c r="P26" s="354">
        <f>AVERAGE(P6:P25)</f>
        <v>46115.9</v>
      </c>
      <c r="Q26" s="296">
        <f t="shared" si="48"/>
        <v>2.2727272727272729</v>
      </c>
      <c r="R26" s="342"/>
    </row>
    <row r="27" spans="1:18" x14ac:dyDescent="0.25">
      <c r="A27" s="287"/>
      <c r="B27" s="286"/>
      <c r="C27" s="283"/>
      <c r="D27" s="283"/>
      <c r="E27" s="283"/>
      <c r="F27" s="287"/>
      <c r="G27" s="284"/>
      <c r="H27" s="287"/>
      <c r="I27" s="287"/>
      <c r="J27" s="287"/>
      <c r="K27" s="282"/>
      <c r="L27" s="287"/>
      <c r="M27" s="282"/>
      <c r="N27" s="287"/>
      <c r="O27" s="282"/>
      <c r="P27" s="287"/>
      <c r="Q27" s="285"/>
      <c r="R27" s="326"/>
    </row>
  </sheetData>
  <mergeCells count="19">
    <mergeCell ref="Q2:Q3"/>
    <mergeCell ref="I2:I3"/>
    <mergeCell ref="K2:K3"/>
    <mergeCell ref="M2:M3"/>
    <mergeCell ref="D2:D4"/>
    <mergeCell ref="E2:E4"/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2026-04-08T01:28:07Z</dcterms:modified>
</cp:coreProperties>
</file>