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5600" windowHeight="6480" firstSheet="1" activeTab="5"/>
  </bookViews>
  <sheets>
    <sheet name="KPI" sheetId="4" state="hidden" r:id="rId1"/>
    <sheet name="IKA" sheetId="76" r:id="rId2"/>
    <sheet name="DIKA" sheetId="77" r:id="rId3"/>
    <sheet name="Lampiran1" sheetId="98" r:id="rId4"/>
    <sheet name="Lampiran2" sheetId="100" r:id="rId5"/>
    <sheet name="Lampiran3" sheetId="99" r:id="rId6"/>
  </sheets>
  <externalReferences>
    <externalReference r:id="rId7"/>
    <externalReference r:id="rId8"/>
  </externalReferences>
  <definedNames>
    <definedName name="a">[1]TAGPD!#REF!</definedName>
    <definedName name="B">[1]TAGPD!#REF!</definedName>
    <definedName name="d">[1]TAGPD!#REF!</definedName>
    <definedName name="GRUPF">[1]TAGPD!#REF!</definedName>
    <definedName name="_xlnm.Print_Area" localSheetId="1">IKA!$A$4:$I$69,IKA!$B$70:$I$176</definedName>
    <definedName name="Progresit">'[2]PROGRES TUGAS IT 2020'!$B$3:$L$215</definedName>
    <definedName name="sortsummary">#REF!</definedName>
    <definedName name="vloocku">#REF!</definedName>
    <definedName name="VLOOCKUP">#REF!</definedName>
    <definedName name="WAHYUARIFPRASETYO" localSheetId="1">IKA!$U$21:$Y$42</definedName>
  </definedNames>
  <calcPr calcId="145621"/>
</workbook>
</file>

<file path=xl/calcChain.xml><?xml version="1.0" encoding="utf-8"?>
<calcChain xmlns="http://schemas.openxmlformats.org/spreadsheetml/2006/main">
  <c r="P26" i="99" l="1"/>
  <c r="N26" i="99"/>
  <c r="L26" i="99"/>
  <c r="J26" i="99"/>
  <c r="H26" i="99"/>
  <c r="F26" i="99"/>
  <c r="D26" i="99"/>
  <c r="Q24" i="99"/>
  <c r="O24" i="99"/>
  <c r="M24" i="99"/>
  <c r="K24" i="99"/>
  <c r="I24" i="99"/>
  <c r="G24" i="99"/>
  <c r="E24" i="99"/>
  <c r="Q25" i="99"/>
  <c r="O25" i="99"/>
  <c r="M25" i="99"/>
  <c r="K25" i="99"/>
  <c r="I25" i="99"/>
  <c r="G25" i="99"/>
  <c r="E25" i="99"/>
  <c r="N36" i="98"/>
  <c r="N35" i="98"/>
  <c r="M36" i="98"/>
  <c r="M35" i="98"/>
  <c r="O20" i="99"/>
  <c r="M20" i="99"/>
  <c r="K20" i="99"/>
  <c r="Q8" i="99"/>
  <c r="M13" i="99"/>
  <c r="E22" i="99" l="1"/>
  <c r="E20" i="99"/>
  <c r="E19" i="99"/>
  <c r="E18" i="99"/>
  <c r="E16" i="99"/>
  <c r="E14" i="99"/>
  <c r="E13" i="99"/>
  <c r="E12" i="99"/>
  <c r="E10" i="99"/>
  <c r="E8" i="99"/>
  <c r="E6" i="99"/>
  <c r="E26" i="99" l="1"/>
  <c r="I20" i="99"/>
  <c r="O16" i="99"/>
  <c r="M16" i="99"/>
  <c r="K16" i="99"/>
  <c r="I16" i="99"/>
  <c r="G16" i="99"/>
  <c r="O19" i="99"/>
  <c r="M19" i="99"/>
  <c r="K19" i="99"/>
  <c r="I19" i="99"/>
  <c r="G19" i="99"/>
  <c r="M14" i="99"/>
  <c r="K14" i="99"/>
  <c r="I14" i="99"/>
  <c r="G14" i="99"/>
  <c r="O12" i="99"/>
  <c r="M12" i="99"/>
  <c r="K12" i="99"/>
  <c r="I12" i="99"/>
  <c r="G12" i="99"/>
  <c r="O10" i="99"/>
  <c r="M10" i="99"/>
  <c r="K10" i="99"/>
  <c r="I10" i="99"/>
  <c r="G10" i="99"/>
  <c r="L35" i="100" l="1"/>
  <c r="K35" i="100"/>
  <c r="J35" i="100"/>
  <c r="I35" i="100"/>
  <c r="H35" i="100"/>
  <c r="G35" i="100"/>
  <c r="F35" i="100"/>
  <c r="E35" i="100"/>
  <c r="D35" i="100"/>
  <c r="C35" i="100"/>
  <c r="Q22" i="99" l="1"/>
  <c r="O22" i="99"/>
  <c r="M22" i="99"/>
  <c r="K22" i="99"/>
  <c r="I22" i="99"/>
  <c r="G22" i="99"/>
  <c r="Q20" i="99"/>
  <c r="G20" i="99"/>
  <c r="Q19" i="99"/>
  <c r="Q18" i="99"/>
  <c r="O18" i="99"/>
  <c r="M18" i="99"/>
  <c r="K18" i="99"/>
  <c r="I18" i="99"/>
  <c r="G18" i="99"/>
  <c r="Q16" i="99"/>
  <c r="Q14" i="99"/>
  <c r="O14" i="99"/>
  <c r="Q13" i="99"/>
  <c r="O13" i="99"/>
  <c r="K13" i="99"/>
  <c r="I13" i="99"/>
  <c r="G13" i="99"/>
  <c r="Q12" i="99"/>
  <c r="Q10" i="99"/>
  <c r="O8" i="99"/>
  <c r="M8" i="99"/>
  <c r="K8" i="99"/>
  <c r="I8" i="99"/>
  <c r="G8" i="99"/>
  <c r="Q6" i="99"/>
  <c r="O6" i="99"/>
  <c r="M6" i="99"/>
  <c r="K6" i="99"/>
  <c r="I6" i="99"/>
  <c r="G6" i="99"/>
  <c r="O26" i="99" l="1"/>
  <c r="Q26" i="99"/>
  <c r="G26" i="99"/>
  <c r="I26" i="99"/>
  <c r="K26" i="99"/>
  <c r="M26" i="99"/>
  <c r="L36" i="76"/>
  <c r="L35" i="76"/>
  <c r="L34" i="76"/>
  <c r="L33" i="76"/>
  <c r="R36" i="98" l="1"/>
  <c r="Q36" i="98"/>
  <c r="R35" i="98"/>
  <c r="Q35" i="98"/>
  <c r="P36" i="98"/>
  <c r="O36" i="98"/>
  <c r="P35" i="98"/>
  <c r="O35" i="98"/>
  <c r="L36" i="98" l="1"/>
  <c r="K36" i="98"/>
  <c r="I36" i="98"/>
  <c r="H36" i="98"/>
  <c r="E36" i="98"/>
  <c r="D36" i="98"/>
  <c r="L35" i="98"/>
  <c r="K35" i="98"/>
  <c r="J35" i="98"/>
  <c r="I35" i="98"/>
  <c r="H35" i="98"/>
  <c r="G35" i="98"/>
  <c r="E35" i="98"/>
  <c r="D35" i="98"/>
  <c r="E278" i="76" l="1"/>
  <c r="E268" i="76"/>
  <c r="E447" i="76"/>
  <c r="E437" i="76"/>
  <c r="E427" i="76"/>
  <c r="E417" i="76"/>
  <c r="E408" i="76"/>
  <c r="E399" i="76"/>
  <c r="B396" i="76"/>
  <c r="B71" i="76" l="1"/>
  <c r="H504" i="76" l="1"/>
  <c r="H505" i="76" s="1"/>
  <c r="H506" i="76" s="1"/>
  <c r="H507" i="76" s="1"/>
  <c r="H508" i="76" s="1"/>
  <c r="H509" i="76" s="1"/>
  <c r="H510" i="76" s="1"/>
  <c r="H511" i="76" s="1"/>
  <c r="G8" i="77" l="1"/>
  <c r="E287" i="76"/>
  <c r="E184" i="76" l="1"/>
  <c r="E239" i="76" l="1"/>
  <c r="E29" i="76"/>
  <c r="E104" i="76"/>
  <c r="L30" i="76" s="1"/>
  <c r="L199" i="76" l="1"/>
  <c r="L198" i="76"/>
  <c r="E194" i="76"/>
  <c r="L185" i="76" s="1"/>
  <c r="E39" i="76" l="1"/>
  <c r="E19" i="76"/>
  <c r="E84" i="76" l="1"/>
  <c r="L28" i="76" s="1"/>
  <c r="E94" i="76"/>
  <c r="L29" i="76" s="1"/>
  <c r="E114" i="76"/>
  <c r="L31" i="76" s="1"/>
  <c r="E124" i="76"/>
  <c r="L32" i="76" s="1"/>
  <c r="G4" i="77" l="1"/>
  <c r="L21" i="76" l="1"/>
  <c r="E345" i="76" l="1"/>
  <c r="L197" i="76"/>
  <c r="L196" i="76"/>
  <c r="E258" i="76"/>
  <c r="E248" i="76"/>
  <c r="E74" i="76" l="1"/>
  <c r="L27" i="76" s="1"/>
  <c r="M27" i="76" s="1"/>
  <c r="W31" i="76" l="1"/>
  <c r="J6" i="77" s="1"/>
  <c r="W39" i="76"/>
  <c r="V39" i="76"/>
  <c r="V38" i="76"/>
  <c r="W38" i="76"/>
  <c r="V31" i="76"/>
  <c r="I6" i="77" s="1"/>
  <c r="H644" i="76"/>
  <c r="H645" i="76" s="1"/>
  <c r="H646" i="76" s="1"/>
  <c r="H647" i="76" s="1"/>
  <c r="H648" i="76" s="1"/>
  <c r="H649" i="76" s="1"/>
  <c r="H650" i="76" s="1"/>
  <c r="H651" i="76" s="1"/>
  <c r="H652" i="76" s="1"/>
  <c r="E644" i="76"/>
  <c r="H634" i="76"/>
  <c r="H635" i="76" s="1"/>
  <c r="H636" i="76" s="1"/>
  <c r="H637" i="76" s="1"/>
  <c r="H638" i="76" s="1"/>
  <c r="H639" i="76" s="1"/>
  <c r="H640" i="76" s="1"/>
  <c r="H641" i="76" s="1"/>
  <c r="H642" i="76" s="1"/>
  <c r="E634" i="76"/>
  <c r="H624" i="76"/>
  <c r="H625" i="76" s="1"/>
  <c r="H626" i="76" s="1"/>
  <c r="H627" i="76" s="1"/>
  <c r="H628" i="76" s="1"/>
  <c r="H629" i="76" s="1"/>
  <c r="H630" i="76" s="1"/>
  <c r="H631" i="76" s="1"/>
  <c r="H632" i="76" s="1"/>
  <c r="E624" i="76"/>
  <c r="H614" i="76"/>
  <c r="H615" i="76" s="1"/>
  <c r="H616" i="76" s="1"/>
  <c r="H617" i="76" s="1"/>
  <c r="H618" i="76" s="1"/>
  <c r="H619" i="76" s="1"/>
  <c r="H620" i="76" s="1"/>
  <c r="H621" i="76" s="1"/>
  <c r="H622" i="76" s="1"/>
  <c r="E614" i="76"/>
  <c r="H604" i="76"/>
  <c r="H605" i="76" s="1"/>
  <c r="H606" i="76" s="1"/>
  <c r="H607" i="76" s="1"/>
  <c r="H608" i="76" s="1"/>
  <c r="H609" i="76" s="1"/>
  <c r="H610" i="76" s="1"/>
  <c r="H611" i="76" s="1"/>
  <c r="H612" i="76" s="1"/>
  <c r="E604" i="76"/>
  <c r="H594" i="76"/>
  <c r="H595" i="76" s="1"/>
  <c r="H596" i="76" s="1"/>
  <c r="H597" i="76" s="1"/>
  <c r="H598" i="76" s="1"/>
  <c r="H599" i="76" s="1"/>
  <c r="H600" i="76" s="1"/>
  <c r="H601" i="76" s="1"/>
  <c r="H602" i="76" s="1"/>
  <c r="E594" i="76"/>
  <c r="E584" i="76"/>
  <c r="L514" i="76" s="1"/>
  <c r="E575" i="76"/>
  <c r="L513" i="76" s="1"/>
  <c r="E566" i="76"/>
  <c r="L512" i="76" s="1"/>
  <c r="E557" i="76"/>
  <c r="L511" i="76" s="1"/>
  <c r="H543" i="76"/>
  <c r="H544" i="76" s="1"/>
  <c r="H545" i="76" s="1"/>
  <c r="H546" i="76" s="1"/>
  <c r="H547" i="76" s="1"/>
  <c r="H548" i="76" s="1"/>
  <c r="H549" i="76" s="1"/>
  <c r="H550" i="76" s="1"/>
  <c r="H551" i="76" s="1"/>
  <c r="E543" i="76"/>
  <c r="H533" i="76"/>
  <c r="H534" i="76" s="1"/>
  <c r="H535" i="76" s="1"/>
  <c r="H536" i="76" s="1"/>
  <c r="H537" i="76" s="1"/>
  <c r="H538" i="76" s="1"/>
  <c r="H539" i="76" s="1"/>
  <c r="H540" i="76" s="1"/>
  <c r="H541" i="76" s="1"/>
  <c r="E533" i="76"/>
  <c r="H523" i="76"/>
  <c r="H524" i="76" s="1"/>
  <c r="H525" i="76" s="1"/>
  <c r="H526" i="76" s="1"/>
  <c r="H527" i="76" s="1"/>
  <c r="H528" i="76" s="1"/>
  <c r="H529" i="76" s="1"/>
  <c r="H530" i="76" s="1"/>
  <c r="H531" i="76" s="1"/>
  <c r="E523" i="76"/>
  <c r="E513" i="76"/>
  <c r="K20" i="77"/>
  <c r="E503" i="76" l="1"/>
  <c r="E214" i="76"/>
  <c r="E204" i="76" l="1"/>
  <c r="H715" i="76" l="1"/>
  <c r="H716" i="76" s="1"/>
  <c r="H717" i="76" s="1"/>
  <c r="H718" i="76" s="1"/>
  <c r="H719" i="76" s="1"/>
  <c r="H720" i="76" s="1"/>
  <c r="H721" i="76" s="1"/>
  <c r="H722" i="76" s="1"/>
  <c r="H723" i="76" s="1"/>
  <c r="H725" i="76"/>
  <c r="H726" i="76" s="1"/>
  <c r="H727" i="76" s="1"/>
  <c r="H728" i="76" s="1"/>
  <c r="H729" i="76" s="1"/>
  <c r="H730" i="76" s="1"/>
  <c r="H731" i="76" s="1"/>
  <c r="H732" i="76" s="1"/>
  <c r="H733" i="76" s="1"/>
  <c r="H735" i="76"/>
  <c r="H736" i="76" s="1"/>
  <c r="H737" i="76" s="1"/>
  <c r="H738" i="76" s="1"/>
  <c r="H739" i="76" s="1"/>
  <c r="H740" i="76" s="1"/>
  <c r="H741" i="76" s="1"/>
  <c r="H742" i="76" s="1"/>
  <c r="H743" i="76" s="1"/>
  <c r="H745" i="76"/>
  <c r="H746" i="76" s="1"/>
  <c r="H747" i="76" s="1"/>
  <c r="H748" i="76" s="1"/>
  <c r="H749" i="76" s="1"/>
  <c r="H750" i="76" s="1"/>
  <c r="H751" i="76" s="1"/>
  <c r="H752" i="76" s="1"/>
  <c r="H753" i="76" s="1"/>
  <c r="E715" i="76"/>
  <c r="E725" i="76"/>
  <c r="J17" i="77" l="1"/>
  <c r="I17" i="77"/>
  <c r="J16" i="77"/>
  <c r="I16" i="77"/>
  <c r="W37" i="76"/>
  <c r="V37" i="76"/>
  <c r="I15" i="77" s="1"/>
  <c r="W36" i="76"/>
  <c r="V36" i="76"/>
  <c r="I14" i="77" s="1"/>
  <c r="W30" i="76"/>
  <c r="J5" i="77" s="1"/>
  <c r="W29" i="76"/>
  <c r="W28" i="76"/>
  <c r="V30" i="76"/>
  <c r="V29" i="76"/>
  <c r="V28" i="76"/>
  <c r="W32" i="76" l="1"/>
  <c r="J15" i="77"/>
  <c r="W40" i="76"/>
  <c r="J14" i="77"/>
  <c r="J18" i="77" l="1"/>
  <c r="I3" i="77"/>
  <c r="L192" i="76" l="1"/>
  <c r="L201" i="76"/>
  <c r="L200" i="76"/>
  <c r="L195" i="76"/>
  <c r="L194" i="76"/>
  <c r="L193" i="76"/>
  <c r="L188" i="76"/>
  <c r="L187" i="76"/>
  <c r="L186" i="76"/>
  <c r="L184" i="76"/>
  <c r="M192" i="76" l="1"/>
  <c r="X37" i="76" s="1"/>
  <c r="M184" i="76"/>
  <c r="X29" i="76" s="1"/>
  <c r="K4" i="77" l="1"/>
  <c r="Y29" i="76"/>
  <c r="K15" i="77"/>
  <c r="Y37" i="76"/>
  <c r="L15" i="77" s="1"/>
  <c r="E905" i="76"/>
  <c r="E895" i="76"/>
  <c r="E885" i="76"/>
  <c r="E875" i="76"/>
  <c r="H805" i="76"/>
  <c r="H806" i="76" s="1"/>
  <c r="H807" i="76" s="1"/>
  <c r="H808" i="76" s="1"/>
  <c r="H809" i="76" s="1"/>
  <c r="H810" i="76" s="1"/>
  <c r="H811" i="76" s="1"/>
  <c r="H812" i="76" s="1"/>
  <c r="H813" i="76" s="1"/>
  <c r="E805" i="76"/>
  <c r="H795" i="76"/>
  <c r="H796" i="76" s="1"/>
  <c r="H797" i="76" s="1"/>
  <c r="H798" i="76" s="1"/>
  <c r="H799" i="76" s="1"/>
  <c r="H800" i="76" s="1"/>
  <c r="H801" i="76" s="1"/>
  <c r="H802" i="76" s="1"/>
  <c r="H803" i="76" s="1"/>
  <c r="E795" i="76"/>
  <c r="H785" i="76"/>
  <c r="H786" i="76" s="1"/>
  <c r="H787" i="76" s="1"/>
  <c r="H788" i="76" s="1"/>
  <c r="H789" i="76" s="1"/>
  <c r="H790" i="76" s="1"/>
  <c r="H791" i="76" s="1"/>
  <c r="H792" i="76" s="1"/>
  <c r="H793" i="76" s="1"/>
  <c r="E785" i="76"/>
  <c r="H775" i="76"/>
  <c r="H776" i="76" s="1"/>
  <c r="H777" i="76" s="1"/>
  <c r="H778" i="76" s="1"/>
  <c r="H779" i="76" s="1"/>
  <c r="H780" i="76" s="1"/>
  <c r="H781" i="76" s="1"/>
  <c r="H782" i="76" s="1"/>
  <c r="H783" i="76" s="1"/>
  <c r="E775" i="76"/>
  <c r="H765" i="76"/>
  <c r="H766" i="76" s="1"/>
  <c r="H767" i="76" s="1"/>
  <c r="H768" i="76" s="1"/>
  <c r="H769" i="76" s="1"/>
  <c r="H770" i="76" s="1"/>
  <c r="H771" i="76" s="1"/>
  <c r="H772" i="76" s="1"/>
  <c r="H773" i="76" s="1"/>
  <c r="E765" i="76"/>
  <c r="H755" i="76"/>
  <c r="H756" i="76" s="1"/>
  <c r="H757" i="76" s="1"/>
  <c r="H758" i="76" s="1"/>
  <c r="H759" i="76" s="1"/>
  <c r="H760" i="76" s="1"/>
  <c r="H761" i="76" s="1"/>
  <c r="H762" i="76" s="1"/>
  <c r="H763" i="76" s="1"/>
  <c r="E755" i="76"/>
  <c r="E745" i="76"/>
  <c r="E735" i="76"/>
  <c r="E701" i="76"/>
  <c r="E691" i="76"/>
  <c r="E681" i="76"/>
  <c r="E671" i="76"/>
  <c r="E661" i="76"/>
  <c r="H487" i="76"/>
  <c r="H488" i="76" s="1"/>
  <c r="H489" i="76" s="1"/>
  <c r="H490" i="76" s="1"/>
  <c r="H491" i="76" s="1"/>
  <c r="H492" i="76" s="1"/>
  <c r="H493" i="76" s="1"/>
  <c r="H494" i="76" s="1"/>
  <c r="H495" i="76" s="1"/>
  <c r="E487" i="76"/>
  <c r="H477" i="76"/>
  <c r="H478" i="76" s="1"/>
  <c r="H479" i="76" s="1"/>
  <c r="H480" i="76" s="1"/>
  <c r="H481" i="76" s="1"/>
  <c r="H482" i="76" s="1"/>
  <c r="H483" i="76" s="1"/>
  <c r="H484" i="76" s="1"/>
  <c r="H485" i="76" s="1"/>
  <c r="E477" i="76"/>
  <c r="H467" i="76"/>
  <c r="H468" i="76" s="1"/>
  <c r="H469" i="76" s="1"/>
  <c r="H470" i="76" s="1"/>
  <c r="H471" i="76" s="1"/>
  <c r="H472" i="76" s="1"/>
  <c r="H473" i="76" s="1"/>
  <c r="H474" i="76" s="1"/>
  <c r="H475" i="76" s="1"/>
  <c r="E467" i="76"/>
  <c r="H457" i="76"/>
  <c r="H458" i="76" s="1"/>
  <c r="H459" i="76" s="1"/>
  <c r="H460" i="76" s="1"/>
  <c r="H461" i="76" s="1"/>
  <c r="H462" i="76" s="1"/>
  <c r="H463" i="76" s="1"/>
  <c r="H464" i="76" s="1"/>
  <c r="H465" i="76" s="1"/>
  <c r="E457" i="76"/>
  <c r="H385" i="76"/>
  <c r="H386" i="76" s="1"/>
  <c r="H387" i="76" s="1"/>
  <c r="H388" i="76" s="1"/>
  <c r="H389" i="76" s="1"/>
  <c r="H390" i="76" s="1"/>
  <c r="H391" i="76" s="1"/>
  <c r="H392" i="76" s="1"/>
  <c r="H393" i="76" s="1"/>
  <c r="E385" i="76"/>
  <c r="H375" i="76"/>
  <c r="H376" i="76" s="1"/>
  <c r="H377" i="76" s="1"/>
  <c r="H378" i="76" s="1"/>
  <c r="H379" i="76" s="1"/>
  <c r="H380" i="76" s="1"/>
  <c r="H381" i="76" s="1"/>
  <c r="H382" i="76" s="1"/>
  <c r="H383" i="76" s="1"/>
  <c r="E375" i="76"/>
  <c r="H365" i="76"/>
  <c r="H366" i="76" s="1"/>
  <c r="H367" i="76" s="1"/>
  <c r="H368" i="76" s="1"/>
  <c r="H369" i="76" s="1"/>
  <c r="H370" i="76" s="1"/>
  <c r="H371" i="76" s="1"/>
  <c r="H372" i="76" s="1"/>
  <c r="H373" i="76" s="1"/>
  <c r="E365" i="76"/>
  <c r="E355" i="76"/>
  <c r="L4" i="77" l="1"/>
  <c r="E821" i="76"/>
  <c r="G10" i="77" l="1"/>
  <c r="G9" i="77"/>
  <c r="G7" i="77"/>
  <c r="G6" i="77"/>
  <c r="G5" i="77"/>
  <c r="W992" i="76"/>
  <c r="V992" i="76"/>
  <c r="W990" i="76"/>
  <c r="V989" i="76" s="1"/>
  <c r="L838" i="76"/>
  <c r="L837" i="76"/>
  <c r="L836" i="76"/>
  <c r="L835" i="76"/>
  <c r="L834" i="76"/>
  <c r="L833" i="76"/>
  <c r="L832" i="76"/>
  <c r="L831" i="76"/>
  <c r="L830" i="76"/>
  <c r="L829" i="76"/>
  <c r="L825" i="76"/>
  <c r="L824" i="76"/>
  <c r="L823" i="76"/>
  <c r="L822" i="76"/>
  <c r="L821" i="76"/>
  <c r="L678" i="76"/>
  <c r="L677" i="76"/>
  <c r="L676" i="76"/>
  <c r="L675" i="76"/>
  <c r="L674" i="76"/>
  <c r="L673" i="76"/>
  <c r="L672" i="76"/>
  <c r="L671" i="76"/>
  <c r="L670" i="76"/>
  <c r="L669" i="76"/>
  <c r="L665" i="76"/>
  <c r="L664" i="76"/>
  <c r="L663" i="76"/>
  <c r="L662" i="76"/>
  <c r="L661" i="76"/>
  <c r="L520" i="76"/>
  <c r="L519" i="76"/>
  <c r="L518" i="76"/>
  <c r="L517" i="76"/>
  <c r="L516" i="76"/>
  <c r="L515" i="76"/>
  <c r="L507" i="76"/>
  <c r="L506" i="76"/>
  <c r="L505" i="76"/>
  <c r="L504" i="76"/>
  <c r="L359" i="76"/>
  <c r="L358" i="76"/>
  <c r="L357" i="76"/>
  <c r="L356" i="76"/>
  <c r="L355" i="76"/>
  <c r="L354" i="76"/>
  <c r="L353" i="76"/>
  <c r="L352" i="76"/>
  <c r="L348" i="76"/>
  <c r="L347" i="76"/>
  <c r="L346" i="76"/>
  <c r="L361" i="76"/>
  <c r="L360" i="76"/>
  <c r="L345" i="76"/>
  <c r="L344" i="76"/>
  <c r="L23" i="76"/>
  <c r="L22" i="76"/>
  <c r="I5" i="77"/>
  <c r="J4" i="77"/>
  <c r="I4" i="77"/>
  <c r="L20" i="76"/>
  <c r="J3" i="77"/>
  <c r="W26" i="76"/>
  <c r="W25" i="76"/>
  <c r="W24" i="76"/>
  <c r="W23" i="76"/>
  <c r="W22" i="76"/>
  <c r="W21" i="76"/>
  <c r="U31" i="76" s="1"/>
  <c r="L19" i="76"/>
  <c r="J7" i="77" l="1"/>
  <c r="V991" i="76"/>
  <c r="M821" i="76"/>
  <c r="M19" i="76"/>
  <c r="V988" i="76"/>
  <c r="W987" i="76" s="1"/>
  <c r="U29" i="76"/>
  <c r="U22" i="76"/>
  <c r="U26" i="76"/>
  <c r="U21" i="76"/>
  <c r="U24" i="76"/>
  <c r="M669" i="76"/>
  <c r="M511" i="76"/>
  <c r="X39" i="76" s="1"/>
  <c r="K17" i="77" s="1"/>
  <c r="U36" i="76"/>
  <c r="U23" i="76"/>
  <c r="X36" i="76"/>
  <c r="M344" i="76"/>
  <c r="X30" i="76" s="1"/>
  <c r="M352" i="76"/>
  <c r="X38" i="76" s="1"/>
  <c r="U28" i="76"/>
  <c r="U35" i="76"/>
  <c r="U37" i="76"/>
  <c r="U39" i="76"/>
  <c r="U25" i="76"/>
  <c r="U27" i="76"/>
  <c r="U30" i="76"/>
  <c r="U38" i="76"/>
  <c r="M661" i="76"/>
  <c r="M829" i="76"/>
  <c r="X40" i="76" l="1"/>
  <c r="K5" i="77"/>
  <c r="Y30" i="76"/>
  <c r="L5" i="77" s="1"/>
  <c r="Y39" i="76"/>
  <c r="L17" i="77" s="1"/>
  <c r="X28" i="76"/>
  <c r="Y38" i="76"/>
  <c r="K16" i="77"/>
  <c r="K14" i="77"/>
  <c r="Y36" i="76"/>
  <c r="L503" i="76"/>
  <c r="M503" i="76" s="1"/>
  <c r="X31" i="76" s="1"/>
  <c r="Y31" i="76" s="1"/>
  <c r="K6" i="77" l="1"/>
  <c r="K18" i="77"/>
  <c r="L16" i="77"/>
  <c r="Y40" i="76"/>
  <c r="K3" i="77"/>
  <c r="X32" i="76"/>
  <c r="Y28" i="76"/>
  <c r="Y32" i="76" s="1"/>
  <c r="L14" i="77"/>
  <c r="K7" i="77" l="1"/>
  <c r="L18" i="77"/>
  <c r="L20" i="77" s="1"/>
  <c r="L3" i="77"/>
  <c r="L6" i="77"/>
  <c r="L174" i="4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L7" i="77" l="1"/>
  <c r="L9" i="77" s="1"/>
  <c r="G13" i="77" s="1"/>
  <c r="F14" i="77" s="1"/>
  <c r="H34" i="4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<sst xmlns="http://schemas.openxmlformats.org/spreadsheetml/2006/main" count="4017" uniqueCount="339">
  <si>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</si>
  <si>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</si>
  <si>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</si>
  <si>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</si>
  <si>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</si>
  <si>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</si>
  <si>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</si>
  <si>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</si>
  <si>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</si>
  <si>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</si>
  <si>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</si>
  <si>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</si>
  <si>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</si>
  <si>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</si>
  <si>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</si>
  <si>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</si>
  <si>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</si>
  <si>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</si>
  <si>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</si>
  <si>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</si>
  <si>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</si>
  <si>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</si>
  <si>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</si>
  <si>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</si>
  <si>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</si>
  <si>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</si>
  <si>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</si>
  <si>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</si>
  <si>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</si>
  <si>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</si>
  <si>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</si>
  <si>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</si>
  <si>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</si>
  <si>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</si>
  <si>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</si>
  <si>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</si>
  <si>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</si>
  <si>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</si>
  <si>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</si>
  <si>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</si>
  <si>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</si>
  <si>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</si>
  <si>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</si>
  <si>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</si>
  <si>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</si>
  <si>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</si>
  <si>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</si>
  <si>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</si>
  <si>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</si>
  <si>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</si>
  <si>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</si>
  <si>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</si>
  <si>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</si>
  <si>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</si>
  <si>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</si>
  <si>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</si>
  <si>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</si>
  <si>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</si>
  <si>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</si>
  <si>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</si>
  <si>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</si>
  <si>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</si>
  <si>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</si>
  <si>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</si>
  <si>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</si>
  <si>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</si>
  <si>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</si>
  <si>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</si>
  <si>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</si>
  <si>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</si>
  <si>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</si>
  <si>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</si>
  <si>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</si>
  <si>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</si>
  <si>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</si>
  <si>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</si>
  <si>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</si>
  <si>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</si>
  <si>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</si>
  <si>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</si>
  <si>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</si>
  <si>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</si>
  <si>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</si>
  <si>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</si>
  <si>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</si>
  <si>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</si>
  <si>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</si>
  <si>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</si>
  <si>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</si>
  <si>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</si>
  <si>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</si>
  <si>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</si>
  <si>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</si>
  <si>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</si>
  <si>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</si>
  <si>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</si>
  <si>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</si>
  <si>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</si>
  <si>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</si>
  <si>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</si>
  <si>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</si>
  <si>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</si>
  <si>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</si>
  <si>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</si>
  <si>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</si>
  <si>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</si>
  <si>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</si>
  <si>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</si>
  <si>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</si>
  <si>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</si>
  <si>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</si>
  <si>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</si>
  <si>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</si>
  <si>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</si>
  <si>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</si>
  <si>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</si>
  <si>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</si>
  <si>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</si>
  <si>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</si>
  <si>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</si>
  <si>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</si>
  <si>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</si>
  <si>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</si>
  <si>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</si>
  <si>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</si>
  <si>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</si>
  <si>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</si>
  <si>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</si>
  <si>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</si>
  <si>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</si>
  <si>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</si>
  <si>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</si>
  <si>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</si>
  <si>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</si>
  <si>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</si>
  <si>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4</t>
  </si>
  <si>
    <t>HOW TUJUAN 5</t>
  </si>
  <si>
    <t>:</t>
  </si>
  <si>
    <t xml:space="preserve">Karyawan : </t>
  </si>
  <si>
    <t xml:space="preserve">Level Manager berikutnya : </t>
  </si>
  <si>
    <t>Bagian / Departement</t>
  </si>
  <si>
    <t>Vita Ari Puspita</t>
  </si>
  <si>
    <t>Keuangan / Keuangan</t>
  </si>
  <si>
    <t>Absensi</t>
  </si>
  <si>
    <t>Tidak pernah absen Briefing</t>
  </si>
  <si>
    <t>100% hadir</t>
  </si>
  <si>
    <t>&lt; 2X tdk hadir dg ijin</t>
  </si>
  <si>
    <t>1-2 X tdk hadir</t>
  </si>
  <si>
    <t>3-4 X tdk hadir</t>
  </si>
  <si>
    <t>&gt; 4X tdk hadir</t>
  </si>
  <si>
    <t>Tidak pernah absen Senam sabtu</t>
  </si>
  <si>
    <t>100% Tepat Waktu</t>
  </si>
  <si>
    <t>1 - 2 X terlambat</t>
  </si>
  <si>
    <t>3 - 4 X terlambat</t>
  </si>
  <si>
    <t>&gt;4 X terlambat</t>
  </si>
  <si>
    <t>Menjalankan SOP Ijin tidak masuk</t>
  </si>
  <si>
    <t>100% taat</t>
  </si>
  <si>
    <t>ada pelanggaran</t>
  </si>
  <si>
    <t>TUJUAN 6</t>
  </si>
  <si>
    <t>HOW TUJUAN 6</t>
  </si>
  <si>
    <t>100 % Taat</t>
  </si>
  <si>
    <t>Hadir Breafing Tepat Waktu</t>
  </si>
  <si>
    <t>Membuat Daftar Pengajuan Pembayaran Hutang Kepada Direktur Melalui Whatapps. Max H+0 (No Komplain)</t>
  </si>
  <si>
    <t>Menginput Pembayaran Hutang Sesuai Dengan Tujuan Bank Pembayaran Setelah Mendapat Persetujuan Direktur. Max H+0 (Nol Kesalahan)</t>
  </si>
  <si>
    <t>Cek Fisik BG Untuk Memastikan Kelengkapan &amp; Kebenaran Penulisan BG Dari Customer.Max H+0 (Nol Kesalahan)</t>
  </si>
  <si>
    <t>Menghitung rata-rata Jangka Waktu Pembayaran BG &amp; Ditulis Dibelakang BG. Max H+0 (Nol Kesalahan)</t>
  </si>
  <si>
    <t>Menginformasikan Kepada SC Jika Ada Revisi BG dan Mencatat Pada Excel Setelah BG Tersebut di Fotocopy, Serta Menyerahkan ke Bagian Penagihan. Max H+0 (No Komplain)</t>
  </si>
  <si>
    <t>BCA</t>
  </si>
  <si>
    <t>BNI</t>
  </si>
  <si>
    <t>Mandiri</t>
  </si>
  <si>
    <t>-</t>
  </si>
  <si>
    <t>Rata-Rata</t>
  </si>
  <si>
    <t>Hari</t>
  </si>
  <si>
    <t xml:space="preserve">BRI </t>
  </si>
  <si>
    <t>Sabtu</t>
  </si>
  <si>
    <t>Rabu</t>
  </si>
  <si>
    <t>IKA HERDIANA UTAMI</t>
  </si>
  <si>
    <t>Jumat</t>
  </si>
  <si>
    <t>Minggu</t>
  </si>
  <si>
    <t>100 % Tepat Waktu</t>
  </si>
  <si>
    <t>H+0 Sesuai SOP</t>
  </si>
  <si>
    <t>H+1 Sesuai SOP</t>
  </si>
  <si>
    <t>H+2 Sesuai SOP</t>
  </si>
  <si>
    <t>H+3 Sesuai SOP</t>
  </si>
  <si>
    <t>Dengan Kesalahan</t>
  </si>
  <si>
    <t>Dengan Komplain</t>
  </si>
  <si>
    <t>&lt; Jam 14.00 (Sesuai SOP)</t>
  </si>
  <si>
    <t>Jam 14.00-14.30 (Sesuai SOP)</t>
  </si>
  <si>
    <t>Dg Kesalahan/Tdk Sesuai SOP</t>
  </si>
  <si>
    <t>&gt; Jam 14.30-15.00 (Sesuai SOP)</t>
  </si>
  <si>
    <t>&gt; Jam 15.00 (Sesuai SOP)</t>
  </si>
  <si>
    <t>&gt; Jam 14.00 (Tanpa Kesalahan)</t>
  </si>
  <si>
    <t>Jam 13.00-14.00 (Tanpa Komplain)</t>
  </si>
  <si>
    <t>&gt; Jam 14.00-15.00 (Tanpa Komplain)</t>
  </si>
  <si>
    <t>&gt; Jam 15.00 (Tanpa Komplain)</t>
  </si>
  <si>
    <t>Mencocokkan Dan Mengisi Bukti Tagihan Pada Excel Pembayaran Hutang. Max H+0 (Tanpa Kesalahan)</t>
  </si>
  <si>
    <t>&gt; Jam 14.00 (Tanpa Komplain)</t>
  </si>
  <si>
    <t>Dg Komplain</t>
  </si>
  <si>
    <t>&lt; Jam 14.00 (Tanpa Komplain)</t>
  </si>
  <si>
    <t>Jam 14.00-14.30 (Tanpa Komplain)</t>
  </si>
  <si>
    <t>&gt; Jam 14.30-15.00 (Tanpa Komplain)</t>
  </si>
  <si>
    <t>Mencetak Slip Pembayaran Hutang Dan Menyerahkan Ke Bagian Admin Jurnal Bank Untuk Dibukukan. Max H+0 (Tanpa Komplain)</t>
  </si>
  <si>
    <t>&lt; Jam 13.00 (Tanpa Komplain)</t>
  </si>
  <si>
    <t>&lt; Jam 13.00 (Tanpa Kesalahan)</t>
  </si>
  <si>
    <t>Jam 13.00-14.00 (Tanpa Kesalahan)</t>
  </si>
  <si>
    <t>&gt; Jam 14.00-15.00 (Tanpa Kesalahan)</t>
  </si>
  <si>
    <t>&gt; Jam 15.00 (Tanpa Kesalahan)</t>
  </si>
  <si>
    <t>Jam 11.00-12.00 (Tanpa Kesalahan)</t>
  </si>
  <si>
    <t>&lt; Jam 11.00 (Tanpa Kesalahan)</t>
  </si>
  <si>
    <t>&gt; Jam 12.00-14.00 (Tanpa Kesalahan)</t>
  </si>
  <si>
    <t>&lt; Jam 11.00 (Tanpa Komplain)</t>
  </si>
  <si>
    <t>Jam 11.00-12.00 (Tanpa Komplain)</t>
  </si>
  <si>
    <t>&gt; Jam 12.00-14.00 (Tanpa Komplain)</t>
  </si>
  <si>
    <t>Administrasi BG</t>
  </si>
  <si>
    <t>Jam 10.00-10.30 (Nol koreksi)</t>
  </si>
  <si>
    <t>&gt; Jam 10.30-11.00 (Nol koreksi)</t>
  </si>
  <si>
    <t>&gt; Jam 11.00 (Nol koreksi)</t>
  </si>
  <si>
    <t>&lt; Jam 10.00 (Nol Koreksi)</t>
  </si>
  <si>
    <t>ADMINISTRASI BILYET GIRO (BG) MASUK dan KELUAR</t>
  </si>
  <si>
    <t xml:space="preserve">Jam Terima </t>
  </si>
  <si>
    <t>Jam Selesai</t>
  </si>
  <si>
    <t>Jam Setor</t>
  </si>
  <si>
    <t>PENERIMAAN BG (MASUK)</t>
  </si>
  <si>
    <t>Keterangan</t>
  </si>
  <si>
    <t>BG KELUAR (SETOR FISIK)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</si>
  <si>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</si>
  <si>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</si>
  <si>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</si>
  <si>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</si>
  <si>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</si>
  <si>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</si>
  <si>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</si>
  <si>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</si>
  <si>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</si>
  <si>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</si>
  <si>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Administrasi Pembayaran Transfer</t>
  </si>
  <si>
    <t>Melayani Pembayaran Transfer (Tagihan, Hutang, Belanja) sesuai SOP Max H+0 (Nol Kesalahan)</t>
  </si>
  <si>
    <t>Menginformasikan Ke Direktur Untuk Diotorisasi. Max H+0 (No Komplain)</t>
  </si>
  <si>
    <t>Operasional Petugas Lapangan (KMT &amp; MARKETING)</t>
  </si>
  <si>
    <t xml:space="preserve">Dg Koreksi </t>
  </si>
  <si>
    <t>Verifikasi &amp; Jurnal Operasional Petugas Lapangan (KMT &amp; MARKETING) Max Tgl 10 Bulan Berikutnya (Tanpa Koreksi)</t>
  </si>
  <si>
    <t>Tgl 10 (Tanpa Koreksi)</t>
  </si>
  <si>
    <t>Tgl 4 (Tanpa Koreksi)</t>
  </si>
  <si>
    <t>Tgl 5 (Tanpa Koreksi)</t>
  </si>
  <si>
    <t>Tgl 6 (Tanpa Koreksi)</t>
  </si>
  <si>
    <t>Tgl 7 (Tanpa Koreksi)</t>
  </si>
  <si>
    <t>Tgl 8 (Tanpa Koreksi)</t>
  </si>
  <si>
    <t>Tgl 9 (Tanpa Koreksi)</t>
  </si>
  <si>
    <t>&lt;=Tgl 3 (Tanpa Koreksi)</t>
  </si>
  <si>
    <t>Cetak Rekening Koran Harian</t>
  </si>
  <si>
    <t>Memeriksa Kelengkapan Bukti Nota dan Diurutkan Sesuai Tanggal Transaksi Max H+1 dari tanggal terima berkas</t>
  </si>
  <si>
    <t>Mengkroscek Bukti Dengan Laporan Expense Sesuai SOP Maksimal H+1 dari tanggal terima berkas</t>
  </si>
  <si>
    <t>Input Expense Pada Data Excel Perjalanan Dinas.  Max Tgl 10 Bulan Berikutnya (Tanpa Koreksi)</t>
  </si>
  <si>
    <t xml:space="preserve">H+0 Nol Kesalahan </t>
  </si>
  <si>
    <t xml:space="preserve">H+1 Nol Kesalahan </t>
  </si>
  <si>
    <t xml:space="preserve">H+2 Nol Kesalahan </t>
  </si>
  <si>
    <t xml:space="preserve">H+3 Nol Kesalahan </t>
  </si>
  <si>
    <t xml:space="preserve">Dg Kesalahan </t>
  </si>
  <si>
    <t>Menginput Biaya Operasional Petugas Lapangan ke Program. Max Tgl 10 Bulan Berikutnya (Tanpa Koreksi)</t>
  </si>
  <si>
    <t>Tidak Sesuai SOP (Kelolosan)</t>
  </si>
  <si>
    <t>Mencetak Slip BG &amp; Mencocokkan dengan Fisik BG (Nol Koreksi)</t>
  </si>
  <si>
    <t xml:space="preserve">Jam 13.00
</t>
  </si>
  <si>
    <t>&lt; Jam 13.00</t>
  </si>
  <si>
    <t>&gt; Jam 13.00-13.30</t>
  </si>
  <si>
    <t>&gt; Jam 13.30-14.00</t>
  </si>
  <si>
    <t>&gt; Jam 14.00</t>
  </si>
  <si>
    <t>Mencetak Rekening Koran Harian dan menyerahkan ke admin Jurnal</t>
  </si>
  <si>
    <t>Ifa Istifarini</t>
  </si>
  <si>
    <t>Des-25</t>
  </si>
  <si>
    <t>Jam</t>
  </si>
  <si>
    <t>Jam kirim</t>
  </si>
  <si>
    <t>Jam Ika</t>
  </si>
  <si>
    <t>Jam Pak Supri</t>
  </si>
  <si>
    <t>Selesai</t>
  </si>
  <si>
    <t>Tercepat</t>
  </si>
  <si>
    <t xml:space="preserve">PEMBAYARAN VIA TRANSFER </t>
  </si>
  <si>
    <t>BRI</t>
  </si>
  <si>
    <t>Mencetak Rekening Koran Harian dan Menyerahkan ke Admin Jurnal</t>
  </si>
  <si>
    <t>No</t>
  </si>
  <si>
    <t>Terselesaikan dalam ...hari (dikurangi tgl merah)</t>
  </si>
  <si>
    <t>Memeriksa Kelengkapan Bukti Nota dan Diurutkan Sesuai Tanggal Transaksi Max H+1 dari Tanggal Terima Berkas</t>
  </si>
  <si>
    <t>Mengkroscek Bukti Dengan Laporan Expense Sesuai SOP Maksimal H+1 dari Tanggal Terima Berkas</t>
  </si>
  <si>
    <t>Tgl Akhir Bulan</t>
  </si>
  <si>
    <t>Jam Koreksi</t>
  </si>
  <si>
    <t xml:space="preserve">Kamis </t>
  </si>
  <si>
    <t>Senin</t>
  </si>
  <si>
    <t xml:space="preserve">Selasa </t>
  </si>
  <si>
    <t>Nama</t>
  </si>
  <si>
    <t>WAKIL DIREKTUR UTAMA</t>
  </si>
  <si>
    <t>MARSUDI, Bpk</t>
  </si>
  <si>
    <t>Kepala Unit Bisnis SEEDS</t>
  </si>
  <si>
    <t>HERU SUCAHYO, Bpk</t>
  </si>
  <si>
    <t>Kepala Unit Bisnis CP</t>
  </si>
  <si>
    <t>ARFIN INDRA CAHYADI, Bpk</t>
  </si>
  <si>
    <t>AREA BISNIS MANAGER (ABM)</t>
  </si>
  <si>
    <t>AHMAD MUHLISIN, Bpk</t>
  </si>
  <si>
    <t>ACEP ANDRIYANTO, Bpk</t>
  </si>
  <si>
    <t>YAMA MUHAMMAD, Bpk</t>
  </si>
  <si>
    <t>MANAGER SALES EXECUTIVE</t>
  </si>
  <si>
    <t>IBNU SUTORO, Bpk</t>
  </si>
  <si>
    <t>TOMI ARDIANSYAH, Bpk</t>
  </si>
  <si>
    <t>WIRA GUNAWAN, Bpk</t>
  </si>
  <si>
    <t>DENI SUWANDA, Bpk</t>
  </si>
  <si>
    <t>JUNIOR SALES EXECUTIVE (JSE)</t>
  </si>
  <si>
    <t>MANGSUR EFENDI, Bpk</t>
  </si>
  <si>
    <t>Setor</t>
  </si>
  <si>
    <t>Terima Fisik BG dari Admin Tax</t>
  </si>
  <si>
    <t>REVISI BG</t>
  </si>
  <si>
    <t>0 Cuti</t>
  </si>
  <si>
    <t>100% Hadir</t>
  </si>
  <si>
    <t>Verifikasi BG Masuk Sampai Penyerahan Ke Admin Jurnal Max H+0</t>
  </si>
  <si>
    <t xml:space="preserve">&lt; Jam 14.00 </t>
  </si>
  <si>
    <t>Jam 14.00-14.30</t>
  </si>
  <si>
    <t>&gt; Jam 14.30-15.00</t>
  </si>
  <si>
    <t>&gt; Jam 15.00</t>
  </si>
  <si>
    <t>Dg Kesalahan</t>
  </si>
  <si>
    <t>Menyetorkan BG Kepada Pihak Bank (Nol Koreksi)</t>
  </si>
  <si>
    <t>H+0 Tanpa Kesalahan</t>
  </si>
  <si>
    <t>Dengan Koreksi</t>
  </si>
  <si>
    <t xml:space="preserve"> Setor Slip BG  ke Admin Tax (H+0)</t>
  </si>
  <si>
    <t>H+0 dengan Koreksi</t>
  </si>
  <si>
    <t>H+0 Tanpa Koreksi</t>
  </si>
  <si>
    <t>Tanggal Resi</t>
  </si>
  <si>
    <t>SALES EXECUTIVE (SE)</t>
  </si>
  <si>
    <t>&lt; Jam 14.00</t>
  </si>
  <si>
    <t>Mencetak Slip BG, Mencocokkan dengan Fisik BG (Nol Koreksi)</t>
  </si>
  <si>
    <t>Datang</t>
  </si>
  <si>
    <t>Jam Petugas Datang</t>
  </si>
  <si>
    <t>Resign Per tgl 28 Februari 2026</t>
  </si>
  <si>
    <t>Luar Pulau Resi tgl 27</t>
  </si>
  <si>
    <t>LUQMAN HAKIM</t>
  </si>
  <si>
    <t>DAYAT</t>
  </si>
  <si>
    <t>OPERASIONAL PETUGAS LAPANGAN (WADIREKTUR, KUB SEEDS, KUB CP, ABM, SE, JSE, MDO)</t>
  </si>
  <si>
    <t>MARKET DEVELOPMENT OFFICER (MDO)</t>
  </si>
  <si>
    <t>Tanggal Laporan/Terima Berkas</t>
  </si>
  <si>
    <t>Belum Laporan dari Yama</t>
  </si>
  <si>
    <t>&lt;Tgl 5 (Tanpa Koreksi)</t>
  </si>
  <si>
    <t>Membuat Kitir Dana Yang Akan Ditransfer dan Menyerahkannya Kepada Bagian Jurnal Maksimal H+1 Setelah Input di Excel</t>
  </si>
  <si>
    <t>Membuat Kitir Dana Yang Akan Ditransfer dan Menyerahkannya Kepada Bagian Jurnal maksimal H+1 setelah input di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</si>
</sst>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[$-409]d\-mmm\-yy;@"/>
    <numFmt numFmtId="168" formatCode="[$-409]h:mm:ss\ AM/PM;@"/>
    <numFmt numFmtId="169" formatCode="_-* #,##0.0_-;\-* #,##0.0_-;_-* &quot;-&quot;??_-;_-@_-"/>
    <numFmt numFmtId="170" formatCode="[$-409]d\-mmm;@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"/>
      <color theme="1"/>
      <name val="Calibri"/>
      <family val="2"/>
      <scheme val="minor"/>
    </font>
    <font>
      <sz val="9"/>
      <color theme="1"/>
      <name val="Arial Narrow"/>
      <family val="2"/>
      <charset val="1"/>
    </font>
    <font>
      <sz val="11"/>
      <color theme="1"/>
      <name val="Calibri"/>
      <family val="2"/>
      <charset val="1"/>
      <scheme val="minor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8"/>
      <color indexed="8"/>
      <name val="Arial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2"/>
      <color rgb="FF0000A0"/>
      <name val="Tahoma"/>
      <family val="2"/>
    </font>
    <font>
      <b/>
      <sz val="12"/>
      <color indexed="18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rgb="FF080000"/>
      <name val="Tahoma"/>
      <family val="2"/>
    </font>
    <font>
      <sz val="8"/>
      <color rgb="FF000000"/>
      <name val="Wingdings"/>
      <charset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20"/>
      <color rgb="FF434889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10"/>
      <color rgb="FF000000"/>
      <name val="Tahoma"/>
      <family val="2"/>
    </font>
    <font>
      <b/>
      <sz val="10"/>
      <color indexed="8"/>
      <name val="Tahoma"/>
      <family val="2"/>
    </font>
    <font>
      <b/>
      <sz val="16"/>
      <color rgb="FF1079AE"/>
      <name val="Segoe UI"/>
      <family val="2"/>
    </font>
    <font>
      <b/>
      <sz val="12"/>
      <color rgb="FF000000"/>
      <name val="Arial"/>
      <family val="2"/>
    </font>
    <font>
      <b/>
      <sz val="8"/>
      <color rgb="FF000000"/>
      <name val="Tahoma"/>
      <family val="2"/>
    </font>
    <font>
      <b/>
      <sz val="18"/>
      <color rgb="FF0000A0"/>
      <name val="Arial"/>
      <family val="2"/>
    </font>
    <font>
      <b/>
      <sz val="9"/>
      <color indexed="16"/>
      <name val="Arial"/>
      <family val="2"/>
    </font>
    <font>
      <b/>
      <sz val="13"/>
      <color rgb="FF000000"/>
      <name val="Segoe UI"/>
      <family val="2"/>
    </font>
    <font>
      <b/>
      <sz val="11"/>
      <color rgb="FF000080"/>
      <name val="Arial"/>
      <family val="2"/>
    </font>
    <font>
      <b/>
      <sz val="8"/>
      <color rgb="FF800000"/>
      <name val="Arial"/>
      <family val="2"/>
    </font>
    <font>
      <b/>
      <sz val="8"/>
      <color rgb="FF800000"/>
      <name val="Segoe UI"/>
      <family val="2"/>
    </font>
    <font>
      <sz val="8"/>
      <color indexed="8"/>
      <name val="Tahoma"/>
      <family val="2"/>
    </font>
    <font>
      <sz val="10"/>
      <color rgb="FF000000"/>
      <name val="Tahoma"/>
      <family val="2"/>
    </font>
    <font>
      <sz val="9"/>
      <color rgb="FF000000"/>
      <name val="Tahoma"/>
      <family val="2"/>
    </font>
    <font>
      <sz val="10"/>
      <color rgb="FF080000"/>
      <name val="Arial"/>
      <family val="2"/>
    </font>
    <font>
      <sz val="9.5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A200"/>
      <name val="Calibri"/>
      <family val="2"/>
      <scheme val="minor"/>
    </font>
    <font>
      <sz val="11"/>
      <color rgb="FF00A2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89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1" fillId="0" borderId="0"/>
    <xf numFmtId="0" fontId="21" fillId="0" borderId="0"/>
    <xf numFmtId="43" fontId="1" fillId="0" borderId="0" applyFont="0" applyFill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7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1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30" fillId="0" borderId="0"/>
    <xf numFmtId="0" fontId="29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21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9" fillId="0" borderId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0" fontId="1" fillId="8" borderId="77" applyNumberFormat="0" applyFont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2" fillId="0" borderId="0">
      <alignment horizontal="left" vertical="top"/>
    </xf>
    <xf numFmtId="0" fontId="3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4" fillId="21" borderId="0">
      <alignment horizontal="righ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6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7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38" fillId="21" borderId="0">
      <alignment horizontal="center" vertical="top"/>
    </xf>
    <xf numFmtId="0" fontId="39" fillId="0" borderId="0">
      <alignment horizontal="right" vertical="top"/>
    </xf>
    <xf numFmtId="0" fontId="35" fillId="0" borderId="0">
      <alignment horizontal="left" vertical="top"/>
    </xf>
    <xf numFmtId="0" fontId="40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right" vertical="top"/>
    </xf>
    <xf numFmtId="0" fontId="44" fillId="0" borderId="0">
      <alignment horizontal="right" vertical="center"/>
    </xf>
    <xf numFmtId="0" fontId="39" fillId="0" borderId="0">
      <alignment horizontal="left" vertical="top"/>
    </xf>
    <xf numFmtId="0" fontId="40" fillId="0" borderId="0">
      <alignment horizontal="left" vertical="top"/>
    </xf>
    <xf numFmtId="0" fontId="39" fillId="0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31" fillId="0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35" fillId="0" borderId="0">
      <alignment horizontal="right" vertical="top"/>
    </xf>
    <xf numFmtId="0" fontId="28" fillId="21" borderId="0">
      <alignment horizontal="left" vertical="top"/>
    </xf>
    <xf numFmtId="0" fontId="46" fillId="0" borderId="0">
      <alignment horizontal="left" vertical="top"/>
    </xf>
    <xf numFmtId="0" fontId="28" fillId="22" borderId="0">
      <alignment horizontal="left" vertical="top"/>
    </xf>
    <xf numFmtId="0" fontId="42" fillId="0" borderId="0">
      <alignment horizontal="left" vertical="top"/>
    </xf>
    <xf numFmtId="0" fontId="43" fillId="0" borderId="0">
      <alignment horizontal="left" vertical="top"/>
    </xf>
    <xf numFmtId="0" fontId="42" fillId="0" borderId="0">
      <alignment horizontal="right" vertical="top"/>
    </xf>
    <xf numFmtId="0" fontId="31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43" fillId="22" borderId="0">
      <alignment horizontal="right" vertical="top"/>
    </xf>
    <xf numFmtId="0" fontId="28" fillId="22" borderId="0">
      <alignment horizontal="left" vertical="top"/>
    </xf>
    <xf numFmtId="0" fontId="43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35" fillId="0" borderId="0">
      <alignment horizontal="right" vertical="top"/>
    </xf>
    <xf numFmtId="0" fontId="43" fillId="0" borderId="0">
      <alignment horizontal="right" vertical="top"/>
    </xf>
    <xf numFmtId="0" fontId="40" fillId="0" borderId="0">
      <alignment horizontal="left" vertical="top"/>
    </xf>
    <xf numFmtId="0" fontId="31" fillId="0" borderId="0">
      <alignment horizontal="left" vertical="top"/>
    </xf>
    <xf numFmtId="0" fontId="39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right" vertical="top"/>
    </xf>
    <xf numFmtId="0" fontId="28" fillId="0" borderId="0">
      <alignment horizontal="right" vertical="top"/>
    </xf>
    <xf numFmtId="0" fontId="42" fillId="0" borderId="0">
      <alignment horizontal="right" vertical="top"/>
    </xf>
    <xf numFmtId="0" fontId="31" fillId="0" borderId="0">
      <alignment horizontal="right" vertical="top"/>
    </xf>
    <xf numFmtId="0" fontId="39" fillId="0" borderId="0">
      <alignment horizontal="right" vertical="top"/>
    </xf>
    <xf numFmtId="0" fontId="47" fillId="0" borderId="0">
      <alignment horizontal="right" vertical="center"/>
    </xf>
    <xf numFmtId="0" fontId="46" fillId="0" borderId="0">
      <alignment horizontal="left" vertical="top"/>
    </xf>
    <xf numFmtId="0" fontId="48" fillId="21" borderId="0">
      <alignment horizontal="left" vertical="top"/>
    </xf>
    <xf numFmtId="0" fontId="28" fillId="0" borderId="0">
      <alignment horizontal="left" vertical="top"/>
    </xf>
    <xf numFmtId="0" fontId="48" fillId="21" borderId="0">
      <alignment horizontal="left" vertical="top"/>
    </xf>
    <xf numFmtId="0" fontId="43" fillId="0" borderId="0">
      <alignment horizontal="left" vertical="top"/>
    </xf>
    <xf numFmtId="0" fontId="28" fillId="0" borderId="0">
      <alignment horizontal="left" vertical="top"/>
    </xf>
    <xf numFmtId="0" fontId="42" fillId="0" borderId="0">
      <alignment horizontal="right" vertical="top"/>
    </xf>
    <xf numFmtId="0" fontId="49" fillId="0" borderId="0">
      <alignment horizontal="left" vertical="top"/>
    </xf>
    <xf numFmtId="0" fontId="31" fillId="0" borderId="0">
      <alignment horizontal="right" vertical="top"/>
    </xf>
    <xf numFmtId="0" fontId="46" fillId="0" borderId="0">
      <alignment horizontal="left" vertical="center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28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left" vertical="top"/>
    </xf>
    <xf numFmtId="0" fontId="31" fillId="0" borderId="0">
      <alignment horizontal="right" vertical="top"/>
    </xf>
    <xf numFmtId="0" fontId="47" fillId="0" borderId="0">
      <alignment horizontal="right" vertical="top"/>
    </xf>
    <xf numFmtId="0" fontId="50" fillId="0" borderId="0">
      <alignment horizontal="left" vertical="top"/>
    </xf>
    <xf numFmtId="0" fontId="31" fillId="0" borderId="0">
      <alignment horizontal="left" vertical="top"/>
    </xf>
    <xf numFmtId="0" fontId="47" fillId="0" borderId="0">
      <alignment horizontal="left" vertical="top"/>
    </xf>
    <xf numFmtId="0" fontId="47" fillId="0" borderId="0">
      <alignment horizontal="right" vertical="center"/>
    </xf>
    <xf numFmtId="0" fontId="47" fillId="24" borderId="0">
      <alignment horizontal="left" vertical="center"/>
    </xf>
    <xf numFmtId="0" fontId="47" fillId="24" borderId="0">
      <alignment horizontal="right" vertical="center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1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center" vertical="top"/>
    </xf>
    <xf numFmtId="0" fontId="28" fillId="0" borderId="0">
      <alignment horizontal="center" vertical="top"/>
    </xf>
    <xf numFmtId="0" fontId="28" fillId="0" borderId="0">
      <alignment horizontal="left" vertical="top"/>
    </xf>
    <xf numFmtId="0" fontId="52" fillId="0" borderId="0">
      <alignment horizontal="left" vertical="top"/>
    </xf>
    <xf numFmtId="0" fontId="53" fillId="0" borderId="0">
      <alignment horizontal="left" vertical="top"/>
    </xf>
    <xf numFmtId="0" fontId="28" fillId="22" borderId="0">
      <alignment horizontal="center" vertical="top"/>
    </xf>
    <xf numFmtId="0" fontId="31" fillId="0" borderId="0">
      <alignment horizontal="right" vertical="top"/>
    </xf>
    <xf numFmtId="0" fontId="31" fillId="0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4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55" fillId="21" borderId="0">
      <alignment horizontal="center" vertical="top"/>
    </xf>
    <xf numFmtId="0" fontId="39" fillId="0" borderId="0">
      <alignment horizontal="left" vertical="top"/>
    </xf>
    <xf numFmtId="0" fontId="39" fillId="0" borderId="0">
      <alignment horizontal="left" vertical="top"/>
    </xf>
    <xf numFmtId="0" fontId="39" fillId="0" borderId="0">
      <alignment horizontal="right" vertical="top"/>
    </xf>
    <xf numFmtId="0" fontId="46" fillId="0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left" vertical="top"/>
    </xf>
    <xf numFmtId="0" fontId="39" fillId="23" borderId="0">
      <alignment horizontal="right" vertical="top"/>
    </xf>
    <xf numFmtId="0" fontId="46" fillId="23" borderId="0">
      <alignment horizontal="left" vertical="top"/>
    </xf>
    <xf numFmtId="0" fontId="47" fillId="24" borderId="0">
      <alignment horizontal="right" vertical="center"/>
    </xf>
    <xf numFmtId="0" fontId="50" fillId="24" borderId="0">
      <alignment horizontal="left" vertical="top"/>
    </xf>
    <xf numFmtId="0" fontId="56" fillId="0" borderId="0">
      <alignment horizontal="center" vertical="top"/>
    </xf>
    <xf numFmtId="0" fontId="56" fillId="0" borderId="0">
      <alignment horizontal="center" vertical="top"/>
    </xf>
    <xf numFmtId="0" fontId="57" fillId="22" borderId="0">
      <alignment horizontal="center" vertical="top"/>
    </xf>
    <xf numFmtId="0" fontId="28" fillId="22" borderId="0">
      <alignment horizontal="left" vertical="top"/>
    </xf>
    <xf numFmtId="0" fontId="53" fillId="22" borderId="0">
      <alignment horizontal="center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28" fillId="22" borderId="0">
      <alignment horizontal="left" vertical="top"/>
    </xf>
    <xf numFmtId="0" fontId="59" fillId="0" borderId="0">
      <alignment horizontal="center" vertical="top"/>
    </xf>
    <xf numFmtId="0" fontId="60" fillId="21" borderId="0">
      <alignment horizontal="center" vertical="top"/>
    </xf>
    <xf numFmtId="0" fontId="50" fillId="24" borderId="0">
      <alignment horizontal="left" vertical="top"/>
    </xf>
    <xf numFmtId="0" fontId="50" fillId="0" borderId="0">
      <alignment horizontal="left" vertical="top"/>
    </xf>
    <xf numFmtId="0" fontId="50" fillId="23" borderId="0">
      <alignment horizontal="left" vertical="top"/>
    </xf>
    <xf numFmtId="0" fontId="50" fillId="23" borderId="0">
      <alignment horizontal="left" vertical="top"/>
    </xf>
    <xf numFmtId="0" fontId="50" fillId="0" borderId="0">
      <alignment horizontal="left" vertical="top"/>
    </xf>
    <xf numFmtId="0" fontId="50" fillId="24" borderId="0">
      <alignment horizontal="left" vertical="top"/>
    </xf>
    <xf numFmtId="0" fontId="50" fillId="24" borderId="0">
      <alignment horizontal="left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50" fillId="0" borderId="0">
      <alignment horizontal="left" vertical="top"/>
    </xf>
    <xf numFmtId="0" fontId="28" fillId="22" borderId="0">
      <alignment horizontal="left" vertical="top"/>
    </xf>
    <xf numFmtId="0" fontId="36" fillId="0" borderId="0">
      <alignment horizontal="center" vertical="top"/>
    </xf>
    <xf numFmtId="0" fontId="61" fillId="0" borderId="0">
      <alignment horizontal="center" vertical="top"/>
    </xf>
    <xf numFmtId="0" fontId="61" fillId="0" borderId="0">
      <alignment horizontal="center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62" fillId="22" borderId="0">
      <alignment horizontal="center" vertical="top"/>
    </xf>
    <xf numFmtId="0" fontId="28" fillId="22" borderId="0">
      <alignment horizontal="left" vertical="top"/>
    </xf>
    <xf numFmtId="0" fontId="63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left" vertical="top"/>
    </xf>
    <xf numFmtId="0" fontId="28" fillId="22" borderId="0">
      <alignment horizontal="left" vertical="top"/>
    </xf>
    <xf numFmtId="0" fontId="45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41" fillId="0" borderId="0">
      <alignment horizontal="left" vertical="top"/>
    </xf>
    <xf numFmtId="0" fontId="34" fillId="21" borderId="0">
      <alignment horizontal="left" vertical="top"/>
    </xf>
    <xf numFmtId="0" fontId="64" fillId="0" borderId="0">
      <alignment horizontal="center" vertical="top"/>
    </xf>
    <xf numFmtId="0" fontId="28" fillId="22" borderId="0">
      <alignment horizontal="left" vertical="top"/>
    </xf>
    <xf numFmtId="0" fontId="53" fillId="0" borderId="0">
      <alignment horizontal="center" vertical="top"/>
    </xf>
    <xf numFmtId="0" fontId="41" fillId="22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3" fillId="22" borderId="0">
      <alignment horizontal="left" vertical="center"/>
    </xf>
    <xf numFmtId="0" fontId="28" fillId="22" borderId="0">
      <alignment horizontal="left" vertical="top"/>
    </xf>
    <xf numFmtId="0" fontId="64" fillId="0" borderId="0">
      <alignment horizontal="center" vertical="top"/>
    </xf>
    <xf numFmtId="0" fontId="63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1" fillId="0" borderId="0">
      <alignment horizontal="left" vertical="top"/>
    </xf>
    <xf numFmtId="0" fontId="65" fillId="21" borderId="0">
      <alignment horizontal="left" vertical="top"/>
    </xf>
    <xf numFmtId="0" fontId="47" fillId="0" borderId="0">
      <alignment horizontal="left" vertical="center"/>
    </xf>
    <xf numFmtId="0" fontId="35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right" vertical="top"/>
    </xf>
    <xf numFmtId="0" fontId="1" fillId="0" borderId="0">
      <alignment horizontal="right" vertical="top"/>
    </xf>
    <xf numFmtId="0" fontId="41" fillId="0" borderId="0">
      <alignment horizontal="left" vertical="top"/>
    </xf>
    <xf numFmtId="0" fontId="28" fillId="22" borderId="0">
      <alignment horizontal="right" vertical="top"/>
    </xf>
    <xf numFmtId="0" fontId="43" fillId="0" borderId="0">
      <alignment horizontal="left" vertical="top"/>
    </xf>
    <xf numFmtId="0" fontId="43" fillId="0" borderId="0">
      <alignment horizontal="center" vertical="center"/>
    </xf>
    <xf numFmtId="0" fontId="47" fillId="0" borderId="0">
      <alignment horizontal="left" vertical="center"/>
    </xf>
    <xf numFmtId="0" fontId="41" fillId="0" borderId="0">
      <alignment horizontal="right" vertical="top"/>
    </xf>
    <xf numFmtId="0" fontId="41" fillId="0" borderId="0">
      <alignment horizontal="right" vertical="top"/>
    </xf>
    <xf numFmtId="0" fontId="50" fillId="24" borderId="0">
      <alignment horizontal="left" vertical="top"/>
    </xf>
    <xf numFmtId="0" fontId="66" fillId="22" borderId="0">
      <alignment horizontal="left" vertical="top"/>
    </xf>
    <xf numFmtId="0" fontId="28" fillId="22" borderId="0">
      <alignment horizontal="right" vertical="top"/>
    </xf>
    <xf numFmtId="0" fontId="44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0" borderId="0">
      <alignment horizontal="left" vertical="top"/>
    </xf>
    <xf numFmtId="0" fontId="28" fillId="0" borderId="0">
      <alignment horizontal="right" vertical="top"/>
    </xf>
    <xf numFmtId="0" fontId="65" fillId="21" borderId="0">
      <alignment horizontal="left" vertical="top"/>
    </xf>
    <xf numFmtId="0" fontId="47" fillId="0" borderId="0">
      <alignment horizontal="right" vertical="center"/>
    </xf>
    <xf numFmtId="0" fontId="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left" vertical="top"/>
    </xf>
    <xf numFmtId="0" fontId="41" fillId="0" borderId="0">
      <alignment horizontal="right" vertical="top"/>
    </xf>
    <xf numFmtId="0" fontId="28" fillId="22" borderId="0">
      <alignment horizontal="left" vertical="top"/>
    </xf>
    <xf numFmtId="0" fontId="43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left" vertical="center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1" fillId="0" borderId="0">
      <alignment horizontal="left" vertical="top"/>
    </xf>
    <xf numFmtId="0" fontId="67" fillId="0" borderId="0">
      <alignment horizontal="left" vertical="top"/>
    </xf>
    <xf numFmtId="0" fontId="47" fillId="0" borderId="0">
      <alignment horizontal="left" vertical="center"/>
    </xf>
    <xf numFmtId="0" fontId="68" fillId="22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righ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  <xf numFmtId="0" fontId="39" fillId="0" borderId="0">
      <alignment horizontal="left" vertical="top"/>
    </xf>
    <xf numFmtId="0" fontId="44" fillId="0" borderId="0">
      <alignment horizontal="left" vertical="center"/>
    </xf>
    <xf numFmtId="0" fontId="47" fillId="0" borderId="0">
      <alignment horizontal="right" vertical="center"/>
    </xf>
    <xf numFmtId="0" fontId="47" fillId="0" borderId="0">
      <alignment horizontal="right" vertical="center"/>
    </xf>
    <xf numFmtId="0" fontId="66" fillId="22" borderId="0">
      <alignment horizontal="left" vertical="top"/>
    </xf>
    <xf numFmtId="0" fontId="28" fillId="22" borderId="0">
      <alignment horizontal="left" vertical="top"/>
    </xf>
    <xf numFmtId="0" fontId="31" fillId="22" borderId="0">
      <alignment horizontal="right" vertical="top"/>
    </xf>
    <xf numFmtId="0" fontId="28" fillId="22" borderId="0">
      <alignment horizontal="left" vertical="top"/>
    </xf>
    <xf numFmtId="0" fontId="41" fillId="0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41" fillId="22" borderId="0">
      <alignment horizontal="lef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58" fillId="0" borderId="0">
      <alignment horizontal="left" vertical="top"/>
    </xf>
    <xf numFmtId="0" fontId="41" fillId="0" borderId="0">
      <alignment horizontal="left" vertical="top"/>
    </xf>
    <xf numFmtId="0" fontId="28" fillId="22" borderId="0">
      <alignment horizontal="left" vertical="top"/>
    </xf>
    <xf numFmtId="0" fontId="43" fillId="0" borderId="0">
      <alignment horizontal="right" vertical="top"/>
    </xf>
    <xf numFmtId="0" fontId="34" fillId="21" borderId="0">
      <alignment horizontal="right" vertical="top"/>
    </xf>
    <xf numFmtId="0" fontId="39" fillId="0" borderId="0">
      <alignment horizontal="left" vertical="top"/>
    </xf>
    <xf numFmtId="0" fontId="41" fillId="0" borderId="0">
      <alignment horizontal="left" vertical="top"/>
    </xf>
    <xf numFmtId="0" fontId="39" fillId="0" borderId="0">
      <alignment horizontal="left" vertical="top"/>
    </xf>
    <xf numFmtId="0" fontId="42" fillId="0" borderId="0">
      <alignment horizontal="left" vertical="top"/>
    </xf>
    <xf numFmtId="0" fontId="28" fillId="22" borderId="0">
      <alignment horizontal="right" vertical="top"/>
    </xf>
    <xf numFmtId="0" fontId="31" fillId="0" borderId="0">
      <alignment horizontal="left" vertical="top"/>
    </xf>
    <xf numFmtId="0" fontId="44" fillId="0" borderId="0">
      <alignment horizontal="center" vertical="center"/>
    </xf>
    <xf numFmtId="0" fontId="39" fillId="0" borderId="0">
      <alignment horizontal="left" vertical="top"/>
    </xf>
    <xf numFmtId="0" fontId="50" fillId="0" borderId="0">
      <alignment horizontal="left" vertical="top"/>
    </xf>
    <xf numFmtId="0" fontId="66" fillId="22" borderId="0">
      <alignment horizontal="right" vertical="top"/>
    </xf>
    <xf numFmtId="0" fontId="28" fillId="22" borderId="0">
      <alignment horizontal="right" vertical="top"/>
    </xf>
    <xf numFmtId="0" fontId="41" fillId="22" borderId="0">
      <alignment horizontal="right" vertical="top"/>
    </xf>
    <xf numFmtId="0" fontId="28" fillId="22" borderId="0">
      <alignment horizontal="lef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right" vertical="top"/>
    </xf>
    <xf numFmtId="0" fontId="28" fillId="22" borderId="0">
      <alignment horizontal="left" vertical="top"/>
    </xf>
    <xf numFmtId="0" fontId="28" fillId="0" borderId="0">
      <alignment horizontal="left" vertical="top"/>
    </xf>
    <xf numFmtId="0" fontId="35" fillId="0" borderId="0">
      <alignment horizontal="left" vertical="top"/>
    </xf>
    <xf numFmtId="0" fontId="65" fillId="21" borderId="0">
      <alignment horizontal="right" vertical="top"/>
    </xf>
  </cellStyleXfs>
  <cellXfs count="651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1" xfId="0" applyFont="1" applyBorder="1" applyAlignment="1">
      <alignment horizontal="center" vertical="center"/>
    </xf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0" fontId="0" fillId="2" borderId="0" xfId="0" applyFill="1"/>
    <xf numFmtId="0" fontId="0" fillId="2" borderId="0" xfId="0" quotePrefix="1" applyFill="1"/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3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166" fontId="0" fillId="2" borderId="0" xfId="0" quotePrefix="1" applyNumberFormat="1" applyFill="1"/>
    <xf numFmtId="9" fontId="0" fillId="0" borderId="75" xfId="1" applyFont="1" applyFill="1" applyBorder="1" applyAlignment="1">
      <alignment horizontal="center" vertical="center"/>
    </xf>
    <xf numFmtId="9" fontId="0" fillId="0" borderId="12" xfId="1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2" fillId="2" borderId="41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quotePrefix="1" applyFill="1" applyAlignment="1">
      <alignment vertical="center"/>
    </xf>
    <xf numFmtId="0" fontId="2" fillId="6" borderId="41" xfId="0" applyFont="1" applyFill="1" applyBorder="1" applyAlignment="1">
      <alignment vertical="center"/>
    </xf>
    <xf numFmtId="0" fontId="2" fillId="6" borderId="34" xfId="0" applyFont="1" applyFill="1" applyBorder="1" applyAlignment="1">
      <alignment vertical="center"/>
    </xf>
    <xf numFmtId="0" fontId="22" fillId="3" borderId="0" xfId="0" quotePrefix="1" applyFont="1" applyFill="1" applyAlignment="1">
      <alignment vertical="center"/>
    </xf>
    <xf numFmtId="0" fontId="0" fillId="0" borderId="0" xfId="0" applyAlignment="1">
      <alignment horizontal="center" vertical="center"/>
    </xf>
    <xf numFmtId="17" fontId="9" fillId="0" borderId="0" xfId="0" applyNumberFormat="1" applyFont="1" applyBorder="1" applyAlignment="1">
      <alignment horizontal="center" vertical="center"/>
    </xf>
    <xf numFmtId="0" fontId="2" fillId="2" borderId="41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9" fontId="0" fillId="0" borderId="32" xfId="0" applyNumberFormat="1" applyBorder="1" applyAlignment="1">
      <alignment horizontal="center" vertical="center"/>
    </xf>
    <xf numFmtId="0" fontId="0" fillId="4" borderId="0" xfId="0" quotePrefix="1" applyFill="1" applyAlignment="1">
      <alignment horizontal="center" vertical="center"/>
    </xf>
    <xf numFmtId="0" fontId="2" fillId="6" borderId="41" xfId="0" applyFont="1" applyFill="1" applyBorder="1" applyAlignment="1">
      <alignment horizontal="center" vertical="center"/>
    </xf>
    <xf numFmtId="0" fontId="2" fillId="6" borderId="34" xfId="0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0" xfId="0" quotePrefix="1" applyFill="1" applyAlignment="1">
      <alignment vertical="center"/>
    </xf>
    <xf numFmtId="0" fontId="2" fillId="2" borderId="55" xfId="0" applyFont="1" applyFill="1" applyBorder="1" applyAlignment="1">
      <alignment vertical="center"/>
    </xf>
    <xf numFmtId="0" fontId="2" fillId="2" borderId="33" xfId="0" applyFont="1" applyFill="1" applyBorder="1" applyAlignment="1">
      <alignment vertical="center"/>
    </xf>
    <xf numFmtId="9" fontId="3" fillId="0" borderId="15" xfId="0" applyNumberFormat="1" applyFont="1" applyBorder="1" applyAlignment="1">
      <alignment horizontal="left" vertical="center"/>
    </xf>
    <xf numFmtId="0" fontId="3" fillId="0" borderId="30" xfId="0" applyFont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9" fontId="3" fillId="0" borderId="10" xfId="0" applyNumberFormat="1" applyFont="1" applyBorder="1" applyAlignment="1">
      <alignment horizontal="left" vertical="center"/>
    </xf>
    <xf numFmtId="0" fontId="3" fillId="0" borderId="28" xfId="0" applyFont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3" fillId="0" borderId="15" xfId="0" applyFont="1" applyBorder="1" applyAlignment="1">
      <alignment horizontal="left" vertical="center"/>
    </xf>
    <xf numFmtId="0" fontId="0" fillId="0" borderId="42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3" fillId="0" borderId="37" xfId="0" applyFont="1" applyBorder="1" applyAlignment="1">
      <alignment horizontal="left" vertical="center"/>
    </xf>
    <xf numFmtId="0" fontId="3" fillId="0" borderId="38" xfId="0" applyFont="1" applyBorder="1" applyAlignment="1">
      <alignment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2" fillId="6" borderId="55" xfId="0" applyFont="1" applyFill="1" applyBorder="1" applyAlignment="1">
      <alignment vertical="center"/>
    </xf>
    <xf numFmtId="0" fontId="2" fillId="6" borderId="33" xfId="0" applyFont="1" applyFill="1" applyBorder="1" applyAlignment="1">
      <alignment vertical="center"/>
    </xf>
    <xf numFmtId="0" fontId="0" fillId="0" borderId="51" xfId="0" applyBorder="1" applyAlignment="1">
      <alignment horizontal="center" vertical="center"/>
    </xf>
    <xf numFmtId="0" fontId="22" fillId="0" borderId="0" xfId="0" quotePrefix="1" applyFont="1" applyFill="1" applyAlignment="1">
      <alignment vertical="center"/>
    </xf>
    <xf numFmtId="0" fontId="22" fillId="0" borderId="0" xfId="0" quotePrefix="1" applyFont="1" applyFill="1" applyAlignment="1">
      <alignment horizontal="center" vertical="center"/>
    </xf>
    <xf numFmtId="0" fontId="26" fillId="0" borderId="0" xfId="0" applyFont="1" applyAlignment="1">
      <alignment vertical="center"/>
    </xf>
    <xf numFmtId="0" fontId="26" fillId="0" borderId="10" xfId="0" applyFont="1" applyBorder="1" applyAlignment="1">
      <alignment vertical="center"/>
    </xf>
    <xf numFmtId="0" fontId="26" fillId="0" borderId="10" xfId="0" applyFont="1" applyBorder="1" applyAlignment="1">
      <alignment horizontal="left" vertical="center"/>
    </xf>
    <xf numFmtId="0" fontId="26" fillId="0" borderId="10" xfId="0" applyFont="1" applyFill="1" applyBorder="1" applyAlignment="1">
      <alignment horizontal="left" vertical="center"/>
    </xf>
    <xf numFmtId="0" fontId="24" fillId="5" borderId="10" xfId="0" applyFont="1" applyFill="1" applyBorder="1" applyAlignment="1">
      <alignment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vertical="center"/>
    </xf>
    <xf numFmtId="0" fontId="26" fillId="0" borderId="10" xfId="0" applyFont="1" applyFill="1" applyBorder="1" applyAlignment="1">
      <alignment vertical="center"/>
    </xf>
    <xf numFmtId="0" fontId="24" fillId="3" borderId="10" xfId="0" applyFont="1" applyFill="1" applyBorder="1" applyAlignment="1">
      <alignment vertical="center"/>
    </xf>
    <xf numFmtId="0" fontId="26" fillId="3" borderId="10" xfId="0" applyFont="1" applyFill="1" applyBorder="1" applyAlignment="1">
      <alignment vertical="center"/>
    </xf>
    <xf numFmtId="0" fontId="26" fillId="0" borderId="0" xfId="0" quotePrefix="1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26" fillId="0" borderId="0" xfId="0" quotePrefix="1" applyFont="1" applyAlignment="1">
      <alignment vertical="center"/>
    </xf>
    <xf numFmtId="0" fontId="4" fillId="25" borderId="50" xfId="0" applyFont="1" applyFill="1" applyBorder="1" applyAlignment="1">
      <alignment horizontal="center" vertical="center" wrapText="1"/>
    </xf>
    <xf numFmtId="0" fontId="4" fillId="25" borderId="32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3" fillId="0" borderId="26" xfId="0" applyFont="1" applyFill="1" applyBorder="1" applyAlignment="1">
      <alignment vertical="center"/>
    </xf>
    <xf numFmtId="0" fontId="3" fillId="0" borderId="30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26" xfId="0" applyFont="1" applyBorder="1"/>
    <xf numFmtId="0" fontId="26" fillId="0" borderId="0" xfId="0" applyFont="1"/>
    <xf numFmtId="9" fontId="26" fillId="0" borderId="0" xfId="0" applyNumberFormat="1" applyFont="1"/>
    <xf numFmtId="9" fontId="26" fillId="0" borderId="0" xfId="0" applyNumberFormat="1" applyFont="1" applyAlignment="1">
      <alignment vertical="center"/>
    </xf>
    <xf numFmtId="0" fontId="0" fillId="0" borderId="51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4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71" fillId="0" borderId="0" xfId="0" applyFont="1" applyAlignment="1">
      <alignment vertical="center"/>
    </xf>
    <xf numFmtId="0" fontId="71" fillId="0" borderId="0" xfId="0" quotePrefix="1" applyFont="1" applyFill="1" applyAlignment="1">
      <alignment vertical="center"/>
    </xf>
    <xf numFmtId="0" fontId="71" fillId="0" borderId="0" xfId="0" quotePrefix="1" applyFont="1" applyFill="1" applyBorder="1" applyAlignment="1">
      <alignment vertical="center"/>
    </xf>
    <xf numFmtId="0" fontId="71" fillId="0" borderId="0" xfId="0" applyFont="1" applyBorder="1" applyAlignment="1">
      <alignment vertical="center"/>
    </xf>
    <xf numFmtId="0" fontId="71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horizontal="left" vertical="center"/>
    </xf>
    <xf numFmtId="0" fontId="73" fillId="0" borderId="0" xfId="0" applyFont="1" applyFill="1" applyBorder="1" applyAlignment="1">
      <alignment vertical="center"/>
    </xf>
    <xf numFmtId="0" fontId="72" fillId="0" borderId="0" xfId="0" applyFont="1" applyFill="1" applyBorder="1" applyAlignment="1">
      <alignment vertical="center"/>
    </xf>
    <xf numFmtId="17" fontId="74" fillId="0" borderId="0" xfId="0" applyNumberFormat="1" applyFont="1" applyFill="1" applyBorder="1" applyAlignment="1">
      <alignment horizontal="left" vertical="center"/>
    </xf>
    <xf numFmtId="17" fontId="72" fillId="0" borderId="0" xfId="0" applyNumberFormat="1" applyFont="1" applyFill="1" applyBorder="1" applyAlignment="1">
      <alignment horizontal="left" vertical="center"/>
    </xf>
    <xf numFmtId="9" fontId="71" fillId="0" borderId="0" xfId="0" quotePrefix="1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75" fillId="0" borderId="0" xfId="0" applyFont="1" applyFill="1" applyBorder="1" applyAlignment="1">
      <alignment horizontal="center" vertical="center"/>
    </xf>
    <xf numFmtId="165" fontId="71" fillId="0" borderId="0" xfId="2" applyNumberFormat="1" applyFont="1" applyFill="1" applyBorder="1" applyAlignment="1">
      <alignment horizontal="center" vertical="center"/>
    </xf>
    <xf numFmtId="0" fontId="2" fillId="0" borderId="0" xfId="0" quotePrefix="1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9" fontId="2" fillId="0" borderId="0" xfId="1" quotePrefix="1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9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vertical="center"/>
    </xf>
    <xf numFmtId="0" fontId="2" fillId="0" borderId="0" xfId="0" applyNumberFormat="1" applyFont="1" applyFill="1" applyBorder="1" applyAlignment="1">
      <alignment horizontal="center" vertical="center"/>
    </xf>
    <xf numFmtId="0" fontId="71" fillId="0" borderId="0" xfId="0" applyFont="1" applyFill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9" fontId="2" fillId="0" borderId="0" xfId="0" quotePrefix="1" applyNumberFormat="1" applyFont="1" applyFill="1" applyBorder="1" applyAlignment="1">
      <alignment vertical="center"/>
    </xf>
    <xf numFmtId="0" fontId="76" fillId="0" borderId="0" xfId="0" applyFont="1" applyFill="1" applyBorder="1" applyAlignment="1">
      <alignment horizontal="left" vertical="center"/>
    </xf>
    <xf numFmtId="0" fontId="75" fillId="0" borderId="0" xfId="0" applyNumberFormat="1" applyFont="1" applyFill="1" applyBorder="1" applyAlignment="1">
      <alignment horizontal="left" vertical="center"/>
    </xf>
    <xf numFmtId="9" fontId="71" fillId="0" borderId="0" xfId="0" applyNumberFormat="1" applyFont="1" applyAlignment="1">
      <alignment vertical="center"/>
    </xf>
    <xf numFmtId="0" fontId="71" fillId="0" borderId="0" xfId="0" quotePrefix="1" applyNumberFormat="1" applyFont="1" applyFill="1" applyBorder="1" applyAlignment="1">
      <alignment horizontal="center" vertical="center"/>
    </xf>
    <xf numFmtId="167" fontId="78" fillId="25" borderId="81" xfId="0" applyNumberFormat="1" applyFont="1" applyFill="1" applyBorder="1" applyAlignment="1">
      <alignment horizontal="center"/>
    </xf>
    <xf numFmtId="167" fontId="79" fillId="25" borderId="81" xfId="0" applyNumberFormat="1" applyFont="1" applyFill="1" applyBorder="1" applyAlignment="1">
      <alignment horizontal="center"/>
    </xf>
    <xf numFmtId="0" fontId="80" fillId="0" borderId="0" xfId="0" applyFont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36" xfId="0" applyBorder="1" applyAlignment="1">
      <alignment vertical="center"/>
    </xf>
    <xf numFmtId="0" fontId="3" fillId="0" borderId="29" xfId="0" applyFont="1" applyFill="1" applyBorder="1" applyAlignment="1">
      <alignment horizontal="center" vertical="center"/>
    </xf>
    <xf numFmtId="168" fontId="78" fillId="4" borderId="81" xfId="35" quotePrefix="1" applyNumberFormat="1" applyFont="1" applyFill="1" applyBorder="1" applyAlignment="1">
      <alignment horizontal="center" vertical="center"/>
    </xf>
    <xf numFmtId="168" fontId="0" fillId="0" borderId="0" xfId="0" applyNumberFormat="1"/>
    <xf numFmtId="0" fontId="82" fillId="2" borderId="0" xfId="0" quotePrefix="1" applyFont="1" applyFill="1"/>
    <xf numFmtId="0" fontId="82" fillId="2" borderId="0" xfId="0" quotePrefix="1" applyFont="1" applyFill="1" applyAlignment="1">
      <alignment wrapText="1"/>
    </xf>
    <xf numFmtId="0" fontId="79" fillId="25" borderId="81" xfId="35" applyNumberFormat="1" applyFont="1" applyFill="1" applyBorder="1" applyAlignment="1">
      <alignment horizont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top"/>
    </xf>
    <xf numFmtId="0" fontId="3" fillId="0" borderId="30" xfId="0" applyFont="1" applyFill="1" applyBorder="1"/>
    <xf numFmtId="168" fontId="79" fillId="25" borderId="81" xfId="0" applyNumberFormat="1" applyFont="1" applyFill="1" applyBorder="1" applyAlignment="1">
      <alignment horizontal="center"/>
    </xf>
    <xf numFmtId="169" fontId="0" fillId="4" borderId="10" xfId="3" applyNumberFormat="1" applyFont="1" applyFill="1" applyBorder="1" applyAlignment="1">
      <alignment vertical="center"/>
    </xf>
    <xf numFmtId="169" fontId="0" fillId="4" borderId="10" xfId="0" applyNumberFormat="1" applyFill="1" applyBorder="1" applyAlignment="1">
      <alignment vertical="center"/>
    </xf>
    <xf numFmtId="169" fontId="0" fillId="4" borderId="25" xfId="0" applyNumberFormat="1" applyFill="1" applyBorder="1" applyAlignment="1">
      <alignment vertical="center"/>
    </xf>
    <xf numFmtId="168" fontId="4" fillId="0" borderId="0" xfId="0" applyNumberFormat="1" applyFont="1"/>
    <xf numFmtId="168" fontId="0" fillId="0" borderId="0" xfId="0" applyNumberFormat="1" applyAlignment="1">
      <alignment horizontal="center" vertical="center"/>
    </xf>
    <xf numFmtId="0" fontId="19" fillId="2" borderId="0" xfId="0" quotePrefix="1" applyFont="1" applyFill="1" applyAlignment="1">
      <alignment wrapText="1"/>
    </xf>
    <xf numFmtId="0" fontId="13" fillId="0" borderId="74" xfId="0" applyFont="1" applyFill="1" applyBorder="1" applyAlignment="1">
      <alignment horizontal="left" vertical="center"/>
    </xf>
    <xf numFmtId="1" fontId="26" fillId="0" borderId="75" xfId="3" applyNumberFormat="1" applyFont="1" applyFill="1" applyBorder="1" applyAlignment="1">
      <alignment horizontal="center" vertical="center"/>
    </xf>
    <xf numFmtId="0" fontId="13" fillId="0" borderId="56" xfId="0" applyFont="1" applyFill="1" applyBorder="1" applyAlignment="1">
      <alignment horizontal="left" vertical="center"/>
    </xf>
    <xf numFmtId="1" fontId="26" fillId="0" borderId="12" xfId="3" applyNumberFormat="1" applyFont="1" applyFill="1" applyBorder="1" applyAlignment="1">
      <alignment horizontal="center" vertical="center"/>
    </xf>
    <xf numFmtId="2" fontId="26" fillId="0" borderId="58" xfId="3" applyNumberFormat="1" applyFont="1" applyFill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9" fontId="4" fillId="0" borderId="79" xfId="0" applyNumberFormat="1" applyFont="1" applyFill="1" applyBorder="1" applyAlignment="1">
      <alignment horizontal="center" vertical="center"/>
    </xf>
    <xf numFmtId="1" fontId="4" fillId="25" borderId="79" xfId="0" applyNumberFormat="1" applyFont="1" applyFill="1" applyBorder="1" applyAlignment="1">
      <alignment horizontal="center" vertical="center"/>
    </xf>
    <xf numFmtId="2" fontId="4" fillId="25" borderId="80" xfId="0" applyNumberFormat="1" applyFont="1" applyFill="1" applyBorder="1" applyAlignment="1">
      <alignment horizontal="center" vertical="center"/>
    </xf>
    <xf numFmtId="0" fontId="0" fillId="2" borderId="0" xfId="0" quotePrefix="1" applyFill="1" applyAlignment="1">
      <alignment vertical="center"/>
    </xf>
    <xf numFmtId="0" fontId="4" fillId="25" borderId="15" xfId="0" applyFont="1" applyFill="1" applyBorder="1" applyAlignment="1">
      <alignment horizontal="center" vertical="center"/>
    </xf>
    <xf numFmtId="0" fontId="4" fillId="25" borderId="30" xfId="0" applyFont="1" applyFill="1" applyBorder="1" applyAlignment="1">
      <alignment horizontal="center" vertical="center"/>
    </xf>
    <xf numFmtId="9" fontId="0" fillId="25" borderId="25" xfId="0" applyNumberFormat="1" applyFill="1" applyBorder="1" applyAlignment="1">
      <alignment horizontal="center" vertical="center"/>
    </xf>
    <xf numFmtId="166" fontId="0" fillId="25" borderId="26" xfId="0" applyNumberFormat="1" applyFill="1" applyBorder="1" applyAlignment="1">
      <alignment horizontal="center" vertical="center"/>
    </xf>
    <xf numFmtId="0" fontId="13" fillId="0" borderId="74" xfId="0" applyFont="1" applyBorder="1" applyAlignment="1">
      <alignment horizontal="left" vertical="center"/>
    </xf>
    <xf numFmtId="9" fontId="0" fillId="0" borderId="75" xfId="1" applyFont="1" applyBorder="1" applyAlignment="1">
      <alignment horizontal="center" vertical="center"/>
    </xf>
    <xf numFmtId="1" fontId="26" fillId="0" borderId="75" xfId="1" applyNumberFormat="1" applyFont="1" applyFill="1" applyBorder="1" applyAlignment="1">
      <alignment horizontal="center" vertical="center"/>
    </xf>
    <xf numFmtId="0" fontId="13" fillId="0" borderId="56" xfId="0" applyFont="1" applyBorder="1" applyAlignment="1">
      <alignment horizontal="left" vertical="center"/>
    </xf>
    <xf numFmtId="9" fontId="1" fillId="0" borderId="12" xfId="1" applyFont="1" applyBorder="1" applyAlignment="1">
      <alignment horizontal="center" vertical="center"/>
    </xf>
    <xf numFmtId="1" fontId="26" fillId="0" borderId="12" xfId="1" applyNumberFormat="1" applyFont="1" applyFill="1" applyBorder="1" applyAlignment="1">
      <alignment horizontal="center" vertical="center"/>
    </xf>
    <xf numFmtId="2" fontId="26" fillId="25" borderId="58" xfId="2" applyNumberFormat="1" applyFont="1" applyFill="1" applyBorder="1" applyAlignment="1">
      <alignment horizontal="center" vertical="center"/>
    </xf>
    <xf numFmtId="9" fontId="4" fillId="0" borderId="79" xfId="0" applyNumberFormat="1" applyFont="1" applyBorder="1" applyAlignment="1">
      <alignment horizontal="center" vertical="center"/>
    </xf>
    <xf numFmtId="2" fontId="4" fillId="0" borderId="79" xfId="0" applyNumberFormat="1" applyFont="1" applyBorder="1" applyAlignment="1">
      <alignment horizontal="center" vertical="center"/>
    </xf>
    <xf numFmtId="9" fontId="0" fillId="0" borderId="25" xfId="0" applyNumberFormat="1" applyFill="1" applyBorder="1" applyAlignment="1">
      <alignment horizontal="center" vertical="center"/>
    </xf>
    <xf numFmtId="166" fontId="0" fillId="0" borderId="26" xfId="0" applyNumberFormat="1" applyFill="1" applyBorder="1" applyAlignment="1">
      <alignment horizontal="center" vertical="center"/>
    </xf>
    <xf numFmtId="0" fontId="84" fillId="0" borderId="27" xfId="0" applyFont="1" applyBorder="1" applyAlignment="1">
      <alignment horizontal="center" vertical="center"/>
    </xf>
    <xf numFmtId="0" fontId="84" fillId="0" borderId="10" xfId="0" applyFont="1" applyBorder="1" applyAlignment="1">
      <alignment horizontal="left" vertical="top"/>
    </xf>
    <xf numFmtId="0" fontId="84" fillId="0" borderId="28" xfId="0" applyFont="1" applyBorder="1"/>
    <xf numFmtId="17" fontId="9" fillId="0" borderId="28" xfId="0" applyNumberFormat="1" applyFont="1" applyBorder="1" applyAlignment="1">
      <alignment horizontal="left" vertical="top"/>
    </xf>
    <xf numFmtId="0" fontId="26" fillId="25" borderId="0" xfId="0" applyFont="1" applyFill="1"/>
    <xf numFmtId="1" fontId="79" fillId="25" borderId="81" xfId="35" applyNumberFormat="1" applyFont="1" applyFill="1" applyBorder="1" applyAlignment="1">
      <alignment horizontal="center" vertical="center"/>
    </xf>
    <xf numFmtId="1" fontId="79" fillId="27" borderId="81" xfId="35" applyNumberFormat="1" applyFont="1" applyFill="1" applyBorder="1" applyAlignment="1">
      <alignment horizontal="center" vertical="center"/>
    </xf>
    <xf numFmtId="2" fontId="26" fillId="25" borderId="76" xfId="3" applyNumberFormat="1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5" fillId="3" borderId="0" xfId="0" quotePrefix="1" applyFont="1" applyFill="1" applyAlignment="1">
      <alignment vertical="center"/>
    </xf>
    <xf numFmtId="0" fontId="86" fillId="0" borderId="10" xfId="0" applyFont="1" applyBorder="1" applyAlignment="1">
      <alignment horizontal="left" vertical="top"/>
    </xf>
    <xf numFmtId="9" fontId="3" fillId="0" borderId="15" xfId="0" applyNumberFormat="1" applyFont="1" applyFill="1" applyBorder="1" applyAlignment="1">
      <alignment horizontal="left" vertical="top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10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top" wrapText="1"/>
    </xf>
    <xf numFmtId="0" fontId="0" fillId="0" borderId="51" xfId="0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quotePrefix="1" applyFont="1" applyFill="1" applyAlignment="1">
      <alignment vertical="center"/>
    </xf>
    <xf numFmtId="2" fontId="26" fillId="0" borderId="76" xfId="2" applyNumberFormat="1" applyFont="1" applyFill="1" applyBorder="1" applyAlignment="1">
      <alignment horizontal="center" vertical="center"/>
    </xf>
    <xf numFmtId="2" fontId="26" fillId="0" borderId="58" xfId="2" applyNumberFormat="1" applyFont="1" applyFill="1" applyBorder="1" applyAlignment="1">
      <alignment horizontal="center" vertical="center"/>
    </xf>
    <xf numFmtId="168" fontId="26" fillId="0" borderId="0" xfId="0" applyNumberFormat="1" applyFont="1"/>
    <xf numFmtId="167" fontId="79" fillId="4" borderId="81" xfId="0" applyNumberFormat="1" applyFont="1" applyFill="1" applyBorder="1" applyAlignment="1">
      <alignment horizontal="center"/>
    </xf>
    <xf numFmtId="168" fontId="78" fillId="25" borderId="81" xfId="35" quotePrefix="1" applyNumberFormat="1" applyFont="1" applyFill="1" applyBorder="1" applyAlignment="1">
      <alignment horizontal="center" vertical="center"/>
    </xf>
    <xf numFmtId="16" fontId="79" fillId="25" borderId="81" xfId="0" applyNumberFormat="1" applyFont="1" applyFill="1" applyBorder="1" applyAlignment="1">
      <alignment horizontal="center" vertical="center"/>
    </xf>
    <xf numFmtId="0" fontId="79" fillId="25" borderId="81" xfId="0" applyFont="1" applyFill="1" applyBorder="1" applyAlignment="1">
      <alignment vertical="center"/>
    </xf>
    <xf numFmtId="170" fontId="79" fillId="25" borderId="81" xfId="0" applyNumberFormat="1" applyFont="1" applyFill="1" applyBorder="1" applyAlignment="1">
      <alignment horizontal="center" vertical="center"/>
    </xf>
    <xf numFmtId="1" fontId="79" fillId="25" borderId="81" xfId="0" applyNumberFormat="1" applyFont="1" applyFill="1" applyBorder="1" applyAlignment="1">
      <alignment horizontal="center" vertical="center"/>
    </xf>
    <xf numFmtId="0" fontId="79" fillId="25" borderId="81" xfId="0" applyNumberFormat="1" applyFont="1" applyFill="1" applyBorder="1" applyAlignment="1">
      <alignment horizontal="center" vertical="center"/>
    </xf>
    <xf numFmtId="0" fontId="78" fillId="25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center" vertical="center"/>
    </xf>
    <xf numFmtId="0" fontId="79" fillId="27" borderId="81" xfId="0" applyFont="1" applyFill="1" applyBorder="1" applyAlignment="1">
      <alignment vertical="center"/>
    </xf>
    <xf numFmtId="0" fontId="79" fillId="27" borderId="81" xfId="0" applyFont="1" applyFill="1" applyBorder="1" applyAlignment="1">
      <alignment horizontal="center" vertical="center"/>
    </xf>
    <xf numFmtId="170" fontId="79" fillId="27" borderId="81" xfId="0" applyNumberFormat="1" applyFont="1" applyFill="1" applyBorder="1" applyAlignment="1">
      <alignment horizontal="center" vertical="center"/>
    </xf>
    <xf numFmtId="16" fontId="79" fillId="27" borderId="81" xfId="0" applyNumberFormat="1" applyFont="1" applyFill="1" applyBorder="1" applyAlignment="1">
      <alignment horizontal="center" vertical="center"/>
    </xf>
    <xf numFmtId="1" fontId="79" fillId="27" borderId="81" xfId="0" applyNumberFormat="1" applyFont="1" applyFill="1" applyBorder="1" applyAlignment="1">
      <alignment horizontal="center" vertical="center"/>
    </xf>
    <xf numFmtId="0" fontId="79" fillId="27" borderId="81" xfId="0" applyNumberFormat="1" applyFont="1" applyFill="1" applyBorder="1" applyAlignment="1">
      <alignment horizontal="center" vertical="center"/>
    </xf>
    <xf numFmtId="0" fontId="78" fillId="28" borderId="85" xfId="0" applyFont="1" applyFill="1" applyBorder="1" applyAlignment="1">
      <alignment vertical="center"/>
    </xf>
    <xf numFmtId="0" fontId="78" fillId="28" borderId="86" xfId="0" applyFont="1" applyFill="1" applyBorder="1" applyAlignment="1">
      <alignment vertical="center"/>
    </xf>
    <xf numFmtId="1" fontId="78" fillId="28" borderId="81" xfId="0" applyNumberFormat="1" applyFont="1" applyFill="1" applyBorder="1" applyAlignment="1">
      <alignment horizontal="center" vertical="center"/>
    </xf>
    <xf numFmtId="0" fontId="0" fillId="0" borderId="54" xfId="0" applyBorder="1" applyAlignment="1">
      <alignment vertical="center" wrapText="1"/>
    </xf>
    <xf numFmtId="0" fontId="0" fillId="25" borderId="44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54" xfId="0" applyBorder="1" applyAlignment="1">
      <alignment vertical="top" wrapText="1"/>
    </xf>
    <xf numFmtId="0" fontId="79" fillId="25" borderId="82" xfId="0" applyFont="1" applyFill="1" applyBorder="1" applyAlignment="1">
      <alignment vertical="center"/>
    </xf>
    <xf numFmtId="0" fontId="79" fillId="27" borderId="82" xfId="0" applyFont="1" applyFill="1" applyBorder="1" applyAlignment="1">
      <alignment vertical="center"/>
    </xf>
    <xf numFmtId="9" fontId="77" fillId="29" borderId="15" xfId="0" applyNumberFormat="1" applyFont="1" applyFill="1" applyBorder="1" applyAlignment="1">
      <alignment horizontal="center" vertical="center" wrapText="1"/>
    </xf>
    <xf numFmtId="0" fontId="77" fillId="29" borderId="17" xfId="0" applyNumberFormat="1" applyFont="1" applyFill="1" applyBorder="1" applyAlignment="1">
      <alignment horizontal="center" vertical="center"/>
    </xf>
    <xf numFmtId="9" fontId="77" fillId="29" borderId="15" xfId="0" applyNumberFormat="1" applyFont="1" applyFill="1" applyBorder="1" applyAlignment="1">
      <alignment horizontal="center" vertical="center"/>
    </xf>
    <xf numFmtId="0" fontId="77" fillId="29" borderId="15" xfId="0" applyNumberFormat="1" applyFont="1" applyFill="1" applyBorder="1" applyAlignment="1">
      <alignment horizontal="center" vertical="center"/>
    </xf>
    <xf numFmtId="0" fontId="77" fillId="29" borderId="17" xfId="0" applyFont="1" applyFill="1" applyBorder="1"/>
    <xf numFmtId="0" fontId="77" fillId="29" borderId="10" xfId="0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 wrapText="1"/>
    </xf>
    <xf numFmtId="0" fontId="77" fillId="29" borderId="16" xfId="0" applyNumberFormat="1" applyFont="1" applyFill="1" applyBorder="1" applyAlignment="1"/>
    <xf numFmtId="0" fontId="77" fillId="29" borderId="16" xfId="0" applyFont="1" applyFill="1" applyBorder="1"/>
    <xf numFmtId="0" fontId="77" fillId="29" borderId="1" xfId="0" applyFont="1" applyFill="1" applyBorder="1"/>
    <xf numFmtId="0" fontId="77" fillId="29" borderId="17" xfId="0" applyFont="1" applyFill="1" applyBorder="1" applyAlignment="1">
      <alignment horizontal="center"/>
    </xf>
    <xf numFmtId="9" fontId="77" fillId="29" borderId="4" xfId="0" applyNumberFormat="1" applyFont="1" applyFill="1" applyBorder="1" applyAlignment="1">
      <alignment horizontal="center"/>
    </xf>
    <xf numFmtId="168" fontId="78" fillId="29" borderId="16" xfId="0" applyNumberFormat="1" applyFont="1" applyFill="1" applyBorder="1" applyAlignment="1">
      <alignment horizontal="center" vertical="center" wrapText="1"/>
    </xf>
    <xf numFmtId="168" fontId="77" fillId="29" borderId="10" xfId="0" applyNumberFormat="1" applyFont="1" applyFill="1" applyBorder="1" applyAlignment="1">
      <alignment horizontal="center" vertical="center"/>
    </xf>
    <xf numFmtId="0" fontId="26" fillId="0" borderId="44" xfId="0" applyFont="1" applyBorder="1" applyAlignment="1">
      <alignment vertical="top" wrapText="1"/>
    </xf>
    <xf numFmtId="0" fontId="26" fillId="0" borderId="54" xfId="0" applyFont="1" applyBorder="1" applyAlignment="1">
      <alignment vertical="top" wrapText="1"/>
    </xf>
    <xf numFmtId="0" fontId="23" fillId="0" borderId="54" xfId="0" applyFont="1" applyFill="1" applyBorder="1" applyAlignment="1">
      <alignment vertical="top" wrapText="1"/>
    </xf>
    <xf numFmtId="0" fontId="84" fillId="0" borderId="10" xfId="0" applyFont="1" applyBorder="1" applyAlignment="1">
      <alignment horizontal="left" vertical="top" wrapText="1"/>
    </xf>
    <xf numFmtId="0" fontId="26" fillId="0" borderId="44" xfId="0" applyFont="1" applyFill="1" applyBorder="1" applyAlignment="1">
      <alignment vertical="top" wrapText="1"/>
    </xf>
    <xf numFmtId="0" fontId="23" fillId="0" borderId="54" xfId="0" applyFont="1" applyBorder="1" applyAlignment="1">
      <alignment vertical="top" wrapText="1"/>
    </xf>
    <xf numFmtId="0" fontId="0" fillId="0" borderId="54" xfId="0" applyBorder="1" applyAlignment="1"/>
    <xf numFmtId="0" fontId="26" fillId="25" borderId="44" xfId="0" applyFont="1" applyFill="1" applyBorder="1" applyAlignment="1">
      <alignment vertical="top" wrapText="1"/>
    </xf>
    <xf numFmtId="0" fontId="26" fillId="25" borderId="54" xfId="0" applyFont="1" applyFill="1" applyBorder="1" applyAlignment="1">
      <alignment vertical="top" wrapText="1"/>
    </xf>
    <xf numFmtId="0" fontId="0" fillId="0" borderId="44" xfId="0" applyFill="1" applyBorder="1" applyAlignment="1">
      <alignment vertical="top" wrapText="1"/>
    </xf>
    <xf numFmtId="0" fontId="0" fillId="0" borderId="54" xfId="0" applyFill="1" applyBorder="1" applyAlignment="1">
      <alignment vertical="top" wrapText="1"/>
    </xf>
    <xf numFmtId="0" fontId="87" fillId="27" borderId="82" xfId="0" applyFont="1" applyFill="1" applyBorder="1" applyAlignment="1">
      <alignment vertical="center"/>
    </xf>
    <xf numFmtId="0" fontId="88" fillId="25" borderId="81" xfId="0" applyFont="1" applyFill="1" applyBorder="1" applyAlignment="1">
      <alignment vertical="center"/>
    </xf>
    <xf numFmtId="0" fontId="87" fillId="27" borderId="81" xfId="0" applyFont="1" applyFill="1" applyBorder="1" applyAlignment="1">
      <alignment vertical="center"/>
    </xf>
    <xf numFmtId="0" fontId="79" fillId="25" borderId="81" xfId="0" applyFont="1" applyFill="1" applyBorder="1" applyAlignment="1">
      <alignment horizontal="left" vertical="center"/>
    </xf>
    <xf numFmtId="0" fontId="78" fillId="30" borderId="85" xfId="0" applyFont="1" applyFill="1" applyBorder="1" applyAlignment="1">
      <alignment horizontal="center" vertical="center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167" fontId="77" fillId="29" borderId="16" xfId="0" applyNumberFormat="1" applyFont="1" applyFill="1" applyBorder="1" applyAlignment="1">
      <alignment horizontal="center" vertical="center" wrapText="1"/>
    </xf>
    <xf numFmtId="9" fontId="77" fillId="29" borderId="6" xfId="0" applyNumberFormat="1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vertical="center" wrapText="1"/>
    </xf>
    <xf numFmtId="167" fontId="77" fillId="29" borderId="15" xfId="0" applyNumberFormat="1" applyFont="1" applyFill="1" applyBorder="1" applyAlignment="1">
      <alignment vertical="center" wrapText="1"/>
    </xf>
    <xf numFmtId="0" fontId="0" fillId="29" borderId="4" xfId="0" applyFill="1" applyBorder="1" applyAlignment="1">
      <alignment vertical="center"/>
    </xf>
    <xf numFmtId="0" fontId="0" fillId="29" borderId="6" xfId="0" applyFill="1" applyBorder="1" applyAlignment="1">
      <alignment vertical="center"/>
    </xf>
    <xf numFmtId="0" fontId="0" fillId="29" borderId="0" xfId="0" applyFill="1"/>
    <xf numFmtId="0" fontId="4" fillId="25" borderId="8" xfId="0" applyFont="1" applyFill="1" applyBorder="1" applyAlignment="1">
      <alignment vertical="center"/>
    </xf>
    <xf numFmtId="0" fontId="4" fillId="25" borderId="9" xfId="0" applyFont="1" applyFill="1" applyBorder="1" applyAlignment="1">
      <alignment vertical="center"/>
    </xf>
    <xf numFmtId="0" fontId="81" fillId="29" borderId="10" xfId="0" applyFont="1" applyFill="1" applyBorder="1" applyAlignment="1">
      <alignment horizontal="center"/>
    </xf>
    <xf numFmtId="0" fontId="79" fillId="27" borderId="82" xfId="0" applyFont="1" applyFill="1" applyBorder="1" applyAlignment="1">
      <alignment horizontal="left" vertical="center"/>
    </xf>
    <xf numFmtId="0" fontId="79" fillId="27" borderId="81" xfId="0" applyFont="1" applyFill="1" applyBorder="1" applyAlignment="1">
      <alignment horizontal="left" vertical="center"/>
    </xf>
    <xf numFmtId="0" fontId="79" fillId="28" borderId="8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79" fillId="25" borderId="81" xfId="0" applyFont="1" applyFill="1" applyBorder="1" applyAlignment="1">
      <alignment horizontal="left" vertical="center" wrapText="1"/>
    </xf>
    <xf numFmtId="16" fontId="79" fillId="25" borderId="81" xfId="0" applyNumberFormat="1" applyFont="1" applyFill="1" applyBorder="1" applyAlignment="1">
      <alignment horizontal="left" vertical="center"/>
    </xf>
    <xf numFmtId="0" fontId="86" fillId="0" borderId="54" xfId="0" applyFont="1" applyBorder="1" applyAlignment="1">
      <alignment vertical="top" wrapText="1"/>
    </xf>
    <xf numFmtId="0" fontId="3" fillId="0" borderId="15" xfId="0" applyFont="1" applyFill="1" applyBorder="1" applyAlignment="1">
      <alignment horizontal="left" vertical="top"/>
    </xf>
    <xf numFmtId="0" fontId="84" fillId="0" borderId="10" xfId="0" applyFont="1" applyFill="1" applyBorder="1" applyAlignment="1">
      <alignment horizontal="left" vertical="top"/>
    </xf>
    <xf numFmtId="0" fontId="3" fillId="0" borderId="25" xfId="0" applyFont="1" applyFill="1" applyBorder="1" applyAlignment="1">
      <alignment horizontal="left" vertical="top"/>
    </xf>
    <xf numFmtId="0" fontId="0" fillId="0" borderId="44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26" fillId="0" borderId="54" xfId="0" applyFont="1" applyFill="1" applyBorder="1" applyAlignment="1">
      <alignment vertical="top" wrapText="1"/>
    </xf>
    <xf numFmtId="167" fontId="78" fillId="28" borderId="81" xfId="0" applyNumberFormat="1" applyFont="1" applyFill="1" applyBorder="1" applyAlignment="1">
      <alignment horizontal="center" vertical="center"/>
    </xf>
    <xf numFmtId="0" fontId="26" fillId="0" borderId="15" xfId="0" applyFont="1" applyBorder="1" applyAlignment="1">
      <alignment horizontal="left" vertical="top"/>
    </xf>
    <xf numFmtId="168" fontId="79" fillId="25" borderId="82" xfId="0" applyNumberFormat="1" applyFont="1" applyFill="1" applyBorder="1" applyAlignment="1">
      <alignment horizontal="center"/>
    </xf>
    <xf numFmtId="167" fontId="79" fillId="27" borderId="81" xfId="0" applyNumberFormat="1" applyFont="1" applyFill="1" applyBorder="1" applyAlignment="1">
      <alignment horizontal="center"/>
    </xf>
    <xf numFmtId="168" fontId="79" fillId="27" borderId="81" xfId="0" applyNumberFormat="1" applyFont="1" applyFill="1" applyBorder="1" applyAlignment="1">
      <alignment horizontal="center"/>
    </xf>
    <xf numFmtId="167" fontId="83" fillId="27" borderId="81" xfId="0" applyNumberFormat="1" applyFont="1" applyFill="1" applyBorder="1" applyAlignment="1">
      <alignment horizontal="center"/>
    </xf>
    <xf numFmtId="168" fontId="83" fillId="27" borderId="81" xfId="0" applyNumberFormat="1" applyFont="1" applyFill="1" applyBorder="1" applyAlignment="1">
      <alignment horizontal="center"/>
    </xf>
    <xf numFmtId="168" fontId="83" fillId="27" borderId="82" xfId="0" applyNumberFormat="1" applyFont="1" applyFill="1" applyBorder="1" applyAlignment="1">
      <alignment horizontal="center"/>
    </xf>
    <xf numFmtId="0" fontId="83" fillId="25" borderId="81" xfId="0" applyFont="1" applyFill="1" applyBorder="1" applyAlignment="1">
      <alignment horizontal="left" vertical="center"/>
    </xf>
    <xf numFmtId="170" fontId="83" fillId="25" borderId="81" xfId="0" applyNumberFormat="1" applyFont="1" applyFill="1" applyBorder="1" applyAlignment="1">
      <alignment horizontal="center" vertical="center"/>
    </xf>
    <xf numFmtId="0" fontId="89" fillId="25" borderId="81" xfId="0" applyFont="1" applyFill="1" applyBorder="1" applyAlignment="1">
      <alignment vertical="center"/>
    </xf>
    <xf numFmtId="1" fontId="83" fillId="25" borderId="81" xfId="35" applyNumberFormat="1" applyFont="1" applyFill="1" applyBorder="1" applyAlignment="1">
      <alignment horizontal="center" vertical="center"/>
    </xf>
    <xf numFmtId="16" fontId="83" fillId="25" borderId="81" xfId="0" applyNumberFormat="1" applyFont="1" applyFill="1" applyBorder="1" applyAlignment="1">
      <alignment horizontal="center" vertical="center"/>
    </xf>
    <xf numFmtId="1" fontId="83" fillId="25" borderId="81" xfId="0" applyNumberFormat="1" applyFont="1" applyFill="1" applyBorder="1" applyAlignment="1">
      <alignment horizontal="center" vertical="center"/>
    </xf>
    <xf numFmtId="0" fontId="83" fillId="25" borderId="81" xfId="0" applyNumberFormat="1" applyFont="1" applyFill="1" applyBorder="1" applyAlignment="1">
      <alignment horizontal="center" vertical="center"/>
    </xf>
    <xf numFmtId="0" fontId="79" fillId="25" borderId="85" xfId="0" applyFont="1" applyFill="1" applyBorder="1" applyAlignment="1">
      <alignment horizontal="center" vertical="center"/>
    </xf>
    <xf numFmtId="0" fontId="88" fillId="25" borderId="85" xfId="0" applyFont="1" applyFill="1" applyBorder="1" applyAlignment="1">
      <alignment vertical="center"/>
    </xf>
    <xf numFmtId="0" fontId="90" fillId="0" borderId="44" xfId="0" applyFont="1" applyBorder="1" applyAlignment="1">
      <alignment vertical="top" wrapText="1"/>
    </xf>
    <xf numFmtId="0" fontId="23" fillId="0" borderId="44" xfId="0" applyFont="1" applyBorder="1" applyAlignment="1">
      <alignment vertical="top" wrapText="1"/>
    </xf>
    <xf numFmtId="9" fontId="77" fillId="29" borderId="10" xfId="0" applyNumberFormat="1" applyFont="1" applyFill="1" applyBorder="1" applyAlignment="1">
      <alignment horizontal="center" vertical="center" wrapText="1"/>
    </xf>
    <xf numFmtId="0" fontId="77" fillId="29" borderId="10" xfId="0" applyFont="1" applyFill="1" applyBorder="1" applyAlignment="1">
      <alignment vertical="center" wrapText="1"/>
    </xf>
    <xf numFmtId="0" fontId="23" fillId="0" borderId="44" xfId="0" applyFont="1" applyBorder="1" applyAlignment="1">
      <alignment vertical="center" wrapText="1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0" fillId="0" borderId="10" xfId="0" applyBorder="1" applyAlignment="1">
      <alignment horizontal="center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0" xfId="0" applyBorder="1" applyAlignment="1">
      <alignment horizontal="center" wrapText="1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vertical="top" wrapText="1"/>
    </xf>
    <xf numFmtId="0" fontId="20" fillId="0" borderId="0" xfId="0" applyFont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Fill="1" applyBorder="1" applyAlignment="1">
      <alignment vertical="top" wrapText="1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4" fillId="5" borderId="67" xfId="0" applyFont="1" applyFill="1" applyBorder="1" applyAlignment="1">
      <alignment horizontal="center" vertical="center"/>
    </xf>
    <xf numFmtId="0" fontId="24" fillId="5" borderId="68" xfId="0" applyFont="1" applyFill="1" applyBorder="1" applyAlignment="1">
      <alignment horizontal="center" vertical="center"/>
    </xf>
    <xf numFmtId="0" fontId="24" fillId="5" borderId="69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4" xfId="0" applyBorder="1" applyAlignment="1">
      <alignment horizontal="left" vertical="center" wrapText="1"/>
    </xf>
    <xf numFmtId="0" fontId="0" fillId="0" borderId="53" xfId="0" applyBorder="1" applyAlignment="1">
      <alignment horizontal="left" vertical="center" wrapText="1"/>
    </xf>
    <xf numFmtId="0" fontId="0" fillId="0" borderId="54" xfId="0" applyBorder="1" applyAlignment="1">
      <alignment horizontal="left" vertical="center" wrapText="1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9" fontId="24" fillId="5" borderId="64" xfId="0" applyNumberFormat="1" applyFont="1" applyFill="1" applyBorder="1" applyAlignment="1">
      <alignment horizontal="center" vertical="center"/>
    </xf>
    <xf numFmtId="9" fontId="24" fillId="5" borderId="65" xfId="0" applyNumberFormat="1" applyFont="1" applyFill="1" applyBorder="1" applyAlignment="1">
      <alignment horizontal="center" vertical="center"/>
    </xf>
    <xf numFmtId="9" fontId="24" fillId="5" borderId="66" xfId="0" applyNumberFormat="1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4" xfId="0" applyBorder="1" applyAlignment="1">
      <alignment vertical="top" wrapText="1"/>
    </xf>
    <xf numFmtId="0" fontId="0" fillId="0" borderId="53" xfId="0" applyBorder="1" applyAlignment="1">
      <alignment vertical="top" wrapText="1"/>
    </xf>
    <xf numFmtId="0" fontId="0" fillId="0" borderId="54" xfId="0" applyBorder="1" applyAlignment="1">
      <alignment vertical="top" wrapText="1"/>
    </xf>
    <xf numFmtId="0" fontId="26" fillId="0" borderId="29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0" fontId="26" fillId="0" borderId="44" xfId="0" applyFont="1" applyBorder="1" applyAlignment="1">
      <alignment horizontal="left" vertical="top" wrapText="1"/>
    </xf>
    <xf numFmtId="0" fontId="26" fillId="0" borderId="54" xfId="0" applyFont="1" applyBorder="1" applyAlignment="1">
      <alignment horizontal="left" vertical="top" wrapText="1"/>
    </xf>
    <xf numFmtId="0" fontId="23" fillId="0" borderId="29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0" fillId="25" borderId="44" xfId="0" applyFill="1" applyBorder="1" applyAlignment="1">
      <alignment vertical="center" wrapText="1"/>
    </xf>
    <xf numFmtId="0" fontId="0" fillId="25" borderId="53" xfId="0" applyFill="1" applyBorder="1" applyAlignment="1">
      <alignment vertical="center" wrapText="1"/>
    </xf>
    <xf numFmtId="0" fontId="0" fillId="25" borderId="54" xfId="0" applyFill="1" applyBorder="1" applyAlignment="1">
      <alignment vertical="center" wrapText="1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3" fillId="4" borderId="43" xfId="0" applyFont="1" applyFill="1" applyBorder="1" applyAlignment="1">
      <alignment horizontal="center" vertical="center"/>
    </xf>
    <xf numFmtId="0" fontId="0" fillId="25" borderId="44" xfId="0" applyFill="1" applyBorder="1" applyAlignment="1">
      <alignment horizontal="left" vertical="center" wrapText="1"/>
    </xf>
    <xf numFmtId="0" fontId="0" fillId="25" borderId="53" xfId="0" applyFill="1" applyBorder="1" applyAlignment="1">
      <alignment horizontal="left" vertical="center" wrapText="1"/>
    </xf>
    <xf numFmtId="0" fontId="0" fillId="25" borderId="54" xfId="0" applyFill="1" applyBorder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0" fillId="0" borderId="5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9" fontId="24" fillId="5" borderId="25" xfId="0" applyNumberFormat="1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6" fillId="0" borderId="59" xfId="0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0" fontId="0" fillId="0" borderId="44" xfId="0" applyBorder="1" applyAlignment="1">
      <alignment vertical="center" wrapText="1"/>
    </xf>
    <xf numFmtId="0" fontId="0" fillId="0" borderId="53" xfId="0" applyBorder="1" applyAlignment="1">
      <alignment vertical="center" wrapText="1"/>
    </xf>
    <xf numFmtId="0" fontId="0" fillId="0" borderId="54" xfId="0" applyBorder="1" applyAlignment="1">
      <alignment vertical="center" wrapText="1"/>
    </xf>
    <xf numFmtId="0" fontId="26" fillId="25" borderId="44" xfId="0" applyFont="1" applyFill="1" applyBorder="1" applyAlignment="1">
      <alignment horizontal="left" vertical="center" wrapText="1"/>
    </xf>
    <xf numFmtId="0" fontId="26" fillId="25" borderId="54" xfId="0" applyFont="1" applyFill="1" applyBorder="1" applyAlignment="1">
      <alignment horizontal="left" vertical="center" wrapText="1"/>
    </xf>
    <xf numFmtId="0" fontId="26" fillId="0" borderId="44" xfId="0" applyFont="1" applyBorder="1" applyAlignment="1">
      <alignment horizontal="left" vertical="center" wrapText="1"/>
    </xf>
    <xf numFmtId="0" fontId="26" fillId="0" borderId="53" xfId="0" applyFont="1" applyBorder="1" applyAlignment="1">
      <alignment horizontal="left" vertical="center" wrapText="1"/>
    </xf>
    <xf numFmtId="0" fontId="26" fillId="0" borderId="54" xfId="0" applyFont="1" applyBorder="1" applyAlignment="1">
      <alignment horizontal="left" vertical="center" wrapText="1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0" fontId="0" fillId="0" borderId="44" xfId="0" applyFill="1" applyBorder="1" applyAlignment="1">
      <alignment horizontal="left" vertical="center" wrapText="1"/>
    </xf>
    <xf numFmtId="0" fontId="0" fillId="0" borderId="54" xfId="0" applyFill="1" applyBorder="1" applyAlignment="1">
      <alignment horizontal="left" vertical="center" wrapText="1"/>
    </xf>
    <xf numFmtId="0" fontId="0" fillId="0" borderId="44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90" fillId="0" borderId="29" xfId="0" applyFont="1" applyBorder="1" applyAlignment="1">
      <alignment horizontal="center" vertical="center"/>
    </xf>
    <xf numFmtId="0" fontId="90" fillId="0" borderId="27" xfId="0" applyFont="1" applyBorder="1" applyAlignment="1">
      <alignment horizontal="center" vertical="center"/>
    </xf>
    <xf numFmtId="0" fontId="90" fillId="0" borderId="24" xfId="0" applyFont="1" applyBorder="1" applyAlignment="1">
      <alignment horizontal="center" vertical="center"/>
    </xf>
    <xf numFmtId="0" fontId="90" fillId="0" borderId="43" xfId="0" applyFont="1" applyBorder="1" applyAlignment="1">
      <alignment horizontal="center" vertical="center"/>
    </xf>
    <xf numFmtId="0" fontId="90" fillId="0" borderId="36" xfId="0" applyFont="1" applyBorder="1" applyAlignment="1">
      <alignment horizontal="center" vertical="center"/>
    </xf>
    <xf numFmtId="0" fontId="90" fillId="0" borderId="3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17" fontId="70" fillId="0" borderId="10" xfId="0" applyNumberFormat="1" applyFont="1" applyBorder="1" applyAlignment="1">
      <alignment horizontal="left" vertical="center"/>
    </xf>
    <xf numFmtId="0" fontId="70" fillId="0" borderId="10" xfId="0" applyFont="1" applyBorder="1" applyAlignment="1">
      <alignment horizontal="left" vertical="center"/>
    </xf>
    <xf numFmtId="0" fontId="70" fillId="0" borderId="28" xfId="0" applyFont="1" applyBorder="1" applyAlignment="1">
      <alignment horizontal="left" vertical="center"/>
    </xf>
    <xf numFmtId="17" fontId="70" fillId="0" borderId="25" xfId="0" applyNumberFormat="1" applyFont="1" applyBorder="1" applyAlignment="1">
      <alignment horizontal="left" vertical="center"/>
    </xf>
    <xf numFmtId="17" fontId="70" fillId="0" borderId="26" xfId="0" applyNumberFormat="1" applyFont="1" applyBorder="1" applyAlignment="1">
      <alignment horizontal="left" vertical="center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69" fillId="0" borderId="7" xfId="0" applyNumberFormat="1" applyFont="1" applyBorder="1" applyAlignment="1">
      <alignment horizontal="left" vertical="center"/>
    </xf>
    <xf numFmtId="17" fontId="69" fillId="0" borderId="8" xfId="0" applyNumberFormat="1" applyFont="1" applyBorder="1" applyAlignment="1">
      <alignment horizontal="left" vertical="center"/>
    </xf>
    <xf numFmtId="17" fontId="69" fillId="0" borderId="83" xfId="0" applyNumberFormat="1" applyFont="1" applyBorder="1" applyAlignment="1">
      <alignment horizontal="left" vertical="center"/>
    </xf>
    <xf numFmtId="0" fontId="25" fillId="0" borderId="55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0" xfId="0" applyFont="1" applyFill="1" applyBorder="1" applyAlignment="1">
      <alignment horizontal="center" vertical="center" wrapText="1"/>
    </xf>
    <xf numFmtId="0" fontId="5" fillId="7" borderId="57" xfId="0" applyFont="1" applyFill="1" applyBorder="1" applyAlignment="1">
      <alignment horizontal="center" vertical="center" wrapText="1"/>
    </xf>
    <xf numFmtId="0" fontId="5" fillId="7" borderId="61" xfId="0" applyFont="1" applyFill="1" applyBorder="1" applyAlignment="1">
      <alignment horizontal="center" vertical="center" wrapText="1"/>
    </xf>
    <xf numFmtId="0" fontId="4" fillId="0" borderId="84" xfId="0" quotePrefix="1" applyFont="1" applyBorder="1" applyAlignment="1">
      <alignment horizontal="center" vertical="center"/>
    </xf>
    <xf numFmtId="0" fontId="4" fillId="0" borderId="69" xfId="0" quotePrefix="1" applyFont="1" applyBorder="1" applyAlignment="1">
      <alignment horizontal="center" vertical="center"/>
    </xf>
    <xf numFmtId="9" fontId="77" fillId="29" borderId="7" xfId="0" applyNumberFormat="1" applyFont="1" applyFill="1" applyBorder="1" applyAlignment="1">
      <alignment horizontal="center" vertical="center"/>
    </xf>
    <xf numFmtId="9" fontId="77" fillId="29" borderId="8" xfId="0" applyNumberFormat="1" applyFont="1" applyFill="1" applyBorder="1" applyAlignment="1">
      <alignment horizontal="center" vertical="center"/>
    </xf>
    <xf numFmtId="9" fontId="77" fillId="29" borderId="9" xfId="0" applyNumberFormat="1" applyFont="1" applyFill="1" applyBorder="1" applyAlignment="1">
      <alignment horizontal="center" vertical="center"/>
    </xf>
    <xf numFmtId="0" fontId="4" fillId="26" borderId="7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vertical="center"/>
    </xf>
    <xf numFmtId="0" fontId="4" fillId="26" borderId="9" xfId="0" applyFont="1" applyFill="1" applyBorder="1" applyAlignment="1">
      <alignment horizontal="center" vertical="center"/>
    </xf>
    <xf numFmtId="0" fontId="77" fillId="29" borderId="1" xfId="0" applyFont="1" applyFill="1" applyBorder="1" applyAlignment="1">
      <alignment horizontal="center" vertical="center" wrapText="1"/>
    </xf>
    <xf numFmtId="0" fontId="77" fillId="29" borderId="2" xfId="0" applyFont="1" applyFill="1" applyBorder="1" applyAlignment="1">
      <alignment horizontal="center" vertical="center" wrapText="1"/>
    </xf>
    <xf numFmtId="0" fontId="77" fillId="29" borderId="3" xfId="0" applyFont="1" applyFill="1" applyBorder="1" applyAlignment="1">
      <alignment horizontal="center" vertical="center" wrapText="1"/>
    </xf>
    <xf numFmtId="0" fontId="77" fillId="29" borderId="4" xfId="0" applyFont="1" applyFill="1" applyBorder="1" applyAlignment="1">
      <alignment horizontal="center" vertical="center" wrapText="1"/>
    </xf>
    <xf numFmtId="0" fontId="77" fillId="29" borderId="5" xfId="0" applyFont="1" applyFill="1" applyBorder="1" applyAlignment="1">
      <alignment horizontal="center" vertical="center" wrapText="1"/>
    </xf>
    <xf numFmtId="0" fontId="77" fillId="29" borderId="6" xfId="0" applyFont="1" applyFill="1" applyBorder="1" applyAlignment="1">
      <alignment horizontal="center" vertical="center" wrapText="1"/>
    </xf>
    <xf numFmtId="0" fontId="77" fillId="29" borderId="16" xfId="0" applyFont="1" applyFill="1" applyBorder="1" applyAlignment="1">
      <alignment horizontal="center" vertical="center" wrapText="1"/>
    </xf>
    <xf numFmtId="0" fontId="77" fillId="29" borderId="17" xfId="0" applyFont="1" applyFill="1" applyBorder="1" applyAlignment="1">
      <alignment horizontal="center" vertical="center" wrapText="1"/>
    </xf>
    <xf numFmtId="0" fontId="77" fillId="29" borderId="15" xfId="0" applyFont="1" applyFill="1" applyBorder="1" applyAlignment="1">
      <alignment horizontal="center" vertical="center" wrapText="1"/>
    </xf>
    <xf numFmtId="0" fontId="77" fillId="29" borderId="7" xfId="0" applyFont="1" applyFill="1" applyBorder="1" applyAlignment="1">
      <alignment horizontal="center" vertical="center" wrapText="1"/>
    </xf>
    <xf numFmtId="0" fontId="77" fillId="29" borderId="8" xfId="0" applyFont="1" applyFill="1" applyBorder="1" applyAlignment="1">
      <alignment horizontal="center" vertical="center" wrapText="1"/>
    </xf>
    <xf numFmtId="0" fontId="77" fillId="29" borderId="9" xfId="0" applyFont="1" applyFill="1" applyBorder="1" applyAlignment="1">
      <alignment horizontal="center" vertical="center" wrapText="1"/>
    </xf>
    <xf numFmtId="9" fontId="77" fillId="29" borderId="4" xfId="0" applyNumberFormat="1" applyFont="1" applyFill="1" applyBorder="1" applyAlignment="1">
      <alignment horizontal="center" vertical="center"/>
    </xf>
    <xf numFmtId="9" fontId="77" fillId="29" borderId="6" xfId="0" applyNumberFormat="1" applyFont="1" applyFill="1" applyBorder="1" applyAlignment="1">
      <alignment horizontal="center" vertical="center"/>
    </xf>
    <xf numFmtId="0" fontId="81" fillId="29" borderId="7" xfId="0" applyFont="1" applyFill="1" applyBorder="1" applyAlignment="1">
      <alignment horizontal="center"/>
    </xf>
    <xf numFmtId="0" fontId="81" fillId="29" borderId="8" xfId="0" applyFont="1" applyFill="1" applyBorder="1" applyAlignment="1">
      <alignment horizontal="center"/>
    </xf>
    <xf numFmtId="0" fontId="81" fillId="29" borderId="9" xfId="0" applyFont="1" applyFill="1" applyBorder="1" applyAlignment="1">
      <alignment horizontal="center"/>
    </xf>
    <xf numFmtId="0" fontId="77" fillId="29" borderId="10" xfId="0" applyFont="1" applyFill="1" applyBorder="1" applyAlignment="1">
      <alignment horizontal="center" vertical="center" wrapText="1"/>
    </xf>
    <xf numFmtId="0" fontId="77" fillId="29" borderId="19" xfId="0" applyFont="1" applyFill="1" applyBorder="1" applyAlignment="1">
      <alignment horizontal="center" vertical="center" wrapText="1"/>
    </xf>
    <xf numFmtId="0" fontId="24" fillId="26" borderId="10" xfId="0" applyFont="1" applyFill="1" applyBorder="1" applyAlignment="1">
      <alignment horizontal="center" vertical="center"/>
    </xf>
    <xf numFmtId="0" fontId="77" fillId="29" borderId="16" xfId="0" applyFont="1" applyFill="1" applyBorder="1" applyAlignment="1">
      <alignment horizontal="center" vertical="center"/>
    </xf>
    <xf numFmtId="0" fontId="77" fillId="29" borderId="17" xfId="0" applyFont="1" applyFill="1" applyBorder="1" applyAlignment="1">
      <alignment horizontal="center" vertical="center"/>
    </xf>
    <xf numFmtId="0" fontId="77" fillId="29" borderId="15" xfId="0" applyFont="1" applyFill="1" applyBorder="1" applyAlignment="1">
      <alignment horizontal="center" vertical="center"/>
    </xf>
  </cellXfs>
  <cellStyles count="1891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Comma" xfId="3" builtinId="3"/>
    <cellStyle name="Comma [0] 10" xfId="19"/>
    <cellStyle name="Comma [0] 11" xfId="20"/>
    <cellStyle name="Comma [0] 2" xfId="21"/>
    <cellStyle name="Comma [0] 2 2" xfId="22"/>
    <cellStyle name="Comma [0] 2 2 2" xfId="23"/>
    <cellStyle name="Comma [0] 2 2 2 2" xfId="24"/>
    <cellStyle name="Comma [0] 2 3" xfId="25"/>
    <cellStyle name="Comma [0] 2 4" xfId="26"/>
    <cellStyle name="Comma [0] 3" xfId="27"/>
    <cellStyle name="Comma [0] 3 2" xfId="28"/>
    <cellStyle name="Comma [0] 4" xfId="29"/>
    <cellStyle name="Comma [0] 5" xfId="30"/>
    <cellStyle name="Comma [0] 6" xfId="31"/>
    <cellStyle name="Comma [0] 7" xfId="32"/>
    <cellStyle name="Comma [0] 8" xfId="33"/>
    <cellStyle name="Comma [0] 9" xfId="34"/>
    <cellStyle name="Comma 10" xfId="35"/>
    <cellStyle name="Comma 10 2" xfId="6"/>
    <cellStyle name="Comma 101 2" xfId="36"/>
    <cellStyle name="Comma 101 3" xfId="37"/>
    <cellStyle name="Comma 101 4" xfId="38"/>
    <cellStyle name="Comma 101 5" xfId="39"/>
    <cellStyle name="Comma 101 6" xfId="40"/>
    <cellStyle name="Comma 102 2" xfId="41"/>
    <cellStyle name="Comma 102 3" xfId="42"/>
    <cellStyle name="Comma 102 4" xfId="43"/>
    <cellStyle name="Comma 102 5" xfId="44"/>
    <cellStyle name="Comma 102 6" xfId="45"/>
    <cellStyle name="Comma 103 2" xfId="46"/>
    <cellStyle name="Comma 103 3" xfId="47"/>
    <cellStyle name="Comma 103 4" xfId="48"/>
    <cellStyle name="Comma 103 5" xfId="49"/>
    <cellStyle name="Comma 103 6" xfId="50"/>
    <cellStyle name="Comma 104" xfId="51"/>
    <cellStyle name="Comma 104 2" xfId="52"/>
    <cellStyle name="Comma 104 3" xfId="53"/>
    <cellStyle name="Comma 104 4" xfId="54"/>
    <cellStyle name="Comma 107 2" xfId="55"/>
    <cellStyle name="Comma 11" xfId="56"/>
    <cellStyle name="Comma 11 2" xfId="57"/>
    <cellStyle name="Comma 11 2 2" xfId="58"/>
    <cellStyle name="Comma 11 3" xfId="59"/>
    <cellStyle name="Comma 11 4" xfId="60"/>
    <cellStyle name="Comma 11 5" xfId="61"/>
    <cellStyle name="Comma 11 6" xfId="62"/>
    <cellStyle name="Comma 111 2" xfId="63"/>
    <cellStyle name="Comma 113 2" xfId="64"/>
    <cellStyle name="Comma 117 2" xfId="65"/>
    <cellStyle name="Comma 119 2" xfId="66"/>
    <cellStyle name="Comma 12" xfId="67"/>
    <cellStyle name="Comma 12 2" xfId="68"/>
    <cellStyle name="Comma 121 2" xfId="69"/>
    <cellStyle name="Comma 13" xfId="70"/>
    <cellStyle name="Comma 13 2" xfId="71"/>
    <cellStyle name="Comma 13 3" xfId="72"/>
    <cellStyle name="Comma 14" xfId="73"/>
    <cellStyle name="Comma 14 2" xfId="74"/>
    <cellStyle name="Comma 14 3" xfId="75"/>
    <cellStyle name="Comma 15" xfId="76"/>
    <cellStyle name="Comma 15 2" xfId="77"/>
    <cellStyle name="Comma 16" xfId="78"/>
    <cellStyle name="Comma 16 2" xfId="79"/>
    <cellStyle name="Comma 16 3" xfId="80"/>
    <cellStyle name="Comma 16 4" xfId="81"/>
    <cellStyle name="Comma 16 5" xfId="82"/>
    <cellStyle name="Comma 16 6" xfId="83"/>
    <cellStyle name="Comma 17" xfId="84"/>
    <cellStyle name="Comma 17 2" xfId="85"/>
    <cellStyle name="Comma 17 3" xfId="86"/>
    <cellStyle name="Comma 17 4" xfId="87"/>
    <cellStyle name="Comma 17 5" xfId="88"/>
    <cellStyle name="Comma 17 6" xfId="89"/>
    <cellStyle name="Comma 18" xfId="90"/>
    <cellStyle name="Comma 18 2" xfId="91"/>
    <cellStyle name="Comma 18 3" xfId="92"/>
    <cellStyle name="Comma 18 4" xfId="93"/>
    <cellStyle name="Comma 18 5" xfId="94"/>
    <cellStyle name="Comma 19" xfId="95"/>
    <cellStyle name="Comma 19 2" xfId="96"/>
    <cellStyle name="Comma 19 3" xfId="97"/>
    <cellStyle name="Comma 19 4" xfId="98"/>
    <cellStyle name="Comma 19 5" xfId="99"/>
    <cellStyle name="Comma 2" xfId="2"/>
    <cellStyle name="Comma 2 10" xfId="100"/>
    <cellStyle name="Comma 2 2" xfId="101"/>
    <cellStyle name="Comma 2 2 2" xfId="102"/>
    <cellStyle name="Comma 2 3" xfId="103"/>
    <cellStyle name="Comma 2 4" xfId="104"/>
    <cellStyle name="Comma 2 5" xfId="105"/>
    <cellStyle name="Comma 2 6" xfId="106"/>
    <cellStyle name="Comma 2 7" xfId="107"/>
    <cellStyle name="Comma 2 8" xfId="108"/>
    <cellStyle name="Comma 2 9" xfId="109"/>
    <cellStyle name="Comma 20" xfId="110"/>
    <cellStyle name="Comma 20 2" xfId="111"/>
    <cellStyle name="Comma 20 3" xfId="112"/>
    <cellStyle name="Comma 20 4" xfId="113"/>
    <cellStyle name="Comma 20 5" xfId="114"/>
    <cellStyle name="Comma 21" xfId="115"/>
    <cellStyle name="Comma 21 2" xfId="116"/>
    <cellStyle name="Comma 21 3" xfId="117"/>
    <cellStyle name="Comma 21 4" xfId="118"/>
    <cellStyle name="Comma 21 5" xfId="119"/>
    <cellStyle name="Comma 22" xfId="120"/>
    <cellStyle name="Comma 23" xfId="121"/>
    <cellStyle name="Comma 24" xfId="122"/>
    <cellStyle name="Comma 24 2" xfId="123"/>
    <cellStyle name="Comma 24 2 2" xfId="124"/>
    <cellStyle name="Comma 24 3" xfId="125"/>
    <cellStyle name="Comma 24 4" xfId="126"/>
    <cellStyle name="Comma 24 6" xfId="127"/>
    <cellStyle name="Comma 25" xfId="128"/>
    <cellStyle name="Comma 26" xfId="129"/>
    <cellStyle name="Comma 27" xfId="130"/>
    <cellStyle name="Comma 28" xfId="131"/>
    <cellStyle name="Comma 29" xfId="132"/>
    <cellStyle name="Comma 29 2" xfId="133"/>
    <cellStyle name="Comma 29 3" xfId="134"/>
    <cellStyle name="Comma 294" xfId="135"/>
    <cellStyle name="Comma 3" xfId="136"/>
    <cellStyle name="Comma 3 2" xfId="137"/>
    <cellStyle name="Comma 3 2 2" xfId="138"/>
    <cellStyle name="Comma 3 3" xfId="139"/>
    <cellStyle name="Comma 30" xfId="140"/>
    <cellStyle name="Comma 31" xfId="141"/>
    <cellStyle name="Comma 32" xfId="142"/>
    <cellStyle name="Comma 33" xfId="143"/>
    <cellStyle name="Comma 33 2" xfId="144"/>
    <cellStyle name="Comma 34" xfId="145"/>
    <cellStyle name="Comma 34 2" xfId="146"/>
    <cellStyle name="Comma 35" xfId="147"/>
    <cellStyle name="Comma 35 2" xfId="148"/>
    <cellStyle name="Comma 36" xfId="149"/>
    <cellStyle name="Comma 36 2" xfId="150"/>
    <cellStyle name="Comma 37" xfId="151"/>
    <cellStyle name="Comma 38" xfId="152"/>
    <cellStyle name="Comma 39" xfId="153"/>
    <cellStyle name="Comma 4" xfId="154"/>
    <cellStyle name="Comma 4 2" xfId="155"/>
    <cellStyle name="Comma 40" xfId="156"/>
    <cellStyle name="Comma 41" xfId="157"/>
    <cellStyle name="Comma 42" xfId="158"/>
    <cellStyle name="Comma 42 2" xfId="159"/>
    <cellStyle name="Comma 42 3" xfId="160"/>
    <cellStyle name="Comma 42 4" xfId="161"/>
    <cellStyle name="Comma 42 5" xfId="162"/>
    <cellStyle name="Comma 43" xfId="163"/>
    <cellStyle name="Comma 44" xfId="164"/>
    <cellStyle name="Comma 45" xfId="165"/>
    <cellStyle name="Comma 46" xfId="166"/>
    <cellStyle name="Comma 47" xfId="167"/>
    <cellStyle name="Comma 48" xfId="168"/>
    <cellStyle name="Comma 49" xfId="169"/>
    <cellStyle name="Comma 5" xfId="170"/>
    <cellStyle name="Comma 5 2" xfId="171"/>
    <cellStyle name="Comma 5 3" xfId="172"/>
    <cellStyle name="Comma 50" xfId="173"/>
    <cellStyle name="Comma 51" xfId="174"/>
    <cellStyle name="Comma 52" xfId="175"/>
    <cellStyle name="Comma 53" xfId="176"/>
    <cellStyle name="Comma 54" xfId="177"/>
    <cellStyle name="Comma 55" xfId="178"/>
    <cellStyle name="Comma 55 2" xfId="179"/>
    <cellStyle name="Comma 55 3" xfId="180"/>
    <cellStyle name="Comma 55 4" xfId="181"/>
    <cellStyle name="Comma 55 5" xfId="182"/>
    <cellStyle name="Comma 56" xfId="183"/>
    <cellStyle name="Comma 57" xfId="184"/>
    <cellStyle name="Comma 57 2" xfId="185"/>
    <cellStyle name="Comma 57 3" xfId="186"/>
    <cellStyle name="Comma 57 4" xfId="187"/>
    <cellStyle name="Comma 57 5" xfId="188"/>
    <cellStyle name="Comma 58" xfId="189"/>
    <cellStyle name="Comma 58 2" xfId="190"/>
    <cellStyle name="Comma 58 3" xfId="191"/>
    <cellStyle name="Comma 58 4" xfId="192"/>
    <cellStyle name="Comma 58 5" xfId="193"/>
    <cellStyle name="Comma 59" xfId="194"/>
    <cellStyle name="Comma 6" xfId="195"/>
    <cellStyle name="Comma 6 2" xfId="196"/>
    <cellStyle name="Comma 60" xfId="197"/>
    <cellStyle name="Comma 60 2" xfId="198"/>
    <cellStyle name="Comma 60 3" xfId="199"/>
    <cellStyle name="Comma 60 4" xfId="200"/>
    <cellStyle name="Comma 60 5" xfId="201"/>
    <cellStyle name="Comma 61" xfId="202"/>
    <cellStyle name="Comma 61 2" xfId="203"/>
    <cellStyle name="Comma 61 3" xfId="204"/>
    <cellStyle name="Comma 61 4" xfId="205"/>
    <cellStyle name="Comma 61 5" xfId="206"/>
    <cellStyle name="Comma 62" xfId="207"/>
    <cellStyle name="Comma 62 2" xfId="208"/>
    <cellStyle name="Comma 62 3" xfId="209"/>
    <cellStyle name="Comma 62 4" xfId="210"/>
    <cellStyle name="Comma 62 5" xfId="211"/>
    <cellStyle name="Comma 63" xfId="212"/>
    <cellStyle name="Comma 63 2" xfId="213"/>
    <cellStyle name="Comma 63 3" xfId="214"/>
    <cellStyle name="Comma 63 4" xfId="215"/>
    <cellStyle name="Comma 63 5" xfId="216"/>
    <cellStyle name="Comma 64" xfId="217"/>
    <cellStyle name="Comma 64 2" xfId="218"/>
    <cellStyle name="Comma 64 3" xfId="219"/>
    <cellStyle name="Comma 64 4" xfId="220"/>
    <cellStyle name="Comma 64 5" xfId="221"/>
    <cellStyle name="Comma 65" xfId="222"/>
    <cellStyle name="Comma 65 2" xfId="223"/>
    <cellStyle name="Comma 65 3" xfId="224"/>
    <cellStyle name="Comma 65 4" xfId="225"/>
    <cellStyle name="Comma 65 5" xfId="226"/>
    <cellStyle name="Comma 65 6" xfId="227"/>
    <cellStyle name="Comma 65 7" xfId="228"/>
    <cellStyle name="Comma 66" xfId="229"/>
    <cellStyle name="Comma 66 2" xfId="230"/>
    <cellStyle name="Comma 66 3" xfId="231"/>
    <cellStyle name="Comma 66 4" xfId="232"/>
    <cellStyle name="Comma 66 5" xfId="233"/>
    <cellStyle name="Comma 66 6" xfId="234"/>
    <cellStyle name="Comma 67" xfId="235"/>
    <cellStyle name="Comma 67 2" xfId="236"/>
    <cellStyle name="Comma 67 3" xfId="237"/>
    <cellStyle name="Comma 67 4" xfId="238"/>
    <cellStyle name="Comma 67 5" xfId="239"/>
    <cellStyle name="Comma 67 6" xfId="240"/>
    <cellStyle name="Comma 68" xfId="241"/>
    <cellStyle name="Comma 68 2" xfId="242"/>
    <cellStyle name="Comma 68 3" xfId="243"/>
    <cellStyle name="Comma 68 4" xfId="244"/>
    <cellStyle name="Comma 68 5" xfId="245"/>
    <cellStyle name="Comma 68 6" xfId="246"/>
    <cellStyle name="Comma 69" xfId="247"/>
    <cellStyle name="Comma 69 2" xfId="248"/>
    <cellStyle name="Comma 69 3" xfId="249"/>
    <cellStyle name="Comma 69 4" xfId="250"/>
    <cellStyle name="Comma 69 5" xfId="251"/>
    <cellStyle name="Comma 7" xfId="252"/>
    <cellStyle name="Comma 7 2" xfId="253"/>
    <cellStyle name="Comma 7 3" xfId="254"/>
    <cellStyle name="Comma 70" xfId="255"/>
    <cellStyle name="Comma 70 2" xfId="256"/>
    <cellStyle name="Comma 70 3" xfId="257"/>
    <cellStyle name="Comma 70 4" xfId="258"/>
    <cellStyle name="Comma 70 5" xfId="259"/>
    <cellStyle name="Comma 71" xfId="260"/>
    <cellStyle name="Comma 71 2" xfId="261"/>
    <cellStyle name="Comma 71 3" xfId="262"/>
    <cellStyle name="Comma 71 4" xfId="263"/>
    <cellStyle name="Comma 71 5" xfId="264"/>
    <cellStyle name="Comma 72" xfId="265"/>
    <cellStyle name="Comma 72 2" xfId="266"/>
    <cellStyle name="Comma 72 3" xfId="267"/>
    <cellStyle name="Comma 72 4" xfId="268"/>
    <cellStyle name="Comma 72 5" xfId="269"/>
    <cellStyle name="Comma 73" xfId="270"/>
    <cellStyle name="Comma 73 2" xfId="271"/>
    <cellStyle name="Comma 73 3" xfId="272"/>
    <cellStyle name="Comma 73 4" xfId="273"/>
    <cellStyle name="Comma 73 5" xfId="274"/>
    <cellStyle name="Comma 74" xfId="275"/>
    <cellStyle name="Comma 74 2" xfId="276"/>
    <cellStyle name="Comma 74 3" xfId="277"/>
    <cellStyle name="Comma 74 4" xfId="278"/>
    <cellStyle name="Comma 74 5" xfId="279"/>
    <cellStyle name="Comma 74 6" xfId="280"/>
    <cellStyle name="Comma 75" xfId="281"/>
    <cellStyle name="Comma 75 2" xfId="282"/>
    <cellStyle name="Comma 75 3" xfId="283"/>
    <cellStyle name="Comma 75 4" xfId="284"/>
    <cellStyle name="Comma 75 5" xfId="285"/>
    <cellStyle name="Comma 76" xfId="286"/>
    <cellStyle name="Comma 76 2" xfId="287"/>
    <cellStyle name="Comma 76 3" xfId="288"/>
    <cellStyle name="Comma 76 4" xfId="289"/>
    <cellStyle name="Comma 76 5" xfId="290"/>
    <cellStyle name="Comma 76 6" xfId="291"/>
    <cellStyle name="Comma 77" xfId="292"/>
    <cellStyle name="Comma 77 2" xfId="293"/>
    <cellStyle name="Comma 77 3" xfId="294"/>
    <cellStyle name="Comma 77 4" xfId="295"/>
    <cellStyle name="Comma 77 5" xfId="296"/>
    <cellStyle name="Comma 78" xfId="297"/>
    <cellStyle name="Comma 78 2" xfId="298"/>
    <cellStyle name="Comma 78 3" xfId="299"/>
    <cellStyle name="Comma 78 4" xfId="300"/>
    <cellStyle name="Comma 78 5" xfId="301"/>
    <cellStyle name="Comma 78 6" xfId="302"/>
    <cellStyle name="Comma 79" xfId="303"/>
    <cellStyle name="Comma 79 2" xfId="304"/>
    <cellStyle name="Comma 79 3" xfId="305"/>
    <cellStyle name="Comma 79 4" xfId="306"/>
    <cellStyle name="Comma 79 5" xfId="307"/>
    <cellStyle name="Comma 8" xfId="308"/>
    <cellStyle name="Comma 8 2" xfId="309"/>
    <cellStyle name="Comma 8 3" xfId="310"/>
    <cellStyle name="Comma 8 4" xfId="311"/>
    <cellStyle name="Comma 8 5" xfId="312"/>
    <cellStyle name="Comma 8 6" xfId="313"/>
    <cellStyle name="Comma 80" xfId="314"/>
    <cellStyle name="Comma 80 2" xfId="315"/>
    <cellStyle name="Comma 80 3" xfId="316"/>
    <cellStyle name="Comma 80 4" xfId="317"/>
    <cellStyle name="Comma 80 5" xfId="318"/>
    <cellStyle name="Comma 82 2" xfId="319"/>
    <cellStyle name="Comma 82 3" xfId="320"/>
    <cellStyle name="Comma 82 4" xfId="321"/>
    <cellStyle name="Comma 82 5" xfId="322"/>
    <cellStyle name="Comma 85 2" xfId="323"/>
    <cellStyle name="Comma 85 3" xfId="324"/>
    <cellStyle name="Comma 85 4" xfId="325"/>
    <cellStyle name="Comma 85 5" xfId="326"/>
    <cellStyle name="Comma 85 6" xfId="327"/>
    <cellStyle name="Comma 86 2" xfId="328"/>
    <cellStyle name="Comma 86 3" xfId="329"/>
    <cellStyle name="Comma 86 4" xfId="330"/>
    <cellStyle name="Comma 86 5" xfId="331"/>
    <cellStyle name="Comma 87 2" xfId="332"/>
    <cellStyle name="Comma 87 3" xfId="333"/>
    <cellStyle name="Comma 87 4" xfId="334"/>
    <cellStyle name="Comma 87 5" xfId="335"/>
    <cellStyle name="Comma 88 2" xfId="336"/>
    <cellStyle name="Comma 88 3" xfId="337"/>
    <cellStyle name="Comma 88 4" xfId="338"/>
    <cellStyle name="Comma 88 5" xfId="339"/>
    <cellStyle name="Comma 89 2" xfId="340"/>
    <cellStyle name="Comma 89 3" xfId="341"/>
    <cellStyle name="Comma 89 4" xfId="342"/>
    <cellStyle name="Comma 89 5" xfId="343"/>
    <cellStyle name="Comma 89 6" xfId="344"/>
    <cellStyle name="Comma 9" xfId="345"/>
    <cellStyle name="Comma 9 2" xfId="346"/>
    <cellStyle name="Comma 9 3" xfId="347"/>
    <cellStyle name="Comma 9 4" xfId="348"/>
    <cellStyle name="Comma 9 5" xfId="349"/>
    <cellStyle name="Comma 9 6" xfId="350"/>
    <cellStyle name="Comma 90 2" xfId="351"/>
    <cellStyle name="Comma 90 3" xfId="352"/>
    <cellStyle name="Comma 90 4" xfId="353"/>
    <cellStyle name="Comma 90 5" xfId="354"/>
    <cellStyle name="Comma 90 6" xfId="355"/>
    <cellStyle name="Comma 91 2" xfId="356"/>
    <cellStyle name="Comma 91 3" xfId="357"/>
    <cellStyle name="Comma 91 4" xfId="358"/>
    <cellStyle name="Comma 91 5" xfId="359"/>
    <cellStyle name="Comma 91 6" xfId="360"/>
    <cellStyle name="Comma 92 2" xfId="361"/>
    <cellStyle name="Comma 92 3" xfId="362"/>
    <cellStyle name="Comma 92 4" xfId="363"/>
    <cellStyle name="Comma 92 5" xfId="364"/>
    <cellStyle name="Comma 92 6" xfId="365"/>
    <cellStyle name="Comma 93 2" xfId="366"/>
    <cellStyle name="Comma 93 3" xfId="367"/>
    <cellStyle name="Comma 93 4" xfId="368"/>
    <cellStyle name="Comma 93 5" xfId="369"/>
    <cellStyle name="Comma 93 6" xfId="370"/>
    <cellStyle name="Comma 94 2" xfId="371"/>
    <cellStyle name="Comma 94 3" xfId="372"/>
    <cellStyle name="Comma 94 4" xfId="373"/>
    <cellStyle name="Comma 94 5" xfId="374"/>
    <cellStyle name="Comma 94 6" xfId="375"/>
    <cellStyle name="Comma 95 2" xfId="376"/>
    <cellStyle name="Comma 95 3" xfId="377"/>
    <cellStyle name="Comma 95 4" xfId="378"/>
    <cellStyle name="Comma 95 5" xfId="379"/>
    <cellStyle name="Comma 95 6" xfId="380"/>
    <cellStyle name="Comma 96 2" xfId="381"/>
    <cellStyle name="Comma 96 3" xfId="382"/>
    <cellStyle name="Comma 96 4" xfId="383"/>
    <cellStyle name="Comma 96 5" xfId="384"/>
    <cellStyle name="Comma 96 6" xfId="385"/>
    <cellStyle name="Comma 97 2" xfId="386"/>
    <cellStyle name="Comma 97 3" xfId="387"/>
    <cellStyle name="Comma 97 4" xfId="388"/>
    <cellStyle name="Comma 97 5" xfId="389"/>
    <cellStyle name="Comma 97 6" xfId="390"/>
    <cellStyle name="Comma 98 2" xfId="391"/>
    <cellStyle name="Comma 98 3" xfId="392"/>
    <cellStyle name="Comma 98 4" xfId="393"/>
    <cellStyle name="Comma 98 5" xfId="394"/>
    <cellStyle name="Comma 98 6" xfId="395"/>
    <cellStyle name="Comma 99 2" xfId="396"/>
    <cellStyle name="Comma 99 3" xfId="397"/>
    <cellStyle name="Comma 99 4" xfId="398"/>
    <cellStyle name="Comma 99 5" xfId="399"/>
    <cellStyle name="Comma 99 6" xfId="400"/>
    <cellStyle name="Hyperlink 2" xfId="401"/>
    <cellStyle name="Normal" xfId="0" builtinId="0"/>
    <cellStyle name="Normal 10" xfId="402"/>
    <cellStyle name="Normal 11" xfId="403"/>
    <cellStyle name="Normal 12" xfId="404"/>
    <cellStyle name="Normal 13" xfId="405"/>
    <cellStyle name="Normal 16" xfId="406"/>
    <cellStyle name="Normal 18" xfId="407"/>
    <cellStyle name="Normal 18 2" xfId="408"/>
    <cellStyle name="Normal 18 3" xfId="409"/>
    <cellStyle name="Normal 19" xfId="410"/>
    <cellStyle name="Normal 19 2" xfId="411"/>
    <cellStyle name="Normal 19 3" xfId="412"/>
    <cellStyle name="Normal 2" xfId="413"/>
    <cellStyle name="Normal 2 2" xfId="414"/>
    <cellStyle name="Normal 2 2 2" xfId="4"/>
    <cellStyle name="Normal 2 2 2 2" xfId="5"/>
    <cellStyle name="Normal 2 3" xfId="415"/>
    <cellStyle name="Normal 2 4" xfId="416"/>
    <cellStyle name="Normal 2 5" xfId="417"/>
    <cellStyle name="Normal 20" xfId="418"/>
    <cellStyle name="Normal 20 2" xfId="419"/>
    <cellStyle name="Normal 20 3" xfId="420"/>
    <cellStyle name="Normal 21" xfId="421"/>
    <cellStyle name="Normal 21 2" xfId="422"/>
    <cellStyle name="Normal 21 3" xfId="423"/>
    <cellStyle name="Normal 22" xfId="424"/>
    <cellStyle name="Normal 22 2" xfId="425"/>
    <cellStyle name="Normal 22 3" xfId="426"/>
    <cellStyle name="Normal 23" xfId="427"/>
    <cellStyle name="Normal 23 2" xfId="428"/>
    <cellStyle name="Normal 23 3" xfId="429"/>
    <cellStyle name="Normal 3" xfId="430"/>
    <cellStyle name="Normal 3 2" xfId="431"/>
    <cellStyle name="Normal 3 2 2" xfId="432"/>
    <cellStyle name="Normal 3 3" xfId="433"/>
    <cellStyle name="Normal 3 4" xfId="434"/>
    <cellStyle name="Normal 3 4 2" xfId="435"/>
    <cellStyle name="Normal 3 4 3" xfId="436"/>
    <cellStyle name="Normal 3 5" xfId="437"/>
    <cellStyle name="Normal 4" xfId="438"/>
    <cellStyle name="Normal 4 2" xfId="439"/>
    <cellStyle name="Normal 4 3" xfId="440"/>
    <cellStyle name="Normal 4 4" xfId="441"/>
    <cellStyle name="Normal 5" xfId="442"/>
    <cellStyle name="Normal 5 2" xfId="443"/>
    <cellStyle name="Normal 5 3" xfId="444"/>
    <cellStyle name="Normal 6" xfId="445"/>
    <cellStyle name="Normal 6 2" xfId="446"/>
    <cellStyle name="Normal 7" xfId="447"/>
    <cellStyle name="Normal 8" xfId="448"/>
    <cellStyle name="Normal 9" xfId="449"/>
    <cellStyle name="Note 10" xfId="450"/>
    <cellStyle name="Note 10 2" xfId="451"/>
    <cellStyle name="Note 10 3" xfId="452"/>
    <cellStyle name="Note 10 4" xfId="453"/>
    <cellStyle name="Note 10 5" xfId="454"/>
    <cellStyle name="Note 11" xfId="455"/>
    <cellStyle name="Note 11 2" xfId="456"/>
    <cellStyle name="Note 11 3" xfId="457"/>
    <cellStyle name="Note 11 4" xfId="458"/>
    <cellStyle name="Note 11 5" xfId="459"/>
    <cellStyle name="Note 12" xfId="460"/>
    <cellStyle name="Note 12 2" xfId="461"/>
    <cellStyle name="Note 12 3" xfId="462"/>
    <cellStyle name="Note 12 4" xfId="463"/>
    <cellStyle name="Note 12 5" xfId="464"/>
    <cellStyle name="Note 13" xfId="465"/>
    <cellStyle name="Note 13 2" xfId="466"/>
    <cellStyle name="Note 13 3" xfId="467"/>
    <cellStyle name="Note 13 4" xfId="468"/>
    <cellStyle name="Note 13 5" xfId="469"/>
    <cellStyle name="Note 14" xfId="470"/>
    <cellStyle name="Note 14 2" xfId="471"/>
    <cellStyle name="Note 14 3" xfId="472"/>
    <cellStyle name="Note 14 4" xfId="473"/>
    <cellStyle name="Note 14 5" xfId="474"/>
    <cellStyle name="Note 15" xfId="475"/>
    <cellStyle name="Note 15 2" xfId="476"/>
    <cellStyle name="Note 15 3" xfId="477"/>
    <cellStyle name="Note 15 4" xfId="478"/>
    <cellStyle name="Note 15 5" xfId="479"/>
    <cellStyle name="Note 16" xfId="480"/>
    <cellStyle name="Note 16 2" xfId="481"/>
    <cellStyle name="Note 16 3" xfId="482"/>
    <cellStyle name="Note 16 4" xfId="483"/>
    <cellStyle name="Note 16 5" xfId="484"/>
    <cellStyle name="Note 17" xfId="485"/>
    <cellStyle name="Note 17 2" xfId="486"/>
    <cellStyle name="Note 17 3" xfId="487"/>
    <cellStyle name="Note 17 4" xfId="488"/>
    <cellStyle name="Note 17 5" xfId="489"/>
    <cellStyle name="Note 18" xfId="490"/>
    <cellStyle name="Note 18 2" xfId="491"/>
    <cellStyle name="Note 18 3" xfId="492"/>
    <cellStyle name="Note 18 4" xfId="493"/>
    <cellStyle name="Note 18 5" xfId="494"/>
    <cellStyle name="Note 19" xfId="495"/>
    <cellStyle name="Note 19 2" xfId="496"/>
    <cellStyle name="Note 19 3" xfId="497"/>
    <cellStyle name="Note 19 4" xfId="498"/>
    <cellStyle name="Note 19 5" xfId="499"/>
    <cellStyle name="Note 2" xfId="500"/>
    <cellStyle name="Note 2 2" xfId="501"/>
    <cellStyle name="Note 2 3" xfId="502"/>
    <cellStyle name="Note 2 4" xfId="503"/>
    <cellStyle name="Note 2 5" xfId="504"/>
    <cellStyle name="Note 20" xfId="505"/>
    <cellStyle name="Note 20 2" xfId="506"/>
    <cellStyle name="Note 20 3" xfId="507"/>
    <cellStyle name="Note 20 4" xfId="508"/>
    <cellStyle name="Note 20 5" xfId="509"/>
    <cellStyle name="Note 21" xfId="510"/>
    <cellStyle name="Note 21 2" xfId="511"/>
    <cellStyle name="Note 21 3" xfId="512"/>
    <cellStyle name="Note 21 4" xfId="513"/>
    <cellStyle name="Note 21 5" xfId="514"/>
    <cellStyle name="Note 22" xfId="515"/>
    <cellStyle name="Note 22 2" xfId="516"/>
    <cellStyle name="Note 22 3" xfId="517"/>
    <cellStyle name="Note 22 4" xfId="518"/>
    <cellStyle name="Note 22 5" xfId="519"/>
    <cellStyle name="Note 23" xfId="520"/>
    <cellStyle name="Note 23 2" xfId="521"/>
    <cellStyle name="Note 23 3" xfId="522"/>
    <cellStyle name="Note 23 4" xfId="523"/>
    <cellStyle name="Note 23 5" xfId="524"/>
    <cellStyle name="Note 24" xfId="525"/>
    <cellStyle name="Note 24 2" xfId="526"/>
    <cellStyle name="Note 24 3" xfId="527"/>
    <cellStyle name="Note 24 4" xfId="528"/>
    <cellStyle name="Note 24 5" xfId="529"/>
    <cellStyle name="Note 25" xfId="530"/>
    <cellStyle name="Note 25 2" xfId="531"/>
    <cellStyle name="Note 25 3" xfId="532"/>
    <cellStyle name="Note 25 4" xfId="533"/>
    <cellStyle name="Note 25 5" xfId="534"/>
    <cellStyle name="Note 26" xfId="535"/>
    <cellStyle name="Note 26 2" xfId="536"/>
    <cellStyle name="Note 26 3" xfId="537"/>
    <cellStyle name="Note 26 4" xfId="538"/>
    <cellStyle name="Note 26 5" xfId="539"/>
    <cellStyle name="Note 27" xfId="540"/>
    <cellStyle name="Note 27 2" xfId="541"/>
    <cellStyle name="Note 27 3" xfId="542"/>
    <cellStyle name="Note 27 4" xfId="543"/>
    <cellStyle name="Note 27 5" xfId="544"/>
    <cellStyle name="Note 28" xfId="545"/>
    <cellStyle name="Note 28 2" xfId="546"/>
    <cellStyle name="Note 28 3" xfId="547"/>
    <cellStyle name="Note 28 4" xfId="548"/>
    <cellStyle name="Note 28 5" xfId="549"/>
    <cellStyle name="Note 29" xfId="550"/>
    <cellStyle name="Note 29 2" xfId="551"/>
    <cellStyle name="Note 29 3" xfId="552"/>
    <cellStyle name="Note 29 4" xfId="553"/>
    <cellStyle name="Note 29 5" xfId="554"/>
    <cellStyle name="Note 3" xfId="555"/>
    <cellStyle name="Note 3 2" xfId="556"/>
    <cellStyle name="Note 3 3" xfId="557"/>
    <cellStyle name="Note 3 4" xfId="558"/>
    <cellStyle name="Note 3 5" xfId="559"/>
    <cellStyle name="Note 30" xfId="560"/>
    <cellStyle name="Note 30 2" xfId="561"/>
    <cellStyle name="Note 30 3" xfId="562"/>
    <cellStyle name="Note 30 4" xfId="563"/>
    <cellStyle name="Note 30 5" xfId="564"/>
    <cellStyle name="Note 31" xfId="565"/>
    <cellStyle name="Note 31 2" xfId="566"/>
    <cellStyle name="Note 31 3" xfId="567"/>
    <cellStyle name="Note 31 4" xfId="568"/>
    <cellStyle name="Note 31 5" xfId="569"/>
    <cellStyle name="Note 32" xfId="570"/>
    <cellStyle name="Note 32 2" xfId="571"/>
    <cellStyle name="Note 32 3" xfId="572"/>
    <cellStyle name="Note 32 4" xfId="573"/>
    <cellStyle name="Note 32 5" xfId="574"/>
    <cellStyle name="Note 33" xfId="575"/>
    <cellStyle name="Note 33 2" xfId="576"/>
    <cellStyle name="Note 33 3" xfId="577"/>
    <cellStyle name="Note 33 4" xfId="578"/>
    <cellStyle name="Note 33 5" xfId="579"/>
    <cellStyle name="Note 34" xfId="580"/>
    <cellStyle name="Note 34 2" xfId="581"/>
    <cellStyle name="Note 34 3" xfId="582"/>
    <cellStyle name="Note 34 4" xfId="583"/>
    <cellStyle name="Note 34 5" xfId="584"/>
    <cellStyle name="Note 35" xfId="585"/>
    <cellStyle name="Note 35 2" xfId="586"/>
    <cellStyle name="Note 35 3" xfId="587"/>
    <cellStyle name="Note 35 4" xfId="588"/>
    <cellStyle name="Note 35 5" xfId="589"/>
    <cellStyle name="Note 36" xfId="590"/>
    <cellStyle name="Note 36 2" xfId="591"/>
    <cellStyle name="Note 36 3" xfId="592"/>
    <cellStyle name="Note 36 4" xfId="593"/>
    <cellStyle name="Note 36 5" xfId="594"/>
    <cellStyle name="Note 37" xfId="595"/>
    <cellStyle name="Note 37 2" xfId="596"/>
    <cellStyle name="Note 37 3" xfId="597"/>
    <cellStyle name="Note 37 4" xfId="598"/>
    <cellStyle name="Note 37 5" xfId="599"/>
    <cellStyle name="Note 38" xfId="600"/>
    <cellStyle name="Note 38 2" xfId="601"/>
    <cellStyle name="Note 38 3" xfId="602"/>
    <cellStyle name="Note 38 4" xfId="603"/>
    <cellStyle name="Note 38 5" xfId="604"/>
    <cellStyle name="Note 39" xfId="605"/>
    <cellStyle name="Note 39 2" xfId="606"/>
    <cellStyle name="Note 39 3" xfId="607"/>
    <cellStyle name="Note 39 4" xfId="608"/>
    <cellStyle name="Note 39 5" xfId="609"/>
    <cellStyle name="Note 4" xfId="610"/>
    <cellStyle name="Note 4 2" xfId="611"/>
    <cellStyle name="Note 4 3" xfId="612"/>
    <cellStyle name="Note 4 4" xfId="613"/>
    <cellStyle name="Note 4 5" xfId="614"/>
    <cellStyle name="Note 40" xfId="615"/>
    <cellStyle name="Note 40 2" xfId="616"/>
    <cellStyle name="Note 40 3" xfId="617"/>
    <cellStyle name="Note 40 4" xfId="618"/>
    <cellStyle name="Note 40 5" xfId="619"/>
    <cellStyle name="Note 41" xfId="620"/>
    <cellStyle name="Note 41 2" xfId="621"/>
    <cellStyle name="Note 41 3" xfId="622"/>
    <cellStyle name="Note 41 4" xfId="623"/>
    <cellStyle name="Note 41 5" xfId="624"/>
    <cellStyle name="Note 42" xfId="625"/>
    <cellStyle name="Note 42 2" xfId="626"/>
    <cellStyle name="Note 42 3" xfId="627"/>
    <cellStyle name="Note 42 4" xfId="628"/>
    <cellStyle name="Note 42 5" xfId="629"/>
    <cellStyle name="Note 43" xfId="630"/>
    <cellStyle name="Note 43 2" xfId="631"/>
    <cellStyle name="Note 43 3" xfId="632"/>
    <cellStyle name="Note 43 4" xfId="633"/>
    <cellStyle name="Note 43 5" xfId="634"/>
    <cellStyle name="Note 44" xfId="635"/>
    <cellStyle name="Note 44 2" xfId="636"/>
    <cellStyle name="Note 44 3" xfId="637"/>
    <cellStyle name="Note 44 4" xfId="638"/>
    <cellStyle name="Note 44 5" xfId="639"/>
    <cellStyle name="Note 45" xfId="640"/>
    <cellStyle name="Note 45 2" xfId="641"/>
    <cellStyle name="Note 45 3" xfId="642"/>
    <cellStyle name="Note 45 4" xfId="643"/>
    <cellStyle name="Note 45 5" xfId="644"/>
    <cellStyle name="Note 46" xfId="645"/>
    <cellStyle name="Note 46 2" xfId="646"/>
    <cellStyle name="Note 46 3" xfId="647"/>
    <cellStyle name="Note 46 4" xfId="648"/>
    <cellStyle name="Note 46 5" xfId="649"/>
    <cellStyle name="Note 47" xfId="650"/>
    <cellStyle name="Note 47 2" xfId="651"/>
    <cellStyle name="Note 47 3" xfId="652"/>
    <cellStyle name="Note 47 4" xfId="653"/>
    <cellStyle name="Note 47 5" xfId="654"/>
    <cellStyle name="Note 48" xfId="655"/>
    <cellStyle name="Note 48 2" xfId="656"/>
    <cellStyle name="Note 48 3" xfId="657"/>
    <cellStyle name="Note 48 4" xfId="658"/>
    <cellStyle name="Note 48 5" xfId="659"/>
    <cellStyle name="Note 49" xfId="660"/>
    <cellStyle name="Note 49 2" xfId="661"/>
    <cellStyle name="Note 49 3" xfId="662"/>
    <cellStyle name="Note 49 4" xfId="663"/>
    <cellStyle name="Note 49 5" xfId="664"/>
    <cellStyle name="Note 5" xfId="665"/>
    <cellStyle name="Note 5 2" xfId="666"/>
    <cellStyle name="Note 5 3" xfId="667"/>
    <cellStyle name="Note 5 4" xfId="668"/>
    <cellStyle name="Note 5 5" xfId="669"/>
    <cellStyle name="Note 50" xfId="670"/>
    <cellStyle name="Note 50 2" xfId="671"/>
    <cellStyle name="Note 50 3" xfId="672"/>
    <cellStyle name="Note 50 4" xfId="673"/>
    <cellStyle name="Note 50 5" xfId="674"/>
    <cellStyle name="Note 51" xfId="675"/>
    <cellStyle name="Note 51 2" xfId="676"/>
    <cellStyle name="Note 51 3" xfId="677"/>
    <cellStyle name="Note 51 4" xfId="678"/>
    <cellStyle name="Note 51 5" xfId="679"/>
    <cellStyle name="Note 52" xfId="680"/>
    <cellStyle name="Note 52 2" xfId="681"/>
    <cellStyle name="Note 52 3" xfId="682"/>
    <cellStyle name="Note 52 4" xfId="683"/>
    <cellStyle name="Note 52 5" xfId="684"/>
    <cellStyle name="Note 53" xfId="685"/>
    <cellStyle name="Note 53 2" xfId="686"/>
    <cellStyle name="Note 53 3" xfId="687"/>
    <cellStyle name="Note 53 4" xfId="688"/>
    <cellStyle name="Note 53 5" xfId="689"/>
    <cellStyle name="Note 54" xfId="690"/>
    <cellStyle name="Note 54 2" xfId="691"/>
    <cellStyle name="Note 54 3" xfId="692"/>
    <cellStyle name="Note 54 4" xfId="693"/>
    <cellStyle name="Note 54 5" xfId="694"/>
    <cellStyle name="Note 55" xfId="695"/>
    <cellStyle name="Note 55 2" xfId="696"/>
    <cellStyle name="Note 55 3" xfId="697"/>
    <cellStyle name="Note 55 4" xfId="698"/>
    <cellStyle name="Note 55 5" xfId="699"/>
    <cellStyle name="Note 56" xfId="700"/>
    <cellStyle name="Note 56 2" xfId="701"/>
    <cellStyle name="Note 56 3" xfId="702"/>
    <cellStyle name="Note 56 4" xfId="703"/>
    <cellStyle name="Note 56 5" xfId="704"/>
    <cellStyle name="Note 57" xfId="705"/>
    <cellStyle name="Note 57 2" xfId="706"/>
    <cellStyle name="Note 57 3" xfId="707"/>
    <cellStyle name="Note 57 4" xfId="708"/>
    <cellStyle name="Note 57 5" xfId="709"/>
    <cellStyle name="Note 58" xfId="710"/>
    <cellStyle name="Note 58 2" xfId="711"/>
    <cellStyle name="Note 58 3" xfId="712"/>
    <cellStyle name="Note 58 4" xfId="713"/>
    <cellStyle name="Note 58 5" xfId="714"/>
    <cellStyle name="Note 59" xfId="715"/>
    <cellStyle name="Note 59 2" xfId="716"/>
    <cellStyle name="Note 59 3" xfId="717"/>
    <cellStyle name="Note 59 4" xfId="718"/>
    <cellStyle name="Note 59 5" xfId="719"/>
    <cellStyle name="Note 6" xfId="720"/>
    <cellStyle name="Note 6 2" xfId="721"/>
    <cellStyle name="Note 6 3" xfId="722"/>
    <cellStyle name="Note 6 4" xfId="723"/>
    <cellStyle name="Note 6 5" xfId="724"/>
    <cellStyle name="Note 60" xfId="725"/>
    <cellStyle name="Note 60 2" xfId="726"/>
    <cellStyle name="Note 60 3" xfId="727"/>
    <cellStyle name="Note 60 4" xfId="728"/>
    <cellStyle name="Note 60 5" xfId="729"/>
    <cellStyle name="Note 61" xfId="730"/>
    <cellStyle name="Note 61 2" xfId="731"/>
    <cellStyle name="Note 61 3" xfId="732"/>
    <cellStyle name="Note 61 4" xfId="733"/>
    <cellStyle name="Note 61 5" xfId="734"/>
    <cellStyle name="Note 62" xfId="735"/>
    <cellStyle name="Note 62 2" xfId="736"/>
    <cellStyle name="Note 62 3" xfId="737"/>
    <cellStyle name="Note 62 4" xfId="738"/>
    <cellStyle name="Note 62 5" xfId="739"/>
    <cellStyle name="Note 63" xfId="740"/>
    <cellStyle name="Note 63 2" xfId="741"/>
    <cellStyle name="Note 63 3" xfId="742"/>
    <cellStyle name="Note 63 4" xfId="743"/>
    <cellStyle name="Note 63 5" xfId="744"/>
    <cellStyle name="Note 64" xfId="745"/>
    <cellStyle name="Note 64 2" xfId="746"/>
    <cellStyle name="Note 64 3" xfId="747"/>
    <cellStyle name="Note 64 4" xfId="748"/>
    <cellStyle name="Note 64 5" xfId="749"/>
    <cellStyle name="Note 65" xfId="750"/>
    <cellStyle name="Note 65 2" xfId="751"/>
    <cellStyle name="Note 65 3" xfId="752"/>
    <cellStyle name="Note 65 4" xfId="753"/>
    <cellStyle name="Note 65 5" xfId="754"/>
    <cellStyle name="Note 66" xfId="755"/>
    <cellStyle name="Note 66 2" xfId="756"/>
    <cellStyle name="Note 66 3" xfId="757"/>
    <cellStyle name="Note 66 4" xfId="758"/>
    <cellStyle name="Note 66 5" xfId="759"/>
    <cellStyle name="Note 67" xfId="760"/>
    <cellStyle name="Note 67 2" xfId="761"/>
    <cellStyle name="Note 67 3" xfId="762"/>
    <cellStyle name="Note 67 4" xfId="763"/>
    <cellStyle name="Note 67 5" xfId="764"/>
    <cellStyle name="Note 68" xfId="765"/>
    <cellStyle name="Note 68 2" xfId="766"/>
    <cellStyle name="Note 68 3" xfId="767"/>
    <cellStyle name="Note 68 4" xfId="768"/>
    <cellStyle name="Note 68 5" xfId="769"/>
    <cellStyle name="Note 69" xfId="770"/>
    <cellStyle name="Note 69 2" xfId="771"/>
    <cellStyle name="Note 69 3" xfId="772"/>
    <cellStyle name="Note 69 4" xfId="773"/>
    <cellStyle name="Note 69 5" xfId="774"/>
    <cellStyle name="Note 7" xfId="775"/>
    <cellStyle name="Note 7 2" xfId="776"/>
    <cellStyle name="Note 7 3" xfId="777"/>
    <cellStyle name="Note 7 4" xfId="778"/>
    <cellStyle name="Note 7 5" xfId="779"/>
    <cellStyle name="Note 70" xfId="780"/>
    <cellStyle name="Note 70 2" xfId="781"/>
    <cellStyle name="Note 70 3" xfId="782"/>
    <cellStyle name="Note 70 4" xfId="783"/>
    <cellStyle name="Note 70 5" xfId="784"/>
    <cellStyle name="Note 71" xfId="785"/>
    <cellStyle name="Note 71 2" xfId="786"/>
    <cellStyle name="Note 71 3" xfId="787"/>
    <cellStyle name="Note 71 4" xfId="788"/>
    <cellStyle name="Note 71 5" xfId="789"/>
    <cellStyle name="Note 72" xfId="790"/>
    <cellStyle name="Note 72 2" xfId="791"/>
    <cellStyle name="Note 72 3" xfId="792"/>
    <cellStyle name="Note 72 4" xfId="793"/>
    <cellStyle name="Note 72 5" xfId="794"/>
    <cellStyle name="Note 73" xfId="795"/>
    <cellStyle name="Note 73 2" xfId="796"/>
    <cellStyle name="Note 73 3" xfId="797"/>
    <cellStyle name="Note 73 4" xfId="798"/>
    <cellStyle name="Note 73 5" xfId="799"/>
    <cellStyle name="Note 74" xfId="800"/>
    <cellStyle name="Note 74 2" xfId="801"/>
    <cellStyle name="Note 74 3" xfId="802"/>
    <cellStyle name="Note 74 4" xfId="803"/>
    <cellStyle name="Note 74 5" xfId="804"/>
    <cellStyle name="Note 75" xfId="805"/>
    <cellStyle name="Note 75 2" xfId="806"/>
    <cellStyle name="Note 75 3" xfId="807"/>
    <cellStyle name="Note 75 4" xfId="808"/>
    <cellStyle name="Note 75 5" xfId="809"/>
    <cellStyle name="Note 76" xfId="810"/>
    <cellStyle name="Note 77" xfId="811"/>
    <cellStyle name="Note 78" xfId="812"/>
    <cellStyle name="Note 79" xfId="813"/>
    <cellStyle name="Note 8" xfId="814"/>
    <cellStyle name="Note 8 2" xfId="815"/>
    <cellStyle name="Note 8 3" xfId="816"/>
    <cellStyle name="Note 8 4" xfId="817"/>
    <cellStyle name="Note 8 5" xfId="818"/>
    <cellStyle name="Note 80" xfId="819"/>
    <cellStyle name="Note 81" xfId="820"/>
    <cellStyle name="Note 82" xfId="821"/>
    <cellStyle name="Note 83" xfId="822"/>
    <cellStyle name="Note 84" xfId="823"/>
    <cellStyle name="Note 85" xfId="824"/>
    <cellStyle name="Note 86" xfId="825"/>
    <cellStyle name="Note 87" xfId="826"/>
    <cellStyle name="Note 9" xfId="827"/>
    <cellStyle name="Note 9 2" xfId="828"/>
    <cellStyle name="Note 9 3" xfId="829"/>
    <cellStyle name="Note 9 4" xfId="830"/>
    <cellStyle name="Note 9 5" xfId="831"/>
    <cellStyle name="Percent" xfId="1" builtinId="5"/>
    <cellStyle name="Percent 2" xfId="832"/>
    <cellStyle name="Percent 2 2" xfId="833"/>
    <cellStyle name="Percent 3" xfId="834"/>
    <cellStyle name="S0" xfId="835"/>
    <cellStyle name="S0 10" xfId="836"/>
    <cellStyle name="S0 100" xfId="837"/>
    <cellStyle name="S0 101" xfId="838"/>
    <cellStyle name="S0 102" xfId="839"/>
    <cellStyle name="S0 103" xfId="840"/>
    <cellStyle name="S0 104" xfId="841"/>
    <cellStyle name="S0 105" xfId="842"/>
    <cellStyle name="S0 106" xfId="843"/>
    <cellStyle name="S0 107" xfId="844"/>
    <cellStyle name="S0 108" xfId="845"/>
    <cellStyle name="S0 109" xfId="846"/>
    <cellStyle name="S0 11" xfId="847"/>
    <cellStyle name="S0 110" xfId="848"/>
    <cellStyle name="S0 111" xfId="849"/>
    <cellStyle name="S0 112" xfId="850"/>
    <cellStyle name="S0 113" xfId="851"/>
    <cellStyle name="S0 114" xfId="852"/>
    <cellStyle name="S0 115" xfId="853"/>
    <cellStyle name="S0 116" xfId="854"/>
    <cellStyle name="S0 117" xfId="855"/>
    <cellStyle name="S0 118" xfId="856"/>
    <cellStyle name="S0 119" xfId="857"/>
    <cellStyle name="S0 12" xfId="858"/>
    <cellStyle name="S0 120" xfId="859"/>
    <cellStyle name="S0 121" xfId="860"/>
    <cellStyle name="S0 122" xfId="861"/>
    <cellStyle name="S0 123" xfId="862"/>
    <cellStyle name="S0 124" xfId="863"/>
    <cellStyle name="S0 125" xfId="864"/>
    <cellStyle name="S0 126" xfId="865"/>
    <cellStyle name="S0 127" xfId="866"/>
    <cellStyle name="S0 128" xfId="867"/>
    <cellStyle name="S0 129" xfId="868"/>
    <cellStyle name="S0 13" xfId="869"/>
    <cellStyle name="S0 130" xfId="870"/>
    <cellStyle name="S0 131" xfId="871"/>
    <cellStyle name="S0 132" xfId="872"/>
    <cellStyle name="S0 133" xfId="873"/>
    <cellStyle name="S0 134" xfId="874"/>
    <cellStyle name="S0 135" xfId="875"/>
    <cellStyle name="S0 136" xfId="876"/>
    <cellStyle name="S0 137" xfId="877"/>
    <cellStyle name="S0 138" xfId="878"/>
    <cellStyle name="S0 139" xfId="879"/>
    <cellStyle name="S0 14" xfId="880"/>
    <cellStyle name="S0 140" xfId="881"/>
    <cellStyle name="S0 141" xfId="882"/>
    <cellStyle name="S0 142" xfId="883"/>
    <cellStyle name="S0 143" xfId="884"/>
    <cellStyle name="S0 144" xfId="885"/>
    <cellStyle name="S0 145" xfId="886"/>
    <cellStyle name="S0 146" xfId="887"/>
    <cellStyle name="S0 147" xfId="888"/>
    <cellStyle name="S0 148" xfId="889"/>
    <cellStyle name="S0 149" xfId="890"/>
    <cellStyle name="S0 15" xfId="891"/>
    <cellStyle name="S0 150" xfId="892"/>
    <cellStyle name="S0 151" xfId="893"/>
    <cellStyle name="S0 152" xfId="894"/>
    <cellStyle name="S0 153" xfId="895"/>
    <cellStyle name="S0 154" xfId="896"/>
    <cellStyle name="S0 155" xfId="897"/>
    <cellStyle name="S0 156" xfId="898"/>
    <cellStyle name="S0 157" xfId="899"/>
    <cellStyle name="S0 158" xfId="900"/>
    <cellStyle name="S0 159" xfId="901"/>
    <cellStyle name="S0 16" xfId="902"/>
    <cellStyle name="S0 160" xfId="903"/>
    <cellStyle name="S0 161" xfId="904"/>
    <cellStyle name="S0 162" xfId="905"/>
    <cellStyle name="S0 163" xfId="906"/>
    <cellStyle name="S0 164" xfId="907"/>
    <cellStyle name="S0 165" xfId="908"/>
    <cellStyle name="S0 166" xfId="909"/>
    <cellStyle name="S0 167" xfId="910"/>
    <cellStyle name="S0 168" xfId="911"/>
    <cellStyle name="S0 169" xfId="912"/>
    <cellStyle name="S0 17" xfId="913"/>
    <cellStyle name="S0 170" xfId="914"/>
    <cellStyle name="S0 171" xfId="915"/>
    <cellStyle name="S0 172" xfId="916"/>
    <cellStyle name="S0 173" xfId="917"/>
    <cellStyle name="S0 174" xfId="918"/>
    <cellStyle name="S0 175" xfId="919"/>
    <cellStyle name="S0 176" xfId="920"/>
    <cellStyle name="S0 177" xfId="921"/>
    <cellStyle name="S0 178" xfId="922"/>
    <cellStyle name="S0 179" xfId="923"/>
    <cellStyle name="S0 18" xfId="924"/>
    <cellStyle name="S0 180" xfId="925"/>
    <cellStyle name="S0 181" xfId="926"/>
    <cellStyle name="S0 182" xfId="927"/>
    <cellStyle name="S0 183" xfId="928"/>
    <cellStyle name="S0 184" xfId="929"/>
    <cellStyle name="S0 185" xfId="930"/>
    <cellStyle name="S0 186" xfId="931"/>
    <cellStyle name="S0 187" xfId="932"/>
    <cellStyle name="S0 188" xfId="933"/>
    <cellStyle name="S0 189" xfId="934"/>
    <cellStyle name="S0 19" xfId="935"/>
    <cellStyle name="S0 190" xfId="936"/>
    <cellStyle name="S0 191" xfId="937"/>
    <cellStyle name="S0 192" xfId="938"/>
    <cellStyle name="S0 193" xfId="939"/>
    <cellStyle name="S0 194" xfId="940"/>
    <cellStyle name="S0 195" xfId="941"/>
    <cellStyle name="S0 196" xfId="942"/>
    <cellStyle name="S0 197" xfId="943"/>
    <cellStyle name="S0 198" xfId="944"/>
    <cellStyle name="S0 199" xfId="945"/>
    <cellStyle name="S0 2" xfId="946"/>
    <cellStyle name="S0 2 2" xfId="947"/>
    <cellStyle name="S0 20" xfId="948"/>
    <cellStyle name="S0 200" xfId="949"/>
    <cellStyle name="S0 201" xfId="950"/>
    <cellStyle name="S0 202" xfId="951"/>
    <cellStyle name="S0 203" xfId="952"/>
    <cellStyle name="S0 204" xfId="953"/>
    <cellStyle name="S0 205" xfId="954"/>
    <cellStyle name="S0 206" xfId="955"/>
    <cellStyle name="S0 207" xfId="956"/>
    <cellStyle name="S0 208" xfId="957"/>
    <cellStyle name="S0 209" xfId="958"/>
    <cellStyle name="S0 21" xfId="959"/>
    <cellStyle name="S0 210" xfId="960"/>
    <cellStyle name="S0 211" xfId="961"/>
    <cellStyle name="S0 212" xfId="962"/>
    <cellStyle name="S0 213" xfId="963"/>
    <cellStyle name="S0 214" xfId="964"/>
    <cellStyle name="S0 215" xfId="965"/>
    <cellStyle name="S0 216" xfId="966"/>
    <cellStyle name="S0 217" xfId="967"/>
    <cellStyle name="S0 218" xfId="968"/>
    <cellStyle name="S0 219" xfId="969"/>
    <cellStyle name="S0 22" xfId="970"/>
    <cellStyle name="S0 220" xfId="971"/>
    <cellStyle name="S0 221" xfId="972"/>
    <cellStyle name="S0 222" xfId="973"/>
    <cellStyle name="S0 223" xfId="974"/>
    <cellStyle name="S0 224" xfId="975"/>
    <cellStyle name="S0 225" xfId="976"/>
    <cellStyle name="S0 226" xfId="977"/>
    <cellStyle name="S0 227" xfId="978"/>
    <cellStyle name="S0 228" xfId="979"/>
    <cellStyle name="S0 229" xfId="980"/>
    <cellStyle name="S0 23" xfId="981"/>
    <cellStyle name="S0 230" xfId="982"/>
    <cellStyle name="S0 231" xfId="983"/>
    <cellStyle name="S0 232" xfId="984"/>
    <cellStyle name="S0 233" xfId="985"/>
    <cellStyle name="S0 234" xfId="986"/>
    <cellStyle name="S0 235" xfId="987"/>
    <cellStyle name="S0 236" xfId="988"/>
    <cellStyle name="S0 237" xfId="989"/>
    <cellStyle name="S0 238" xfId="990"/>
    <cellStyle name="S0 239" xfId="991"/>
    <cellStyle name="S0 24" xfId="992"/>
    <cellStyle name="S0 240" xfId="993"/>
    <cellStyle name="S0 241" xfId="994"/>
    <cellStyle name="S0 242" xfId="995"/>
    <cellStyle name="S0 243" xfId="996"/>
    <cellStyle name="S0 244" xfId="997"/>
    <cellStyle name="S0 245" xfId="998"/>
    <cellStyle name="S0 246" xfId="999"/>
    <cellStyle name="S0 247" xfId="1000"/>
    <cellStyle name="S0 248" xfId="1001"/>
    <cellStyle name="S0 249" xfId="1002"/>
    <cellStyle name="S0 25" xfId="1003"/>
    <cellStyle name="S0 250" xfId="1004"/>
    <cellStyle name="S0 251" xfId="1005"/>
    <cellStyle name="S0 252" xfId="1006"/>
    <cellStyle name="S0 253" xfId="1007"/>
    <cellStyle name="S0 254" xfId="1008"/>
    <cellStyle name="S0 255" xfId="1009"/>
    <cellStyle name="S0 256" xfId="1010"/>
    <cellStyle name="S0 257" xfId="1011"/>
    <cellStyle name="S0 258" xfId="1012"/>
    <cellStyle name="S0 259" xfId="1013"/>
    <cellStyle name="S0 26" xfId="1014"/>
    <cellStyle name="S0 260" xfId="1015"/>
    <cellStyle name="S0 261" xfId="1016"/>
    <cellStyle name="S0 262" xfId="1017"/>
    <cellStyle name="S0 263" xfId="1018"/>
    <cellStyle name="S0 264" xfId="1019"/>
    <cellStyle name="S0 265" xfId="1020"/>
    <cellStyle name="S0 266" xfId="1021"/>
    <cellStyle name="S0 266 2" xfId="1022"/>
    <cellStyle name="S0 267" xfId="1023"/>
    <cellStyle name="S0 27" xfId="1024"/>
    <cellStyle name="S0 28" xfId="1025"/>
    <cellStyle name="S0 29" xfId="1026"/>
    <cellStyle name="S0 3" xfId="1027"/>
    <cellStyle name="S0 3 2" xfId="1028"/>
    <cellStyle name="S0 30" xfId="1029"/>
    <cellStyle name="S0 31" xfId="1030"/>
    <cellStyle name="S0 32" xfId="1031"/>
    <cellStyle name="S0 33" xfId="1032"/>
    <cellStyle name="S0 34" xfId="1033"/>
    <cellStyle name="S0 35" xfId="1034"/>
    <cellStyle name="S0 36" xfId="1035"/>
    <cellStyle name="S0 37" xfId="1036"/>
    <cellStyle name="S0 38" xfId="1037"/>
    <cellStyle name="S0 39" xfId="1038"/>
    <cellStyle name="S0 4" xfId="1039"/>
    <cellStyle name="S0 40" xfId="1040"/>
    <cellStyle name="S0 41" xfId="1041"/>
    <cellStyle name="S0 42" xfId="1042"/>
    <cellStyle name="S0 43" xfId="1043"/>
    <cellStyle name="S0 44" xfId="1044"/>
    <cellStyle name="S0 45" xfId="1045"/>
    <cellStyle name="S0 46" xfId="1046"/>
    <cellStyle name="S0 47" xfId="1047"/>
    <cellStyle name="S0 48" xfId="1048"/>
    <cellStyle name="S0 49" xfId="1049"/>
    <cellStyle name="S0 5" xfId="1050"/>
    <cellStyle name="S0 50" xfId="1051"/>
    <cellStyle name="S0 51" xfId="1052"/>
    <cellStyle name="S0 52" xfId="1053"/>
    <cellStyle name="S0 53" xfId="1054"/>
    <cellStyle name="S0 54" xfId="1055"/>
    <cellStyle name="S0 55" xfId="1056"/>
    <cellStyle name="S0 56" xfId="1057"/>
    <cellStyle name="S0 57" xfId="1058"/>
    <cellStyle name="S0 58" xfId="1059"/>
    <cellStyle name="S0 59" xfId="1060"/>
    <cellStyle name="S0 6" xfId="1061"/>
    <cellStyle name="S0 60" xfId="1062"/>
    <cellStyle name="S0 61" xfId="1063"/>
    <cellStyle name="S0 62" xfId="1064"/>
    <cellStyle name="S0 63" xfId="1065"/>
    <cellStyle name="S0 64" xfId="1066"/>
    <cellStyle name="S0 65" xfId="1067"/>
    <cellStyle name="S0 66" xfId="1068"/>
    <cellStyle name="S0 67" xfId="1069"/>
    <cellStyle name="S0 68" xfId="1070"/>
    <cellStyle name="S0 69" xfId="1071"/>
    <cellStyle name="S0 7" xfId="1072"/>
    <cellStyle name="S0 70" xfId="1073"/>
    <cellStyle name="S0 71" xfId="1074"/>
    <cellStyle name="S0 72" xfId="1075"/>
    <cellStyle name="S0 73" xfId="1076"/>
    <cellStyle name="S0 74" xfId="1077"/>
    <cellStyle name="S0 75" xfId="1078"/>
    <cellStyle name="S0 76" xfId="1079"/>
    <cellStyle name="S0 77" xfId="1080"/>
    <cellStyle name="S0 78" xfId="1081"/>
    <cellStyle name="S0 79" xfId="1082"/>
    <cellStyle name="S0 8" xfId="1083"/>
    <cellStyle name="S0 80" xfId="1084"/>
    <cellStyle name="S0 81" xfId="1085"/>
    <cellStyle name="S0 82" xfId="1086"/>
    <cellStyle name="S0 83" xfId="1087"/>
    <cellStyle name="S0 84" xfId="1088"/>
    <cellStyle name="S0 85" xfId="1089"/>
    <cellStyle name="S0 86" xfId="1090"/>
    <cellStyle name="S0 87" xfId="1091"/>
    <cellStyle name="S0 88" xfId="1092"/>
    <cellStyle name="S0 89" xfId="1093"/>
    <cellStyle name="S0 9" xfId="1094"/>
    <cellStyle name="S0 90" xfId="1095"/>
    <cellStyle name="S0 91" xfId="1096"/>
    <cellStyle name="S0 92" xfId="1097"/>
    <cellStyle name="S0 93" xfId="1098"/>
    <cellStyle name="S0 94" xfId="1099"/>
    <cellStyle name="S0 95" xfId="1100"/>
    <cellStyle name="S0 96" xfId="1101"/>
    <cellStyle name="S0 97" xfId="1102"/>
    <cellStyle name="S0 98" xfId="1103"/>
    <cellStyle name="S0 99" xfId="1104"/>
    <cellStyle name="S0_PENJKIU02" xfId="1105"/>
    <cellStyle name="S1" xfId="1106"/>
    <cellStyle name="S1 10" xfId="1107"/>
    <cellStyle name="S1 100" xfId="1108"/>
    <cellStyle name="S1 101" xfId="1109"/>
    <cellStyle name="S1 102" xfId="1110"/>
    <cellStyle name="S1 103" xfId="1111"/>
    <cellStyle name="S1 104" xfId="1112"/>
    <cellStyle name="S1 105" xfId="1113"/>
    <cellStyle name="S1 106" xfId="1114"/>
    <cellStyle name="S1 107" xfId="1115"/>
    <cellStyle name="S1 108" xfId="1116"/>
    <cellStyle name="S1 109" xfId="1117"/>
    <cellStyle name="S1 11" xfId="1118"/>
    <cellStyle name="S1 110" xfId="1119"/>
    <cellStyle name="S1 111" xfId="1120"/>
    <cellStyle name="S1 112" xfId="1121"/>
    <cellStyle name="S1 113" xfId="1122"/>
    <cellStyle name="S1 114" xfId="1123"/>
    <cellStyle name="S1 115" xfId="1124"/>
    <cellStyle name="S1 116" xfId="1125"/>
    <cellStyle name="S1 117" xfId="1126"/>
    <cellStyle name="S1 118" xfId="1127"/>
    <cellStyle name="S1 119" xfId="1128"/>
    <cellStyle name="S1 12" xfId="1129"/>
    <cellStyle name="S1 120" xfId="1130"/>
    <cellStyle name="S1 121" xfId="1131"/>
    <cellStyle name="S1 122" xfId="1132"/>
    <cellStyle name="S1 123" xfId="1133"/>
    <cellStyle name="S1 124" xfId="1134"/>
    <cellStyle name="S1 125" xfId="1135"/>
    <cellStyle name="S1 126" xfId="1136"/>
    <cellStyle name="S1 127" xfId="1137"/>
    <cellStyle name="S1 128" xfId="1138"/>
    <cellStyle name="S1 129" xfId="1139"/>
    <cellStyle name="S1 13" xfId="1140"/>
    <cellStyle name="S1 130" xfId="1141"/>
    <cellStyle name="S1 131" xfId="1142"/>
    <cellStyle name="S1 132" xfId="1143"/>
    <cellStyle name="S1 133" xfId="1144"/>
    <cellStyle name="S1 134" xfId="1145"/>
    <cellStyle name="S1 135" xfId="1146"/>
    <cellStyle name="S1 136" xfId="1147"/>
    <cellStyle name="S1 137" xfId="1148"/>
    <cellStyle name="S1 138" xfId="1149"/>
    <cellStyle name="S1 139" xfId="1150"/>
    <cellStyle name="S1 14" xfId="1151"/>
    <cellStyle name="S1 140" xfId="1152"/>
    <cellStyle name="S1 141" xfId="1153"/>
    <cellStyle name="S1 142" xfId="1154"/>
    <cellStyle name="S1 143" xfId="1155"/>
    <cellStyle name="S1 144" xfId="1156"/>
    <cellStyle name="S1 145" xfId="1157"/>
    <cellStyle name="S1 146" xfId="1158"/>
    <cellStyle name="S1 147" xfId="1159"/>
    <cellStyle name="S1 148" xfId="1160"/>
    <cellStyle name="S1 149" xfId="1161"/>
    <cellStyle name="S1 15" xfId="1162"/>
    <cellStyle name="S1 150" xfId="1163"/>
    <cellStyle name="S1 151" xfId="1164"/>
    <cellStyle name="S1 152" xfId="1165"/>
    <cellStyle name="S1 153" xfId="1166"/>
    <cellStyle name="S1 154" xfId="1167"/>
    <cellStyle name="S1 155" xfId="1168"/>
    <cellStyle name="S1 156" xfId="1169"/>
    <cellStyle name="S1 157" xfId="1170"/>
    <cellStyle name="S1 158" xfId="1171"/>
    <cellStyle name="S1 159" xfId="1172"/>
    <cellStyle name="S1 16" xfId="1173"/>
    <cellStyle name="S1 160" xfId="1174"/>
    <cellStyle name="S1 161" xfId="1175"/>
    <cellStyle name="S1 162" xfId="1176"/>
    <cellStyle name="S1 163" xfId="1177"/>
    <cellStyle name="S1 164" xfId="1178"/>
    <cellStyle name="S1 165" xfId="1179"/>
    <cellStyle name="S1 166" xfId="1180"/>
    <cellStyle name="S1 167" xfId="1181"/>
    <cellStyle name="S1 168" xfId="1182"/>
    <cellStyle name="S1 169" xfId="1183"/>
    <cellStyle name="S1 17" xfId="1184"/>
    <cellStyle name="S1 170" xfId="1185"/>
    <cellStyle name="S1 171" xfId="1186"/>
    <cellStyle name="S1 172" xfId="1187"/>
    <cellStyle name="S1 173" xfId="1188"/>
    <cellStyle name="S1 174" xfId="1189"/>
    <cellStyle name="S1 175" xfId="1190"/>
    <cellStyle name="S1 176" xfId="1191"/>
    <cellStyle name="S1 177" xfId="1192"/>
    <cellStyle name="S1 178" xfId="1193"/>
    <cellStyle name="S1 179" xfId="1194"/>
    <cellStyle name="S1 18" xfId="1195"/>
    <cellStyle name="S1 180" xfId="1196"/>
    <cellStyle name="S1 181" xfId="1197"/>
    <cellStyle name="S1 182" xfId="1198"/>
    <cellStyle name="S1 183" xfId="1199"/>
    <cellStyle name="S1 184" xfId="1200"/>
    <cellStyle name="S1 185" xfId="1201"/>
    <cellStyle name="S1 186" xfId="1202"/>
    <cellStyle name="S1 187" xfId="1203"/>
    <cellStyle name="S1 188" xfId="1204"/>
    <cellStyle name="S1 189" xfId="1205"/>
    <cellStyle name="S1 19" xfId="1206"/>
    <cellStyle name="S1 190" xfId="1207"/>
    <cellStyle name="S1 191" xfId="1208"/>
    <cellStyle name="S1 192" xfId="1209"/>
    <cellStyle name="S1 193" xfId="1210"/>
    <cellStyle name="S1 194" xfId="1211"/>
    <cellStyle name="S1 195" xfId="1212"/>
    <cellStyle name="S1 196" xfId="1213"/>
    <cellStyle name="S1 197" xfId="1214"/>
    <cellStyle name="S1 198" xfId="1215"/>
    <cellStyle name="S1 199" xfId="1216"/>
    <cellStyle name="S1 2" xfId="1217"/>
    <cellStyle name="S1 2 2" xfId="1218"/>
    <cellStyle name="S1 20" xfId="1219"/>
    <cellStyle name="S1 200" xfId="1220"/>
    <cellStyle name="S1 201" xfId="1221"/>
    <cellStyle name="S1 202" xfId="1222"/>
    <cellStyle name="S1 203" xfId="1223"/>
    <cellStyle name="S1 204" xfId="1224"/>
    <cellStyle name="S1 205" xfId="1225"/>
    <cellStyle name="S1 206" xfId="1226"/>
    <cellStyle name="S1 207" xfId="1227"/>
    <cellStyle name="S1 208" xfId="1228"/>
    <cellStyle name="S1 209" xfId="1229"/>
    <cellStyle name="S1 21" xfId="1230"/>
    <cellStyle name="S1 210" xfId="1231"/>
    <cellStyle name="S1 211" xfId="1232"/>
    <cellStyle name="S1 212" xfId="1233"/>
    <cellStyle name="S1 213" xfId="1234"/>
    <cellStyle name="S1 214" xfId="1235"/>
    <cellStyle name="S1 215" xfId="1236"/>
    <cellStyle name="S1 216" xfId="1237"/>
    <cellStyle name="S1 217" xfId="1238"/>
    <cellStyle name="S1 218" xfId="1239"/>
    <cellStyle name="S1 219" xfId="1240"/>
    <cellStyle name="S1 22" xfId="1241"/>
    <cellStyle name="S1 220" xfId="1242"/>
    <cellStyle name="S1 221" xfId="1243"/>
    <cellStyle name="S1 222" xfId="1244"/>
    <cellStyle name="S1 223" xfId="1245"/>
    <cellStyle name="S1 224" xfId="1246"/>
    <cellStyle name="S1 225" xfId="1247"/>
    <cellStyle name="S1 226" xfId="1248"/>
    <cellStyle name="S1 227" xfId="1249"/>
    <cellStyle name="S1 228" xfId="1250"/>
    <cellStyle name="S1 229" xfId="1251"/>
    <cellStyle name="S1 23" xfId="1252"/>
    <cellStyle name="S1 230" xfId="1253"/>
    <cellStyle name="S1 231" xfId="1254"/>
    <cellStyle name="S1 232" xfId="1255"/>
    <cellStyle name="S1 233" xfId="1256"/>
    <cellStyle name="S1 234" xfId="1257"/>
    <cellStyle name="S1 235" xfId="1258"/>
    <cellStyle name="S1 236" xfId="1259"/>
    <cellStyle name="S1 237" xfId="1260"/>
    <cellStyle name="S1 238" xfId="1261"/>
    <cellStyle name="S1 239" xfId="1262"/>
    <cellStyle name="S1 24" xfId="1263"/>
    <cellStyle name="S1 240" xfId="1264"/>
    <cellStyle name="S1 241" xfId="1265"/>
    <cellStyle name="S1 242" xfId="1266"/>
    <cellStyle name="S1 243" xfId="1267"/>
    <cellStyle name="S1 244" xfId="1268"/>
    <cellStyle name="S1 245" xfId="1269"/>
    <cellStyle name="S1 246" xfId="1270"/>
    <cellStyle name="S1 247" xfId="1271"/>
    <cellStyle name="S1 248" xfId="1272"/>
    <cellStyle name="S1 249" xfId="1273"/>
    <cellStyle name="S1 25" xfId="1274"/>
    <cellStyle name="S1 250" xfId="1275"/>
    <cellStyle name="S1 251" xfId="1276"/>
    <cellStyle name="S1 252" xfId="1277"/>
    <cellStyle name="S1 253" xfId="1278"/>
    <cellStyle name="S1 254" xfId="1279"/>
    <cellStyle name="S1 255" xfId="1280"/>
    <cellStyle name="S1 256" xfId="1281"/>
    <cellStyle name="S1 257" xfId="1282"/>
    <cellStyle name="S1 258" xfId="1283"/>
    <cellStyle name="S1 259" xfId="1284"/>
    <cellStyle name="S1 26" xfId="1285"/>
    <cellStyle name="S1 260" xfId="1286"/>
    <cellStyle name="S1 261" xfId="1287"/>
    <cellStyle name="S1 262" xfId="1288"/>
    <cellStyle name="S1 263" xfId="1289"/>
    <cellStyle name="S1 264" xfId="1290"/>
    <cellStyle name="S1 265" xfId="1291"/>
    <cellStyle name="S1 265 2" xfId="1292"/>
    <cellStyle name="S1 266" xfId="1293"/>
    <cellStyle name="S1 27" xfId="1294"/>
    <cellStyle name="S1 28" xfId="1295"/>
    <cellStyle name="S1 29" xfId="1296"/>
    <cellStyle name="S1 3" xfId="1297"/>
    <cellStyle name="S1 3 2" xfId="1298"/>
    <cellStyle name="S1 30" xfId="1299"/>
    <cellStyle name="S1 31" xfId="1300"/>
    <cellStyle name="S1 32" xfId="1301"/>
    <cellStyle name="S1 33" xfId="1302"/>
    <cellStyle name="S1 34" xfId="1303"/>
    <cellStyle name="S1 35" xfId="1304"/>
    <cellStyle name="S1 36" xfId="1305"/>
    <cellStyle name="S1 37" xfId="1306"/>
    <cellStyle name="S1 38" xfId="1307"/>
    <cellStyle name="S1 39" xfId="1308"/>
    <cellStyle name="S1 4" xfId="1309"/>
    <cellStyle name="S1 40" xfId="1310"/>
    <cellStyle name="S1 41" xfId="1311"/>
    <cellStyle name="S1 42" xfId="1312"/>
    <cellStyle name="S1 43" xfId="1313"/>
    <cellStyle name="S1 44" xfId="1314"/>
    <cellStyle name="S1 45" xfId="1315"/>
    <cellStyle name="S1 46" xfId="1316"/>
    <cellStyle name="S1 47" xfId="1317"/>
    <cellStyle name="S1 48" xfId="1318"/>
    <cellStyle name="S1 49" xfId="1319"/>
    <cellStyle name="S1 5" xfId="1320"/>
    <cellStyle name="S1 50" xfId="1321"/>
    <cellStyle name="S1 51" xfId="1322"/>
    <cellStyle name="S1 52" xfId="1323"/>
    <cellStyle name="S1 53" xfId="1324"/>
    <cellStyle name="S1 54" xfId="1325"/>
    <cellStyle name="S1 55" xfId="1326"/>
    <cellStyle name="S1 56" xfId="1327"/>
    <cellStyle name="S1 57" xfId="1328"/>
    <cellStyle name="S1 58" xfId="1329"/>
    <cellStyle name="S1 59" xfId="1330"/>
    <cellStyle name="S1 6" xfId="1331"/>
    <cellStyle name="S1 60" xfId="1332"/>
    <cellStyle name="S1 61" xfId="1333"/>
    <cellStyle name="S1 62" xfId="1334"/>
    <cellStyle name="S1 63" xfId="1335"/>
    <cellStyle name="S1 64" xfId="1336"/>
    <cellStyle name="S1 65" xfId="1337"/>
    <cellStyle name="S1 66" xfId="1338"/>
    <cellStyle name="S1 67" xfId="1339"/>
    <cellStyle name="S1 68" xfId="1340"/>
    <cellStyle name="S1 69" xfId="1341"/>
    <cellStyle name="S1 7" xfId="1342"/>
    <cellStyle name="S1 70" xfId="1343"/>
    <cellStyle name="S1 71" xfId="1344"/>
    <cellStyle name="S1 72" xfId="1345"/>
    <cellStyle name="S1 73" xfId="1346"/>
    <cellStyle name="S1 74" xfId="1347"/>
    <cellStyle name="S1 75" xfId="1348"/>
    <cellStyle name="S1 76" xfId="1349"/>
    <cellStyle name="S1 77" xfId="1350"/>
    <cellStyle name="S1 78" xfId="1351"/>
    <cellStyle name="S1 79" xfId="1352"/>
    <cellStyle name="S1 8" xfId="1353"/>
    <cellStyle name="S1 80" xfId="1354"/>
    <cellStyle name="S1 81" xfId="1355"/>
    <cellStyle name="S1 82" xfId="1356"/>
    <cellStyle name="S1 83" xfId="1357"/>
    <cellStyle name="S1 84" xfId="1358"/>
    <cellStyle name="S1 85" xfId="1359"/>
    <cellStyle name="S1 86" xfId="1360"/>
    <cellStyle name="S1 87" xfId="1361"/>
    <cellStyle name="S1 88" xfId="1362"/>
    <cellStyle name="S1 89" xfId="1363"/>
    <cellStyle name="S1 9" xfId="1364"/>
    <cellStyle name="S1 90" xfId="1365"/>
    <cellStyle name="S1 91" xfId="1366"/>
    <cellStyle name="S1 92" xfId="1367"/>
    <cellStyle name="S1 93" xfId="1368"/>
    <cellStyle name="S1 94" xfId="1369"/>
    <cellStyle name="S1 95" xfId="1370"/>
    <cellStyle name="S1 96" xfId="1371"/>
    <cellStyle name="S1 97" xfId="1372"/>
    <cellStyle name="S1 98" xfId="1373"/>
    <cellStyle name="S1 99" xfId="1374"/>
    <cellStyle name="S1_PENJKIU02" xfId="1375"/>
    <cellStyle name="S10" xfId="1376"/>
    <cellStyle name="S10 10" xfId="1377"/>
    <cellStyle name="S10 11" xfId="1378"/>
    <cellStyle name="S10 12" xfId="1379"/>
    <cellStyle name="S10 13" xfId="1380"/>
    <cellStyle name="S10 13 2" xfId="1381"/>
    <cellStyle name="S10 14" xfId="1382"/>
    <cellStyle name="S10 15" xfId="1383"/>
    <cellStyle name="S10 16" xfId="1384"/>
    <cellStyle name="S10 19" xfId="1385"/>
    <cellStyle name="S10 2" xfId="1386"/>
    <cellStyle name="S10 2 2" xfId="1387"/>
    <cellStyle name="S10 2 3" xfId="1388"/>
    <cellStyle name="S10 3" xfId="1389"/>
    <cellStyle name="S10 3 2" xfId="1390"/>
    <cellStyle name="S10 4" xfId="1391"/>
    <cellStyle name="S10 4 2" xfId="1392"/>
    <cellStyle name="S10 5" xfId="1393"/>
    <cellStyle name="S10 6" xfId="1394"/>
    <cellStyle name="S10 7" xfId="1395"/>
    <cellStyle name="S10 8" xfId="1396"/>
    <cellStyle name="S10 9" xfId="1397"/>
    <cellStyle name="S10_Sheet1" xfId="1398"/>
    <cellStyle name="S11" xfId="1399"/>
    <cellStyle name="S11 10" xfId="1400"/>
    <cellStyle name="S11 10 2" xfId="1401"/>
    <cellStyle name="S11 11" xfId="1402"/>
    <cellStyle name="S11 12" xfId="1403"/>
    <cellStyle name="S11 13" xfId="1404"/>
    <cellStyle name="S11 14" xfId="1405"/>
    <cellStyle name="S11 2" xfId="1406"/>
    <cellStyle name="S11 2 2" xfId="1407"/>
    <cellStyle name="S11 2 3" xfId="1408"/>
    <cellStyle name="S11 3" xfId="1409"/>
    <cellStyle name="S11 3 2" xfId="1410"/>
    <cellStyle name="S11 4" xfId="1411"/>
    <cellStyle name="S11 5" xfId="1412"/>
    <cellStyle name="S11 6" xfId="1413"/>
    <cellStyle name="S11 7" xfId="1414"/>
    <cellStyle name="S11 8" xfId="1415"/>
    <cellStyle name="S11 9" xfId="1416"/>
    <cellStyle name="S12" xfId="1417"/>
    <cellStyle name="S12 2" xfId="1418"/>
    <cellStyle name="S12 2 2" xfId="1419"/>
    <cellStyle name="S12 3" xfId="1420"/>
    <cellStyle name="S12 4" xfId="1421"/>
    <cellStyle name="S12 5" xfId="1422"/>
    <cellStyle name="S12 6" xfId="1423"/>
    <cellStyle name="S12 6 2" xfId="1424"/>
    <cellStyle name="S12 7" xfId="1425"/>
    <cellStyle name="S12 8" xfId="1426"/>
    <cellStyle name="S13" xfId="1427"/>
    <cellStyle name="S13 2" xfId="1428"/>
    <cellStyle name="S13 2 2" xfId="1429"/>
    <cellStyle name="S13 2 3" xfId="1430"/>
    <cellStyle name="S13 3" xfId="1431"/>
    <cellStyle name="S13 3 2" xfId="1432"/>
    <cellStyle name="S13 4" xfId="1433"/>
    <cellStyle name="S13 4 2" xfId="1434"/>
    <cellStyle name="S13 5" xfId="1435"/>
    <cellStyle name="S13 6" xfId="1436"/>
    <cellStyle name="S13 7" xfId="1437"/>
    <cellStyle name="S14" xfId="1438"/>
    <cellStyle name="S14 2" xfId="1439"/>
    <cellStyle name="S14 3" xfId="1440"/>
    <cellStyle name="S14 3 2" xfId="1441"/>
    <cellStyle name="S14 4" xfId="1442"/>
    <cellStyle name="S15" xfId="1443"/>
    <cellStyle name="S15 2" xfId="1444"/>
    <cellStyle name="S15 3" xfId="1445"/>
    <cellStyle name="S16" xfId="1446"/>
    <cellStyle name="S16 2" xfId="1447"/>
    <cellStyle name="S16 3" xfId="1448"/>
    <cellStyle name="S17" xfId="1449"/>
    <cellStyle name="S18" xfId="1450"/>
    <cellStyle name="S19" xfId="1451"/>
    <cellStyle name="S2" xfId="1452"/>
    <cellStyle name="S2 10" xfId="1453"/>
    <cellStyle name="S2 100" xfId="1454"/>
    <cellStyle name="S2 101" xfId="1455"/>
    <cellStyle name="S2 102" xfId="1456"/>
    <cellStyle name="S2 103" xfId="1457"/>
    <cellStyle name="S2 104" xfId="1458"/>
    <cellStyle name="S2 105" xfId="1459"/>
    <cellStyle name="S2 106" xfId="1460"/>
    <cellStyle name="S2 107" xfId="1461"/>
    <cellStyle name="S2 108" xfId="1462"/>
    <cellStyle name="S2 109" xfId="1463"/>
    <cellStyle name="S2 11" xfId="1464"/>
    <cellStyle name="S2 110" xfId="1465"/>
    <cellStyle name="S2 111" xfId="1466"/>
    <cellStyle name="S2 112" xfId="1467"/>
    <cellStyle name="S2 113" xfId="1468"/>
    <cellStyle name="S2 114" xfId="1469"/>
    <cellStyle name="S2 115" xfId="1470"/>
    <cellStyle name="S2 116" xfId="1471"/>
    <cellStyle name="S2 117" xfId="1472"/>
    <cellStyle name="S2 118" xfId="1473"/>
    <cellStyle name="S2 119" xfId="1474"/>
    <cellStyle name="S2 12" xfId="1475"/>
    <cellStyle name="S2 120" xfId="1476"/>
    <cellStyle name="S2 121" xfId="1477"/>
    <cellStyle name="S2 122" xfId="1478"/>
    <cellStyle name="S2 123" xfId="1479"/>
    <cellStyle name="S2 124" xfId="1480"/>
    <cellStyle name="S2 125" xfId="1481"/>
    <cellStyle name="S2 126" xfId="1482"/>
    <cellStyle name="S2 127" xfId="1483"/>
    <cellStyle name="S2 128" xfId="1484"/>
    <cellStyle name="S2 129" xfId="1485"/>
    <cellStyle name="S2 13" xfId="1486"/>
    <cellStyle name="S2 130" xfId="1487"/>
    <cellStyle name="S2 131" xfId="1488"/>
    <cellStyle name="S2 132" xfId="1489"/>
    <cellStyle name="S2 133" xfId="1490"/>
    <cellStyle name="S2 134" xfId="1491"/>
    <cellStyle name="S2 135" xfId="1492"/>
    <cellStyle name="S2 136" xfId="1493"/>
    <cellStyle name="S2 137" xfId="1494"/>
    <cellStyle name="S2 138" xfId="1495"/>
    <cellStyle name="S2 139" xfId="1496"/>
    <cellStyle name="S2 14" xfId="1497"/>
    <cellStyle name="S2 140" xfId="1498"/>
    <cellStyle name="S2 141" xfId="1499"/>
    <cellStyle name="S2 142" xfId="1500"/>
    <cellStyle name="S2 143" xfId="1501"/>
    <cellStyle name="S2 144" xfId="1502"/>
    <cellStyle name="S2 145" xfId="1503"/>
    <cellStyle name="S2 146" xfId="1504"/>
    <cellStyle name="S2 147" xfId="1505"/>
    <cellStyle name="S2 148" xfId="1506"/>
    <cellStyle name="S2 149" xfId="1507"/>
    <cellStyle name="S2 15" xfId="1508"/>
    <cellStyle name="S2 150" xfId="1509"/>
    <cellStyle name="S2 151" xfId="1510"/>
    <cellStyle name="S2 152" xfId="1511"/>
    <cellStyle name="S2 153" xfId="1512"/>
    <cellStyle name="S2 154" xfId="1513"/>
    <cellStyle name="S2 155" xfId="1514"/>
    <cellStyle name="S2 156" xfId="1515"/>
    <cellStyle name="S2 157" xfId="1516"/>
    <cellStyle name="S2 158" xfId="1517"/>
    <cellStyle name="S2 159" xfId="1518"/>
    <cellStyle name="S2 16" xfId="1519"/>
    <cellStyle name="S2 160" xfId="1520"/>
    <cellStyle name="S2 161" xfId="1521"/>
    <cellStyle name="S2 162" xfId="1522"/>
    <cellStyle name="S2 163" xfId="1523"/>
    <cellStyle name="S2 164" xfId="1524"/>
    <cellStyle name="S2 165" xfId="1525"/>
    <cellStyle name="S2 166" xfId="1526"/>
    <cellStyle name="S2 167" xfId="1527"/>
    <cellStyle name="S2 168" xfId="1528"/>
    <cellStyle name="S2 169" xfId="1529"/>
    <cellStyle name="S2 17" xfId="1530"/>
    <cellStyle name="S2 170" xfId="1531"/>
    <cellStyle name="S2 171" xfId="1532"/>
    <cellStyle name="S2 172" xfId="1533"/>
    <cellStyle name="S2 173" xfId="1534"/>
    <cellStyle name="S2 174" xfId="1535"/>
    <cellStyle name="S2 175" xfId="1536"/>
    <cellStyle name="S2 176" xfId="1537"/>
    <cellStyle name="S2 177" xfId="1538"/>
    <cellStyle name="S2 178" xfId="1539"/>
    <cellStyle name="S2 179" xfId="1540"/>
    <cellStyle name="S2 18" xfId="1541"/>
    <cellStyle name="S2 180" xfId="1542"/>
    <cellStyle name="S2 181" xfId="1543"/>
    <cellStyle name="S2 182" xfId="1544"/>
    <cellStyle name="S2 183" xfId="1545"/>
    <cellStyle name="S2 184" xfId="1546"/>
    <cellStyle name="S2 185" xfId="1547"/>
    <cellStyle name="S2 186" xfId="1548"/>
    <cellStyle name="S2 187" xfId="1549"/>
    <cellStyle name="S2 188" xfId="1550"/>
    <cellStyle name="S2 189" xfId="1551"/>
    <cellStyle name="S2 19" xfId="1552"/>
    <cellStyle name="S2 190" xfId="1553"/>
    <cellStyle name="S2 191" xfId="1554"/>
    <cellStyle name="S2 192" xfId="1555"/>
    <cellStyle name="S2 193" xfId="1556"/>
    <cellStyle name="S2 194" xfId="1557"/>
    <cellStyle name="S2 195" xfId="1558"/>
    <cellStyle name="S2 196" xfId="1559"/>
    <cellStyle name="S2 197" xfId="1560"/>
    <cellStyle name="S2 198" xfId="1561"/>
    <cellStyle name="S2 199" xfId="1562"/>
    <cellStyle name="S2 2" xfId="1563"/>
    <cellStyle name="S2 2 2" xfId="1564"/>
    <cellStyle name="S2 20" xfId="1565"/>
    <cellStyle name="S2 200" xfId="1566"/>
    <cellStyle name="S2 201" xfId="1567"/>
    <cellStyle name="S2 202" xfId="1568"/>
    <cellStyle name="S2 203" xfId="1569"/>
    <cellStyle name="S2 204" xfId="1570"/>
    <cellStyle name="S2 205" xfId="1571"/>
    <cellStyle name="S2 206" xfId="1572"/>
    <cellStyle name="S2 207" xfId="1573"/>
    <cellStyle name="S2 208" xfId="1574"/>
    <cellStyle name="S2 209" xfId="1575"/>
    <cellStyle name="S2 21" xfId="1576"/>
    <cellStyle name="S2 210" xfId="1577"/>
    <cellStyle name="S2 211" xfId="1578"/>
    <cellStyle name="S2 212" xfId="1579"/>
    <cellStyle name="S2 213" xfId="1580"/>
    <cellStyle name="S2 214" xfId="1581"/>
    <cellStyle name="S2 215" xfId="1582"/>
    <cellStyle name="S2 216" xfId="1583"/>
    <cellStyle name="S2 217" xfId="1584"/>
    <cellStyle name="S2 218" xfId="1585"/>
    <cellStyle name="S2 219" xfId="1586"/>
    <cellStyle name="S2 22" xfId="1587"/>
    <cellStyle name="S2 220" xfId="1588"/>
    <cellStyle name="S2 221" xfId="1589"/>
    <cellStyle name="S2 222" xfId="1590"/>
    <cellStyle name="S2 223" xfId="1591"/>
    <cellStyle name="S2 224" xfId="1592"/>
    <cellStyle name="S2 225" xfId="1593"/>
    <cellStyle name="S2 226" xfId="1594"/>
    <cellStyle name="S2 227" xfId="1595"/>
    <cellStyle name="S2 228" xfId="1596"/>
    <cellStyle name="S2 229" xfId="1597"/>
    <cellStyle name="S2 23" xfId="1598"/>
    <cellStyle name="S2 230" xfId="1599"/>
    <cellStyle name="S2 231" xfId="1600"/>
    <cellStyle name="S2 232" xfId="1601"/>
    <cellStyle name="S2 233" xfId="1602"/>
    <cellStyle name="S2 234" xfId="1603"/>
    <cellStyle name="S2 235" xfId="1604"/>
    <cellStyle name="S2 236" xfId="1605"/>
    <cellStyle name="S2 237" xfId="1606"/>
    <cellStyle name="S2 238" xfId="1607"/>
    <cellStyle name="S2 239" xfId="1608"/>
    <cellStyle name="S2 24" xfId="1609"/>
    <cellStyle name="S2 240" xfId="1610"/>
    <cellStyle name="S2 241" xfId="1611"/>
    <cellStyle name="S2 242" xfId="1612"/>
    <cellStyle name="S2 243" xfId="1613"/>
    <cellStyle name="S2 244" xfId="1614"/>
    <cellStyle name="S2 245" xfId="1615"/>
    <cellStyle name="S2 246" xfId="1616"/>
    <cellStyle name="S2 247" xfId="1617"/>
    <cellStyle name="S2 248" xfId="1618"/>
    <cellStyle name="S2 249" xfId="1619"/>
    <cellStyle name="S2 25" xfId="1620"/>
    <cellStyle name="S2 250" xfId="1621"/>
    <cellStyle name="S2 251" xfId="1622"/>
    <cellStyle name="S2 252" xfId="1623"/>
    <cellStyle name="S2 253" xfId="1624"/>
    <cellStyle name="S2 254" xfId="1625"/>
    <cellStyle name="S2 255" xfId="1626"/>
    <cellStyle name="S2 256" xfId="1627"/>
    <cellStyle name="S2 257" xfId="1628"/>
    <cellStyle name="S2 258" xfId="1629"/>
    <cellStyle name="S2 259" xfId="1630"/>
    <cellStyle name="S2 26" xfId="1631"/>
    <cellStyle name="S2 260" xfId="1632"/>
    <cellStyle name="S2 261" xfId="1633"/>
    <cellStyle name="S2 262" xfId="1634"/>
    <cellStyle name="S2 263" xfId="1635"/>
    <cellStyle name="S2 264" xfId="1636"/>
    <cellStyle name="S2 265" xfId="1637"/>
    <cellStyle name="S2 265 2" xfId="1638"/>
    <cellStyle name="S2 266" xfId="1639"/>
    <cellStyle name="S2 27" xfId="1640"/>
    <cellStyle name="S2 28" xfId="1641"/>
    <cellStyle name="S2 29" xfId="1642"/>
    <cellStyle name="S2 3" xfId="1643"/>
    <cellStyle name="S2 3 2" xfId="1644"/>
    <cellStyle name="S2 30" xfId="1645"/>
    <cellStyle name="S2 31" xfId="1646"/>
    <cellStyle name="S2 32" xfId="1647"/>
    <cellStyle name="S2 33" xfId="1648"/>
    <cellStyle name="S2 34" xfId="1649"/>
    <cellStyle name="S2 35" xfId="1650"/>
    <cellStyle name="S2 36" xfId="1651"/>
    <cellStyle name="S2 37" xfId="1652"/>
    <cellStyle name="S2 38" xfId="1653"/>
    <cellStyle name="S2 39" xfId="1654"/>
    <cellStyle name="S2 4" xfId="1655"/>
    <cellStyle name="S2 40" xfId="1656"/>
    <cellStyle name="S2 41" xfId="1657"/>
    <cellStyle name="S2 42" xfId="1658"/>
    <cellStyle name="S2 43" xfId="1659"/>
    <cellStyle name="S2 44" xfId="1660"/>
    <cellStyle name="S2 45" xfId="1661"/>
    <cellStyle name="S2 46" xfId="1662"/>
    <cellStyle name="S2 47" xfId="1663"/>
    <cellStyle name="S2 48" xfId="1664"/>
    <cellStyle name="S2 49" xfId="1665"/>
    <cellStyle name="S2 5" xfId="1666"/>
    <cellStyle name="S2 50" xfId="1667"/>
    <cellStyle name="S2 51" xfId="1668"/>
    <cellStyle name="S2 52" xfId="1669"/>
    <cellStyle name="S2 53" xfId="1670"/>
    <cellStyle name="S2 54" xfId="1671"/>
    <cellStyle name="S2 55" xfId="1672"/>
    <cellStyle name="S2 56" xfId="1673"/>
    <cellStyle name="S2 57" xfId="1674"/>
    <cellStyle name="S2 58" xfId="1675"/>
    <cellStyle name="S2 59" xfId="1676"/>
    <cellStyle name="S2 6" xfId="1677"/>
    <cellStyle name="S2 60" xfId="1678"/>
    <cellStyle name="S2 61" xfId="1679"/>
    <cellStyle name="S2 62" xfId="1680"/>
    <cellStyle name="S2 63" xfId="1681"/>
    <cellStyle name="S2 64" xfId="1682"/>
    <cellStyle name="S2 65" xfId="1683"/>
    <cellStyle name="S2 66" xfId="1684"/>
    <cellStyle name="S2 67" xfId="1685"/>
    <cellStyle name="S2 68" xfId="1686"/>
    <cellStyle name="S2 69" xfId="1687"/>
    <cellStyle name="S2 7" xfId="1688"/>
    <cellStyle name="S2 70" xfId="1689"/>
    <cellStyle name="S2 71" xfId="1690"/>
    <cellStyle name="S2 72" xfId="1691"/>
    <cellStyle name="S2 73" xfId="1692"/>
    <cellStyle name="S2 74" xfId="1693"/>
    <cellStyle name="S2 75" xfId="1694"/>
    <cellStyle name="S2 76" xfId="1695"/>
    <cellStyle name="S2 77" xfId="1696"/>
    <cellStyle name="S2 78" xfId="1697"/>
    <cellStyle name="S2 79" xfId="1698"/>
    <cellStyle name="S2 8" xfId="1699"/>
    <cellStyle name="S2 80" xfId="1700"/>
    <cellStyle name="S2 81" xfId="1701"/>
    <cellStyle name="S2 82" xfId="1702"/>
    <cellStyle name="S2 83" xfId="1703"/>
    <cellStyle name="S2 84" xfId="1704"/>
    <cellStyle name="S2 85" xfId="1705"/>
    <cellStyle name="S2 86" xfId="1706"/>
    <cellStyle name="S2 87" xfId="1707"/>
    <cellStyle name="S2 88" xfId="1708"/>
    <cellStyle name="S2 89" xfId="1709"/>
    <cellStyle name="S2 9" xfId="1710"/>
    <cellStyle name="S2 90" xfId="1711"/>
    <cellStyle name="S2 91" xfId="1712"/>
    <cellStyle name="S2 92" xfId="1713"/>
    <cellStyle name="S2 93" xfId="1714"/>
    <cellStyle name="S2 94" xfId="1715"/>
    <cellStyle name="S2 95" xfId="1716"/>
    <cellStyle name="S2 96" xfId="1717"/>
    <cellStyle name="S2 97" xfId="1718"/>
    <cellStyle name="S2 98" xfId="1719"/>
    <cellStyle name="S2 99" xfId="1720"/>
    <cellStyle name="S2_PENJKIU02" xfId="1721"/>
    <cellStyle name="S20" xfId="1722"/>
    <cellStyle name="S21" xfId="1723"/>
    <cellStyle name="S22" xfId="1724"/>
    <cellStyle name="S23" xfId="1725"/>
    <cellStyle name="S24" xfId="1726"/>
    <cellStyle name="S25" xfId="1727"/>
    <cellStyle name="S26" xfId="1728"/>
    <cellStyle name="S27" xfId="1729"/>
    <cellStyle name="S28" xfId="1730"/>
    <cellStyle name="S29" xfId="1731"/>
    <cellStyle name="S3" xfId="1732"/>
    <cellStyle name="S3 10" xfId="1733"/>
    <cellStyle name="S3 2" xfId="1734"/>
    <cellStyle name="S3 2 2" xfId="1735"/>
    <cellStyle name="S3 3" xfId="1736"/>
    <cellStyle name="S3 3 2" xfId="1737"/>
    <cellStyle name="S3 4" xfId="1738"/>
    <cellStyle name="S3 5" xfId="1739"/>
    <cellStyle name="S3 6" xfId="1740"/>
    <cellStyle name="S3 7" xfId="1741"/>
    <cellStyle name="S3 8" xfId="1742"/>
    <cellStyle name="S3 9" xfId="1743"/>
    <cellStyle name="S3 9 2" xfId="1744"/>
    <cellStyle name="S3_PENJKIU02" xfId="1745"/>
    <cellStyle name="S30" xfId="1746"/>
    <cellStyle name="S31" xfId="1747"/>
    <cellStyle name="S32" xfId="1748"/>
    <cellStyle name="S33" xfId="1749"/>
    <cellStyle name="S34" xfId="1750"/>
    <cellStyle name="S35" xfId="1751"/>
    <cellStyle name="S36" xfId="1752"/>
    <cellStyle name="S4" xfId="1753"/>
    <cellStyle name="S4 10" xfId="1754"/>
    <cellStyle name="S4 11" xfId="1755"/>
    <cellStyle name="S4 12" xfId="1756"/>
    <cellStyle name="S4 12 2" xfId="1757"/>
    <cellStyle name="S4 13" xfId="1758"/>
    <cellStyle name="S4 14" xfId="1759"/>
    <cellStyle name="S4 14 2" xfId="1760"/>
    <cellStyle name="S4 19" xfId="1761"/>
    <cellStyle name="S4 2" xfId="1762"/>
    <cellStyle name="S4 2 2" xfId="1763"/>
    <cellStyle name="S4 3" xfId="1764"/>
    <cellStyle name="S4 3 2" xfId="1765"/>
    <cellStyle name="S4 4" xfId="1766"/>
    <cellStyle name="S4 4 2" xfId="1767"/>
    <cellStyle name="S4 5" xfId="1768"/>
    <cellStyle name="S4 5 2" xfId="1769"/>
    <cellStyle name="S4 6" xfId="1770"/>
    <cellStyle name="S4 7" xfId="1771"/>
    <cellStyle name="S4 8" xfId="1772"/>
    <cellStyle name="S4 9" xfId="1773"/>
    <cellStyle name="S4_PENJKIU02" xfId="1774"/>
    <cellStyle name="S5" xfId="1775"/>
    <cellStyle name="S5 10" xfId="1776"/>
    <cellStyle name="S5 10 2" xfId="1777"/>
    <cellStyle name="S5 11" xfId="1778"/>
    <cellStyle name="S5 19" xfId="1779"/>
    <cellStyle name="S5 19 2" xfId="1780"/>
    <cellStyle name="S5 2" xfId="1781"/>
    <cellStyle name="S5 2 2" xfId="1782"/>
    <cellStyle name="S5 2 3" xfId="1783"/>
    <cellStyle name="S5 3" xfId="1784"/>
    <cellStyle name="S5 3 2" xfId="1785"/>
    <cellStyle name="S5 3 3" xfId="1786"/>
    <cellStyle name="S5 4" xfId="1787"/>
    <cellStyle name="S5 4 2" xfId="1788"/>
    <cellStyle name="S5 5" xfId="1789"/>
    <cellStyle name="S5 6" xfId="1790"/>
    <cellStyle name="S5 6 2" xfId="1791"/>
    <cellStyle name="S5 7" xfId="1792"/>
    <cellStyle name="S5 8" xfId="1793"/>
    <cellStyle name="S5 9" xfId="1794"/>
    <cellStyle name="S5 9 2" xfId="1795"/>
    <cellStyle name="S5 9 3" xfId="1796"/>
    <cellStyle name="S5_PENJKIU02" xfId="1797"/>
    <cellStyle name="S6" xfId="1798"/>
    <cellStyle name="S6 10" xfId="1799"/>
    <cellStyle name="S6 11" xfId="1800"/>
    <cellStyle name="S6 11 2" xfId="1801"/>
    <cellStyle name="S6 11 3" xfId="1802"/>
    <cellStyle name="S6 12" xfId="1803"/>
    <cellStyle name="S6 13" xfId="1804"/>
    <cellStyle name="S6 13 2" xfId="1805"/>
    <cellStyle name="S6 14" xfId="1806"/>
    <cellStyle name="S6 15" xfId="1807"/>
    <cellStyle name="S6 18" xfId="1808"/>
    <cellStyle name="S6 18 2" xfId="1809"/>
    <cellStyle name="S6 2" xfId="1810"/>
    <cellStyle name="S6 2 2" xfId="1811"/>
    <cellStyle name="S6 2 3" xfId="1812"/>
    <cellStyle name="S6 3" xfId="1813"/>
    <cellStyle name="S6 3 2" xfId="1814"/>
    <cellStyle name="S6 4" xfId="1815"/>
    <cellStyle name="S6 4 2" xfId="1816"/>
    <cellStyle name="S6 5" xfId="1817"/>
    <cellStyle name="S6 5 2" xfId="1818"/>
    <cellStyle name="S6 6" xfId="1819"/>
    <cellStyle name="S6 7" xfId="1820"/>
    <cellStyle name="S6 8" xfId="1821"/>
    <cellStyle name="S6 9" xfId="1822"/>
    <cellStyle name="S6_PENJKIU02" xfId="1823"/>
    <cellStyle name="S7" xfId="1824"/>
    <cellStyle name="S7 10" xfId="1825"/>
    <cellStyle name="S7 10 2" xfId="1826"/>
    <cellStyle name="S7 10 3" xfId="1827"/>
    <cellStyle name="S7 11" xfId="1828"/>
    <cellStyle name="S7 12" xfId="1829"/>
    <cellStyle name="S7 12 2" xfId="1830"/>
    <cellStyle name="S7 13" xfId="1831"/>
    <cellStyle name="S7 14" xfId="1832"/>
    <cellStyle name="S7 19" xfId="1833"/>
    <cellStyle name="S7 19 2" xfId="1834"/>
    <cellStyle name="S7 19 2 2" xfId="1835"/>
    <cellStyle name="S7 19 3" xfId="1836"/>
    <cellStyle name="S7 2" xfId="1837"/>
    <cellStyle name="S7 2 2" xfId="1838"/>
    <cellStyle name="S7 2 3" xfId="1839"/>
    <cellStyle name="S7 2 4" xfId="1840"/>
    <cellStyle name="S7 3" xfId="1841"/>
    <cellStyle name="S7 3 2" xfId="1842"/>
    <cellStyle name="S7 4" xfId="1843"/>
    <cellStyle name="S7 5" xfId="1844"/>
    <cellStyle name="S7 6" xfId="1845"/>
    <cellStyle name="S7 6 2" xfId="1846"/>
    <cellStyle name="S7 7" xfId="1847"/>
    <cellStyle name="S7 8" xfId="1848"/>
    <cellStyle name="S7 9" xfId="1849"/>
    <cellStyle name="S7_PENJKIU02" xfId="1850"/>
    <cellStyle name="S8" xfId="1851"/>
    <cellStyle name="S8 10" xfId="1852"/>
    <cellStyle name="S8 11" xfId="1853"/>
    <cellStyle name="S8 2" xfId="1854"/>
    <cellStyle name="S8 2 2" xfId="1855"/>
    <cellStyle name="S8 2 3" xfId="1856"/>
    <cellStyle name="S8 3" xfId="1857"/>
    <cellStyle name="S8 3 2" xfId="1858"/>
    <cellStyle name="S8 3 3" xfId="1859"/>
    <cellStyle name="S8 4" xfId="1860"/>
    <cellStyle name="S8 4 2" xfId="1861"/>
    <cellStyle name="S8 5" xfId="1862"/>
    <cellStyle name="S8 5 2" xfId="1863"/>
    <cellStyle name="S8 6" xfId="1864"/>
    <cellStyle name="S8 7" xfId="1865"/>
    <cellStyle name="S8 8" xfId="1866"/>
    <cellStyle name="S8 8 2" xfId="1867"/>
    <cellStyle name="S8 9" xfId="1868"/>
    <cellStyle name="S8 9 2" xfId="1869"/>
    <cellStyle name="S8_PENJKIU02" xfId="1870"/>
    <cellStyle name="S9" xfId="1871"/>
    <cellStyle name="S9 10" xfId="1872"/>
    <cellStyle name="S9 11" xfId="1873"/>
    <cellStyle name="S9 11 2" xfId="1874"/>
    <cellStyle name="S9 11 3" xfId="1875"/>
    <cellStyle name="S9 12" xfId="1876"/>
    <cellStyle name="S9 13" xfId="1877"/>
    <cellStyle name="S9 14" xfId="1878"/>
    <cellStyle name="S9 2" xfId="1879"/>
    <cellStyle name="S9 2 2" xfId="1880"/>
    <cellStyle name="S9 2 3" xfId="1881"/>
    <cellStyle name="S9 3" xfId="1882"/>
    <cellStyle name="S9 3 2" xfId="1883"/>
    <cellStyle name="S9 4" xfId="1884"/>
    <cellStyle name="S9 5" xfId="1885"/>
    <cellStyle name="S9 6" xfId="1886"/>
    <cellStyle name="S9 7" xfId="1887"/>
    <cellStyle name="S9 8" xfId="1888"/>
    <cellStyle name="S9 9" xfId="1889"/>
    <cellStyle name="S9_PENJKIU02" xfId="1890"/>
  </cellStyles>
  <dxfs count="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</dxfs>
  <tableStyles count="0" defaultTableStyle="TableStyleMedium2" defaultPivotStyle="PivotStyleLight16"/>
  <colors>
    <mruColors>
      <color rgb="FF008000"/>
      <color rgb="FF00A200"/>
      <color rgb="FFFFFF99"/>
      <color rgb="FF0000FF"/>
      <color rgb="FFE75BC2"/>
      <color rgb="FF44E48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ka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Ika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2025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981</xdr:row>
      <xdr:rowOff>15875</xdr:rowOff>
    </xdr:from>
    <xdr:to>
      <xdr:col>7</xdr:col>
      <xdr:colOff>190500</xdr:colOff>
      <xdr:row>985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975</xdr:row>
      <xdr:rowOff>31750</xdr:rowOff>
    </xdr:from>
    <xdr:to>
      <xdr:col>7</xdr:col>
      <xdr:colOff>197037</xdr:colOff>
      <xdr:row>980</xdr:row>
      <xdr:rowOff>164523</xdr:rowOff>
    </xdr:to>
    <xdr:sp macro="" textlink="">
      <xdr:nvSpPr>
        <xdr:cNvPr id="4" name="Rectangle 3"/>
        <xdr:cNvSpPr/>
      </xdr:nvSpPr>
      <xdr:spPr>
        <a:xfrm>
          <a:off x="63500" y="61009068"/>
          <a:ext cx="5744628" cy="108527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050"/>
        </a:p>
      </xdr:txBody>
    </xdr:sp>
    <xdr:clientData/>
  </xdr:twoCellAnchor>
  <xdr:twoCellAnchor>
    <xdr:from>
      <xdr:col>2</xdr:col>
      <xdr:colOff>878542</xdr:colOff>
      <xdr:row>991</xdr:row>
      <xdr:rowOff>14899</xdr:rowOff>
    </xdr:from>
    <xdr:to>
      <xdr:col>2</xdr:col>
      <xdr:colOff>1057275</xdr:colOff>
      <xdr:row>992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993</xdr:row>
      <xdr:rowOff>14899</xdr:rowOff>
    </xdr:from>
    <xdr:to>
      <xdr:col>2</xdr:col>
      <xdr:colOff>1057275</xdr:colOff>
      <xdr:row>994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991</xdr:row>
      <xdr:rowOff>0</xdr:rowOff>
    </xdr:from>
    <xdr:to>
      <xdr:col>2</xdr:col>
      <xdr:colOff>2417108</xdr:colOff>
      <xdr:row>992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993</xdr:row>
      <xdr:rowOff>0</xdr:rowOff>
    </xdr:from>
    <xdr:to>
      <xdr:col>2</xdr:col>
      <xdr:colOff>2417108</xdr:colOff>
      <xdr:row>994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990</xdr:row>
      <xdr:rowOff>180975</xdr:rowOff>
    </xdr:from>
    <xdr:to>
      <xdr:col>5</xdr:col>
      <xdr:colOff>454958</xdr:colOff>
      <xdr:row>992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992</xdr:row>
      <xdr:rowOff>180975</xdr:rowOff>
    </xdr:from>
    <xdr:to>
      <xdr:col>5</xdr:col>
      <xdr:colOff>454958</xdr:colOff>
      <xdr:row>994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996</xdr:row>
      <xdr:rowOff>0</xdr:rowOff>
    </xdr:from>
    <xdr:to>
      <xdr:col>2</xdr:col>
      <xdr:colOff>1277470</xdr:colOff>
      <xdr:row>998</xdr:row>
      <xdr:rowOff>11206</xdr:rowOff>
    </xdr:to>
    <xdr:sp macro="" textlink="$W$987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IKA HERDIANA UTAMI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996</xdr:row>
      <xdr:rowOff>0</xdr:rowOff>
    </xdr:from>
    <xdr:to>
      <xdr:col>4</xdr:col>
      <xdr:colOff>179294</xdr:colOff>
      <xdr:row>998</xdr:row>
      <xdr:rowOff>11206</xdr:rowOff>
    </xdr:to>
    <xdr:sp macro="" textlink="$V$991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Ifa Istifarini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996</xdr:row>
      <xdr:rowOff>0</xdr:rowOff>
    </xdr:from>
    <xdr:to>
      <xdr:col>7</xdr:col>
      <xdr:colOff>150718</xdr:colOff>
      <xdr:row>998</xdr:row>
      <xdr:rowOff>11206</xdr:rowOff>
    </xdr:to>
    <xdr:sp macro="" textlink="$V$989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998</xdr:row>
      <xdr:rowOff>6722</xdr:rowOff>
    </xdr:from>
    <xdr:to>
      <xdr:col>2</xdr:col>
      <xdr:colOff>1272987</xdr:colOff>
      <xdr:row>1000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998</xdr:row>
      <xdr:rowOff>6722</xdr:rowOff>
    </xdr:from>
    <xdr:to>
      <xdr:col>4</xdr:col>
      <xdr:colOff>174811</xdr:colOff>
      <xdr:row>1000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998</xdr:row>
      <xdr:rowOff>6722</xdr:rowOff>
    </xdr:from>
    <xdr:to>
      <xdr:col>7</xdr:col>
      <xdr:colOff>146235</xdr:colOff>
      <xdr:row>1000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0975181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0975181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50006</xdr:colOff>
      <xdr:row>1</xdr:row>
      <xdr:rowOff>28575</xdr:rowOff>
    </xdr:from>
    <xdr:to>
      <xdr:col>24</xdr:col>
      <xdr:colOff>207169</xdr:colOff>
      <xdr:row>1</xdr:row>
      <xdr:rowOff>171450</xdr:rowOff>
    </xdr:to>
    <xdr:sp macro="" textlink="">
      <xdr:nvSpPr>
        <xdr:cNvPr id="29" name="Oval 28"/>
        <xdr:cNvSpPr/>
      </xdr:nvSpPr>
      <xdr:spPr>
        <a:xfrm>
          <a:off x="11480006" y="257175"/>
          <a:ext cx="157163" cy="142875"/>
        </a:xfrm>
        <a:prstGeom prst="ellipse">
          <a:avLst/>
        </a:prstGeom>
        <a:solidFill>
          <a:srgbClr val="FFFF00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40481</xdr:colOff>
      <xdr:row>2</xdr:row>
      <xdr:rowOff>28575</xdr:rowOff>
    </xdr:from>
    <xdr:to>
      <xdr:col>24</xdr:col>
      <xdr:colOff>197644</xdr:colOff>
      <xdr:row>2</xdr:row>
      <xdr:rowOff>171450</xdr:rowOff>
    </xdr:to>
    <xdr:sp macro="" textlink="">
      <xdr:nvSpPr>
        <xdr:cNvPr id="30" name="Oval 29"/>
        <xdr:cNvSpPr/>
      </xdr:nvSpPr>
      <xdr:spPr>
        <a:xfrm>
          <a:off x="11470481" y="485775"/>
          <a:ext cx="157163" cy="142875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50006</xdr:colOff>
      <xdr:row>1</xdr:row>
      <xdr:rowOff>28575</xdr:rowOff>
    </xdr:from>
    <xdr:to>
      <xdr:col>25</xdr:col>
      <xdr:colOff>207169</xdr:colOff>
      <xdr:row>1</xdr:row>
      <xdr:rowOff>171450</xdr:rowOff>
    </xdr:to>
    <xdr:sp macro="" textlink="">
      <xdr:nvSpPr>
        <xdr:cNvPr id="31" name="Oval 30"/>
        <xdr:cNvSpPr/>
      </xdr:nvSpPr>
      <xdr:spPr>
        <a:xfrm>
          <a:off x="11746706" y="2571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40481</xdr:colOff>
      <xdr:row>2</xdr:row>
      <xdr:rowOff>28575</xdr:rowOff>
    </xdr:from>
    <xdr:to>
      <xdr:col>25</xdr:col>
      <xdr:colOff>197644</xdr:colOff>
      <xdr:row>2</xdr:row>
      <xdr:rowOff>171450</xdr:rowOff>
    </xdr:to>
    <xdr:sp macro="" textlink="">
      <xdr:nvSpPr>
        <xdr:cNvPr id="32" name="Oval 31"/>
        <xdr:cNvSpPr/>
      </xdr:nvSpPr>
      <xdr:spPr>
        <a:xfrm>
          <a:off x="11737181" y="485775"/>
          <a:ext cx="157163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9525</xdr:colOff>
      <xdr:row>11</xdr:row>
      <xdr:rowOff>85725</xdr:rowOff>
    </xdr:from>
    <xdr:to>
      <xdr:col>3</xdr:col>
      <xdr:colOff>409575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33350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0</xdr:col>
      <xdr:colOff>85725</xdr:colOff>
      <xdr:row>1</xdr:row>
      <xdr:rowOff>9525</xdr:rowOff>
    </xdr:from>
    <xdr:to>
      <xdr:col>3</xdr:col>
      <xdr:colOff>361950</xdr:colOff>
      <xdr:row>6</xdr:row>
      <xdr:rowOff>66675</xdr:rowOff>
    </xdr:to>
    <xdr:sp macro="" textlink="">
      <xdr:nvSpPr>
        <xdr:cNvPr id="4" name="Rounded Rectangle 3"/>
        <xdr:cNvSpPr/>
      </xdr:nvSpPr>
      <xdr:spPr>
        <a:xfrm>
          <a:off x="85725" y="210608"/>
          <a:ext cx="1842558" cy="1210734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d-ID" sz="18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IKA</a:t>
          </a:r>
          <a:r>
            <a:rPr lang="id-ID" sz="1800" b="1" cap="all" spc="0" baseline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 HERDIANA UTAMI</a:t>
          </a:r>
        </a:p>
        <a:p>
          <a:endParaRPr lang="en-US" b="1" cap="all" spc="0">
            <a:ln w="9000" cmpd="sng">
              <a:solidFill>
                <a:schemeClr val="accent4">
                  <a:shade val="50000"/>
                  <a:satMod val="120000"/>
                </a:schemeClr>
              </a:solidFill>
              <a:prstDash val="solid"/>
            </a:ln>
            <a:gradFill>
              <a:gsLst>
                <a:gs pos="0">
                  <a:schemeClr val="accent4">
                    <a:shade val="20000"/>
                    <a:satMod val="245000"/>
                  </a:schemeClr>
                </a:gs>
                <a:gs pos="43000">
                  <a:schemeClr val="accent4">
                    <a:satMod val="255000"/>
                  </a:schemeClr>
                </a:gs>
                <a:gs pos="48000">
                  <a:schemeClr val="accent4">
                    <a:shade val="85000"/>
                    <a:satMod val="255000"/>
                  </a:schemeClr>
                </a:gs>
                <a:gs pos="100000">
                  <a:schemeClr val="accent4">
                    <a:shade val="20000"/>
                    <a:satMod val="245000"/>
                  </a:schemeClr>
                </a:gs>
              </a:gsLst>
              <a:lin ang="5400000"/>
            </a:gradFill>
            <a:effectLst>
              <a:reflection blurRad="12700" stA="28000" endPos="45000" dist="1000" dir="5400000" sy="-100000" algn="bl" rotWithShape="0"/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enjualan2\BACKUP%20TAGPD\1.%20SENIN\TAGPD%2005%202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ti/Downloads/Users/vita/Documents/OMessenger/Received%20files/wahyu/1Pribadi/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ak"/>
      <sheetName val="Cust 2021"/>
      <sheetName val="TAGPD"/>
      <sheetName val="Jagung Mei"/>
      <sheetName val="GROUP Q"/>
      <sheetName val="GROUP A"/>
      <sheetName val="GROUP"/>
      <sheetName val="Grup Desember"/>
      <sheetName val="BG MEI"/>
      <sheetName val="Grup Feb"/>
      <sheetName val="COVER PLAFON"/>
      <sheetName val="Grup Maret"/>
      <sheetName val="Grup April"/>
    </sheetNames>
    <sheetDataSet>
      <sheetData sheetId="0"/>
      <sheetData sheetId="1">
        <row r="2">
          <cell r="B2" t="str">
            <v>ABAT01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/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/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/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/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/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/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/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/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/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/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/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/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/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/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/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381" t="s">
        <v>0</v>
      </c>
      <c r="C1" s="382"/>
      <c r="D1" s="382"/>
      <c r="E1" s="383"/>
    </row>
    <row r="2" spans="2:18" x14ac:dyDescent="0.25">
      <c r="B2" s="384"/>
      <c r="C2" s="385"/>
      <c r="D2" s="385"/>
      <c r="E2" s="386"/>
    </row>
    <row r="3" spans="2:18" x14ac:dyDescent="0.25">
      <c r="B3" s="387" t="s">
        <v>1</v>
      </c>
      <c r="C3" s="388"/>
      <c r="D3" s="389"/>
      <c r="E3" s="1" t="s">
        <v>2</v>
      </c>
    </row>
    <row r="4" spans="2:18" x14ac:dyDescent="0.25">
      <c r="B4" s="387" t="s">
        <v>3</v>
      </c>
      <c r="C4" s="388"/>
      <c r="D4" s="389"/>
      <c r="E4" s="2" t="s">
        <v>4</v>
      </c>
    </row>
    <row r="5" spans="2:18" x14ac:dyDescent="0.25">
      <c r="B5" s="387" t="s">
        <v>5</v>
      </c>
      <c r="C5" s="388"/>
      <c r="D5" s="389"/>
      <c r="E5" s="2" t="s">
        <v>6</v>
      </c>
    </row>
    <row r="6" spans="2:18" x14ac:dyDescent="0.25">
      <c r="B6" s="387" t="s">
        <v>7</v>
      </c>
      <c r="C6" s="388"/>
      <c r="D6" s="389"/>
      <c r="E6" s="3">
        <v>44075</v>
      </c>
    </row>
    <row r="7" spans="2:18" x14ac:dyDescent="0.25">
      <c r="B7" s="387" t="s">
        <v>8</v>
      </c>
      <c r="C7" s="388"/>
      <c r="D7" s="389"/>
      <c r="E7" s="4" t="s">
        <v>9</v>
      </c>
    </row>
    <row r="8" spans="2:18" x14ac:dyDescent="0.25">
      <c r="B8" s="387" t="s">
        <v>10</v>
      </c>
      <c r="C8" s="388"/>
      <c r="D8" s="389"/>
      <c r="E8" s="5">
        <v>44136</v>
      </c>
    </row>
    <row r="10" spans="2:18" x14ac:dyDescent="0.25">
      <c r="B10" s="393" t="s">
        <v>11</v>
      </c>
      <c r="C10" s="394"/>
      <c r="D10" s="394"/>
      <c r="E10" s="394"/>
      <c r="F10" s="394"/>
      <c r="G10" s="394"/>
      <c r="H10" s="397" t="s">
        <v>12</v>
      </c>
      <c r="I10" s="398"/>
      <c r="J10" s="398"/>
      <c r="K10" s="398"/>
      <c r="L10" s="399"/>
    </row>
    <row r="11" spans="2:18" x14ac:dyDescent="0.25">
      <c r="B11" s="395"/>
      <c r="C11" s="396"/>
      <c r="D11" s="396"/>
      <c r="E11" s="396"/>
      <c r="F11" s="396"/>
      <c r="G11" s="396"/>
      <c r="H11" s="400"/>
      <c r="I11" s="401"/>
      <c r="J11" s="401"/>
      <c r="K11" s="401"/>
      <c r="L11" s="402"/>
    </row>
    <row r="12" spans="2:18" x14ac:dyDescent="0.25">
      <c r="B12" s="403">
        <v>1</v>
      </c>
      <c r="C12" s="404" t="s">
        <v>13</v>
      </c>
      <c r="D12" s="404"/>
      <c r="E12" s="404"/>
      <c r="F12" s="404"/>
      <c r="G12" s="404"/>
      <c r="H12" s="390" t="s">
        <v>14</v>
      </c>
      <c r="I12" s="390"/>
      <c r="J12" s="390"/>
      <c r="K12" s="390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403"/>
      <c r="C13" s="404"/>
      <c r="D13" s="404"/>
      <c r="E13" s="404"/>
      <c r="F13" s="404"/>
      <c r="G13" s="404"/>
      <c r="H13" s="390" t="s">
        <v>20</v>
      </c>
      <c r="I13" s="390"/>
      <c r="J13" s="390"/>
      <c r="K13" s="390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403"/>
      <c r="C14" s="404"/>
      <c r="D14" s="404"/>
      <c r="E14" s="404"/>
      <c r="F14" s="404"/>
      <c r="G14" s="404"/>
      <c r="H14" s="390" t="s">
        <v>23</v>
      </c>
      <c r="I14" s="390"/>
      <c r="J14" s="390"/>
      <c r="K14" s="390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403"/>
      <c r="C15" s="404"/>
      <c r="D15" s="404"/>
      <c r="E15" s="404"/>
      <c r="F15" s="404"/>
      <c r="G15" s="404"/>
      <c r="H15" s="390" t="s">
        <v>26</v>
      </c>
      <c r="I15" s="390"/>
      <c r="J15" s="390"/>
      <c r="K15" s="390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403"/>
      <c r="C16" s="405" t="s">
        <v>28</v>
      </c>
      <c r="D16" s="405"/>
      <c r="E16" s="405"/>
      <c r="F16" s="405"/>
      <c r="G16" s="405"/>
      <c r="H16" s="390" t="s">
        <v>29</v>
      </c>
      <c r="I16" s="390"/>
      <c r="J16" s="390"/>
      <c r="K16" s="390"/>
      <c r="L16" s="390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403"/>
      <c r="C17" s="390">
        <v>1</v>
      </c>
      <c r="D17" s="391" t="s">
        <v>31</v>
      </c>
      <c r="E17" s="391"/>
      <c r="F17" s="391"/>
      <c r="G17" s="391"/>
      <c r="H17" s="26" t="s">
        <v>32</v>
      </c>
      <c r="I17" s="27">
        <v>0.6</v>
      </c>
      <c r="J17" s="390" t="s">
        <v>33</v>
      </c>
      <c r="K17" s="390"/>
      <c r="L17" s="390"/>
      <c r="N17" s="28"/>
      <c r="O17" s="29"/>
      <c r="P17" s="30"/>
      <c r="Q17" s="30"/>
      <c r="R17" s="25"/>
    </row>
    <row r="18" spans="2:25" ht="15" customHeight="1" x14ac:dyDescent="0.25">
      <c r="B18" s="403"/>
      <c r="C18" s="390"/>
      <c r="D18" s="391"/>
      <c r="E18" s="391"/>
      <c r="F18" s="391"/>
      <c r="G18" s="391"/>
      <c r="H18" s="392">
        <v>4</v>
      </c>
      <c r="I18" s="392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15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403"/>
      <c r="C19" s="390"/>
      <c r="D19" s="391"/>
      <c r="E19" s="391"/>
      <c r="F19" s="391"/>
      <c r="G19" s="391"/>
      <c r="H19" s="392"/>
      <c r="I19" s="392"/>
      <c r="J19" s="6">
        <v>4</v>
      </c>
      <c r="K19" s="6" t="s">
        <v>34</v>
      </c>
      <c r="L19" s="6">
        <v>110</v>
      </c>
      <c r="N19" s="32"/>
      <c r="O19" s="416"/>
      <c r="P19" s="33">
        <v>0.6</v>
      </c>
      <c r="Q19" s="34">
        <f>P19*Q16</f>
        <v>72.912000000000006</v>
      </c>
    </row>
    <row r="20" spans="2:25" x14ac:dyDescent="0.25">
      <c r="B20" s="403"/>
      <c r="C20" s="390"/>
      <c r="D20" s="391"/>
      <c r="E20" s="391"/>
      <c r="F20" s="391"/>
      <c r="G20" s="391"/>
      <c r="H20" s="392"/>
      <c r="I20" s="392"/>
      <c r="J20" s="6">
        <v>3</v>
      </c>
      <c r="K20" s="6" t="s">
        <v>34</v>
      </c>
      <c r="L20" s="6">
        <v>105</v>
      </c>
    </row>
    <row r="21" spans="2:25" x14ac:dyDescent="0.25">
      <c r="B21" s="403"/>
      <c r="C21" s="390"/>
      <c r="D21" s="391"/>
      <c r="E21" s="391"/>
      <c r="F21" s="391"/>
      <c r="G21" s="391"/>
      <c r="H21" s="392"/>
      <c r="I21" s="392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403"/>
      <c r="C22" s="390"/>
      <c r="D22" s="390" t="s">
        <v>37</v>
      </c>
      <c r="E22" s="390"/>
      <c r="F22" s="390"/>
      <c r="G22" s="390"/>
      <c r="H22" s="392"/>
      <c r="I22" s="392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403"/>
      <c r="C23" s="390"/>
      <c r="D23" s="390" t="s">
        <v>38</v>
      </c>
      <c r="E23" s="390"/>
      <c r="F23" s="390"/>
      <c r="G23" s="390"/>
      <c r="H23" s="392"/>
      <c r="I23" s="392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403"/>
      <c r="C24" s="390"/>
      <c r="D24" s="390"/>
      <c r="E24" s="390"/>
      <c r="F24" s="390"/>
      <c r="G24" s="390"/>
      <c r="H24" s="390" t="s">
        <v>29</v>
      </c>
      <c r="I24" s="390"/>
      <c r="J24" s="390"/>
      <c r="K24" s="390"/>
      <c r="L24" s="390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403"/>
      <c r="C25" s="390">
        <v>2</v>
      </c>
      <c r="D25" s="391" t="s">
        <v>39</v>
      </c>
      <c r="E25" s="391"/>
      <c r="F25" s="391"/>
      <c r="G25" s="391"/>
      <c r="H25" s="26" t="s">
        <v>32</v>
      </c>
      <c r="I25" s="27">
        <v>0.4</v>
      </c>
      <c r="J25" s="390" t="s">
        <v>40</v>
      </c>
      <c r="K25" s="390"/>
      <c r="L25" s="390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403"/>
      <c r="C26" s="390"/>
      <c r="D26" s="391"/>
      <c r="E26" s="391"/>
      <c r="F26" s="391"/>
      <c r="G26" s="391"/>
      <c r="H26" s="425">
        <v>9</v>
      </c>
      <c r="I26" s="392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403"/>
      <c r="C27" s="390"/>
      <c r="D27" s="390" t="s">
        <v>37</v>
      </c>
      <c r="E27" s="390"/>
      <c r="F27" s="390"/>
      <c r="G27" s="390"/>
      <c r="H27" s="426"/>
      <c r="I27" s="392"/>
      <c r="J27" s="6">
        <v>9</v>
      </c>
      <c r="K27" s="6" t="s">
        <v>41</v>
      </c>
      <c r="L27" s="6">
        <v>107</v>
      </c>
      <c r="N27" s="28"/>
      <c r="O27" s="415" t="s">
        <v>36</v>
      </c>
      <c r="P27" s="31" t="s">
        <v>17</v>
      </c>
      <c r="Q27" s="31" t="s">
        <v>35</v>
      </c>
    </row>
    <row r="28" spans="2:25" x14ac:dyDescent="0.25">
      <c r="B28" s="403"/>
      <c r="C28" s="390"/>
      <c r="D28" s="391" t="s">
        <v>42</v>
      </c>
      <c r="E28" s="391"/>
      <c r="F28" s="391"/>
      <c r="G28" s="391"/>
      <c r="H28" s="426"/>
      <c r="I28" s="392"/>
      <c r="J28" s="6">
        <v>8</v>
      </c>
      <c r="K28" s="6" t="s">
        <v>41</v>
      </c>
      <c r="L28" s="6">
        <v>105</v>
      </c>
      <c r="N28" s="32"/>
      <c r="O28" s="416"/>
      <c r="P28" s="33">
        <v>0.4</v>
      </c>
      <c r="Q28" s="34">
        <f>P28*Q25</f>
        <v>41.624000000000002</v>
      </c>
    </row>
    <row r="29" spans="2:25" x14ac:dyDescent="0.25">
      <c r="B29" s="403"/>
      <c r="C29" s="390"/>
      <c r="D29" s="391"/>
      <c r="E29" s="391"/>
      <c r="F29" s="391"/>
      <c r="G29" s="391"/>
      <c r="H29" s="426"/>
      <c r="I29" s="392"/>
      <c r="J29" s="6">
        <v>7</v>
      </c>
      <c r="K29" s="6" t="s">
        <v>41</v>
      </c>
      <c r="L29" s="6">
        <v>102</v>
      </c>
    </row>
    <row r="30" spans="2:25" x14ac:dyDescent="0.25">
      <c r="B30" s="403"/>
      <c r="C30" s="390"/>
      <c r="D30" s="391"/>
      <c r="E30" s="391"/>
      <c r="F30" s="391"/>
      <c r="G30" s="391"/>
      <c r="H30" s="426"/>
      <c r="I30" s="392"/>
      <c r="J30" s="6">
        <v>6</v>
      </c>
      <c r="K30" s="6" t="s">
        <v>41</v>
      </c>
      <c r="L30" s="6">
        <v>100</v>
      </c>
    </row>
    <row r="31" spans="2:25" x14ac:dyDescent="0.25">
      <c r="B31" s="403"/>
      <c r="C31" s="390"/>
      <c r="D31" s="391"/>
      <c r="E31" s="391"/>
      <c r="F31" s="391"/>
      <c r="G31" s="391"/>
      <c r="H31" s="426"/>
      <c r="I31" s="392"/>
      <c r="J31" s="6">
        <v>5</v>
      </c>
      <c r="K31" s="6" t="s">
        <v>41</v>
      </c>
      <c r="L31" s="6">
        <v>95</v>
      </c>
      <c r="N31" s="9"/>
      <c r="O31" s="8" t="s">
        <v>43</v>
      </c>
      <c r="P31" s="417">
        <f>Q19+Q28</f>
        <v>114.536</v>
      </c>
      <c r="Q31" s="417"/>
    </row>
    <row r="32" spans="2:25" ht="15" customHeight="1" x14ac:dyDescent="0.25">
      <c r="B32" s="403"/>
      <c r="C32" s="390"/>
      <c r="D32" s="391"/>
      <c r="E32" s="391"/>
      <c r="F32" s="391"/>
      <c r="G32" s="391"/>
      <c r="H32" s="426"/>
      <c r="I32" s="392"/>
      <c r="J32" s="6">
        <v>4</v>
      </c>
      <c r="K32" s="6" t="s">
        <v>41</v>
      </c>
      <c r="L32" s="35">
        <v>90</v>
      </c>
      <c r="O32" s="37" t="s">
        <v>44</v>
      </c>
      <c r="P32" s="417"/>
      <c r="Q32" s="417"/>
    </row>
    <row r="33" spans="2:17" x14ac:dyDescent="0.25">
      <c r="B33" s="403"/>
      <c r="C33" s="390"/>
      <c r="D33" s="391"/>
      <c r="E33" s="391"/>
      <c r="F33" s="391"/>
      <c r="G33" s="391"/>
      <c r="H33" s="427"/>
      <c r="I33" s="392"/>
      <c r="J33" s="6">
        <v>3</v>
      </c>
      <c r="K33" s="6" t="s">
        <v>41</v>
      </c>
      <c r="L33" s="35">
        <v>85</v>
      </c>
      <c r="O33" s="31" t="s">
        <v>45</v>
      </c>
      <c r="P33" s="418" t="str">
        <f>IF(P31&lt;90,"POOR",IF(P31&lt;=100,"GOOD",IF(P31&lt;=110,"Very Good",IF(P31&gt;110,"Excellent"))))</f>
        <v>Excellent</v>
      </c>
      <c r="Q33" s="418"/>
    </row>
    <row r="34" spans="2:17" x14ac:dyDescent="0.25">
      <c r="B34" s="403"/>
      <c r="C34" s="419" t="s">
        <v>46</v>
      </c>
      <c r="D34" s="420"/>
      <c r="E34" s="420"/>
      <c r="F34" s="420"/>
      <c r="G34" s="421"/>
      <c r="H34" s="422">
        <f>SUM(I18,I26)</f>
        <v>108.80000000000001</v>
      </c>
      <c r="I34" s="423"/>
      <c r="J34" s="423"/>
      <c r="K34" s="423"/>
      <c r="L34" s="424"/>
    </row>
    <row r="35" spans="2:17" x14ac:dyDescent="0.25">
      <c r="B35" s="403"/>
      <c r="C35" s="390" t="s">
        <v>47</v>
      </c>
      <c r="D35" s="390"/>
      <c r="E35" s="390"/>
      <c r="F35" s="390"/>
      <c r="G35" s="390"/>
      <c r="H35" s="390" t="s">
        <v>29</v>
      </c>
      <c r="I35" s="390"/>
      <c r="J35" s="390"/>
      <c r="K35" s="390"/>
      <c r="L35" s="390"/>
    </row>
    <row r="36" spans="2:17" ht="15" customHeight="1" x14ac:dyDescent="0.25">
      <c r="B36" s="403"/>
      <c r="C36" s="390">
        <v>1</v>
      </c>
      <c r="D36" s="391" t="s">
        <v>48</v>
      </c>
      <c r="E36" s="391"/>
      <c r="F36" s="391"/>
      <c r="G36" s="391"/>
      <c r="H36" s="26" t="s">
        <v>32</v>
      </c>
      <c r="I36" s="27">
        <v>0.25</v>
      </c>
      <c r="J36" s="390" t="s">
        <v>49</v>
      </c>
      <c r="K36" s="390"/>
      <c r="L36" s="390"/>
    </row>
    <row r="37" spans="2:17" x14ac:dyDescent="0.25">
      <c r="B37" s="403"/>
      <c r="C37" s="390"/>
      <c r="D37" s="391"/>
      <c r="E37" s="391"/>
      <c r="F37" s="391"/>
      <c r="G37" s="391"/>
      <c r="H37" s="392">
        <v>8</v>
      </c>
      <c r="I37" s="392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403"/>
      <c r="C38" s="390"/>
      <c r="D38" s="391"/>
      <c r="E38" s="391"/>
      <c r="F38" s="391"/>
      <c r="G38" s="391"/>
      <c r="H38" s="392"/>
      <c r="I38" s="392"/>
      <c r="J38" s="35">
        <v>3</v>
      </c>
      <c r="K38" s="35" t="s">
        <v>50</v>
      </c>
      <c r="L38" s="35">
        <v>110</v>
      </c>
    </row>
    <row r="39" spans="2:17" x14ac:dyDescent="0.25">
      <c r="B39" s="403"/>
      <c r="C39" s="390"/>
      <c r="D39" s="428" t="s">
        <v>37</v>
      </c>
      <c r="E39" s="429"/>
      <c r="F39" s="429"/>
      <c r="G39" s="430"/>
      <c r="H39" s="392"/>
      <c r="I39" s="392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403"/>
      <c r="C40" s="390"/>
      <c r="D40" s="391" t="s">
        <v>51</v>
      </c>
      <c r="E40" s="391"/>
      <c r="F40" s="391"/>
      <c r="G40" s="391"/>
      <c r="H40" s="392"/>
      <c r="I40" s="392"/>
      <c r="J40" s="35">
        <v>1</v>
      </c>
      <c r="K40" s="35" t="s">
        <v>50</v>
      </c>
      <c r="L40" s="35">
        <v>100</v>
      </c>
    </row>
    <row r="41" spans="2:17" x14ac:dyDescent="0.25">
      <c r="B41" s="403"/>
      <c r="C41" s="390"/>
      <c r="D41" s="391"/>
      <c r="E41" s="391"/>
      <c r="F41" s="391"/>
      <c r="G41" s="391"/>
      <c r="H41" s="392"/>
      <c r="I41" s="392"/>
      <c r="J41" s="35">
        <v>0</v>
      </c>
      <c r="K41" s="35" t="s">
        <v>50</v>
      </c>
      <c r="L41" s="35">
        <v>50</v>
      </c>
    </row>
    <row r="42" spans="2:17" x14ac:dyDescent="0.25">
      <c r="B42" s="403"/>
      <c r="C42" s="390"/>
      <c r="D42" s="391"/>
      <c r="E42" s="391"/>
      <c r="F42" s="391"/>
      <c r="G42" s="391"/>
      <c r="H42" s="390" t="s">
        <v>29</v>
      </c>
      <c r="I42" s="390"/>
      <c r="J42" s="390"/>
      <c r="K42" s="390"/>
      <c r="L42" s="390"/>
    </row>
    <row r="43" spans="2:17" ht="15" customHeight="1" x14ac:dyDescent="0.25">
      <c r="B43" s="403"/>
      <c r="C43" s="390">
        <v>2</v>
      </c>
      <c r="D43" s="406" t="s">
        <v>52</v>
      </c>
      <c r="E43" s="407"/>
      <c r="F43" s="407"/>
      <c r="G43" s="408"/>
      <c r="H43" s="26" t="s">
        <v>32</v>
      </c>
      <c r="I43" s="27">
        <v>0.3</v>
      </c>
      <c r="J43" s="390" t="s">
        <v>53</v>
      </c>
      <c r="K43" s="390"/>
      <c r="L43" s="390"/>
    </row>
    <row r="44" spans="2:17" x14ac:dyDescent="0.25">
      <c r="B44" s="403"/>
      <c r="C44" s="390"/>
      <c r="D44" s="409"/>
      <c r="E44" s="410"/>
      <c r="F44" s="410"/>
      <c r="G44" s="411"/>
      <c r="H44" s="392" t="s">
        <v>54</v>
      </c>
      <c r="I44" s="392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403"/>
      <c r="C45" s="390"/>
      <c r="D45" s="409"/>
      <c r="E45" s="410"/>
      <c r="F45" s="410"/>
      <c r="G45" s="411"/>
      <c r="H45" s="392"/>
      <c r="I45" s="392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403"/>
      <c r="C46" s="390"/>
      <c r="D46" s="412"/>
      <c r="E46" s="413"/>
      <c r="F46" s="413"/>
      <c r="G46" s="414"/>
      <c r="H46" s="392"/>
      <c r="I46" s="392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403"/>
      <c r="C47" s="390"/>
      <c r="D47" s="406" t="s">
        <v>56</v>
      </c>
      <c r="E47" s="407"/>
      <c r="F47" s="407"/>
      <c r="G47" s="408"/>
      <c r="H47" s="392"/>
      <c r="I47" s="392"/>
      <c r="J47" s="35">
        <v>3</v>
      </c>
      <c r="K47" s="35" t="s">
        <v>55</v>
      </c>
      <c r="L47" s="35">
        <v>100</v>
      </c>
    </row>
    <row r="48" spans="2:17" x14ac:dyDescent="0.25">
      <c r="B48" s="403"/>
      <c r="C48" s="390"/>
      <c r="D48" s="409"/>
      <c r="E48" s="410"/>
      <c r="F48" s="410"/>
      <c r="G48" s="411"/>
      <c r="H48" s="392"/>
      <c r="I48" s="392"/>
      <c r="J48" s="35">
        <v>4</v>
      </c>
      <c r="K48" s="35" t="s">
        <v>55</v>
      </c>
      <c r="L48" s="35">
        <v>95</v>
      </c>
    </row>
    <row r="49" spans="2:12" x14ac:dyDescent="0.25">
      <c r="B49" s="403"/>
      <c r="C49" s="390"/>
      <c r="D49" s="409"/>
      <c r="E49" s="410"/>
      <c r="F49" s="410"/>
      <c r="G49" s="411"/>
      <c r="H49" s="392"/>
      <c r="I49" s="392"/>
      <c r="J49" s="35">
        <v>5</v>
      </c>
      <c r="K49" s="35" t="s">
        <v>55</v>
      </c>
      <c r="L49" s="35">
        <v>90</v>
      </c>
    </row>
    <row r="50" spans="2:12" x14ac:dyDescent="0.25">
      <c r="B50" s="403"/>
      <c r="C50" s="390"/>
      <c r="D50" s="409"/>
      <c r="E50" s="410"/>
      <c r="F50" s="410"/>
      <c r="G50" s="411"/>
      <c r="H50" s="392"/>
      <c r="I50" s="392"/>
      <c r="J50" s="35">
        <v>6</v>
      </c>
      <c r="K50" s="35" t="s">
        <v>55</v>
      </c>
      <c r="L50" s="35">
        <v>85</v>
      </c>
    </row>
    <row r="51" spans="2:12" x14ac:dyDescent="0.25">
      <c r="B51" s="403"/>
      <c r="C51" s="390"/>
      <c r="D51" s="409"/>
      <c r="E51" s="410"/>
      <c r="F51" s="410"/>
      <c r="G51" s="411"/>
      <c r="H51" s="392"/>
      <c r="I51" s="392"/>
      <c r="J51" s="35">
        <v>7</v>
      </c>
      <c r="K51" s="35" t="s">
        <v>55</v>
      </c>
      <c r="L51" s="35">
        <v>80</v>
      </c>
    </row>
    <row r="52" spans="2:12" x14ac:dyDescent="0.25">
      <c r="B52" s="403"/>
      <c r="C52" s="390"/>
      <c r="D52" s="412"/>
      <c r="E52" s="413"/>
      <c r="F52" s="413"/>
      <c r="G52" s="414"/>
      <c r="H52" s="390" t="s">
        <v>29</v>
      </c>
      <c r="I52" s="390"/>
      <c r="J52" s="390"/>
      <c r="K52" s="390"/>
      <c r="L52" s="390"/>
    </row>
    <row r="53" spans="2:12" ht="15" customHeight="1" x14ac:dyDescent="0.25">
      <c r="B53" s="403"/>
      <c r="C53" s="390">
        <v>3</v>
      </c>
      <c r="D53" s="391" t="s">
        <v>57</v>
      </c>
      <c r="E53" s="391"/>
      <c r="F53" s="391"/>
      <c r="G53" s="391"/>
      <c r="H53" s="26" t="s">
        <v>32</v>
      </c>
      <c r="I53" s="27">
        <v>0.25</v>
      </c>
      <c r="J53" s="390" t="s">
        <v>53</v>
      </c>
      <c r="K53" s="390"/>
      <c r="L53" s="390"/>
    </row>
    <row r="54" spans="2:12" x14ac:dyDescent="0.25">
      <c r="B54" s="403"/>
      <c r="C54" s="390"/>
      <c r="D54" s="391"/>
      <c r="E54" s="391"/>
      <c r="F54" s="391"/>
      <c r="G54" s="391"/>
      <c r="H54" s="392">
        <v>5</v>
      </c>
      <c r="I54" s="392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403"/>
      <c r="C55" s="390"/>
      <c r="D55" s="391"/>
      <c r="E55" s="391"/>
      <c r="F55" s="391"/>
      <c r="G55" s="391"/>
      <c r="H55" s="392"/>
      <c r="I55" s="392"/>
      <c r="J55" s="35">
        <v>4</v>
      </c>
      <c r="K55" s="35" t="s">
        <v>58</v>
      </c>
      <c r="L55" s="35">
        <v>110</v>
      </c>
    </row>
    <row r="56" spans="2:12" x14ac:dyDescent="0.25">
      <c r="B56" s="403"/>
      <c r="C56" s="390"/>
      <c r="D56" s="391"/>
      <c r="E56" s="391"/>
      <c r="F56" s="391"/>
      <c r="G56" s="391"/>
      <c r="H56" s="392"/>
      <c r="I56" s="392"/>
      <c r="J56" s="35">
        <v>3</v>
      </c>
      <c r="K56" s="35" t="s">
        <v>58</v>
      </c>
      <c r="L56" s="35">
        <v>105</v>
      </c>
    </row>
    <row r="57" spans="2:12" x14ac:dyDescent="0.25">
      <c r="B57" s="403"/>
      <c r="C57" s="390"/>
      <c r="D57" s="431" t="s">
        <v>37</v>
      </c>
      <c r="E57" s="431"/>
      <c r="F57" s="431"/>
      <c r="G57" s="431"/>
      <c r="H57" s="392"/>
      <c r="I57" s="392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403"/>
      <c r="C58" s="390"/>
      <c r="D58" s="391" t="s">
        <v>59</v>
      </c>
      <c r="E58" s="391"/>
      <c r="F58" s="391"/>
      <c r="G58" s="391"/>
      <c r="H58" s="392"/>
      <c r="I58" s="392"/>
      <c r="J58" s="35">
        <v>1</v>
      </c>
      <c r="K58" s="35" t="s">
        <v>58</v>
      </c>
      <c r="L58" s="35">
        <v>95</v>
      </c>
    </row>
    <row r="59" spans="2:12" x14ac:dyDescent="0.25">
      <c r="B59" s="403"/>
      <c r="C59" s="390"/>
      <c r="D59" s="391"/>
      <c r="E59" s="391"/>
      <c r="F59" s="391"/>
      <c r="G59" s="391"/>
      <c r="H59" s="392"/>
      <c r="I59" s="392"/>
      <c r="J59" s="35">
        <v>0</v>
      </c>
      <c r="K59" s="35" t="s">
        <v>58</v>
      </c>
      <c r="L59" s="35">
        <v>50</v>
      </c>
    </row>
    <row r="60" spans="2:12" x14ac:dyDescent="0.25">
      <c r="B60" s="403"/>
      <c r="C60" s="390"/>
      <c r="D60" s="391"/>
      <c r="E60" s="391"/>
      <c r="F60" s="391"/>
      <c r="G60" s="391"/>
      <c r="H60" s="390" t="s">
        <v>29</v>
      </c>
      <c r="I60" s="390"/>
      <c r="J60" s="390"/>
      <c r="K60" s="390"/>
      <c r="L60" s="390"/>
    </row>
    <row r="61" spans="2:12" x14ac:dyDescent="0.25">
      <c r="B61" s="403"/>
      <c r="C61" s="390">
        <v>4</v>
      </c>
      <c r="D61" s="391" t="s">
        <v>60</v>
      </c>
      <c r="E61" s="391"/>
      <c r="F61" s="391"/>
      <c r="G61" s="391"/>
      <c r="H61" s="26" t="s">
        <v>32</v>
      </c>
      <c r="I61" s="27">
        <v>0.2</v>
      </c>
      <c r="J61" s="390" t="s">
        <v>53</v>
      </c>
      <c r="K61" s="390"/>
      <c r="L61" s="390"/>
    </row>
    <row r="62" spans="2:12" x14ac:dyDescent="0.25">
      <c r="B62" s="403"/>
      <c r="C62" s="390"/>
      <c r="D62" s="391"/>
      <c r="E62" s="391"/>
      <c r="F62" s="391"/>
      <c r="G62" s="391"/>
      <c r="H62" s="392">
        <v>9</v>
      </c>
      <c r="I62" s="392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403"/>
      <c r="C63" s="390"/>
      <c r="D63" s="390" t="s">
        <v>37</v>
      </c>
      <c r="E63" s="390"/>
      <c r="F63" s="390"/>
      <c r="G63" s="390"/>
      <c r="H63" s="392"/>
      <c r="I63" s="392"/>
      <c r="J63" s="35">
        <v>9</v>
      </c>
      <c r="K63" s="35" t="s">
        <v>58</v>
      </c>
      <c r="L63" s="35">
        <v>107</v>
      </c>
    </row>
    <row r="64" spans="2:12" x14ac:dyDescent="0.25">
      <c r="B64" s="403"/>
      <c r="C64" s="390"/>
      <c r="D64" s="391" t="s">
        <v>61</v>
      </c>
      <c r="E64" s="391"/>
      <c r="F64" s="391"/>
      <c r="G64" s="391"/>
      <c r="H64" s="392"/>
      <c r="I64" s="392"/>
      <c r="J64" s="35">
        <v>8</v>
      </c>
      <c r="K64" s="35" t="s">
        <v>58</v>
      </c>
      <c r="L64" s="35">
        <v>105</v>
      </c>
    </row>
    <row r="65" spans="2:12" x14ac:dyDescent="0.25">
      <c r="B65" s="403"/>
      <c r="C65" s="390"/>
      <c r="D65" s="391"/>
      <c r="E65" s="391"/>
      <c r="F65" s="391"/>
      <c r="G65" s="391"/>
      <c r="H65" s="392"/>
      <c r="I65" s="392"/>
      <c r="J65" s="35">
        <v>7</v>
      </c>
      <c r="K65" s="35" t="s">
        <v>58</v>
      </c>
      <c r="L65" s="35">
        <v>102</v>
      </c>
    </row>
    <row r="66" spans="2:12" x14ac:dyDescent="0.25">
      <c r="B66" s="403"/>
      <c r="C66" s="390"/>
      <c r="D66" s="391"/>
      <c r="E66" s="391"/>
      <c r="F66" s="391"/>
      <c r="G66" s="391"/>
      <c r="H66" s="392"/>
      <c r="I66" s="392"/>
      <c r="J66" s="35">
        <v>6</v>
      </c>
      <c r="K66" s="35" t="s">
        <v>58</v>
      </c>
      <c r="L66" s="35">
        <v>10</v>
      </c>
    </row>
    <row r="67" spans="2:12" x14ac:dyDescent="0.25">
      <c r="B67" s="403"/>
      <c r="C67" s="390"/>
      <c r="D67" s="391"/>
      <c r="E67" s="391"/>
      <c r="F67" s="391"/>
      <c r="G67" s="391"/>
      <c r="H67" s="392"/>
      <c r="I67" s="392"/>
      <c r="J67" s="35">
        <v>5</v>
      </c>
      <c r="K67" s="35" t="s">
        <v>58</v>
      </c>
      <c r="L67" s="35">
        <v>95</v>
      </c>
    </row>
    <row r="68" spans="2:12" x14ac:dyDescent="0.25">
      <c r="B68" s="403"/>
      <c r="C68" s="390"/>
      <c r="D68" s="391"/>
      <c r="E68" s="391"/>
      <c r="F68" s="391"/>
      <c r="G68" s="391"/>
      <c r="H68" s="392"/>
      <c r="I68" s="392"/>
      <c r="J68" s="35">
        <v>4</v>
      </c>
      <c r="K68" s="35" t="s">
        <v>58</v>
      </c>
      <c r="L68" s="35">
        <v>90</v>
      </c>
    </row>
    <row r="69" spans="2:12" x14ac:dyDescent="0.25">
      <c r="B69" s="403"/>
      <c r="C69" s="390"/>
      <c r="D69" s="391"/>
      <c r="E69" s="391"/>
      <c r="F69" s="391"/>
      <c r="G69" s="391"/>
      <c r="H69" s="392"/>
      <c r="I69" s="392"/>
      <c r="J69" s="35"/>
      <c r="K69" s="35"/>
      <c r="L69" s="35"/>
    </row>
    <row r="70" spans="2:12" x14ac:dyDescent="0.25">
      <c r="B70" s="403"/>
      <c r="C70" s="390"/>
      <c r="D70" s="391"/>
      <c r="E70" s="391"/>
      <c r="F70" s="391"/>
      <c r="G70" s="391"/>
      <c r="H70" s="392"/>
      <c r="I70" s="392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419" t="s">
        <v>62</v>
      </c>
      <c r="D71" s="420"/>
      <c r="E71" s="420"/>
      <c r="F71" s="420"/>
      <c r="G71" s="421"/>
      <c r="H71" s="422">
        <f>I37+I44+I54+I62</f>
        <v>109.55000000000001</v>
      </c>
      <c r="I71" s="423"/>
      <c r="J71" s="423"/>
      <c r="K71" s="423"/>
      <c r="L71" s="424"/>
    </row>
    <row r="72" spans="2:12" ht="15" customHeight="1" x14ac:dyDescent="0.25">
      <c r="B72" s="432">
        <v>2</v>
      </c>
      <c r="C72" s="391" t="s">
        <v>63</v>
      </c>
      <c r="D72" s="391"/>
      <c r="E72" s="391"/>
      <c r="F72" s="391"/>
      <c r="G72" s="391"/>
      <c r="H72" s="435"/>
      <c r="I72" s="435"/>
      <c r="J72" s="435"/>
      <c r="K72" s="435"/>
      <c r="L72" s="435"/>
    </row>
    <row r="73" spans="2:12" x14ac:dyDescent="0.25">
      <c r="B73" s="433"/>
      <c r="C73" s="391"/>
      <c r="D73" s="391"/>
      <c r="E73" s="391"/>
      <c r="F73" s="391"/>
      <c r="G73" s="391"/>
      <c r="H73" s="435"/>
      <c r="I73" s="435"/>
      <c r="J73" s="435"/>
      <c r="K73" s="435"/>
      <c r="L73" s="435"/>
    </row>
    <row r="74" spans="2:12" x14ac:dyDescent="0.25">
      <c r="B74" s="433"/>
      <c r="C74" s="436" t="s">
        <v>64</v>
      </c>
      <c r="D74" s="437"/>
      <c r="E74" s="437"/>
      <c r="F74" s="437"/>
      <c r="G74" s="438"/>
      <c r="H74" s="390" t="s">
        <v>29</v>
      </c>
      <c r="I74" s="390"/>
      <c r="J74" s="390"/>
      <c r="K74" s="390"/>
      <c r="L74" s="390"/>
    </row>
    <row r="75" spans="2:12" ht="15" customHeight="1" x14ac:dyDescent="0.25">
      <c r="B75" s="433"/>
      <c r="C75" s="390">
        <v>1</v>
      </c>
      <c r="D75" s="406" t="s">
        <v>65</v>
      </c>
      <c r="E75" s="407"/>
      <c r="F75" s="407"/>
      <c r="G75" s="408"/>
      <c r="H75" s="26" t="s">
        <v>32</v>
      </c>
      <c r="I75" s="27">
        <v>0.6</v>
      </c>
      <c r="J75" s="390" t="s">
        <v>40</v>
      </c>
      <c r="K75" s="390"/>
      <c r="L75" s="390"/>
    </row>
    <row r="76" spans="2:12" ht="15" customHeight="1" x14ac:dyDescent="0.25">
      <c r="B76" s="433"/>
      <c r="C76" s="390"/>
      <c r="D76" s="409"/>
      <c r="E76" s="410"/>
      <c r="F76" s="410"/>
      <c r="G76" s="411"/>
      <c r="H76" s="392">
        <v>13</v>
      </c>
      <c r="I76" s="392">
        <f>((H76*5)+100)*I75</f>
        <v>99</v>
      </c>
      <c r="J76" s="439">
        <v>5</v>
      </c>
      <c r="K76" s="442" t="s">
        <v>66</v>
      </c>
      <c r="L76" s="443"/>
    </row>
    <row r="77" spans="2:12" x14ac:dyDescent="0.25">
      <c r="B77" s="433"/>
      <c r="C77" s="390"/>
      <c r="D77" s="409"/>
      <c r="E77" s="410"/>
      <c r="F77" s="410"/>
      <c r="G77" s="411"/>
      <c r="H77" s="392"/>
      <c r="I77" s="392"/>
      <c r="J77" s="440"/>
      <c r="K77" s="444"/>
      <c r="L77" s="445"/>
    </row>
    <row r="78" spans="2:12" x14ac:dyDescent="0.25">
      <c r="B78" s="433"/>
      <c r="C78" s="390"/>
      <c r="D78" s="409"/>
      <c r="E78" s="410"/>
      <c r="F78" s="410"/>
      <c r="G78" s="411"/>
      <c r="H78" s="392"/>
      <c r="I78" s="392"/>
      <c r="J78" s="440"/>
      <c r="K78" s="444"/>
      <c r="L78" s="445"/>
    </row>
    <row r="79" spans="2:12" x14ac:dyDescent="0.25">
      <c r="B79" s="433"/>
      <c r="C79" s="390"/>
      <c r="D79" s="412"/>
      <c r="E79" s="413"/>
      <c r="F79" s="413"/>
      <c r="G79" s="414"/>
      <c r="H79" s="392"/>
      <c r="I79" s="392"/>
      <c r="J79" s="441"/>
      <c r="K79" s="446"/>
      <c r="L79" s="447"/>
    </row>
    <row r="80" spans="2:12" x14ac:dyDescent="0.25">
      <c r="B80" s="433"/>
      <c r="C80" s="390"/>
      <c r="D80" s="391" t="s">
        <v>37</v>
      </c>
      <c r="E80" s="391"/>
      <c r="F80" s="391"/>
      <c r="G80" s="391"/>
      <c r="H80" s="392"/>
      <c r="I80" s="392"/>
      <c r="J80" s="392">
        <v>100</v>
      </c>
      <c r="K80" s="448" t="s">
        <v>67</v>
      </c>
      <c r="L80" s="448"/>
    </row>
    <row r="81" spans="2:12" ht="15" customHeight="1" x14ac:dyDescent="0.25">
      <c r="B81" s="433"/>
      <c r="C81" s="390"/>
      <c r="D81" s="391" t="s">
        <v>68</v>
      </c>
      <c r="E81" s="391"/>
      <c r="F81" s="391"/>
      <c r="G81" s="391"/>
      <c r="H81" s="392"/>
      <c r="I81" s="392"/>
      <c r="J81" s="392"/>
      <c r="K81" s="448"/>
      <c r="L81" s="448"/>
    </row>
    <row r="82" spans="2:12" x14ac:dyDescent="0.25">
      <c r="B82" s="433"/>
      <c r="C82" s="390"/>
      <c r="D82" s="391"/>
      <c r="E82" s="391"/>
      <c r="F82" s="391"/>
      <c r="G82" s="391"/>
      <c r="H82" s="392"/>
      <c r="I82" s="392"/>
      <c r="J82" s="449">
        <v>-5</v>
      </c>
      <c r="K82" s="391" t="s">
        <v>69</v>
      </c>
      <c r="L82" s="391"/>
    </row>
    <row r="83" spans="2:12" x14ac:dyDescent="0.25">
      <c r="B83" s="433"/>
      <c r="C83" s="390"/>
      <c r="D83" s="391"/>
      <c r="E83" s="391"/>
      <c r="F83" s="391"/>
      <c r="G83" s="391"/>
      <c r="H83" s="392"/>
      <c r="I83" s="392"/>
      <c r="J83" s="449"/>
      <c r="K83" s="391"/>
      <c r="L83" s="391"/>
    </row>
    <row r="84" spans="2:12" x14ac:dyDescent="0.25">
      <c r="B84" s="433"/>
      <c r="C84" s="390"/>
      <c r="D84" s="391"/>
      <c r="E84" s="391"/>
      <c r="F84" s="391"/>
      <c r="G84" s="391"/>
      <c r="H84" s="392"/>
      <c r="I84" s="392"/>
      <c r="J84" s="449"/>
      <c r="K84" s="391"/>
      <c r="L84" s="391"/>
    </row>
    <row r="85" spans="2:12" x14ac:dyDescent="0.25">
      <c r="B85" s="433"/>
      <c r="C85" s="390"/>
      <c r="D85" s="391"/>
      <c r="E85" s="391"/>
      <c r="F85" s="391"/>
      <c r="G85" s="391"/>
      <c r="H85" s="392"/>
      <c r="I85" s="392"/>
      <c r="J85" s="449"/>
      <c r="K85" s="391"/>
      <c r="L85" s="391"/>
    </row>
    <row r="86" spans="2:12" x14ac:dyDescent="0.25">
      <c r="B86" s="433"/>
      <c r="C86" s="390"/>
      <c r="D86" s="391"/>
      <c r="E86" s="391"/>
      <c r="F86" s="391"/>
      <c r="G86" s="391"/>
      <c r="H86" s="390" t="s">
        <v>29</v>
      </c>
      <c r="I86" s="390"/>
      <c r="J86" s="390"/>
      <c r="K86" s="390"/>
      <c r="L86" s="390"/>
    </row>
    <row r="87" spans="2:12" x14ac:dyDescent="0.25">
      <c r="B87" s="433"/>
      <c r="C87" s="390">
        <v>2</v>
      </c>
      <c r="D87" s="391" t="s">
        <v>70</v>
      </c>
      <c r="E87" s="391"/>
      <c r="F87" s="391"/>
      <c r="G87" s="391"/>
      <c r="H87" s="26" t="s">
        <v>32</v>
      </c>
      <c r="I87" s="27">
        <v>0.4</v>
      </c>
      <c r="J87" s="390" t="s">
        <v>40</v>
      </c>
      <c r="K87" s="390"/>
      <c r="L87" s="390"/>
    </row>
    <row r="88" spans="2:12" x14ac:dyDescent="0.25">
      <c r="B88" s="433"/>
      <c r="C88" s="390"/>
      <c r="D88" s="391"/>
      <c r="E88" s="391"/>
      <c r="F88" s="391"/>
      <c r="G88" s="391"/>
      <c r="H88" s="392">
        <v>13</v>
      </c>
      <c r="I88" s="392">
        <f>110*I87</f>
        <v>44</v>
      </c>
      <c r="J88" s="390">
        <v>110</v>
      </c>
      <c r="K88" s="391" t="s">
        <v>71</v>
      </c>
      <c r="L88" s="391"/>
    </row>
    <row r="89" spans="2:12" x14ac:dyDescent="0.25">
      <c r="B89" s="433"/>
      <c r="C89" s="390"/>
      <c r="D89" s="391"/>
      <c r="E89" s="391"/>
      <c r="F89" s="391"/>
      <c r="G89" s="391"/>
      <c r="H89" s="392"/>
      <c r="I89" s="392"/>
      <c r="J89" s="390"/>
      <c r="K89" s="391"/>
      <c r="L89" s="391"/>
    </row>
    <row r="90" spans="2:12" x14ac:dyDescent="0.25">
      <c r="B90" s="433"/>
      <c r="C90" s="390"/>
      <c r="D90" s="391"/>
      <c r="E90" s="391"/>
      <c r="F90" s="391"/>
      <c r="G90" s="391"/>
      <c r="H90" s="392"/>
      <c r="I90" s="392"/>
      <c r="J90" s="431">
        <v>100</v>
      </c>
      <c r="K90" s="391" t="s">
        <v>72</v>
      </c>
      <c r="L90" s="391"/>
    </row>
    <row r="91" spans="2:12" x14ac:dyDescent="0.25">
      <c r="B91" s="433"/>
      <c r="C91" s="390"/>
      <c r="D91" s="391"/>
      <c r="E91" s="391"/>
      <c r="F91" s="391"/>
      <c r="G91" s="391"/>
      <c r="H91" s="392"/>
      <c r="I91" s="392"/>
      <c r="J91" s="431"/>
      <c r="K91" s="391"/>
      <c r="L91" s="391"/>
    </row>
    <row r="92" spans="2:12" x14ac:dyDescent="0.25">
      <c r="B92" s="433"/>
      <c r="C92" s="390"/>
      <c r="D92" s="390" t="s">
        <v>37</v>
      </c>
      <c r="E92" s="390"/>
      <c r="F92" s="390"/>
      <c r="G92" s="390"/>
      <c r="H92" s="392"/>
      <c r="I92" s="392"/>
      <c r="J92" s="450">
        <v>-5</v>
      </c>
      <c r="K92" s="391" t="s">
        <v>73</v>
      </c>
      <c r="L92" s="391"/>
    </row>
    <row r="93" spans="2:12" ht="15" customHeight="1" x14ac:dyDescent="0.25">
      <c r="B93" s="433"/>
      <c r="C93" s="390"/>
      <c r="D93" s="391" t="s">
        <v>74</v>
      </c>
      <c r="E93" s="391"/>
      <c r="F93" s="391"/>
      <c r="G93" s="391"/>
      <c r="H93" s="392"/>
      <c r="I93" s="392"/>
      <c r="J93" s="450"/>
      <c r="K93" s="391"/>
      <c r="L93" s="391"/>
    </row>
    <row r="94" spans="2:12" x14ac:dyDescent="0.25">
      <c r="B94" s="433"/>
      <c r="C94" s="390"/>
      <c r="D94" s="391"/>
      <c r="E94" s="391"/>
      <c r="F94" s="391"/>
      <c r="G94" s="391"/>
      <c r="H94" s="392"/>
      <c r="I94" s="392"/>
      <c r="J94" s="450"/>
      <c r="K94" s="391"/>
      <c r="L94" s="391"/>
    </row>
    <row r="95" spans="2:12" x14ac:dyDescent="0.25">
      <c r="B95" s="433"/>
      <c r="C95" s="419" t="s">
        <v>46</v>
      </c>
      <c r="D95" s="420"/>
      <c r="E95" s="420"/>
      <c r="F95" s="420"/>
      <c r="G95" s="421"/>
      <c r="H95" s="422">
        <f>I76+I88</f>
        <v>143</v>
      </c>
      <c r="I95" s="423"/>
      <c r="J95" s="423"/>
      <c r="K95" s="423"/>
      <c r="L95" s="424"/>
    </row>
    <row r="96" spans="2:12" x14ac:dyDescent="0.25">
      <c r="B96" s="433"/>
      <c r="C96" s="436" t="s">
        <v>47</v>
      </c>
      <c r="D96" s="437"/>
      <c r="E96" s="437"/>
      <c r="F96" s="437"/>
      <c r="G96" s="438"/>
      <c r="H96" s="390" t="s">
        <v>29</v>
      </c>
      <c r="I96" s="390"/>
      <c r="J96" s="390"/>
      <c r="K96" s="390"/>
      <c r="L96" s="390"/>
    </row>
    <row r="97" spans="2:12" x14ac:dyDescent="0.25">
      <c r="B97" s="433"/>
      <c r="C97" s="432">
        <v>1</v>
      </c>
      <c r="D97" s="391" t="s">
        <v>75</v>
      </c>
      <c r="E97" s="391"/>
      <c r="F97" s="391"/>
      <c r="G97" s="391"/>
      <c r="H97" s="26" t="s">
        <v>32</v>
      </c>
      <c r="I97" s="27">
        <v>0.4</v>
      </c>
      <c r="J97" s="390" t="s">
        <v>40</v>
      </c>
      <c r="K97" s="390"/>
      <c r="L97" s="390"/>
    </row>
    <row r="98" spans="2:12" x14ac:dyDescent="0.25">
      <c r="B98" s="433"/>
      <c r="C98" s="433"/>
      <c r="D98" s="391"/>
      <c r="E98" s="391"/>
      <c r="F98" s="391"/>
      <c r="G98" s="391"/>
      <c r="H98" s="425">
        <v>98</v>
      </c>
      <c r="I98" s="425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33"/>
      <c r="C99" s="433"/>
      <c r="D99" s="391"/>
      <c r="E99" s="391"/>
      <c r="F99" s="391"/>
      <c r="G99" s="391"/>
      <c r="H99" s="426"/>
      <c r="I99" s="426"/>
      <c r="J99" s="39">
        <v>110</v>
      </c>
      <c r="K99" s="39" t="s">
        <v>34</v>
      </c>
      <c r="L99" s="39" t="s">
        <v>77</v>
      </c>
    </row>
    <row r="100" spans="2:12" x14ac:dyDescent="0.25">
      <c r="B100" s="433"/>
      <c r="C100" s="433"/>
      <c r="D100" s="436" t="s">
        <v>37</v>
      </c>
      <c r="E100" s="437"/>
      <c r="F100" s="437"/>
      <c r="G100" s="438"/>
      <c r="H100" s="426"/>
      <c r="I100" s="426"/>
      <c r="J100" s="39">
        <v>108</v>
      </c>
      <c r="K100" s="39" t="s">
        <v>34</v>
      </c>
      <c r="L100" s="39" t="s">
        <v>78</v>
      </c>
    </row>
    <row r="101" spans="2:12" x14ac:dyDescent="0.25">
      <c r="B101" s="433"/>
      <c r="C101" s="433"/>
      <c r="D101" s="406" t="s">
        <v>79</v>
      </c>
      <c r="E101" s="407"/>
      <c r="F101" s="407"/>
      <c r="G101" s="408"/>
      <c r="H101" s="426"/>
      <c r="I101" s="426"/>
      <c r="J101" s="39">
        <v>105</v>
      </c>
      <c r="K101" s="39" t="s">
        <v>34</v>
      </c>
      <c r="L101" s="39" t="s">
        <v>80</v>
      </c>
    </row>
    <row r="102" spans="2:12" x14ac:dyDescent="0.25">
      <c r="B102" s="433"/>
      <c r="C102" s="433"/>
      <c r="D102" s="409"/>
      <c r="E102" s="410"/>
      <c r="F102" s="410"/>
      <c r="G102" s="411"/>
      <c r="H102" s="426"/>
      <c r="I102" s="426"/>
      <c r="J102" s="39">
        <v>103</v>
      </c>
      <c r="K102" s="39" t="s">
        <v>34</v>
      </c>
      <c r="L102" s="39" t="s">
        <v>81</v>
      </c>
    </row>
    <row r="103" spans="2:12" x14ac:dyDescent="0.25">
      <c r="B103" s="433"/>
      <c r="C103" s="433"/>
      <c r="D103" s="409"/>
      <c r="E103" s="410"/>
      <c r="F103" s="410"/>
      <c r="G103" s="411"/>
      <c r="H103" s="426"/>
      <c r="I103" s="426"/>
      <c r="J103" s="39">
        <v>100</v>
      </c>
      <c r="K103" s="39" t="s">
        <v>34</v>
      </c>
      <c r="L103" s="39" t="s">
        <v>82</v>
      </c>
    </row>
    <row r="104" spans="2:12" x14ac:dyDescent="0.25">
      <c r="B104" s="433"/>
      <c r="C104" s="433"/>
      <c r="D104" s="409"/>
      <c r="E104" s="410"/>
      <c r="F104" s="410"/>
      <c r="G104" s="411"/>
      <c r="H104" s="426"/>
      <c r="I104" s="426"/>
      <c r="J104" s="39">
        <v>98</v>
      </c>
      <c r="K104" s="39" t="s">
        <v>34</v>
      </c>
      <c r="L104" s="39" t="s">
        <v>83</v>
      </c>
    </row>
    <row r="105" spans="2:12" x14ac:dyDescent="0.25">
      <c r="B105" s="433"/>
      <c r="C105" s="433"/>
      <c r="D105" s="409"/>
      <c r="E105" s="410"/>
      <c r="F105" s="410"/>
      <c r="G105" s="411"/>
      <c r="H105" s="426"/>
      <c r="I105" s="426"/>
      <c r="J105" s="39">
        <v>95</v>
      </c>
      <c r="K105" s="39" t="s">
        <v>34</v>
      </c>
      <c r="L105" s="39" t="s">
        <v>84</v>
      </c>
    </row>
    <row r="106" spans="2:12" x14ac:dyDescent="0.25">
      <c r="B106" s="433"/>
      <c r="C106" s="433"/>
      <c r="D106" s="409"/>
      <c r="E106" s="410"/>
      <c r="F106" s="410"/>
      <c r="G106" s="411"/>
      <c r="H106" s="427"/>
      <c r="I106" s="427"/>
      <c r="J106" s="39">
        <v>93</v>
      </c>
      <c r="K106" s="39" t="s">
        <v>34</v>
      </c>
      <c r="L106" s="39" t="s">
        <v>85</v>
      </c>
    </row>
    <row r="107" spans="2:12" x14ac:dyDescent="0.25">
      <c r="B107" s="433"/>
      <c r="C107" s="434"/>
      <c r="D107" s="412"/>
      <c r="E107" s="413"/>
      <c r="F107" s="413"/>
      <c r="G107" s="414"/>
      <c r="H107" s="390" t="s">
        <v>29</v>
      </c>
      <c r="I107" s="390"/>
      <c r="J107" s="390"/>
      <c r="K107" s="390"/>
      <c r="L107" s="390"/>
    </row>
    <row r="108" spans="2:12" x14ac:dyDescent="0.25">
      <c r="B108" s="433"/>
      <c r="C108" s="432">
        <v>2</v>
      </c>
      <c r="D108" s="391" t="s">
        <v>86</v>
      </c>
      <c r="E108" s="391"/>
      <c r="F108" s="391"/>
      <c r="G108" s="391"/>
      <c r="H108" s="26" t="s">
        <v>32</v>
      </c>
      <c r="I108" s="27">
        <v>0.3</v>
      </c>
      <c r="J108" s="390" t="s">
        <v>40</v>
      </c>
      <c r="K108" s="390"/>
      <c r="L108" s="390"/>
    </row>
    <row r="109" spans="2:12" x14ac:dyDescent="0.25">
      <c r="B109" s="433"/>
      <c r="C109" s="433"/>
      <c r="D109" s="391"/>
      <c r="E109" s="391"/>
      <c r="F109" s="391"/>
      <c r="G109" s="391"/>
      <c r="H109" s="425">
        <v>100</v>
      </c>
      <c r="I109" s="425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33"/>
      <c r="C110" s="433"/>
      <c r="D110" s="391"/>
      <c r="E110" s="391"/>
      <c r="F110" s="391"/>
      <c r="G110" s="391"/>
      <c r="H110" s="426"/>
      <c r="I110" s="426"/>
      <c r="J110" s="39">
        <v>110</v>
      </c>
      <c r="K110" s="39" t="s">
        <v>34</v>
      </c>
      <c r="L110" s="39" t="s">
        <v>77</v>
      </c>
    </row>
    <row r="111" spans="2:12" x14ac:dyDescent="0.25">
      <c r="B111" s="433"/>
      <c r="C111" s="433"/>
      <c r="D111" s="391"/>
      <c r="E111" s="391"/>
      <c r="F111" s="391"/>
      <c r="G111" s="391"/>
      <c r="H111" s="426"/>
      <c r="I111" s="426"/>
      <c r="J111" s="39">
        <v>108</v>
      </c>
      <c r="K111" s="39" t="s">
        <v>34</v>
      </c>
      <c r="L111" s="39" t="s">
        <v>78</v>
      </c>
    </row>
    <row r="112" spans="2:12" x14ac:dyDescent="0.25">
      <c r="B112" s="433"/>
      <c r="C112" s="433"/>
      <c r="D112" s="406" t="s">
        <v>37</v>
      </c>
      <c r="E112" s="407"/>
      <c r="F112" s="407"/>
      <c r="G112" s="408"/>
      <c r="H112" s="426"/>
      <c r="I112" s="426"/>
      <c r="J112" s="39">
        <v>105</v>
      </c>
      <c r="K112" s="39" t="s">
        <v>34</v>
      </c>
      <c r="L112" s="39" t="s">
        <v>80</v>
      </c>
    </row>
    <row r="113" spans="2:12" x14ac:dyDescent="0.25">
      <c r="B113" s="433"/>
      <c r="C113" s="433"/>
      <c r="D113" s="409" t="s">
        <v>87</v>
      </c>
      <c r="E113" s="410"/>
      <c r="F113" s="410"/>
      <c r="G113" s="411"/>
      <c r="H113" s="426"/>
      <c r="I113" s="426"/>
      <c r="J113" s="39">
        <v>103</v>
      </c>
      <c r="K113" s="39" t="s">
        <v>34</v>
      </c>
      <c r="L113" s="39" t="s">
        <v>81</v>
      </c>
    </row>
    <row r="114" spans="2:12" x14ac:dyDescent="0.25">
      <c r="B114" s="433"/>
      <c r="C114" s="433"/>
      <c r="D114" s="409"/>
      <c r="E114" s="410"/>
      <c r="F114" s="410"/>
      <c r="G114" s="411"/>
      <c r="H114" s="426"/>
      <c r="I114" s="426"/>
      <c r="J114" s="39">
        <v>100</v>
      </c>
      <c r="K114" s="39" t="s">
        <v>34</v>
      </c>
      <c r="L114" s="39" t="s">
        <v>82</v>
      </c>
    </row>
    <row r="115" spans="2:12" x14ac:dyDescent="0.25">
      <c r="B115" s="433"/>
      <c r="C115" s="433"/>
      <c r="D115" s="409"/>
      <c r="E115" s="410"/>
      <c r="F115" s="410"/>
      <c r="G115" s="411"/>
      <c r="H115" s="426"/>
      <c r="I115" s="426"/>
      <c r="J115" s="39">
        <v>98</v>
      </c>
      <c r="K115" s="39" t="s">
        <v>34</v>
      </c>
      <c r="L115" s="39" t="s">
        <v>83</v>
      </c>
    </row>
    <row r="116" spans="2:12" x14ac:dyDescent="0.25">
      <c r="B116" s="433"/>
      <c r="C116" s="433"/>
      <c r="D116" s="409"/>
      <c r="E116" s="410"/>
      <c r="F116" s="410"/>
      <c r="G116" s="411"/>
      <c r="H116" s="426"/>
      <c r="I116" s="426"/>
      <c r="J116" s="39">
        <v>95</v>
      </c>
      <c r="K116" s="39" t="s">
        <v>34</v>
      </c>
      <c r="L116" s="39" t="s">
        <v>84</v>
      </c>
    </row>
    <row r="117" spans="2:12" x14ac:dyDescent="0.25">
      <c r="B117" s="433"/>
      <c r="C117" s="433"/>
      <c r="D117" s="409"/>
      <c r="E117" s="410"/>
      <c r="F117" s="410"/>
      <c r="G117" s="411"/>
      <c r="H117" s="427"/>
      <c r="I117" s="427"/>
      <c r="J117" s="39">
        <v>93</v>
      </c>
      <c r="K117" s="39" t="s">
        <v>34</v>
      </c>
      <c r="L117" s="39" t="s">
        <v>85</v>
      </c>
    </row>
    <row r="118" spans="2:12" x14ac:dyDescent="0.25">
      <c r="B118" s="433"/>
      <c r="C118" s="434"/>
      <c r="D118" s="412"/>
      <c r="E118" s="413"/>
      <c r="F118" s="413"/>
      <c r="G118" s="414"/>
      <c r="H118" s="390" t="s">
        <v>29</v>
      </c>
      <c r="I118" s="390"/>
      <c r="J118" s="390"/>
      <c r="K118" s="390"/>
      <c r="L118" s="390"/>
    </row>
    <row r="119" spans="2:12" ht="15" customHeight="1" x14ac:dyDescent="0.25">
      <c r="B119" s="433"/>
      <c r="C119" s="432">
        <v>3</v>
      </c>
      <c r="D119" s="406" t="s">
        <v>88</v>
      </c>
      <c r="E119" s="407"/>
      <c r="F119" s="407"/>
      <c r="G119" s="408"/>
      <c r="H119" s="26" t="s">
        <v>32</v>
      </c>
      <c r="I119" s="27">
        <v>0.3</v>
      </c>
      <c r="J119" s="390" t="s">
        <v>40</v>
      </c>
      <c r="K119" s="390"/>
      <c r="L119" s="390"/>
    </row>
    <row r="120" spans="2:12" x14ac:dyDescent="0.25">
      <c r="B120" s="433"/>
      <c r="C120" s="433"/>
      <c r="D120" s="409"/>
      <c r="E120" s="410"/>
      <c r="F120" s="410"/>
      <c r="G120" s="411"/>
      <c r="H120" s="425">
        <v>98</v>
      </c>
      <c r="I120" s="425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33"/>
      <c r="C121" s="433"/>
      <c r="D121" s="409"/>
      <c r="E121" s="410"/>
      <c r="F121" s="410"/>
      <c r="G121" s="411"/>
      <c r="H121" s="426"/>
      <c r="I121" s="426"/>
      <c r="J121" s="39">
        <v>110</v>
      </c>
      <c r="K121" s="39" t="s">
        <v>34</v>
      </c>
      <c r="L121" s="39" t="s">
        <v>77</v>
      </c>
    </row>
    <row r="122" spans="2:12" x14ac:dyDescent="0.25">
      <c r="B122" s="433"/>
      <c r="C122" s="433"/>
      <c r="D122" s="412"/>
      <c r="E122" s="413"/>
      <c r="F122" s="413"/>
      <c r="G122" s="414"/>
      <c r="H122" s="426"/>
      <c r="I122" s="426"/>
      <c r="J122" s="39">
        <v>108</v>
      </c>
      <c r="K122" s="39" t="s">
        <v>34</v>
      </c>
      <c r="L122" s="39" t="s">
        <v>78</v>
      </c>
    </row>
    <row r="123" spans="2:12" x14ac:dyDescent="0.25">
      <c r="B123" s="433"/>
      <c r="C123" s="433"/>
      <c r="D123" s="436" t="s">
        <v>37</v>
      </c>
      <c r="E123" s="437"/>
      <c r="F123" s="437"/>
      <c r="G123" s="438"/>
      <c r="H123" s="426"/>
      <c r="I123" s="426"/>
      <c r="J123" s="39">
        <v>105</v>
      </c>
      <c r="K123" s="39" t="s">
        <v>34</v>
      </c>
      <c r="L123" s="39" t="s">
        <v>80</v>
      </c>
    </row>
    <row r="124" spans="2:12" x14ac:dyDescent="0.25">
      <c r="B124" s="433"/>
      <c r="C124" s="433"/>
      <c r="D124" s="406" t="s">
        <v>89</v>
      </c>
      <c r="E124" s="407"/>
      <c r="F124" s="407"/>
      <c r="G124" s="408"/>
      <c r="H124" s="426"/>
      <c r="I124" s="426"/>
      <c r="J124" s="39">
        <v>103</v>
      </c>
      <c r="K124" s="39" t="s">
        <v>34</v>
      </c>
      <c r="L124" s="39" t="s">
        <v>81</v>
      </c>
    </row>
    <row r="125" spans="2:12" x14ac:dyDescent="0.25">
      <c r="B125" s="433"/>
      <c r="C125" s="433"/>
      <c r="D125" s="409"/>
      <c r="E125" s="410"/>
      <c r="F125" s="410"/>
      <c r="G125" s="411"/>
      <c r="H125" s="426"/>
      <c r="I125" s="426"/>
      <c r="J125" s="39">
        <v>100</v>
      </c>
      <c r="K125" s="39" t="s">
        <v>34</v>
      </c>
      <c r="L125" s="39" t="s">
        <v>82</v>
      </c>
    </row>
    <row r="126" spans="2:12" x14ac:dyDescent="0.25">
      <c r="B126" s="433"/>
      <c r="C126" s="433"/>
      <c r="D126" s="409"/>
      <c r="E126" s="410"/>
      <c r="F126" s="410"/>
      <c r="G126" s="411"/>
      <c r="H126" s="426"/>
      <c r="I126" s="426"/>
      <c r="J126" s="39">
        <v>98</v>
      </c>
      <c r="K126" s="39" t="s">
        <v>34</v>
      </c>
      <c r="L126" s="39" t="s">
        <v>83</v>
      </c>
    </row>
    <row r="127" spans="2:12" x14ac:dyDescent="0.25">
      <c r="B127" s="433"/>
      <c r="C127" s="433"/>
      <c r="D127" s="409"/>
      <c r="E127" s="410"/>
      <c r="F127" s="410"/>
      <c r="G127" s="411"/>
      <c r="H127" s="426"/>
      <c r="I127" s="426"/>
      <c r="J127" s="39">
        <v>95</v>
      </c>
      <c r="K127" s="39" t="s">
        <v>34</v>
      </c>
      <c r="L127" s="39" t="s">
        <v>84</v>
      </c>
    </row>
    <row r="128" spans="2:12" x14ac:dyDescent="0.25">
      <c r="B128" s="434"/>
      <c r="C128" s="434"/>
      <c r="D128" s="412"/>
      <c r="E128" s="413"/>
      <c r="F128" s="413"/>
      <c r="G128" s="414"/>
      <c r="H128" s="427"/>
      <c r="I128" s="427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419" t="s">
        <v>62</v>
      </c>
      <c r="D129" s="420"/>
      <c r="E129" s="420"/>
      <c r="F129" s="420"/>
      <c r="G129" s="421"/>
      <c r="H129" s="422">
        <f>I98+I109+I120</f>
        <v>98.6</v>
      </c>
      <c r="I129" s="423"/>
      <c r="J129" s="423"/>
      <c r="K129" s="423"/>
      <c r="L129" s="424"/>
    </row>
    <row r="130" spans="2:12" x14ac:dyDescent="0.25">
      <c r="B130" s="451">
        <v>3</v>
      </c>
      <c r="C130" s="406" t="s">
        <v>90</v>
      </c>
      <c r="D130" s="407"/>
      <c r="E130" s="407"/>
      <c r="F130" s="407"/>
      <c r="G130" s="408"/>
      <c r="H130" s="454"/>
      <c r="I130" s="455"/>
      <c r="J130" s="455"/>
      <c r="K130" s="455"/>
      <c r="L130" s="456"/>
    </row>
    <row r="131" spans="2:12" x14ac:dyDescent="0.25">
      <c r="B131" s="452"/>
      <c r="C131" s="412"/>
      <c r="D131" s="413"/>
      <c r="E131" s="413"/>
      <c r="F131" s="413"/>
      <c r="G131" s="414"/>
      <c r="H131" s="457"/>
      <c r="I131" s="458"/>
      <c r="J131" s="458"/>
      <c r="K131" s="458"/>
      <c r="L131" s="459"/>
    </row>
    <row r="132" spans="2:12" x14ac:dyDescent="0.25">
      <c r="B132" s="452"/>
      <c r="C132" s="436" t="s">
        <v>64</v>
      </c>
      <c r="D132" s="437"/>
      <c r="E132" s="437"/>
      <c r="F132" s="437"/>
      <c r="G132" s="438"/>
      <c r="H132" s="460" t="s">
        <v>29</v>
      </c>
      <c r="I132" s="460"/>
      <c r="J132" s="460"/>
      <c r="K132" s="460"/>
      <c r="L132" s="460"/>
    </row>
    <row r="133" spans="2:12" x14ac:dyDescent="0.25">
      <c r="B133" s="452"/>
      <c r="C133" s="432">
        <v>1</v>
      </c>
      <c r="D133" s="406" t="s">
        <v>91</v>
      </c>
      <c r="E133" s="407"/>
      <c r="F133" s="407"/>
      <c r="G133" s="408"/>
      <c r="H133" s="26" t="s">
        <v>32</v>
      </c>
      <c r="I133" s="27">
        <v>0.25</v>
      </c>
      <c r="J133" s="460" t="s">
        <v>40</v>
      </c>
      <c r="K133" s="460"/>
      <c r="L133" s="460"/>
    </row>
    <row r="134" spans="2:12" x14ac:dyDescent="0.25">
      <c r="B134" s="452"/>
      <c r="C134" s="433"/>
      <c r="D134" s="412"/>
      <c r="E134" s="413"/>
      <c r="F134" s="413"/>
      <c r="G134" s="414"/>
      <c r="H134" s="461"/>
      <c r="I134" s="461"/>
      <c r="J134" s="26"/>
      <c r="K134" s="26"/>
      <c r="L134" s="26"/>
    </row>
    <row r="135" spans="2:12" x14ac:dyDescent="0.25">
      <c r="B135" s="452"/>
      <c r="C135" s="433"/>
      <c r="D135" s="436" t="s">
        <v>37</v>
      </c>
      <c r="E135" s="437"/>
      <c r="F135" s="437"/>
      <c r="G135" s="438"/>
      <c r="H135" s="462"/>
      <c r="I135" s="462"/>
      <c r="J135" s="26"/>
      <c r="K135" s="26"/>
      <c r="L135" s="26"/>
    </row>
    <row r="136" spans="2:12" x14ac:dyDescent="0.25">
      <c r="B136" s="452"/>
      <c r="C136" s="434"/>
      <c r="D136" s="419"/>
      <c r="E136" s="420"/>
      <c r="F136" s="420"/>
      <c r="G136" s="421"/>
      <c r="H136" s="463"/>
      <c r="I136" s="463"/>
      <c r="J136" s="26"/>
      <c r="K136" s="26"/>
      <c r="L136" s="26"/>
    </row>
    <row r="137" spans="2:12" x14ac:dyDescent="0.25">
      <c r="B137" s="452"/>
      <c r="C137" s="436" t="s">
        <v>47</v>
      </c>
      <c r="D137" s="437"/>
      <c r="E137" s="437"/>
      <c r="F137" s="437"/>
      <c r="G137" s="438"/>
      <c r="H137" s="460" t="s">
        <v>29</v>
      </c>
      <c r="I137" s="460"/>
      <c r="J137" s="460"/>
      <c r="K137" s="460"/>
      <c r="L137" s="460"/>
    </row>
    <row r="138" spans="2:12" ht="15" customHeight="1" x14ac:dyDescent="0.25">
      <c r="B138" s="452"/>
      <c r="C138" s="432">
        <v>1</v>
      </c>
      <c r="D138" s="406" t="s">
        <v>92</v>
      </c>
      <c r="E138" s="407"/>
      <c r="F138" s="407"/>
      <c r="G138" s="408"/>
      <c r="H138" s="26" t="s">
        <v>32</v>
      </c>
      <c r="I138" s="27">
        <v>0.25</v>
      </c>
      <c r="J138" s="460" t="s">
        <v>40</v>
      </c>
      <c r="K138" s="460"/>
      <c r="L138" s="460"/>
    </row>
    <row r="139" spans="2:12" x14ac:dyDescent="0.25">
      <c r="B139" s="452"/>
      <c r="C139" s="433"/>
      <c r="D139" s="409"/>
      <c r="E139" s="410"/>
      <c r="F139" s="410"/>
      <c r="G139" s="411"/>
      <c r="H139" s="461"/>
      <c r="I139" s="461"/>
      <c r="J139" s="26"/>
      <c r="K139" s="26"/>
      <c r="L139" s="26"/>
    </row>
    <row r="140" spans="2:12" x14ac:dyDescent="0.25">
      <c r="B140" s="452"/>
      <c r="C140" s="433"/>
      <c r="D140" s="412"/>
      <c r="E140" s="413"/>
      <c r="F140" s="413"/>
      <c r="G140" s="414"/>
      <c r="H140" s="462"/>
      <c r="I140" s="462"/>
      <c r="J140" s="26"/>
      <c r="K140" s="26"/>
      <c r="L140" s="26"/>
    </row>
    <row r="141" spans="2:12" x14ac:dyDescent="0.25">
      <c r="B141" s="452"/>
      <c r="C141" s="433"/>
      <c r="D141" s="428" t="s">
        <v>37</v>
      </c>
      <c r="E141" s="429"/>
      <c r="F141" s="429"/>
      <c r="G141" s="430"/>
      <c r="H141" s="462"/>
      <c r="I141" s="462"/>
      <c r="J141" s="26"/>
      <c r="K141" s="26"/>
      <c r="L141" s="26"/>
    </row>
    <row r="142" spans="2:12" x14ac:dyDescent="0.25">
      <c r="B142" s="452"/>
      <c r="C142" s="433"/>
      <c r="D142" s="454"/>
      <c r="E142" s="455"/>
      <c r="F142" s="455"/>
      <c r="G142" s="456"/>
      <c r="H142" s="462"/>
      <c r="I142" s="462"/>
      <c r="J142" s="26"/>
      <c r="K142" s="26"/>
      <c r="L142" s="26"/>
    </row>
    <row r="143" spans="2:12" x14ac:dyDescent="0.25">
      <c r="B143" s="452"/>
      <c r="C143" s="433"/>
      <c r="D143" s="464"/>
      <c r="E143" s="465"/>
      <c r="F143" s="465"/>
      <c r="G143" s="466"/>
      <c r="H143" s="462"/>
      <c r="I143" s="462"/>
      <c r="J143" s="26"/>
      <c r="K143" s="26"/>
      <c r="L143" s="26"/>
    </row>
    <row r="144" spans="2:12" x14ac:dyDescent="0.25">
      <c r="B144" s="453"/>
      <c r="C144" s="434"/>
      <c r="D144" s="457"/>
      <c r="E144" s="458"/>
      <c r="F144" s="458"/>
      <c r="G144" s="459"/>
      <c r="H144" s="463"/>
      <c r="I144" s="463"/>
      <c r="J144" s="26"/>
      <c r="K144" s="26"/>
      <c r="L144" s="26"/>
    </row>
    <row r="145" spans="2:12" x14ac:dyDescent="0.25">
      <c r="B145" s="41"/>
      <c r="C145" s="419" t="s">
        <v>46</v>
      </c>
      <c r="D145" s="420"/>
      <c r="E145" s="420"/>
      <c r="F145" s="420"/>
      <c r="G145" s="421"/>
      <c r="H145" s="42"/>
      <c r="I145" s="42"/>
      <c r="J145" s="26"/>
      <c r="K145" s="26"/>
      <c r="L145" s="26"/>
    </row>
    <row r="146" spans="2:12" x14ac:dyDescent="0.25">
      <c r="B146" s="403">
        <v>4</v>
      </c>
      <c r="C146" s="6" t="s">
        <v>93</v>
      </c>
      <c r="D146" s="6"/>
      <c r="E146" s="6"/>
      <c r="F146" s="6"/>
      <c r="G146" s="6"/>
      <c r="H146" s="460" t="s">
        <v>29</v>
      </c>
      <c r="I146" s="460"/>
      <c r="J146" s="460"/>
      <c r="K146" s="460"/>
      <c r="L146" s="460"/>
    </row>
    <row r="147" spans="2:12" x14ac:dyDescent="0.25">
      <c r="B147" s="403"/>
      <c r="C147" s="390" t="s">
        <v>64</v>
      </c>
      <c r="D147" s="390"/>
      <c r="E147" s="390"/>
      <c r="F147" s="390"/>
      <c r="G147" s="390"/>
      <c r="H147" s="26" t="s">
        <v>32</v>
      </c>
      <c r="I147" s="27">
        <v>0.7</v>
      </c>
      <c r="J147" s="460" t="s">
        <v>40</v>
      </c>
      <c r="K147" s="460"/>
      <c r="L147" s="460"/>
    </row>
    <row r="148" spans="2:12" x14ac:dyDescent="0.25">
      <c r="B148" s="403"/>
      <c r="C148" s="390">
        <v>1</v>
      </c>
      <c r="D148" s="467" t="s">
        <v>94</v>
      </c>
      <c r="E148" s="467"/>
      <c r="F148" s="467"/>
      <c r="G148" s="467"/>
      <c r="H148" s="425">
        <f>12-E150-E156</f>
        <v>1</v>
      </c>
      <c r="I148" s="425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403"/>
      <c r="C149" s="390"/>
      <c r="D149" s="468" t="s">
        <v>96</v>
      </c>
      <c r="E149" s="468"/>
      <c r="F149" s="468"/>
      <c r="G149" s="468"/>
      <c r="H149" s="426"/>
      <c r="I149" s="426"/>
      <c r="J149" s="26">
        <v>11</v>
      </c>
      <c r="K149" s="26" t="s">
        <v>95</v>
      </c>
      <c r="L149" s="26">
        <v>155</v>
      </c>
    </row>
    <row r="150" spans="2:12" x14ac:dyDescent="0.25">
      <c r="B150" s="403"/>
      <c r="C150" s="390"/>
      <c r="D150" s="390" t="s">
        <v>97</v>
      </c>
      <c r="E150" s="469">
        <v>7</v>
      </c>
      <c r="F150" s="469"/>
      <c r="G150" s="469"/>
      <c r="H150" s="426"/>
      <c r="I150" s="426"/>
      <c r="J150" s="26">
        <v>10</v>
      </c>
      <c r="K150" s="26" t="s">
        <v>95</v>
      </c>
      <c r="L150" s="26">
        <v>150</v>
      </c>
    </row>
    <row r="151" spans="2:12" x14ac:dyDescent="0.25">
      <c r="B151" s="403"/>
      <c r="C151" s="390"/>
      <c r="D151" s="390"/>
      <c r="E151" s="469"/>
      <c r="F151" s="469"/>
      <c r="G151" s="469"/>
      <c r="H151" s="426"/>
      <c r="I151" s="426"/>
      <c r="J151" s="26">
        <v>9</v>
      </c>
      <c r="K151" s="26" t="s">
        <v>95</v>
      </c>
      <c r="L151" s="26">
        <v>145</v>
      </c>
    </row>
    <row r="152" spans="2:12" x14ac:dyDescent="0.25">
      <c r="B152" s="403"/>
      <c r="C152" s="390"/>
      <c r="D152" s="390"/>
      <c r="E152" s="469"/>
      <c r="F152" s="469"/>
      <c r="G152" s="469"/>
      <c r="H152" s="426"/>
      <c r="I152" s="426"/>
      <c r="J152" s="26">
        <v>8</v>
      </c>
      <c r="K152" s="26" t="s">
        <v>95</v>
      </c>
      <c r="L152" s="26">
        <v>140</v>
      </c>
    </row>
    <row r="153" spans="2:12" x14ac:dyDescent="0.25">
      <c r="B153" s="403"/>
      <c r="C153" s="390"/>
      <c r="D153" s="390"/>
      <c r="E153" s="469"/>
      <c r="F153" s="469"/>
      <c r="G153" s="469"/>
      <c r="H153" s="426"/>
      <c r="I153" s="426"/>
      <c r="J153" s="26">
        <v>7</v>
      </c>
      <c r="K153" s="26" t="s">
        <v>95</v>
      </c>
      <c r="L153" s="26">
        <v>135</v>
      </c>
    </row>
    <row r="154" spans="2:12" x14ac:dyDescent="0.25">
      <c r="B154" s="403"/>
      <c r="C154" s="390"/>
      <c r="D154" s="390"/>
      <c r="E154" s="469"/>
      <c r="F154" s="469"/>
      <c r="G154" s="469"/>
      <c r="H154" s="426"/>
      <c r="I154" s="426"/>
      <c r="J154" s="26">
        <v>6</v>
      </c>
      <c r="K154" s="26" t="s">
        <v>95</v>
      </c>
      <c r="L154" s="26">
        <v>130</v>
      </c>
    </row>
    <row r="155" spans="2:12" x14ac:dyDescent="0.25">
      <c r="B155" s="403"/>
      <c r="C155" s="390"/>
      <c r="D155" s="390"/>
      <c r="E155" s="469"/>
      <c r="F155" s="469"/>
      <c r="G155" s="469"/>
      <c r="H155" s="426"/>
      <c r="I155" s="426"/>
      <c r="J155" s="26">
        <v>5</v>
      </c>
      <c r="K155" s="26" t="s">
        <v>95</v>
      </c>
      <c r="L155" s="26">
        <v>125</v>
      </c>
    </row>
    <row r="156" spans="2:12" x14ac:dyDescent="0.25">
      <c r="B156" s="403"/>
      <c r="C156" s="390"/>
      <c r="D156" s="460" t="s">
        <v>95</v>
      </c>
      <c r="E156" s="403">
        <v>4</v>
      </c>
      <c r="F156" s="403"/>
      <c r="G156" s="403"/>
      <c r="H156" s="426"/>
      <c r="I156" s="426"/>
      <c r="J156" s="26">
        <v>4</v>
      </c>
      <c r="K156" s="26" t="s">
        <v>95</v>
      </c>
      <c r="L156" s="26">
        <v>120</v>
      </c>
    </row>
    <row r="157" spans="2:12" x14ac:dyDescent="0.25">
      <c r="B157" s="403"/>
      <c r="C157" s="390"/>
      <c r="D157" s="460"/>
      <c r="E157" s="403"/>
      <c r="F157" s="403"/>
      <c r="G157" s="403"/>
      <c r="H157" s="426"/>
      <c r="I157" s="426"/>
      <c r="J157" s="26">
        <v>3</v>
      </c>
      <c r="K157" s="26" t="s">
        <v>95</v>
      </c>
      <c r="L157" s="26">
        <v>115</v>
      </c>
    </row>
    <row r="158" spans="2:12" x14ac:dyDescent="0.25">
      <c r="B158" s="403"/>
      <c r="C158" s="390"/>
      <c r="D158" s="460"/>
      <c r="E158" s="403"/>
      <c r="F158" s="403"/>
      <c r="G158" s="403"/>
      <c r="H158" s="426"/>
      <c r="I158" s="426"/>
      <c r="J158" s="26">
        <v>2</v>
      </c>
      <c r="K158" s="26" t="s">
        <v>95</v>
      </c>
      <c r="L158" s="26">
        <v>110</v>
      </c>
    </row>
    <row r="159" spans="2:12" x14ac:dyDescent="0.25">
      <c r="B159" s="403"/>
      <c r="C159" s="390"/>
      <c r="D159" s="460"/>
      <c r="E159" s="403"/>
      <c r="F159" s="403"/>
      <c r="G159" s="403"/>
      <c r="H159" s="426"/>
      <c r="I159" s="426"/>
      <c r="J159" s="26">
        <v>1</v>
      </c>
      <c r="K159" s="26" t="s">
        <v>95</v>
      </c>
      <c r="L159" s="26">
        <v>105</v>
      </c>
    </row>
    <row r="160" spans="2:12" x14ac:dyDescent="0.25">
      <c r="B160" s="403"/>
      <c r="C160" s="390"/>
      <c r="D160" s="460"/>
      <c r="E160" s="403"/>
      <c r="F160" s="403"/>
      <c r="G160" s="403"/>
      <c r="H160" s="426"/>
      <c r="I160" s="426"/>
      <c r="J160" s="26">
        <v>0</v>
      </c>
      <c r="K160" s="26" t="s">
        <v>95</v>
      </c>
      <c r="L160" s="26">
        <v>100</v>
      </c>
    </row>
    <row r="161" spans="2:12" x14ac:dyDescent="0.25">
      <c r="B161" s="403"/>
      <c r="C161" s="390"/>
      <c r="D161" s="460"/>
      <c r="E161" s="403"/>
      <c r="F161" s="403"/>
      <c r="G161" s="403"/>
      <c r="H161" s="427"/>
      <c r="I161" s="427"/>
      <c r="J161" s="26">
        <v>1</v>
      </c>
      <c r="K161" s="26" t="s">
        <v>98</v>
      </c>
      <c r="L161" s="26">
        <v>-5</v>
      </c>
    </row>
    <row r="162" spans="2:12" x14ac:dyDescent="0.25">
      <c r="B162" s="403"/>
      <c r="C162" s="390"/>
      <c r="D162" s="460"/>
      <c r="E162" s="403"/>
      <c r="F162" s="403"/>
      <c r="G162" s="403"/>
      <c r="H162" s="460" t="s">
        <v>29</v>
      </c>
      <c r="I162" s="460"/>
      <c r="J162" s="460"/>
      <c r="K162" s="460"/>
      <c r="L162" s="460"/>
    </row>
    <row r="163" spans="2:12" x14ac:dyDescent="0.25">
      <c r="B163" s="403"/>
      <c r="C163" s="391">
        <v>2</v>
      </c>
      <c r="D163" s="390" t="s">
        <v>99</v>
      </c>
      <c r="E163" s="390"/>
      <c r="F163" s="390"/>
      <c r="G163" s="390"/>
      <c r="H163" s="26" t="s">
        <v>32</v>
      </c>
      <c r="I163" s="27">
        <v>0.2</v>
      </c>
      <c r="J163" s="460" t="s">
        <v>40</v>
      </c>
      <c r="K163" s="460"/>
      <c r="L163" s="460"/>
    </row>
    <row r="164" spans="2:12" ht="15" customHeight="1" x14ac:dyDescent="0.25">
      <c r="B164" s="403"/>
      <c r="C164" s="391"/>
      <c r="D164" s="390" t="s">
        <v>96</v>
      </c>
      <c r="E164" s="390"/>
      <c r="F164" s="390"/>
      <c r="G164" s="390"/>
      <c r="H164" s="461">
        <v>1</v>
      </c>
      <c r="I164" s="461">
        <f>VLOOKUP(H164,$J$164:$L$168,3,0)*I163</f>
        <v>19.5</v>
      </c>
      <c r="J164" s="43">
        <v>0</v>
      </c>
      <c r="K164" s="482" t="s">
        <v>100</v>
      </c>
      <c r="L164" s="44">
        <v>110</v>
      </c>
    </row>
    <row r="165" spans="2:12" x14ac:dyDescent="0.25">
      <c r="B165" s="403"/>
      <c r="C165" s="391"/>
      <c r="D165" s="390" t="s">
        <v>101</v>
      </c>
      <c r="E165" s="390"/>
      <c r="F165" s="390"/>
      <c r="G165" s="390"/>
      <c r="H165" s="462"/>
      <c r="I165" s="462"/>
      <c r="J165" s="43">
        <v>1</v>
      </c>
      <c r="K165" s="482"/>
      <c r="L165" s="44">
        <v>97.5</v>
      </c>
    </row>
    <row r="166" spans="2:12" x14ac:dyDescent="0.25">
      <c r="B166" s="403"/>
      <c r="C166" s="391"/>
      <c r="D166" s="390"/>
      <c r="E166" s="390"/>
      <c r="F166" s="390"/>
      <c r="G166" s="390"/>
      <c r="H166" s="462"/>
      <c r="I166" s="462"/>
      <c r="J166" s="43">
        <v>2</v>
      </c>
      <c r="K166" s="482"/>
      <c r="L166" s="45">
        <v>95</v>
      </c>
    </row>
    <row r="167" spans="2:12" x14ac:dyDescent="0.25">
      <c r="B167" s="403"/>
      <c r="C167" s="391"/>
      <c r="D167" s="390"/>
      <c r="E167" s="390"/>
      <c r="F167" s="390"/>
      <c r="G167" s="390"/>
      <c r="H167" s="462"/>
      <c r="I167" s="462"/>
      <c r="J167" s="43">
        <v>3</v>
      </c>
      <c r="K167" s="482"/>
      <c r="L167" s="45">
        <f>L166-2.5</f>
        <v>92.5</v>
      </c>
    </row>
    <row r="168" spans="2:12" x14ac:dyDescent="0.25">
      <c r="B168" s="403"/>
      <c r="C168" s="391"/>
      <c r="D168" s="390"/>
      <c r="E168" s="390"/>
      <c r="F168" s="390"/>
      <c r="G168" s="390"/>
      <c r="H168" s="463"/>
      <c r="I168" s="463"/>
      <c r="J168" s="43">
        <v>4</v>
      </c>
      <c r="K168" s="482"/>
      <c r="L168" s="45">
        <f>L167-2.5</f>
        <v>90</v>
      </c>
    </row>
    <row r="169" spans="2:12" x14ac:dyDescent="0.25">
      <c r="B169" s="403"/>
      <c r="C169" s="391"/>
      <c r="D169" s="390"/>
      <c r="E169" s="390"/>
      <c r="F169" s="390"/>
      <c r="G169" s="390"/>
      <c r="H169" s="460" t="s">
        <v>29</v>
      </c>
      <c r="I169" s="460"/>
      <c r="J169" s="460"/>
      <c r="K169" s="460"/>
      <c r="L169" s="460"/>
    </row>
    <row r="170" spans="2:12" x14ac:dyDescent="0.25">
      <c r="B170" s="403"/>
      <c r="C170" s="390">
        <v>3</v>
      </c>
      <c r="D170" s="390" t="s">
        <v>102</v>
      </c>
      <c r="E170" s="390"/>
      <c r="F170" s="390"/>
      <c r="G170" s="390"/>
      <c r="H170" s="26" t="s">
        <v>32</v>
      </c>
      <c r="I170" s="27">
        <v>0.1</v>
      </c>
      <c r="J170" s="460" t="s">
        <v>40</v>
      </c>
      <c r="K170" s="460"/>
      <c r="L170" s="460"/>
    </row>
    <row r="171" spans="2:12" ht="15" customHeight="1" x14ac:dyDescent="0.25">
      <c r="B171" s="403"/>
      <c r="C171" s="390"/>
      <c r="D171" s="390" t="s">
        <v>96</v>
      </c>
      <c r="E171" s="390"/>
      <c r="F171" s="390"/>
      <c r="G171" s="390"/>
      <c r="H171" s="425">
        <v>0</v>
      </c>
      <c r="I171" s="425">
        <f>VLOOKUP(H171,$J$171:$L$176,3,0)*I170</f>
        <v>11</v>
      </c>
      <c r="J171" s="43">
        <v>0</v>
      </c>
      <c r="K171" s="470" t="s">
        <v>103</v>
      </c>
      <c r="L171" s="44">
        <v>110</v>
      </c>
    </row>
    <row r="172" spans="2:12" x14ac:dyDescent="0.25">
      <c r="B172" s="403"/>
      <c r="C172" s="390"/>
      <c r="D172" s="390" t="s">
        <v>104</v>
      </c>
      <c r="E172" s="390"/>
      <c r="F172" s="390"/>
      <c r="G172" s="390"/>
      <c r="H172" s="426"/>
      <c r="I172" s="426"/>
      <c r="J172" s="43">
        <v>1</v>
      </c>
      <c r="K172" s="470"/>
      <c r="L172" s="44">
        <v>97.5</v>
      </c>
    </row>
    <row r="173" spans="2:12" x14ac:dyDescent="0.25">
      <c r="B173" s="403"/>
      <c r="C173" s="390"/>
      <c r="D173" s="390"/>
      <c r="E173" s="390"/>
      <c r="F173" s="390"/>
      <c r="G173" s="390"/>
      <c r="H173" s="426"/>
      <c r="I173" s="426"/>
      <c r="J173" s="43">
        <v>2</v>
      </c>
      <c r="K173" s="470"/>
      <c r="L173" s="45">
        <v>95</v>
      </c>
    </row>
    <row r="174" spans="2:12" x14ac:dyDescent="0.25">
      <c r="B174" s="403"/>
      <c r="C174" s="390"/>
      <c r="D174" s="390"/>
      <c r="E174" s="390"/>
      <c r="F174" s="390"/>
      <c r="G174" s="390"/>
      <c r="H174" s="426"/>
      <c r="I174" s="426"/>
      <c r="J174" s="43">
        <v>3</v>
      </c>
      <c r="K174" s="470"/>
      <c r="L174" s="45">
        <f>L173-2.5</f>
        <v>92.5</v>
      </c>
    </row>
    <row r="175" spans="2:12" x14ac:dyDescent="0.25">
      <c r="B175" s="403"/>
      <c r="C175" s="390"/>
      <c r="D175" s="390"/>
      <c r="E175" s="390"/>
      <c r="F175" s="390"/>
      <c r="G175" s="390"/>
      <c r="H175" s="426"/>
      <c r="I175" s="426"/>
      <c r="J175" s="43">
        <v>4</v>
      </c>
      <c r="K175" s="470"/>
      <c r="L175" s="45">
        <f>L174-2.5</f>
        <v>90</v>
      </c>
    </row>
    <row r="176" spans="2:12" x14ac:dyDescent="0.25">
      <c r="B176" s="403"/>
      <c r="C176" s="390"/>
      <c r="D176" s="390"/>
      <c r="E176" s="390"/>
      <c r="F176" s="390"/>
      <c r="G176" s="390"/>
      <c r="H176" s="427"/>
      <c r="I176" s="427"/>
      <c r="J176" s="26"/>
      <c r="K176" s="470"/>
      <c r="L176" s="26"/>
    </row>
    <row r="177" spans="2:12" x14ac:dyDescent="0.25">
      <c r="B177" s="403"/>
      <c r="C177" s="403" t="s">
        <v>46</v>
      </c>
      <c r="D177" s="403"/>
      <c r="E177" s="403"/>
      <c r="F177" s="403"/>
      <c r="G177" s="403"/>
      <c r="H177" s="392">
        <f>I148+I164+I171</f>
        <v>104</v>
      </c>
      <c r="I177" s="392"/>
      <c r="J177" s="392"/>
      <c r="K177" s="392"/>
      <c r="L177" s="392"/>
    </row>
    <row r="180" spans="2:12" x14ac:dyDescent="0.25">
      <c r="B180" s="471" t="s">
        <v>105</v>
      </c>
      <c r="C180" s="471"/>
      <c r="D180" s="471"/>
      <c r="E180" s="471"/>
      <c r="F180" s="471"/>
      <c r="G180" s="471"/>
      <c r="H180" s="471"/>
      <c r="I180" s="471"/>
      <c r="J180" s="471"/>
      <c r="K180" s="471"/>
      <c r="L180" s="471"/>
    </row>
    <row r="181" spans="2:12" x14ac:dyDescent="0.25">
      <c r="B181" s="472"/>
      <c r="C181" s="472"/>
      <c r="D181" s="472"/>
      <c r="E181" s="472"/>
      <c r="F181" s="472"/>
      <c r="G181" s="472"/>
      <c r="H181" s="472"/>
      <c r="I181" s="472"/>
      <c r="J181" s="472"/>
      <c r="K181" s="472"/>
      <c r="L181" s="472"/>
    </row>
    <row r="182" spans="2:12" x14ac:dyDescent="0.25">
      <c r="B182" s="473"/>
      <c r="C182" s="474"/>
      <c r="D182" s="474"/>
      <c r="E182" s="474"/>
      <c r="F182" s="474"/>
      <c r="G182" s="474"/>
      <c r="H182" s="474"/>
      <c r="I182" s="474"/>
      <c r="J182" s="474"/>
      <c r="K182" s="474"/>
      <c r="L182" s="475"/>
    </row>
    <row r="183" spans="2:12" x14ac:dyDescent="0.25">
      <c r="B183" s="476"/>
      <c r="C183" s="477"/>
      <c r="D183" s="477"/>
      <c r="E183" s="477"/>
      <c r="F183" s="477"/>
      <c r="G183" s="477"/>
      <c r="H183" s="477"/>
      <c r="I183" s="477"/>
      <c r="J183" s="477"/>
      <c r="K183" s="477"/>
      <c r="L183" s="478"/>
    </row>
    <row r="184" spans="2:12" x14ac:dyDescent="0.25">
      <c r="B184" s="476"/>
      <c r="C184" s="477"/>
      <c r="D184" s="477"/>
      <c r="E184" s="477"/>
      <c r="F184" s="477"/>
      <c r="G184" s="477"/>
      <c r="H184" s="477"/>
      <c r="I184" s="477"/>
      <c r="J184" s="477"/>
      <c r="K184" s="477"/>
      <c r="L184" s="478"/>
    </row>
    <row r="185" spans="2:12" x14ac:dyDescent="0.25">
      <c r="B185" s="479"/>
      <c r="C185" s="480"/>
      <c r="D185" s="480"/>
      <c r="E185" s="480"/>
      <c r="F185" s="480"/>
      <c r="G185" s="480"/>
      <c r="H185" s="480"/>
      <c r="I185" s="480"/>
      <c r="J185" s="480"/>
      <c r="K185" s="480"/>
      <c r="L185" s="481"/>
    </row>
    <row r="187" spans="2:12" x14ac:dyDescent="0.25">
      <c r="B187" s="471" t="s">
        <v>106</v>
      </c>
      <c r="C187" s="471"/>
      <c r="D187" s="471"/>
      <c r="E187" s="471"/>
      <c r="F187" s="471"/>
      <c r="G187" s="471"/>
      <c r="H187" s="471"/>
      <c r="I187" s="471"/>
      <c r="J187" s="471"/>
      <c r="K187" s="471"/>
      <c r="L187" s="471"/>
    </row>
    <row r="188" spans="2:12" x14ac:dyDescent="0.25">
      <c r="B188" s="471"/>
      <c r="C188" s="471"/>
      <c r="D188" s="471"/>
      <c r="E188" s="471"/>
      <c r="F188" s="471"/>
      <c r="G188" s="471"/>
      <c r="H188" s="471"/>
      <c r="I188" s="471"/>
      <c r="J188" s="471"/>
      <c r="K188" s="471"/>
      <c r="L188" s="471"/>
    </row>
    <row r="189" spans="2:12" x14ac:dyDescent="0.25">
      <c r="B189" s="431"/>
      <c r="C189" s="431"/>
      <c r="D189" s="431"/>
      <c r="E189" s="431"/>
      <c r="F189" s="431"/>
      <c r="G189" s="431"/>
      <c r="H189" s="431"/>
      <c r="I189" s="431"/>
      <c r="J189" s="431"/>
      <c r="K189" s="431"/>
      <c r="L189" s="431"/>
    </row>
    <row r="190" spans="2:12" x14ac:dyDescent="0.25">
      <c r="B190" s="431"/>
      <c r="C190" s="431"/>
      <c r="D190" s="431"/>
      <c r="E190" s="431"/>
      <c r="F190" s="431"/>
      <c r="G190" s="431"/>
      <c r="H190" s="431"/>
      <c r="I190" s="431"/>
      <c r="J190" s="431"/>
      <c r="K190" s="431"/>
      <c r="L190" s="431"/>
    </row>
    <row r="191" spans="2:12" x14ac:dyDescent="0.25">
      <c r="B191" s="431"/>
      <c r="C191" s="431"/>
      <c r="D191" s="431"/>
      <c r="E191" s="431"/>
      <c r="F191" s="431"/>
      <c r="G191" s="431"/>
      <c r="H191" s="431"/>
      <c r="I191" s="431"/>
      <c r="J191" s="431"/>
      <c r="K191" s="431"/>
      <c r="L191" s="431"/>
    </row>
    <row r="192" spans="2:12" x14ac:dyDescent="0.25">
      <c r="B192" s="431"/>
      <c r="C192" s="431"/>
      <c r="D192" s="431"/>
      <c r="E192" s="431"/>
      <c r="F192" s="431"/>
      <c r="G192" s="431"/>
      <c r="H192" s="431"/>
      <c r="I192" s="431"/>
      <c r="J192" s="431"/>
      <c r="K192" s="431"/>
      <c r="L192" s="431"/>
    </row>
    <row r="193" spans="2:12" x14ac:dyDescent="0.25">
      <c r="B193" s="431"/>
      <c r="C193" s="431"/>
      <c r="D193" s="431"/>
      <c r="E193" s="431"/>
      <c r="F193" s="431"/>
      <c r="G193" s="431"/>
      <c r="H193" s="431"/>
      <c r="I193" s="431"/>
      <c r="J193" s="431"/>
      <c r="K193" s="431"/>
      <c r="L193" s="431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485" t="s">
        <v>113</v>
      </c>
      <c r="C202" s="486"/>
      <c r="D202" s="47"/>
      <c r="E202" s="489" t="s">
        <v>114</v>
      </c>
      <c r="F202" s="407" t="s">
        <v>4</v>
      </c>
      <c r="G202" s="48"/>
      <c r="H202" s="48"/>
      <c r="I202" s="407" t="s">
        <v>115</v>
      </c>
      <c r="J202" s="407"/>
      <c r="K202" s="491" t="s">
        <v>6</v>
      </c>
      <c r="L202" s="49"/>
    </row>
    <row r="203" spans="2:12" x14ac:dyDescent="0.25">
      <c r="B203" s="487"/>
      <c r="C203" s="488"/>
      <c r="D203" s="50"/>
      <c r="E203" s="490"/>
      <c r="F203" s="410"/>
      <c r="G203" s="51"/>
      <c r="H203" s="51"/>
      <c r="I203" s="410"/>
      <c r="J203" s="410"/>
      <c r="K203" s="492"/>
      <c r="L203" s="52"/>
    </row>
    <row r="204" spans="2:12" x14ac:dyDescent="0.25">
      <c r="B204" s="483" t="s">
        <v>116</v>
      </c>
      <c r="C204" s="484"/>
      <c r="D204" s="53"/>
      <c r="E204" s="484" t="s">
        <v>116</v>
      </c>
      <c r="F204" s="484"/>
      <c r="G204" s="53"/>
      <c r="H204" s="53"/>
      <c r="I204" s="484" t="s">
        <v>116</v>
      </c>
      <c r="J204" s="484"/>
      <c r="K204" s="53"/>
      <c r="L204" s="54"/>
    </row>
  </sheetData>
  <mergeCells count="200"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pageSetUpPr autoPageBreaks="0"/>
  </sheetPr>
  <dimension ref="A1:AX997"/>
  <sheetViews>
    <sheetView showGridLines="0" zoomScale="80" zoomScaleNormal="80" zoomScaleSheetLayoutView="100" workbookViewId="0">
      <pane ySplit="3" topLeftCell="A111" activePane="bottomLeft" state="frozen"/>
      <selection pane="bottomLeft" activeCell="C265" sqref="C265"/>
    </sheetView>
  </sheetViews>
  <sheetFormatPr defaultRowHeight="15" x14ac:dyDescent="0.25"/>
  <cols>
    <col min="1" max="1" width="1.140625" style="9" customWidth="1"/>
    <col min="2" max="2" width="6.42578125" style="9" customWidth="1"/>
    <col min="3" max="3" width="37.140625" style="9" customWidth="1"/>
    <col min="4" max="4" width="9.5703125" style="102" bestFit="1" customWidth="1"/>
    <col min="5" max="5" width="5.85546875" style="102" customWidth="1"/>
    <col min="6" max="6" width="7.5703125" style="9" customWidth="1"/>
    <col min="7" max="7" width="47.28515625" style="9" customWidth="1"/>
    <col min="8" max="8" width="4.140625" style="9" bestFit="1" customWidth="1"/>
    <col min="9" max="9" width="1.140625" style="9" customWidth="1"/>
    <col min="10" max="10" width="2" style="9" customWidth="1"/>
    <col min="11" max="13" width="9.140625" style="9"/>
    <col min="14" max="14" width="6.7109375" style="144" customWidth="1"/>
    <col min="15" max="18" width="4" style="144" hidden="1" customWidth="1"/>
    <col min="19" max="19" width="7.42578125" style="144" customWidth="1"/>
    <col min="20" max="30" width="4" style="144" customWidth="1"/>
    <col min="31" max="50" width="9.140625" style="144"/>
    <col min="51" max="16384" width="9.140625" style="9"/>
  </cols>
  <sheetData>
    <row r="1" spans="1:43" ht="18" customHeight="1" x14ac:dyDescent="0.25">
      <c r="S1" s="145"/>
      <c r="T1" s="146">
        <v>1</v>
      </c>
      <c r="U1" s="146">
        <v>2</v>
      </c>
      <c r="V1" s="147">
        <v>3</v>
      </c>
      <c r="W1" s="147">
        <v>4</v>
      </c>
      <c r="X1" s="147">
        <v>5</v>
      </c>
      <c r="Y1" s="147">
        <v>6</v>
      </c>
      <c r="Z1" s="147">
        <v>7</v>
      </c>
    </row>
    <row r="2" spans="1:43" ht="18" customHeight="1" x14ac:dyDescent="0.25">
      <c r="S2" s="148" t="s">
        <v>108</v>
      </c>
      <c r="T2" s="149"/>
      <c r="U2" s="150"/>
      <c r="V2" s="150"/>
      <c r="W2" s="150"/>
      <c r="X2" s="150"/>
      <c r="Y2" s="150"/>
      <c r="Z2" s="151"/>
    </row>
    <row r="3" spans="1:43" ht="15.75" thickBot="1" x14ac:dyDescent="0.3">
      <c r="S3" s="152" t="s">
        <v>47</v>
      </c>
      <c r="T3" s="153"/>
      <c r="U3" s="153"/>
      <c r="V3" s="153"/>
      <c r="W3" s="153"/>
      <c r="X3" s="153"/>
      <c r="Y3" s="153"/>
      <c r="Z3" s="145"/>
    </row>
    <row r="4" spans="1:43" ht="19.5" customHeight="1" x14ac:dyDescent="0.25">
      <c r="B4" s="595" t="s">
        <v>0</v>
      </c>
      <c r="C4" s="596"/>
      <c r="D4" s="596"/>
      <c r="E4" s="596"/>
      <c r="F4" s="596"/>
      <c r="G4" s="596"/>
      <c r="H4" s="596"/>
      <c r="I4" s="597"/>
      <c r="R4" s="154" t="s">
        <v>131</v>
      </c>
      <c r="U4" s="154" t="s">
        <v>131</v>
      </c>
    </row>
    <row r="5" spans="1:43" ht="15" customHeight="1" thickBot="1" x14ac:dyDescent="0.3">
      <c r="B5" s="598"/>
      <c r="C5" s="599"/>
      <c r="D5" s="599"/>
      <c r="E5" s="599"/>
      <c r="F5" s="599"/>
      <c r="G5" s="599"/>
      <c r="H5" s="599"/>
      <c r="I5" s="600"/>
      <c r="R5" s="154" t="s">
        <v>131</v>
      </c>
      <c r="U5" s="154" t="s">
        <v>131</v>
      </c>
    </row>
    <row r="6" spans="1:43" ht="15.75" customHeight="1" x14ac:dyDescent="0.25">
      <c r="B6" s="68" t="s">
        <v>1</v>
      </c>
      <c r="C6" s="69"/>
      <c r="D6" s="601" t="s">
        <v>176</v>
      </c>
      <c r="E6" s="601"/>
      <c r="F6" s="601"/>
      <c r="G6" s="601"/>
      <c r="H6" s="601"/>
      <c r="I6" s="602"/>
      <c r="R6" s="154" t="s">
        <v>131</v>
      </c>
      <c r="U6" s="154" t="s">
        <v>131</v>
      </c>
    </row>
    <row r="7" spans="1:43" ht="15" customHeight="1" x14ac:dyDescent="0.25">
      <c r="B7" s="65" t="s">
        <v>140</v>
      </c>
      <c r="C7" s="2"/>
      <c r="D7" s="603" t="s">
        <v>142</v>
      </c>
      <c r="E7" s="603"/>
      <c r="F7" s="603"/>
      <c r="G7" s="603"/>
      <c r="H7" s="603"/>
      <c r="I7" s="604"/>
      <c r="R7" s="154" t="s">
        <v>131</v>
      </c>
      <c r="U7" s="154" t="s">
        <v>131</v>
      </c>
    </row>
    <row r="8" spans="1:43" ht="15" customHeight="1" x14ac:dyDescent="0.25">
      <c r="B8" s="65" t="s">
        <v>3</v>
      </c>
      <c r="C8" s="2"/>
      <c r="D8" s="603" t="s">
        <v>267</v>
      </c>
      <c r="E8" s="603"/>
      <c r="F8" s="603"/>
      <c r="G8" s="603"/>
      <c r="H8" s="603"/>
      <c r="I8" s="604"/>
      <c r="R8" s="154" t="s">
        <v>131</v>
      </c>
      <c r="U8" s="154" t="s">
        <v>131</v>
      </c>
    </row>
    <row r="9" spans="1:43" ht="15" customHeight="1" x14ac:dyDescent="0.25">
      <c r="B9" s="65" t="s">
        <v>5</v>
      </c>
      <c r="C9" s="2"/>
      <c r="D9" s="603" t="s">
        <v>141</v>
      </c>
      <c r="E9" s="603"/>
      <c r="F9" s="603"/>
      <c r="G9" s="603"/>
      <c r="H9" s="603"/>
      <c r="I9" s="604"/>
      <c r="R9" s="154" t="s">
        <v>131</v>
      </c>
      <c r="U9" s="154" t="s">
        <v>131</v>
      </c>
    </row>
    <row r="10" spans="1:43" x14ac:dyDescent="0.25">
      <c r="B10" s="65" t="s">
        <v>7</v>
      </c>
      <c r="C10" s="2"/>
      <c r="D10" s="605" t="s">
        <v>268</v>
      </c>
      <c r="E10" s="606"/>
      <c r="F10" s="606"/>
      <c r="G10" s="606"/>
      <c r="H10" s="606"/>
      <c r="I10" s="607"/>
      <c r="R10" s="154" t="s">
        <v>131</v>
      </c>
      <c r="U10" s="154" t="s">
        <v>131</v>
      </c>
    </row>
    <row r="11" spans="1:43" x14ac:dyDescent="0.25">
      <c r="B11" s="65" t="s">
        <v>8</v>
      </c>
      <c r="C11" s="2"/>
      <c r="D11" s="590" t="s">
        <v>170</v>
      </c>
      <c r="E11" s="591"/>
      <c r="F11" s="591"/>
      <c r="G11" s="591"/>
      <c r="H11" s="591"/>
      <c r="I11" s="592"/>
      <c r="R11" s="154" t="s">
        <v>131</v>
      </c>
      <c r="U11" s="154" t="s">
        <v>131</v>
      </c>
    </row>
    <row r="12" spans="1:43" ht="15.75" thickBot="1" x14ac:dyDescent="0.3">
      <c r="B12" s="66" t="s">
        <v>10</v>
      </c>
      <c r="C12" s="67"/>
      <c r="D12" s="593">
        <v>46023</v>
      </c>
      <c r="E12" s="593"/>
      <c r="F12" s="593"/>
      <c r="G12" s="593"/>
      <c r="H12" s="593"/>
      <c r="I12" s="594"/>
      <c r="R12" s="154" t="s">
        <v>131</v>
      </c>
      <c r="T12" s="274"/>
      <c r="U12" s="275" t="s">
        <v>131</v>
      </c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  <c r="AF12" s="274"/>
      <c r="AG12" s="274"/>
      <c r="AH12" s="274"/>
      <c r="AI12" s="274"/>
      <c r="AJ12" s="274"/>
      <c r="AK12" s="274"/>
      <c r="AL12" s="274"/>
      <c r="AM12" s="274"/>
      <c r="AN12" s="274"/>
      <c r="AO12" s="274"/>
      <c r="AP12" s="274"/>
      <c r="AQ12" s="274"/>
    </row>
    <row r="13" spans="1:43" ht="15.75" thickBot="1" x14ac:dyDescent="0.3">
      <c r="B13" s="56"/>
      <c r="C13" s="56"/>
      <c r="D13" s="113"/>
      <c r="E13" s="103"/>
      <c r="R13" s="154" t="s">
        <v>131</v>
      </c>
      <c r="T13" s="274"/>
      <c r="U13" s="275" t="s">
        <v>131</v>
      </c>
      <c r="V13" s="274"/>
      <c r="W13" s="274"/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/>
      <c r="AQ13" s="274"/>
    </row>
    <row r="14" spans="1:43" ht="16.5" customHeight="1" x14ac:dyDescent="0.25">
      <c r="A14" s="98" t="s">
        <v>131</v>
      </c>
      <c r="B14" s="116" t="s">
        <v>117</v>
      </c>
      <c r="C14" s="95"/>
      <c r="D14" s="104"/>
      <c r="E14" s="104"/>
      <c r="F14" s="95"/>
      <c r="G14" s="560" t="s">
        <v>17</v>
      </c>
      <c r="H14" s="560"/>
      <c r="I14" s="561"/>
      <c r="O14" s="144">
        <v>1</v>
      </c>
      <c r="R14" s="154" t="s">
        <v>131</v>
      </c>
      <c r="T14" s="274"/>
      <c r="U14" s="275" t="s">
        <v>131</v>
      </c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  <c r="AF14" s="274"/>
      <c r="AG14" s="274"/>
      <c r="AH14" s="274"/>
      <c r="AI14" s="274"/>
      <c r="AJ14" s="274"/>
      <c r="AK14" s="274"/>
      <c r="AL14" s="274"/>
      <c r="AM14" s="274"/>
      <c r="AN14" s="274"/>
      <c r="AO14" s="274"/>
      <c r="AP14" s="274"/>
      <c r="AQ14" s="274"/>
    </row>
    <row r="15" spans="1:43" ht="19.5" customHeight="1" thickBot="1" x14ac:dyDescent="0.3">
      <c r="A15" s="98" t="s">
        <v>131</v>
      </c>
      <c r="B15" s="117" t="s">
        <v>235</v>
      </c>
      <c r="C15" s="96"/>
      <c r="D15" s="105"/>
      <c r="E15" s="105"/>
      <c r="F15" s="96"/>
      <c r="G15" s="562">
        <v>0.35</v>
      </c>
      <c r="H15" s="563"/>
      <c r="I15" s="564"/>
      <c r="R15" s="154" t="s">
        <v>131</v>
      </c>
      <c r="T15" s="274"/>
      <c r="U15" s="275" t="s">
        <v>131</v>
      </c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  <c r="AM15" s="274"/>
      <c r="AN15" s="274"/>
      <c r="AO15" s="274"/>
      <c r="AP15" s="274"/>
      <c r="AQ15" s="274"/>
    </row>
    <row r="16" spans="1:43" ht="15.75" thickBot="1" x14ac:dyDescent="0.3">
      <c r="A16" s="98" t="s">
        <v>131</v>
      </c>
      <c r="B16" s="97"/>
      <c r="C16" s="97"/>
      <c r="D16" s="106"/>
      <c r="E16" s="106"/>
      <c r="F16" s="97"/>
      <c r="G16" s="97"/>
      <c r="H16" s="97"/>
      <c r="I16" s="98" t="s">
        <v>131</v>
      </c>
      <c r="R16" s="154" t="s">
        <v>131</v>
      </c>
      <c r="S16" s="177"/>
      <c r="T16" s="177"/>
      <c r="U16" s="178" t="s">
        <v>131</v>
      </c>
      <c r="V16" s="177"/>
      <c r="W16" s="177"/>
      <c r="X16" s="177"/>
      <c r="Y16" s="177"/>
      <c r="Z16" s="177"/>
      <c r="AA16" s="177"/>
      <c r="AB16" s="177"/>
      <c r="AC16" s="177"/>
      <c r="AD16" s="177"/>
      <c r="AE16" s="177"/>
      <c r="AF16" s="274"/>
      <c r="AG16" s="274"/>
      <c r="AH16" s="274"/>
      <c r="AI16" s="274"/>
      <c r="AJ16" s="274"/>
      <c r="AK16" s="274"/>
      <c r="AL16" s="274"/>
      <c r="AM16" s="274"/>
      <c r="AN16" s="274"/>
      <c r="AO16" s="274"/>
      <c r="AP16" s="274"/>
      <c r="AQ16" s="274"/>
    </row>
    <row r="17" spans="1:43" ht="15.75" thickBot="1" x14ac:dyDescent="0.3">
      <c r="A17" s="98" t="s">
        <v>131</v>
      </c>
      <c r="B17" s="55" t="s">
        <v>119</v>
      </c>
      <c r="C17" s="55" t="s">
        <v>118</v>
      </c>
      <c r="D17" s="498" t="s">
        <v>124</v>
      </c>
      <c r="E17" s="499"/>
      <c r="F17" s="500" t="s">
        <v>127</v>
      </c>
      <c r="G17" s="501"/>
      <c r="H17" s="502"/>
      <c r="I17" s="98" t="s">
        <v>131</v>
      </c>
      <c r="K17" s="544" t="s">
        <v>129</v>
      </c>
      <c r="L17" s="545"/>
      <c r="M17" s="546"/>
      <c r="R17" s="154" t="s">
        <v>131</v>
      </c>
      <c r="S17" s="177"/>
      <c r="T17" s="177"/>
      <c r="U17" s="178" t="s">
        <v>131</v>
      </c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274"/>
      <c r="AG17" s="274"/>
      <c r="AH17" s="274"/>
      <c r="AI17" s="274"/>
      <c r="AJ17" s="274"/>
      <c r="AK17" s="274"/>
      <c r="AL17" s="274"/>
      <c r="AM17" s="274"/>
      <c r="AN17" s="274"/>
      <c r="AO17" s="274"/>
      <c r="AP17" s="274"/>
      <c r="AQ17" s="274"/>
    </row>
    <row r="18" spans="1:43" ht="15" customHeight="1" thickBot="1" x14ac:dyDescent="0.3">
      <c r="A18" s="98" t="s">
        <v>131</v>
      </c>
      <c r="B18" s="496">
        <v>1</v>
      </c>
      <c r="C18" s="506" t="s">
        <v>236</v>
      </c>
      <c r="D18" s="170" t="s">
        <v>125</v>
      </c>
      <c r="E18" s="171">
        <v>0.9</v>
      </c>
      <c r="F18" s="93">
        <v>1</v>
      </c>
      <c r="G18" s="57" t="s">
        <v>186</v>
      </c>
      <c r="H18" s="58">
        <v>115</v>
      </c>
      <c r="I18" s="98" t="s">
        <v>131</v>
      </c>
      <c r="K18" s="120" t="s">
        <v>118</v>
      </c>
      <c r="L18" s="121" t="s">
        <v>124</v>
      </c>
      <c r="M18" s="122" t="s">
        <v>128</v>
      </c>
      <c r="R18" s="154" t="s">
        <v>131</v>
      </c>
      <c r="S18" s="178" t="s">
        <v>131</v>
      </c>
      <c r="T18" s="179" t="s">
        <v>131</v>
      </c>
      <c r="U18" s="180" t="s">
        <v>131</v>
      </c>
      <c r="V18" s="180"/>
      <c r="W18" s="179"/>
      <c r="X18" s="180"/>
      <c r="Y18" s="180"/>
      <c r="Z18" s="180"/>
      <c r="AA18" s="180"/>
      <c r="AB18" s="180"/>
      <c r="AC18" s="180"/>
      <c r="AD18" s="180"/>
      <c r="AE18" s="180"/>
      <c r="AF18" s="138"/>
      <c r="AG18" s="138"/>
      <c r="AH18" s="274"/>
      <c r="AI18" s="274"/>
      <c r="AJ18" s="274"/>
      <c r="AK18" s="274"/>
      <c r="AL18" s="274"/>
      <c r="AM18" s="274"/>
      <c r="AN18" s="274"/>
      <c r="AO18" s="274"/>
      <c r="AP18" s="274"/>
      <c r="AQ18" s="274"/>
    </row>
    <row r="19" spans="1:43" x14ac:dyDescent="0.25">
      <c r="A19" s="98" t="s">
        <v>131</v>
      </c>
      <c r="B19" s="589"/>
      <c r="C19" s="507"/>
      <c r="D19" s="522">
        <v>1</v>
      </c>
      <c r="E19" s="525">
        <f>IF(D19=0,0,VLOOKUP($D19,$F18:$H27,3,FALSE)*$E18)</f>
        <v>103.5</v>
      </c>
      <c r="F19" s="256">
        <v>2</v>
      </c>
      <c r="G19" s="257" t="s">
        <v>187</v>
      </c>
      <c r="H19" s="258">
        <v>100</v>
      </c>
      <c r="I19" s="98" t="s">
        <v>131</v>
      </c>
      <c r="K19" s="70">
        <v>1</v>
      </c>
      <c r="L19" s="125">
        <f>E19</f>
        <v>103.5</v>
      </c>
      <c r="M19" s="547">
        <f>SUM(L19:L23)</f>
        <v>115</v>
      </c>
      <c r="R19" s="154" t="s">
        <v>131</v>
      </c>
      <c r="S19" s="178" t="s">
        <v>131</v>
      </c>
      <c r="T19" s="179" t="s">
        <v>131</v>
      </c>
      <c r="U19" s="179" t="s">
        <v>131</v>
      </c>
      <c r="V19" s="179"/>
      <c r="W19" s="179"/>
      <c r="X19" s="180"/>
      <c r="Y19" s="180"/>
      <c r="Z19" s="180"/>
      <c r="AA19" s="180"/>
      <c r="AB19" s="180"/>
      <c r="AC19" s="180"/>
      <c r="AD19" s="180"/>
      <c r="AE19" s="180"/>
      <c r="AF19" s="138"/>
      <c r="AG19" s="138"/>
      <c r="AH19" s="274"/>
      <c r="AI19" s="274"/>
      <c r="AJ19" s="274"/>
      <c r="AK19" s="274"/>
      <c r="AL19" s="274"/>
      <c r="AM19" s="274"/>
      <c r="AN19" s="274"/>
      <c r="AO19" s="274"/>
      <c r="AP19" s="274"/>
      <c r="AQ19" s="274"/>
    </row>
    <row r="20" spans="1:43" x14ac:dyDescent="0.25">
      <c r="A20" s="98" t="s">
        <v>131</v>
      </c>
      <c r="B20" s="589"/>
      <c r="C20" s="507"/>
      <c r="D20" s="523"/>
      <c r="E20" s="526"/>
      <c r="F20" s="59">
        <v>3</v>
      </c>
      <c r="G20" s="60" t="s">
        <v>189</v>
      </c>
      <c r="H20" s="61">
        <v>90</v>
      </c>
      <c r="I20" s="98" t="s">
        <v>131</v>
      </c>
      <c r="K20" s="71">
        <v>2</v>
      </c>
      <c r="L20" s="126">
        <f>E29</f>
        <v>11.5</v>
      </c>
      <c r="M20" s="547"/>
      <c r="R20" s="154" t="s">
        <v>131</v>
      </c>
      <c r="S20" s="178" t="s">
        <v>131</v>
      </c>
      <c r="T20" s="179" t="s">
        <v>131</v>
      </c>
      <c r="U20" s="179">
        <v>1</v>
      </c>
      <c r="V20" s="179">
        <v>2</v>
      </c>
      <c r="W20" s="179">
        <v>3</v>
      </c>
      <c r="X20" s="180">
        <v>4</v>
      </c>
      <c r="Y20" s="180">
        <v>5</v>
      </c>
      <c r="Z20" s="180"/>
      <c r="AA20" s="180"/>
      <c r="AB20" s="180"/>
      <c r="AC20" s="180"/>
      <c r="AD20" s="180"/>
      <c r="AE20" s="180"/>
      <c r="AF20" s="138"/>
      <c r="AG20" s="138"/>
      <c r="AH20" s="274"/>
      <c r="AI20" s="274"/>
      <c r="AJ20" s="274"/>
      <c r="AK20" s="274"/>
      <c r="AL20" s="274"/>
      <c r="AM20" s="274"/>
      <c r="AN20" s="274"/>
      <c r="AO20" s="274"/>
      <c r="AP20" s="274"/>
      <c r="AQ20" s="274"/>
    </row>
    <row r="21" spans="1:43" x14ac:dyDescent="0.25">
      <c r="A21" s="98" t="s">
        <v>131</v>
      </c>
      <c r="B21" s="589"/>
      <c r="C21" s="507"/>
      <c r="D21" s="523"/>
      <c r="E21" s="526"/>
      <c r="F21" s="59">
        <v>4</v>
      </c>
      <c r="G21" s="60" t="s">
        <v>190</v>
      </c>
      <c r="H21" s="61">
        <v>80</v>
      </c>
      <c r="I21" s="98" t="s">
        <v>131</v>
      </c>
      <c r="K21" s="71">
        <v>3</v>
      </c>
      <c r="L21" s="126">
        <f>E39</f>
        <v>0</v>
      </c>
      <c r="M21" s="547"/>
      <c r="R21" s="154" t="s">
        <v>131</v>
      </c>
      <c r="S21" s="178" t="s">
        <v>131</v>
      </c>
      <c r="T21" s="179" t="s">
        <v>131</v>
      </c>
      <c r="U21" s="179" t="str">
        <f t="shared" ref="U21:U39" si="0">$W$21&amp;$Z21</f>
        <v>IKA HERDIANA UTAMI1</v>
      </c>
      <c r="V21" s="179" t="s">
        <v>1</v>
      </c>
      <c r="W21" s="179" t="str">
        <f>D6</f>
        <v>IKA HERDIANA UTAMI</v>
      </c>
      <c r="X21" s="180"/>
      <c r="Y21" s="180"/>
      <c r="Z21" s="181">
        <v>1</v>
      </c>
      <c r="AA21" s="181"/>
      <c r="AB21" s="181"/>
      <c r="AC21" s="180"/>
      <c r="AD21" s="180"/>
      <c r="AE21" s="180"/>
      <c r="AF21" s="138"/>
      <c r="AG21" s="138"/>
      <c r="AH21" s="274"/>
      <c r="AI21" s="274"/>
      <c r="AJ21" s="274"/>
      <c r="AK21" s="274"/>
      <c r="AL21" s="274"/>
      <c r="AM21" s="274"/>
      <c r="AN21" s="274"/>
      <c r="AO21" s="274"/>
      <c r="AP21" s="274"/>
      <c r="AQ21" s="274"/>
    </row>
    <row r="22" spans="1:43" x14ac:dyDescent="0.25">
      <c r="A22" s="98" t="s">
        <v>131</v>
      </c>
      <c r="B22" s="589"/>
      <c r="C22" s="507"/>
      <c r="D22" s="523"/>
      <c r="E22" s="526"/>
      <c r="F22" s="59">
        <v>5</v>
      </c>
      <c r="G22" s="60" t="s">
        <v>188</v>
      </c>
      <c r="H22" s="61">
        <v>50</v>
      </c>
      <c r="I22" s="98" t="s">
        <v>131</v>
      </c>
      <c r="K22" s="71">
        <v>4</v>
      </c>
      <c r="L22" s="126">
        <f>E49</f>
        <v>0</v>
      </c>
      <c r="M22" s="547"/>
      <c r="R22" s="154" t="s">
        <v>131</v>
      </c>
      <c r="S22" s="178" t="s">
        <v>131</v>
      </c>
      <c r="T22" s="179" t="s">
        <v>131</v>
      </c>
      <c r="U22" s="179" t="str">
        <f t="shared" si="0"/>
        <v>IKA HERDIANA UTAMI2</v>
      </c>
      <c r="V22" s="179" t="s">
        <v>3</v>
      </c>
      <c r="W22" s="179" t="str">
        <f>D8</f>
        <v>Ifa Istifarini</v>
      </c>
      <c r="X22" s="182"/>
      <c r="Y22" s="183"/>
      <c r="Z22" s="181">
        <v>2</v>
      </c>
      <c r="AA22" s="180"/>
      <c r="AB22" s="180"/>
      <c r="AC22" s="180"/>
      <c r="AD22" s="180"/>
      <c r="AE22" s="180"/>
      <c r="AF22" s="138"/>
      <c r="AG22" s="138"/>
      <c r="AH22" s="274"/>
      <c r="AI22" s="274"/>
      <c r="AJ22" s="274"/>
      <c r="AK22" s="274"/>
      <c r="AL22" s="274"/>
      <c r="AM22" s="274"/>
      <c r="AN22" s="274"/>
      <c r="AO22" s="274"/>
      <c r="AP22" s="274"/>
      <c r="AQ22" s="274"/>
    </row>
    <row r="23" spans="1:43" ht="15" customHeight="1" thickBot="1" x14ac:dyDescent="0.3">
      <c r="A23" s="98" t="s">
        <v>131</v>
      </c>
      <c r="B23" s="589"/>
      <c r="C23" s="507"/>
      <c r="D23" s="523"/>
      <c r="E23" s="526"/>
      <c r="F23" s="59"/>
      <c r="G23" s="60"/>
      <c r="H23" s="61"/>
      <c r="I23" s="98" t="s">
        <v>131</v>
      </c>
      <c r="K23" s="72">
        <v>5</v>
      </c>
      <c r="L23" s="127">
        <f>E59</f>
        <v>0</v>
      </c>
      <c r="M23" s="548"/>
      <c r="R23" s="154" t="s">
        <v>131</v>
      </c>
      <c r="S23" s="178" t="s">
        <v>131</v>
      </c>
      <c r="T23" s="179" t="s">
        <v>131</v>
      </c>
      <c r="U23" s="179" t="str">
        <f t="shared" si="0"/>
        <v>IKA HERDIANA UTAMI3</v>
      </c>
      <c r="V23" s="179" t="s">
        <v>5</v>
      </c>
      <c r="W23" s="179" t="str">
        <f>D9</f>
        <v>Vita Ari Puspita</v>
      </c>
      <c r="X23" s="182"/>
      <c r="Y23" s="184"/>
      <c r="Z23" s="181">
        <v>3</v>
      </c>
      <c r="AA23" s="180"/>
      <c r="AB23" s="180"/>
      <c r="AC23" s="180"/>
      <c r="AD23" s="180"/>
      <c r="AE23" s="180"/>
      <c r="AF23" s="138"/>
      <c r="AG23" s="138"/>
      <c r="AH23" s="274"/>
      <c r="AI23" s="274"/>
      <c r="AJ23" s="274"/>
      <c r="AK23" s="274"/>
      <c r="AL23" s="274"/>
      <c r="AM23" s="274"/>
      <c r="AN23" s="274"/>
      <c r="AO23" s="274"/>
      <c r="AP23" s="274"/>
      <c r="AQ23" s="274"/>
    </row>
    <row r="24" spans="1:43" ht="15" customHeight="1" thickBot="1" x14ac:dyDescent="0.3">
      <c r="A24" s="98" t="s">
        <v>131</v>
      </c>
      <c r="B24" s="589"/>
      <c r="C24" s="507"/>
      <c r="D24" s="523"/>
      <c r="E24" s="526"/>
      <c r="F24" s="59"/>
      <c r="G24" s="60"/>
      <c r="H24" s="61"/>
      <c r="I24" s="98" t="s">
        <v>131</v>
      </c>
      <c r="R24" s="154" t="s">
        <v>131</v>
      </c>
      <c r="S24" s="178" t="s">
        <v>131</v>
      </c>
      <c r="T24" s="179" t="s">
        <v>131</v>
      </c>
      <c r="U24" s="179" t="str">
        <f t="shared" si="0"/>
        <v>IKA HERDIANA UTAMI4</v>
      </c>
      <c r="V24" s="179" t="s">
        <v>7</v>
      </c>
      <c r="W24" s="179" t="str">
        <f>D10</f>
        <v>Des-25</v>
      </c>
      <c r="X24" s="182"/>
      <c r="Y24" s="184"/>
      <c r="Z24" s="181">
        <v>4</v>
      </c>
      <c r="AA24" s="180"/>
      <c r="AB24" s="180"/>
      <c r="AC24" s="180"/>
      <c r="AD24" s="180"/>
      <c r="AE24" s="180"/>
      <c r="AF24" s="138"/>
      <c r="AG24" s="138"/>
      <c r="AH24" s="274"/>
      <c r="AI24" s="274"/>
      <c r="AJ24" s="274"/>
      <c r="AK24" s="274"/>
      <c r="AL24" s="274"/>
      <c r="AM24" s="274"/>
      <c r="AN24" s="274"/>
      <c r="AO24" s="274"/>
      <c r="AP24" s="274"/>
      <c r="AQ24" s="274"/>
    </row>
    <row r="25" spans="1:43" ht="15.75" thickBot="1" x14ac:dyDescent="0.3">
      <c r="A25" s="98" t="s">
        <v>131</v>
      </c>
      <c r="B25" s="497"/>
      <c r="C25" s="508"/>
      <c r="D25" s="523"/>
      <c r="E25" s="526"/>
      <c r="F25" s="59"/>
      <c r="G25" s="60"/>
      <c r="H25" s="61"/>
      <c r="I25" s="98" t="s">
        <v>131</v>
      </c>
      <c r="K25" s="549" t="s">
        <v>62</v>
      </c>
      <c r="L25" s="550"/>
      <c r="M25" s="551"/>
      <c r="R25" s="154" t="s">
        <v>131</v>
      </c>
      <c r="S25" s="178" t="s">
        <v>131</v>
      </c>
      <c r="T25" s="179" t="s">
        <v>131</v>
      </c>
      <c r="U25" s="179" t="str">
        <f t="shared" si="0"/>
        <v>IKA HERDIANA UTAMI5</v>
      </c>
      <c r="V25" s="179" t="s">
        <v>8</v>
      </c>
      <c r="W25" s="179" t="str">
        <f>D11</f>
        <v>-</v>
      </c>
      <c r="X25" s="182"/>
      <c r="Y25" s="185"/>
      <c r="Z25" s="181">
        <v>5</v>
      </c>
      <c r="AA25" s="180"/>
      <c r="AB25" s="180"/>
      <c r="AC25" s="180"/>
      <c r="AD25" s="180"/>
      <c r="AE25" s="180"/>
      <c r="AF25" s="138"/>
      <c r="AG25" s="138"/>
      <c r="AH25" s="274"/>
      <c r="AI25" s="274"/>
      <c r="AJ25" s="274"/>
      <c r="AK25" s="274"/>
      <c r="AL25" s="274"/>
      <c r="AM25" s="274"/>
      <c r="AN25" s="274"/>
      <c r="AO25" s="274"/>
      <c r="AP25" s="274"/>
      <c r="AQ25" s="274"/>
    </row>
    <row r="26" spans="1:43" ht="15.75" thickBot="1" x14ac:dyDescent="0.3">
      <c r="A26" s="98" t="s">
        <v>131</v>
      </c>
      <c r="B26" s="528" t="s">
        <v>128</v>
      </c>
      <c r="C26" s="317" t="s">
        <v>186</v>
      </c>
      <c r="D26" s="523"/>
      <c r="E26" s="526"/>
      <c r="F26" s="59"/>
      <c r="G26" s="60"/>
      <c r="H26" s="61"/>
      <c r="I26" s="98" t="s">
        <v>131</v>
      </c>
      <c r="K26" s="129" t="s">
        <v>36</v>
      </c>
      <c r="L26" s="130" t="s">
        <v>124</v>
      </c>
      <c r="M26" s="131" t="s">
        <v>128</v>
      </c>
      <c r="R26" s="154" t="s">
        <v>131</v>
      </c>
      <c r="S26" s="178" t="s">
        <v>131</v>
      </c>
      <c r="T26" s="179" t="s">
        <v>131</v>
      </c>
      <c r="U26" s="179" t="str">
        <f t="shared" si="0"/>
        <v>IKA HERDIANA UTAMI6</v>
      </c>
      <c r="V26" s="179" t="s">
        <v>10</v>
      </c>
      <c r="W26" s="179">
        <f>D12</f>
        <v>46023</v>
      </c>
      <c r="X26" s="182"/>
      <c r="Y26" s="182"/>
      <c r="Z26" s="181">
        <v>6</v>
      </c>
      <c r="AA26" s="180"/>
      <c r="AB26" s="180"/>
      <c r="AC26" s="180"/>
      <c r="AD26" s="180"/>
      <c r="AE26" s="180"/>
      <c r="AF26" s="138"/>
      <c r="AG26" s="138"/>
      <c r="AH26" s="274"/>
      <c r="AI26" s="274"/>
      <c r="AJ26" s="274"/>
      <c r="AK26" s="274"/>
      <c r="AL26" s="274"/>
      <c r="AM26" s="274"/>
      <c r="AN26" s="274"/>
      <c r="AO26" s="274"/>
      <c r="AP26" s="274"/>
      <c r="AQ26" s="274"/>
    </row>
    <row r="27" spans="1:43" ht="15.75" thickBot="1" x14ac:dyDescent="0.3">
      <c r="A27" s="98" t="s">
        <v>131</v>
      </c>
      <c r="B27" s="529"/>
      <c r="C27" s="318"/>
      <c r="D27" s="524"/>
      <c r="E27" s="527"/>
      <c r="F27" s="62"/>
      <c r="G27" s="63"/>
      <c r="H27" s="165"/>
      <c r="I27" s="98" t="s">
        <v>131</v>
      </c>
      <c r="K27" s="70">
        <v>1</v>
      </c>
      <c r="L27" s="225">
        <f>+E74</f>
        <v>28.75</v>
      </c>
      <c r="M27" s="552">
        <f>SUM(L27:L36)</f>
        <v>115</v>
      </c>
      <c r="R27" s="154" t="s">
        <v>131</v>
      </c>
      <c r="S27" s="178" t="s">
        <v>131</v>
      </c>
      <c r="T27" s="179" t="s">
        <v>131</v>
      </c>
      <c r="U27" s="179" t="str">
        <f t="shared" si="0"/>
        <v>IKA HERDIANA UTAMI7</v>
      </c>
      <c r="V27" s="179" t="s">
        <v>16</v>
      </c>
      <c r="W27" s="179" t="s">
        <v>17</v>
      </c>
      <c r="X27" s="182" t="s">
        <v>18</v>
      </c>
      <c r="Y27" s="186" t="s">
        <v>19</v>
      </c>
      <c r="Z27" s="181">
        <v>7</v>
      </c>
      <c r="AA27" s="180"/>
      <c r="AB27" s="180"/>
      <c r="AC27" s="180"/>
      <c r="AD27" s="180"/>
      <c r="AE27" s="180"/>
      <c r="AF27" s="138"/>
      <c r="AG27" s="138"/>
      <c r="AH27" s="274"/>
      <c r="AI27" s="274"/>
      <c r="AJ27" s="274"/>
      <c r="AK27" s="274"/>
      <c r="AL27" s="274"/>
      <c r="AM27" s="274"/>
      <c r="AN27" s="274"/>
      <c r="AO27" s="274"/>
      <c r="AP27" s="274"/>
      <c r="AQ27" s="274"/>
    </row>
    <row r="28" spans="1:43" ht="15" customHeight="1" thickBot="1" x14ac:dyDescent="0.3">
      <c r="A28" s="98" t="s">
        <v>131</v>
      </c>
      <c r="B28" s="518">
        <v>2</v>
      </c>
      <c r="C28" s="506" t="s">
        <v>249</v>
      </c>
      <c r="D28" s="264" t="s">
        <v>124</v>
      </c>
      <c r="E28" s="107">
        <v>0.1</v>
      </c>
      <c r="F28" s="93">
        <v>1</v>
      </c>
      <c r="G28" s="57" t="s">
        <v>262</v>
      </c>
      <c r="H28" s="58">
        <v>115</v>
      </c>
      <c r="I28" s="98" t="s">
        <v>131</v>
      </c>
      <c r="K28" s="71">
        <v>2</v>
      </c>
      <c r="L28" s="226">
        <f>+E84</f>
        <v>23</v>
      </c>
      <c r="M28" s="547"/>
      <c r="N28" s="168"/>
      <c r="R28" s="154"/>
      <c r="S28" s="178"/>
      <c r="T28" s="179" t="s">
        <v>131</v>
      </c>
      <c r="U28" s="179" t="str">
        <f t="shared" si="0"/>
        <v>IKA HERDIANA UTAMI8</v>
      </c>
      <c r="V28" s="179" t="str">
        <f>+B15</f>
        <v>Administrasi Pembayaran Transfer</v>
      </c>
      <c r="W28" s="187">
        <f>+G15</f>
        <v>0.35</v>
      </c>
      <c r="X28" s="188">
        <f>+M19</f>
        <v>115</v>
      </c>
      <c r="Y28" s="188">
        <f>W28*X28</f>
        <v>40.25</v>
      </c>
      <c r="Z28" s="181">
        <v>8</v>
      </c>
      <c r="AA28" s="189"/>
      <c r="AB28" s="180"/>
      <c r="AC28" s="180"/>
      <c r="AD28" s="180"/>
      <c r="AE28" s="180"/>
      <c r="AF28" s="138"/>
      <c r="AG28" s="138"/>
      <c r="AH28" s="274"/>
      <c r="AI28" s="274"/>
      <c r="AJ28" s="274"/>
      <c r="AK28" s="274"/>
      <c r="AL28" s="274"/>
      <c r="AM28" s="274"/>
      <c r="AN28" s="274"/>
      <c r="AO28" s="274"/>
      <c r="AP28" s="274"/>
      <c r="AQ28" s="274"/>
    </row>
    <row r="29" spans="1:43" ht="15" customHeight="1" x14ac:dyDescent="0.25">
      <c r="A29" s="98" t="s">
        <v>131</v>
      </c>
      <c r="B29" s="504"/>
      <c r="C29" s="507"/>
      <c r="D29" s="522">
        <v>1</v>
      </c>
      <c r="E29" s="525">
        <f>IF(D29=0,0,VLOOKUP($D29,$F28:$H37,3,FALSE)*$E28)</f>
        <v>11.5</v>
      </c>
      <c r="F29" s="256">
        <v>2</v>
      </c>
      <c r="G29" s="320" t="s">
        <v>261</v>
      </c>
      <c r="H29" s="258">
        <v>100</v>
      </c>
      <c r="I29" s="98" t="s">
        <v>131</v>
      </c>
      <c r="K29" s="71">
        <v>3</v>
      </c>
      <c r="L29" s="226">
        <f>+E94</f>
        <v>28.75</v>
      </c>
      <c r="M29" s="547"/>
      <c r="N29" s="168"/>
      <c r="R29" s="155"/>
      <c r="S29" s="178"/>
      <c r="T29" s="179"/>
      <c r="U29" s="179" t="str">
        <f t="shared" si="0"/>
        <v>IKA HERDIANA UTAMI9</v>
      </c>
      <c r="V29" s="179" t="str">
        <f>+B180</f>
        <v>Administrasi BG</v>
      </c>
      <c r="W29" s="187">
        <f>+G180</f>
        <v>0.3</v>
      </c>
      <c r="X29" s="190">
        <f>+M184</f>
        <v>115</v>
      </c>
      <c r="Y29" s="188">
        <f>W29*X29</f>
        <v>34.5</v>
      </c>
      <c r="Z29" s="181">
        <v>9</v>
      </c>
      <c r="AA29" s="191"/>
      <c r="AB29" s="180"/>
      <c r="AC29" s="180"/>
      <c r="AD29" s="180"/>
      <c r="AE29" s="180"/>
      <c r="AF29" s="138"/>
      <c r="AG29" s="138"/>
      <c r="AH29" s="274"/>
      <c r="AI29" s="274"/>
      <c r="AJ29" s="274"/>
      <c r="AK29" s="274"/>
      <c r="AL29" s="274"/>
      <c r="AM29" s="274"/>
      <c r="AN29" s="274"/>
      <c r="AO29" s="274"/>
      <c r="AP29" s="274"/>
      <c r="AQ29" s="274"/>
    </row>
    <row r="30" spans="1:43" x14ac:dyDescent="0.25">
      <c r="A30" s="98" t="s">
        <v>131</v>
      </c>
      <c r="B30" s="504"/>
      <c r="C30" s="507"/>
      <c r="D30" s="523"/>
      <c r="E30" s="526"/>
      <c r="F30" s="59">
        <v>3</v>
      </c>
      <c r="G30" s="60" t="s">
        <v>263</v>
      </c>
      <c r="H30" s="61">
        <v>90</v>
      </c>
      <c r="I30" s="98" t="s">
        <v>131</v>
      </c>
      <c r="K30" s="71">
        <v>4</v>
      </c>
      <c r="L30" s="226">
        <f>+E104</f>
        <v>11.5</v>
      </c>
      <c r="M30" s="547"/>
      <c r="N30" s="168"/>
      <c r="R30" s="155"/>
      <c r="S30" s="178"/>
      <c r="T30" s="181"/>
      <c r="U30" s="181" t="str">
        <f t="shared" si="0"/>
        <v>IKA HERDIANA UTAMI10</v>
      </c>
      <c r="V30" s="181" t="str">
        <f>+B396</f>
        <v>Operasional Petugas Lapangan (KMT &amp; MARKETING)</v>
      </c>
      <c r="W30" s="187">
        <f>+G341</f>
        <v>0.25</v>
      </c>
      <c r="X30" s="190">
        <f>+M344</f>
        <v>112</v>
      </c>
      <c r="Y30" s="188">
        <f>W30*X30</f>
        <v>28</v>
      </c>
      <c r="Z30" s="181">
        <v>10</v>
      </c>
      <c r="AA30" s="191"/>
      <c r="AB30" s="180"/>
      <c r="AC30" s="180"/>
      <c r="AD30" s="180"/>
      <c r="AE30" s="180"/>
      <c r="AF30" s="138"/>
      <c r="AG30" s="138"/>
      <c r="AH30" s="274"/>
      <c r="AI30" s="274"/>
      <c r="AJ30" s="274"/>
      <c r="AK30" s="274"/>
      <c r="AL30" s="274"/>
      <c r="AM30" s="274"/>
      <c r="AN30" s="274"/>
      <c r="AO30" s="274"/>
      <c r="AP30" s="274"/>
      <c r="AQ30" s="274"/>
    </row>
    <row r="31" spans="1:43" x14ac:dyDescent="0.25">
      <c r="A31" s="98" t="s">
        <v>131</v>
      </c>
      <c r="B31" s="504"/>
      <c r="C31" s="507"/>
      <c r="D31" s="523"/>
      <c r="E31" s="526"/>
      <c r="F31" s="59">
        <v>4</v>
      </c>
      <c r="G31" s="60" t="s">
        <v>264</v>
      </c>
      <c r="H31" s="61">
        <v>80</v>
      </c>
      <c r="I31" s="98" t="s">
        <v>131</v>
      </c>
      <c r="K31" s="71">
        <v>5</v>
      </c>
      <c r="L31" s="226">
        <f>+E114</f>
        <v>11.5</v>
      </c>
      <c r="M31" s="547"/>
      <c r="N31" s="168"/>
      <c r="R31" s="155"/>
      <c r="S31" s="178"/>
      <c r="T31" s="181"/>
      <c r="U31" s="181" t="str">
        <f t="shared" si="0"/>
        <v>IKA HERDIANA UTAMI11</v>
      </c>
      <c r="V31" s="181" t="str">
        <f>+B499</f>
        <v>Absensi</v>
      </c>
      <c r="W31" s="187">
        <f>+G499</f>
        <v>0.1</v>
      </c>
      <c r="X31" s="192">
        <f>+M503</f>
        <v>115</v>
      </c>
      <c r="Y31" s="188">
        <f>W31*X31</f>
        <v>11.5</v>
      </c>
      <c r="Z31" s="181">
        <v>11</v>
      </c>
      <c r="AA31" s="191"/>
      <c r="AB31" s="180"/>
      <c r="AC31" s="180"/>
      <c r="AD31" s="180"/>
      <c r="AE31" s="180"/>
      <c r="AF31" s="138"/>
      <c r="AG31" s="138"/>
      <c r="AH31" s="274"/>
      <c r="AI31" s="274"/>
      <c r="AJ31" s="274"/>
      <c r="AK31" s="274"/>
      <c r="AL31" s="274"/>
      <c r="AM31" s="274"/>
      <c r="AN31" s="274"/>
      <c r="AO31" s="274"/>
      <c r="AP31" s="274"/>
      <c r="AQ31" s="274"/>
    </row>
    <row r="32" spans="1:43" x14ac:dyDescent="0.25">
      <c r="A32" s="98" t="s">
        <v>131</v>
      </c>
      <c r="B32" s="504"/>
      <c r="C32" s="507"/>
      <c r="D32" s="523"/>
      <c r="E32" s="526"/>
      <c r="F32" s="59">
        <v>5</v>
      </c>
      <c r="G32" s="60" t="s">
        <v>265</v>
      </c>
      <c r="H32" s="61">
        <v>50</v>
      </c>
      <c r="I32" s="98" t="s">
        <v>131</v>
      </c>
      <c r="K32" s="70">
        <v>6</v>
      </c>
      <c r="L32" s="226">
        <f>+E124</f>
        <v>11.5</v>
      </c>
      <c r="M32" s="547"/>
      <c r="N32" s="168"/>
      <c r="R32" s="155"/>
      <c r="S32" s="178"/>
      <c r="T32" s="181"/>
      <c r="U32" s="181"/>
      <c r="V32" s="193" t="s">
        <v>30</v>
      </c>
      <c r="W32" s="187">
        <f>SUM(W28:W31)</f>
        <v>0.99999999999999989</v>
      </c>
      <c r="X32" s="187">
        <f t="shared" ref="X32:Y32" si="1">SUM(X28:X31)</f>
        <v>457</v>
      </c>
      <c r="Y32" s="187">
        <f t="shared" si="1"/>
        <v>114.25</v>
      </c>
      <c r="Z32" s="181">
        <v>12</v>
      </c>
      <c r="AA32" s="191"/>
      <c r="AB32" s="180"/>
      <c r="AC32" s="180"/>
      <c r="AD32" s="180"/>
      <c r="AE32" s="180"/>
      <c r="AF32" s="138"/>
      <c r="AG32" s="138"/>
      <c r="AH32" s="274"/>
      <c r="AI32" s="274"/>
      <c r="AJ32" s="274"/>
      <c r="AK32" s="274"/>
      <c r="AL32" s="274"/>
      <c r="AM32" s="274"/>
      <c r="AN32" s="274"/>
      <c r="AO32" s="274"/>
      <c r="AP32" s="274"/>
      <c r="AQ32" s="274"/>
    </row>
    <row r="33" spans="1:43" ht="15" customHeight="1" x14ac:dyDescent="0.25">
      <c r="A33" s="98" t="s">
        <v>131</v>
      </c>
      <c r="B33" s="504"/>
      <c r="C33" s="507"/>
      <c r="D33" s="523"/>
      <c r="E33" s="526"/>
      <c r="F33" s="59"/>
      <c r="G33" s="60"/>
      <c r="H33" s="61"/>
      <c r="I33" s="98" t="s">
        <v>131</v>
      </c>
      <c r="K33" s="71">
        <v>7</v>
      </c>
      <c r="L33" s="226">
        <f>E136</f>
        <v>0</v>
      </c>
      <c r="M33" s="547"/>
      <c r="N33" s="168"/>
      <c r="R33" s="155"/>
      <c r="S33" s="178"/>
      <c r="T33" s="181"/>
      <c r="U33" s="181"/>
      <c r="V33" s="181"/>
      <c r="W33" s="187"/>
      <c r="X33" s="187"/>
      <c r="Y33" s="187"/>
      <c r="Z33" s="181">
        <v>13</v>
      </c>
      <c r="AA33" s="191"/>
      <c r="AB33" s="180"/>
      <c r="AC33" s="180"/>
      <c r="AD33" s="180"/>
      <c r="AE33" s="180"/>
      <c r="AF33" s="138"/>
      <c r="AG33" s="138"/>
      <c r="AH33" s="274"/>
      <c r="AI33" s="274"/>
      <c r="AJ33" s="274"/>
      <c r="AK33" s="274"/>
      <c r="AL33" s="274"/>
      <c r="AM33" s="274"/>
      <c r="AN33" s="274"/>
      <c r="AO33" s="274"/>
      <c r="AP33" s="274"/>
      <c r="AQ33" s="274"/>
    </row>
    <row r="34" spans="1:43" x14ac:dyDescent="0.25">
      <c r="A34" s="98" t="s">
        <v>131</v>
      </c>
      <c r="B34" s="504"/>
      <c r="C34" s="507"/>
      <c r="D34" s="523"/>
      <c r="E34" s="526"/>
      <c r="F34" s="59"/>
      <c r="G34" s="60"/>
      <c r="H34" s="61"/>
      <c r="I34" s="98" t="s">
        <v>131</v>
      </c>
      <c r="K34" s="71">
        <v>8</v>
      </c>
      <c r="L34" s="226">
        <f>E146</f>
        <v>0</v>
      </c>
      <c r="M34" s="547"/>
      <c r="N34" s="168"/>
      <c r="R34" s="155"/>
      <c r="S34" s="178"/>
      <c r="T34" s="181"/>
      <c r="U34" s="181"/>
      <c r="V34" s="193"/>
      <c r="W34" s="194"/>
      <c r="X34" s="195"/>
      <c r="Y34" s="196"/>
      <c r="Z34" s="181">
        <v>14</v>
      </c>
      <c r="AA34" s="197"/>
      <c r="AB34" s="180"/>
      <c r="AC34" s="180"/>
      <c r="AD34" s="180"/>
      <c r="AE34" s="180"/>
      <c r="AF34" s="138"/>
      <c r="AG34" s="138"/>
      <c r="AH34" s="274"/>
      <c r="AI34" s="274"/>
      <c r="AJ34" s="274"/>
      <c r="AK34" s="274"/>
      <c r="AL34" s="274"/>
      <c r="AM34" s="274"/>
      <c r="AN34" s="274"/>
      <c r="AO34" s="274"/>
      <c r="AP34" s="274"/>
      <c r="AQ34" s="274"/>
    </row>
    <row r="35" spans="1:43" ht="15.75" thickBot="1" x14ac:dyDescent="0.3">
      <c r="A35" s="98" t="s">
        <v>131</v>
      </c>
      <c r="B35" s="505"/>
      <c r="C35" s="508"/>
      <c r="D35" s="523"/>
      <c r="E35" s="526"/>
      <c r="F35" s="59"/>
      <c r="G35" s="94"/>
      <c r="H35" s="124"/>
      <c r="I35" s="98" t="s">
        <v>131</v>
      </c>
      <c r="K35" s="71">
        <v>9</v>
      </c>
      <c r="L35" s="226">
        <f>E157</f>
        <v>0</v>
      </c>
      <c r="M35" s="547"/>
      <c r="N35" s="168"/>
      <c r="R35" s="155"/>
      <c r="S35" s="178"/>
      <c r="T35" s="181"/>
      <c r="U35" s="181" t="str">
        <f t="shared" si="0"/>
        <v>IKA HERDIANA UTAMI15</v>
      </c>
      <c r="V35" s="193" t="s">
        <v>36</v>
      </c>
      <c r="W35" s="198" t="s">
        <v>17</v>
      </c>
      <c r="X35" s="195" t="s">
        <v>18</v>
      </c>
      <c r="Y35" s="196" t="s">
        <v>19</v>
      </c>
      <c r="Z35" s="181">
        <v>15</v>
      </c>
      <c r="AA35" s="189"/>
      <c r="AB35" s="180"/>
      <c r="AC35" s="180"/>
      <c r="AD35" s="180"/>
      <c r="AE35" s="180"/>
      <c r="AF35" s="138"/>
      <c r="AG35" s="138"/>
      <c r="AH35" s="274"/>
      <c r="AI35" s="274"/>
      <c r="AJ35" s="274"/>
      <c r="AK35" s="274"/>
      <c r="AL35" s="274"/>
      <c r="AM35" s="274"/>
      <c r="AN35" s="274"/>
      <c r="AO35" s="274"/>
      <c r="AP35" s="274"/>
      <c r="AQ35" s="274"/>
    </row>
    <row r="36" spans="1:43" ht="15.75" thickBot="1" x14ac:dyDescent="0.3">
      <c r="A36" s="98" t="s">
        <v>131</v>
      </c>
      <c r="B36" s="496" t="s">
        <v>128</v>
      </c>
      <c r="C36" s="358" t="s">
        <v>262</v>
      </c>
      <c r="D36" s="523"/>
      <c r="E36" s="526"/>
      <c r="F36" s="59"/>
      <c r="G36" s="94"/>
      <c r="H36" s="124"/>
      <c r="I36" s="98" t="s">
        <v>131</v>
      </c>
      <c r="K36" s="72">
        <v>10</v>
      </c>
      <c r="L36" s="227">
        <f>E168</f>
        <v>0</v>
      </c>
      <c r="M36" s="548"/>
      <c r="N36" s="168"/>
      <c r="R36" s="155"/>
      <c r="S36" s="178"/>
      <c r="T36" s="181"/>
      <c r="U36" s="181" t="str">
        <f t="shared" si="0"/>
        <v>IKA HERDIANA UTAMI16</v>
      </c>
      <c r="V36" s="181" t="str">
        <f>+B71</f>
        <v>Administrasi Pembayaran Transfer</v>
      </c>
      <c r="W36" s="187">
        <f>+G71</f>
        <v>0.35</v>
      </c>
      <c r="X36" s="188">
        <f>+M27</f>
        <v>115</v>
      </c>
      <c r="Y36" s="199">
        <f>W36*X36</f>
        <v>40.25</v>
      </c>
      <c r="Z36" s="181">
        <v>16</v>
      </c>
      <c r="AA36" s="191"/>
      <c r="AB36" s="180"/>
      <c r="AC36" s="180"/>
      <c r="AD36" s="180"/>
      <c r="AE36" s="180"/>
      <c r="AF36" s="138"/>
      <c r="AG36" s="138"/>
      <c r="AH36" s="274"/>
      <c r="AI36" s="274"/>
      <c r="AJ36" s="274"/>
      <c r="AK36" s="274"/>
      <c r="AL36" s="274"/>
      <c r="AM36" s="274"/>
      <c r="AN36" s="274"/>
      <c r="AO36" s="274"/>
      <c r="AP36" s="274"/>
      <c r="AQ36" s="274"/>
    </row>
    <row r="37" spans="1:43" ht="21" customHeight="1" thickBot="1" x14ac:dyDescent="0.3">
      <c r="A37" s="98" t="s">
        <v>131</v>
      </c>
      <c r="B37" s="497"/>
      <c r="C37" s="319"/>
      <c r="D37" s="524"/>
      <c r="E37" s="527"/>
      <c r="F37" s="62"/>
      <c r="G37" s="132"/>
      <c r="H37" s="133"/>
      <c r="I37" s="98" t="s">
        <v>131</v>
      </c>
      <c r="N37" s="168"/>
      <c r="R37" s="155"/>
      <c r="S37" s="178"/>
      <c r="T37" s="181"/>
      <c r="U37" s="181" t="str">
        <f t="shared" si="0"/>
        <v>IKA HERDIANA UTAMI17</v>
      </c>
      <c r="V37" s="181" t="str">
        <f>+B236</f>
        <v>Administrasi BG</v>
      </c>
      <c r="W37" s="187">
        <f>+G236</f>
        <v>0.3</v>
      </c>
      <c r="X37" s="190">
        <f>+M192</f>
        <v>113.5</v>
      </c>
      <c r="Y37" s="199">
        <f t="shared" ref="Y37:Y39" si="2">W37*X37</f>
        <v>34.049999999999997</v>
      </c>
      <c r="Z37" s="181">
        <v>17</v>
      </c>
      <c r="AA37" s="191"/>
      <c r="AB37" s="180"/>
      <c r="AC37" s="180"/>
      <c r="AD37" s="180"/>
      <c r="AE37" s="180"/>
      <c r="AF37" s="138"/>
      <c r="AG37" s="138"/>
      <c r="AH37" s="274"/>
      <c r="AI37" s="274"/>
      <c r="AJ37" s="274"/>
      <c r="AK37" s="274"/>
      <c r="AL37" s="274"/>
      <c r="AM37" s="274"/>
      <c r="AN37" s="274"/>
      <c r="AO37" s="274"/>
      <c r="AP37" s="274"/>
      <c r="AQ37" s="274"/>
    </row>
    <row r="38" spans="1:43" ht="15" hidden="1" customHeight="1" thickBot="1" x14ac:dyDescent="0.3">
      <c r="A38" s="98" t="s">
        <v>131</v>
      </c>
      <c r="B38" s="518"/>
      <c r="C38" s="573"/>
      <c r="D38" s="220" t="s">
        <v>124</v>
      </c>
      <c r="E38" s="107"/>
      <c r="F38" s="93"/>
      <c r="G38" s="128"/>
      <c r="H38" s="119"/>
      <c r="I38" s="98" t="s">
        <v>131</v>
      </c>
      <c r="R38" s="155"/>
      <c r="S38" s="200"/>
      <c r="T38" s="181"/>
      <c r="U38" s="181" t="str">
        <f t="shared" si="0"/>
        <v>IKA HERDIANA UTAMI18</v>
      </c>
      <c r="V38" s="181" t="str">
        <f>+B396</f>
        <v>Operasional Petugas Lapangan (KMT &amp; MARKETING)</v>
      </c>
      <c r="W38" s="187">
        <f>+G396</f>
        <v>0.25</v>
      </c>
      <c r="X38" s="190">
        <f>+M352</f>
        <v>107.5</v>
      </c>
      <c r="Y38" s="199">
        <f t="shared" si="2"/>
        <v>26.875</v>
      </c>
      <c r="Z38" s="181">
        <v>18</v>
      </c>
      <c r="AA38" s="191"/>
      <c r="AB38" s="180"/>
      <c r="AC38" s="180"/>
      <c r="AD38" s="180"/>
      <c r="AE38" s="180"/>
      <c r="AF38" s="138"/>
      <c r="AG38" s="138"/>
      <c r="AH38" s="274"/>
      <c r="AI38" s="274"/>
      <c r="AJ38" s="274"/>
      <c r="AK38" s="274"/>
      <c r="AL38" s="274"/>
      <c r="AM38" s="274"/>
      <c r="AN38" s="274"/>
      <c r="AO38" s="274"/>
      <c r="AP38" s="274"/>
      <c r="AQ38" s="274"/>
    </row>
    <row r="39" spans="1:43" hidden="1" x14ac:dyDescent="0.25">
      <c r="A39" s="98" t="s">
        <v>131</v>
      </c>
      <c r="B39" s="504"/>
      <c r="C39" s="574"/>
      <c r="D39" s="522"/>
      <c r="E39" s="525">
        <f>IF(D39=0,0,VLOOKUP($D39,$F38:$H47,3,FALSE)*$E38)</f>
        <v>0</v>
      </c>
      <c r="F39" s="59"/>
      <c r="G39" s="94"/>
      <c r="H39" s="124"/>
      <c r="I39" s="98" t="s">
        <v>131</v>
      </c>
      <c r="R39" s="155"/>
      <c r="S39" s="200"/>
      <c r="T39" s="181"/>
      <c r="U39" s="181" t="str">
        <f t="shared" si="0"/>
        <v>IKA HERDIANA UTAMI19</v>
      </c>
      <c r="V39" s="181" t="str">
        <f>+B554</f>
        <v>Absensi</v>
      </c>
      <c r="W39" s="187">
        <f>+G499</f>
        <v>0.1</v>
      </c>
      <c r="X39" s="190">
        <f>+M511</f>
        <v>115</v>
      </c>
      <c r="Y39" s="199">
        <f t="shared" si="2"/>
        <v>11.5</v>
      </c>
      <c r="Z39" s="181">
        <v>19</v>
      </c>
      <c r="AA39" s="191"/>
      <c r="AB39" s="180"/>
      <c r="AC39" s="180"/>
      <c r="AD39" s="180"/>
      <c r="AE39" s="180"/>
      <c r="AF39" s="138"/>
      <c r="AG39" s="138"/>
      <c r="AH39" s="274"/>
      <c r="AI39" s="274"/>
      <c r="AJ39" s="274"/>
      <c r="AK39" s="274"/>
      <c r="AL39" s="274"/>
      <c r="AM39" s="274"/>
      <c r="AN39" s="274"/>
      <c r="AO39" s="274"/>
      <c r="AP39" s="274"/>
      <c r="AQ39" s="274"/>
    </row>
    <row r="40" spans="1:43" hidden="1" x14ac:dyDescent="0.25">
      <c r="A40" s="98" t="s">
        <v>131</v>
      </c>
      <c r="B40" s="504"/>
      <c r="C40" s="574"/>
      <c r="D40" s="523"/>
      <c r="E40" s="526"/>
      <c r="F40" s="59"/>
      <c r="G40" s="94"/>
      <c r="H40" s="124"/>
      <c r="I40" s="98" t="s">
        <v>131</v>
      </c>
      <c r="R40" s="155"/>
      <c r="S40" s="200"/>
      <c r="T40" s="181"/>
      <c r="U40" s="181"/>
      <c r="V40" s="193" t="s">
        <v>30</v>
      </c>
      <c r="W40" s="187">
        <f>SUM(W36:W39)</f>
        <v>0.99999999999999989</v>
      </c>
      <c r="X40" s="187">
        <f t="shared" ref="X40" si="3">SUM(X36:X39)</f>
        <v>451</v>
      </c>
      <c r="Y40" s="187">
        <f t="shared" ref="Y40" si="4">SUM(Y36:Y39)</f>
        <v>112.675</v>
      </c>
      <c r="Z40" s="181">
        <v>20</v>
      </c>
      <c r="AA40" s="191"/>
      <c r="AB40" s="180"/>
      <c r="AC40" s="180"/>
      <c r="AD40" s="180"/>
      <c r="AE40" s="180"/>
      <c r="AF40" s="138"/>
      <c r="AG40" s="138"/>
      <c r="AH40" s="274"/>
      <c r="AI40" s="274"/>
      <c r="AJ40" s="274"/>
      <c r="AK40" s="274"/>
      <c r="AL40" s="274"/>
      <c r="AM40" s="274"/>
      <c r="AN40" s="274"/>
      <c r="AO40" s="274"/>
      <c r="AP40" s="274"/>
      <c r="AQ40" s="274"/>
    </row>
    <row r="41" spans="1:43" hidden="1" x14ac:dyDescent="0.25">
      <c r="A41" s="98" t="s">
        <v>131</v>
      </c>
      <c r="B41" s="504"/>
      <c r="C41" s="574"/>
      <c r="D41" s="523"/>
      <c r="E41" s="526"/>
      <c r="F41" s="59"/>
      <c r="G41" s="94"/>
      <c r="H41" s="124"/>
      <c r="I41" s="98" t="s">
        <v>131</v>
      </c>
      <c r="R41" s="155"/>
      <c r="S41" s="200"/>
      <c r="T41" s="181"/>
      <c r="U41" s="181"/>
      <c r="V41" s="181"/>
      <c r="W41" s="187"/>
      <c r="X41" s="190"/>
      <c r="Y41" s="199"/>
      <c r="Z41" s="181">
        <v>21</v>
      </c>
      <c r="AA41" s="201"/>
      <c r="AB41" s="180"/>
      <c r="AC41" s="180"/>
      <c r="AD41" s="180"/>
      <c r="AE41" s="180"/>
      <c r="AF41" s="138"/>
      <c r="AG41" s="138"/>
      <c r="AH41" s="274"/>
      <c r="AI41" s="274"/>
      <c r="AJ41" s="274"/>
      <c r="AK41" s="274"/>
      <c r="AL41" s="274"/>
      <c r="AM41" s="274"/>
      <c r="AN41" s="274"/>
      <c r="AO41" s="274"/>
      <c r="AP41" s="274"/>
      <c r="AQ41" s="274"/>
    </row>
    <row r="42" spans="1:43" hidden="1" x14ac:dyDescent="0.25">
      <c r="A42" s="98" t="s">
        <v>131</v>
      </c>
      <c r="B42" s="504"/>
      <c r="C42" s="574"/>
      <c r="D42" s="523"/>
      <c r="E42" s="526"/>
      <c r="F42" s="59"/>
      <c r="G42" s="94"/>
      <c r="H42" s="124"/>
      <c r="I42" s="98" t="s">
        <v>131</v>
      </c>
      <c r="R42" s="155"/>
      <c r="S42" s="200"/>
      <c r="T42" s="181"/>
      <c r="U42" s="181"/>
      <c r="V42" s="193"/>
      <c r="W42" s="202"/>
      <c r="X42" s="203"/>
      <c r="Y42" s="204"/>
      <c r="Z42" s="181">
        <v>22</v>
      </c>
      <c r="AA42" s="180"/>
      <c r="AB42" s="180"/>
      <c r="AC42" s="180"/>
      <c r="AD42" s="180"/>
      <c r="AE42" s="180"/>
      <c r="AF42" s="138"/>
      <c r="AG42" s="138"/>
      <c r="AH42" s="274"/>
      <c r="AI42" s="274"/>
      <c r="AJ42" s="274"/>
      <c r="AK42" s="274"/>
      <c r="AL42" s="274"/>
      <c r="AM42" s="274"/>
      <c r="AN42" s="274"/>
      <c r="AO42" s="274"/>
      <c r="AP42" s="274"/>
      <c r="AQ42" s="274"/>
    </row>
    <row r="43" spans="1:43" hidden="1" x14ac:dyDescent="0.25">
      <c r="A43" s="98" t="s">
        <v>131</v>
      </c>
      <c r="B43" s="504"/>
      <c r="C43" s="574"/>
      <c r="D43" s="523"/>
      <c r="E43" s="526"/>
      <c r="F43" s="59"/>
      <c r="G43" s="94"/>
      <c r="H43" s="124"/>
      <c r="I43" s="98" t="s">
        <v>131</v>
      </c>
      <c r="R43" s="155"/>
      <c r="S43" s="200"/>
      <c r="T43" s="181"/>
      <c r="U43" s="181"/>
      <c r="V43" s="181"/>
      <c r="W43" s="180"/>
      <c r="X43" s="180"/>
      <c r="Y43" s="180"/>
      <c r="Z43" s="181">
        <v>23</v>
      </c>
      <c r="AA43" s="180"/>
      <c r="AB43" s="180"/>
      <c r="AC43" s="180"/>
      <c r="AD43" s="180"/>
      <c r="AE43" s="180"/>
      <c r="AF43" s="138"/>
      <c r="AG43" s="138"/>
      <c r="AH43" s="274"/>
      <c r="AI43" s="274"/>
      <c r="AJ43" s="274"/>
      <c r="AK43" s="274"/>
      <c r="AL43" s="274"/>
      <c r="AM43" s="274"/>
      <c r="AN43" s="274"/>
      <c r="AO43" s="274"/>
      <c r="AP43" s="274"/>
      <c r="AQ43" s="274"/>
    </row>
    <row r="44" spans="1:43" hidden="1" x14ac:dyDescent="0.25">
      <c r="A44" s="98" t="s">
        <v>131</v>
      </c>
      <c r="B44" s="504"/>
      <c r="C44" s="574"/>
      <c r="D44" s="523"/>
      <c r="E44" s="526"/>
      <c r="F44" s="59"/>
      <c r="G44" s="94"/>
      <c r="H44" s="124"/>
      <c r="I44" s="98" t="s">
        <v>131</v>
      </c>
      <c r="R44" s="155"/>
      <c r="S44" s="200"/>
      <c r="T44" s="200"/>
      <c r="U44" s="178"/>
      <c r="V44" s="177"/>
      <c r="W44" s="177"/>
      <c r="X44" s="177"/>
      <c r="Y44" s="177"/>
      <c r="Z44" s="181">
        <v>24</v>
      </c>
      <c r="AA44" s="177"/>
      <c r="AB44" s="177"/>
      <c r="AC44" s="177"/>
      <c r="AD44" s="177"/>
      <c r="AE44" s="177"/>
      <c r="AF44" s="274"/>
      <c r="AG44" s="274"/>
      <c r="AH44" s="274"/>
      <c r="AI44" s="274"/>
      <c r="AJ44" s="274"/>
      <c r="AK44" s="274"/>
      <c r="AL44" s="274"/>
      <c r="AM44" s="274"/>
      <c r="AN44" s="274"/>
      <c r="AO44" s="274"/>
      <c r="AP44" s="274"/>
      <c r="AQ44" s="274"/>
    </row>
    <row r="45" spans="1:43" ht="15.75" hidden="1" thickBot="1" x14ac:dyDescent="0.3">
      <c r="A45" s="98" t="s">
        <v>131</v>
      </c>
      <c r="B45" s="505"/>
      <c r="C45" s="575"/>
      <c r="D45" s="523"/>
      <c r="E45" s="526"/>
      <c r="F45" s="59"/>
      <c r="G45" s="94"/>
      <c r="H45" s="124"/>
      <c r="I45" s="98" t="s">
        <v>131</v>
      </c>
      <c r="R45" s="155"/>
      <c r="S45" s="200"/>
      <c r="T45" s="200"/>
      <c r="U45" s="178"/>
      <c r="V45" s="177"/>
      <c r="W45" s="177"/>
      <c r="X45" s="177"/>
      <c r="Y45" s="177"/>
      <c r="Z45" s="181">
        <v>25</v>
      </c>
      <c r="AA45" s="177"/>
      <c r="AB45" s="177"/>
      <c r="AC45" s="177"/>
      <c r="AD45" s="177"/>
      <c r="AE45" s="177"/>
      <c r="AF45" s="274"/>
      <c r="AG45" s="274"/>
      <c r="AH45" s="274"/>
      <c r="AI45" s="274"/>
      <c r="AJ45" s="274"/>
      <c r="AK45" s="274"/>
      <c r="AL45" s="274"/>
      <c r="AM45" s="274"/>
      <c r="AN45" s="274"/>
      <c r="AO45" s="274"/>
      <c r="AP45" s="274"/>
      <c r="AQ45" s="274"/>
    </row>
    <row r="46" spans="1:43" hidden="1" x14ac:dyDescent="0.25">
      <c r="A46" s="98" t="s">
        <v>131</v>
      </c>
      <c r="B46" s="496" t="s">
        <v>128</v>
      </c>
      <c r="C46" s="573"/>
      <c r="D46" s="523"/>
      <c r="E46" s="526"/>
      <c r="F46" s="59"/>
      <c r="G46" s="94"/>
      <c r="H46" s="124"/>
      <c r="I46" s="98" t="s">
        <v>131</v>
      </c>
      <c r="R46" s="155"/>
      <c r="S46" s="200"/>
      <c r="T46" s="200"/>
      <c r="U46" s="178"/>
      <c r="V46" s="177"/>
      <c r="W46" s="177"/>
      <c r="X46" s="177"/>
      <c r="Y46" s="177"/>
      <c r="Z46" s="181">
        <v>26</v>
      </c>
      <c r="AA46" s="177"/>
      <c r="AB46" s="177"/>
      <c r="AC46" s="177"/>
      <c r="AD46" s="177"/>
      <c r="AE46" s="177"/>
      <c r="AF46" s="274"/>
      <c r="AG46" s="274"/>
      <c r="AH46" s="274"/>
      <c r="AI46" s="274"/>
      <c r="AJ46" s="274"/>
      <c r="AK46" s="274"/>
      <c r="AL46" s="274"/>
      <c r="AM46" s="274"/>
      <c r="AN46" s="274"/>
      <c r="AO46" s="274"/>
      <c r="AP46" s="274"/>
      <c r="AQ46" s="274"/>
    </row>
    <row r="47" spans="1:43" ht="15.75" hidden="1" thickBot="1" x14ac:dyDescent="0.3">
      <c r="A47" s="98" t="s">
        <v>131</v>
      </c>
      <c r="B47" s="497"/>
      <c r="C47" s="575"/>
      <c r="D47" s="524"/>
      <c r="E47" s="527"/>
      <c r="F47" s="62"/>
      <c r="G47" s="92"/>
      <c r="H47" s="91"/>
      <c r="I47" s="98" t="s">
        <v>131</v>
      </c>
      <c r="R47" s="155"/>
      <c r="S47" s="200"/>
      <c r="T47" s="200"/>
      <c r="U47" s="178"/>
      <c r="V47" s="177"/>
      <c r="W47" s="177"/>
      <c r="X47" s="177"/>
      <c r="Y47" s="177"/>
      <c r="Z47" s="181">
        <v>27</v>
      </c>
      <c r="AA47" s="177"/>
      <c r="AB47" s="177"/>
      <c r="AC47" s="177"/>
      <c r="AD47" s="177"/>
      <c r="AE47" s="177"/>
      <c r="AF47" s="274"/>
      <c r="AG47" s="274"/>
      <c r="AH47" s="274"/>
      <c r="AI47" s="274"/>
      <c r="AJ47" s="274"/>
      <c r="AK47" s="274"/>
      <c r="AL47" s="274"/>
      <c r="AM47" s="274"/>
      <c r="AN47" s="274"/>
      <c r="AO47" s="274"/>
      <c r="AP47" s="274"/>
      <c r="AQ47" s="274"/>
    </row>
    <row r="48" spans="1:43" ht="15.75" hidden="1" thickBot="1" x14ac:dyDescent="0.3">
      <c r="A48" s="98" t="s">
        <v>131</v>
      </c>
      <c r="B48" s="518"/>
      <c r="C48" s="506"/>
      <c r="D48" s="114"/>
      <c r="E48" s="107"/>
      <c r="F48" s="93"/>
      <c r="G48" s="128"/>
      <c r="H48" s="119"/>
      <c r="I48" s="98" t="s">
        <v>131</v>
      </c>
      <c r="R48" s="155"/>
      <c r="S48" s="200"/>
      <c r="T48" s="200"/>
      <c r="U48" s="177"/>
      <c r="V48" s="177"/>
      <c r="W48" s="177"/>
      <c r="X48" s="177"/>
      <c r="Y48" s="177"/>
      <c r="Z48" s="181">
        <v>28</v>
      </c>
      <c r="AA48" s="177"/>
      <c r="AB48" s="177"/>
      <c r="AC48" s="177"/>
      <c r="AD48" s="177"/>
      <c r="AE48" s="177"/>
      <c r="AF48" s="274"/>
      <c r="AG48" s="274"/>
      <c r="AH48" s="274"/>
      <c r="AI48" s="274"/>
      <c r="AJ48" s="274"/>
      <c r="AK48" s="274"/>
      <c r="AL48" s="274"/>
      <c r="AM48" s="274"/>
      <c r="AN48" s="274"/>
      <c r="AO48" s="274"/>
      <c r="AP48" s="274"/>
      <c r="AQ48" s="274"/>
    </row>
    <row r="49" spans="1:43" hidden="1" x14ac:dyDescent="0.25">
      <c r="A49" s="98" t="s">
        <v>131</v>
      </c>
      <c r="B49" s="504"/>
      <c r="C49" s="507"/>
      <c r="D49" s="509"/>
      <c r="E49" s="512"/>
      <c r="F49" s="59"/>
      <c r="G49" s="94"/>
      <c r="H49" s="124"/>
      <c r="I49" s="98" t="s">
        <v>131</v>
      </c>
      <c r="R49" s="155"/>
      <c r="S49" s="200"/>
      <c r="T49" s="200"/>
      <c r="U49" s="177"/>
      <c r="V49" s="177"/>
      <c r="W49" s="177"/>
      <c r="X49" s="177"/>
      <c r="Y49" s="177"/>
      <c r="Z49" s="181">
        <v>29</v>
      </c>
      <c r="AA49" s="177"/>
      <c r="AB49" s="177"/>
      <c r="AC49" s="177"/>
      <c r="AD49" s="177"/>
      <c r="AE49" s="177"/>
      <c r="AF49" s="274"/>
      <c r="AG49" s="274"/>
      <c r="AH49" s="274"/>
      <c r="AI49" s="274"/>
      <c r="AJ49" s="274"/>
      <c r="AK49" s="274"/>
      <c r="AL49" s="274"/>
      <c r="AM49" s="274"/>
      <c r="AN49" s="274"/>
      <c r="AO49" s="274"/>
      <c r="AP49" s="274"/>
      <c r="AQ49" s="274"/>
    </row>
    <row r="50" spans="1:43" hidden="1" x14ac:dyDescent="0.25">
      <c r="A50" s="98" t="s">
        <v>131</v>
      </c>
      <c r="B50" s="504"/>
      <c r="C50" s="507"/>
      <c r="D50" s="510"/>
      <c r="E50" s="513"/>
      <c r="F50" s="59"/>
      <c r="G50" s="94"/>
      <c r="H50" s="124"/>
      <c r="I50" s="98" t="s">
        <v>131</v>
      </c>
      <c r="R50" s="155"/>
      <c r="S50" s="200"/>
      <c r="T50" s="200"/>
      <c r="U50" s="177"/>
      <c r="V50" s="177"/>
      <c r="W50" s="177"/>
      <c r="X50" s="177"/>
      <c r="Y50" s="177"/>
      <c r="Z50" s="181">
        <v>30</v>
      </c>
      <c r="AA50" s="177"/>
      <c r="AB50" s="177"/>
      <c r="AC50" s="177"/>
      <c r="AD50" s="177"/>
      <c r="AE50" s="177"/>
      <c r="AF50" s="274"/>
      <c r="AG50" s="274"/>
      <c r="AH50" s="274"/>
      <c r="AI50" s="274"/>
      <c r="AJ50" s="274"/>
      <c r="AK50" s="274"/>
      <c r="AL50" s="274"/>
      <c r="AM50" s="274"/>
      <c r="AN50" s="274"/>
      <c r="AO50" s="274"/>
      <c r="AP50" s="274"/>
      <c r="AQ50" s="274"/>
    </row>
    <row r="51" spans="1:43" hidden="1" x14ac:dyDescent="0.25">
      <c r="A51" s="98" t="s">
        <v>131</v>
      </c>
      <c r="B51" s="504"/>
      <c r="C51" s="507"/>
      <c r="D51" s="510"/>
      <c r="E51" s="513"/>
      <c r="F51" s="59"/>
      <c r="G51" s="94"/>
      <c r="H51" s="124"/>
      <c r="I51" s="98" t="s">
        <v>131</v>
      </c>
      <c r="R51" s="155"/>
      <c r="S51" s="200"/>
      <c r="T51" s="200"/>
      <c r="U51" s="177"/>
      <c r="V51" s="177"/>
      <c r="W51" s="177"/>
      <c r="X51" s="177"/>
      <c r="Y51" s="177"/>
      <c r="Z51" s="181">
        <v>31</v>
      </c>
      <c r="AA51" s="177"/>
      <c r="AB51" s="177"/>
      <c r="AC51" s="177"/>
      <c r="AD51" s="177"/>
      <c r="AE51" s="177"/>
      <c r="AF51" s="274"/>
      <c r="AG51" s="274"/>
      <c r="AH51" s="274"/>
      <c r="AI51" s="274"/>
      <c r="AJ51" s="274"/>
      <c r="AK51" s="274"/>
      <c r="AL51" s="274"/>
      <c r="AM51" s="274"/>
      <c r="AN51" s="274"/>
      <c r="AO51" s="274"/>
      <c r="AP51" s="274"/>
      <c r="AQ51" s="274"/>
    </row>
    <row r="52" spans="1:43" hidden="1" x14ac:dyDescent="0.25">
      <c r="A52" s="98" t="s">
        <v>131</v>
      </c>
      <c r="B52" s="504"/>
      <c r="C52" s="507"/>
      <c r="D52" s="510"/>
      <c r="E52" s="513"/>
      <c r="F52" s="59"/>
      <c r="G52" s="94"/>
      <c r="H52" s="124"/>
      <c r="I52" s="98" t="s">
        <v>131</v>
      </c>
      <c r="S52" s="177"/>
      <c r="T52" s="177"/>
      <c r="U52" s="177"/>
      <c r="V52" s="177"/>
      <c r="W52" s="177"/>
      <c r="X52" s="177"/>
      <c r="Y52" s="177"/>
      <c r="Z52" s="181">
        <v>32</v>
      </c>
      <c r="AA52" s="177"/>
      <c r="AB52" s="177"/>
      <c r="AC52" s="177"/>
      <c r="AD52" s="177"/>
      <c r="AE52" s="177"/>
      <c r="AF52" s="274"/>
      <c r="AG52" s="274"/>
      <c r="AH52" s="274"/>
      <c r="AI52" s="274"/>
      <c r="AJ52" s="274"/>
      <c r="AK52" s="274"/>
      <c r="AL52" s="274"/>
      <c r="AM52" s="274"/>
      <c r="AN52" s="274"/>
      <c r="AO52" s="274"/>
      <c r="AP52" s="274"/>
      <c r="AQ52" s="274"/>
    </row>
    <row r="53" spans="1:43" hidden="1" x14ac:dyDescent="0.25">
      <c r="A53" s="98" t="s">
        <v>131</v>
      </c>
      <c r="B53" s="504"/>
      <c r="C53" s="507"/>
      <c r="D53" s="510"/>
      <c r="E53" s="513"/>
      <c r="F53" s="59"/>
      <c r="G53" s="94"/>
      <c r="H53" s="124"/>
      <c r="I53" s="98" t="s">
        <v>131</v>
      </c>
      <c r="S53" s="177"/>
      <c r="T53" s="177"/>
      <c r="U53" s="177"/>
      <c r="V53" s="177"/>
      <c r="W53" s="177"/>
      <c r="X53" s="177"/>
      <c r="Y53" s="177"/>
      <c r="Z53" s="181">
        <v>33</v>
      </c>
      <c r="AA53" s="177"/>
      <c r="AB53" s="177"/>
      <c r="AC53" s="177"/>
      <c r="AD53" s="177"/>
      <c r="AE53" s="177"/>
      <c r="AF53" s="274"/>
      <c r="AG53" s="274"/>
      <c r="AH53" s="274"/>
      <c r="AI53" s="274"/>
      <c r="AJ53" s="274"/>
      <c r="AK53" s="274"/>
      <c r="AL53" s="274"/>
      <c r="AM53" s="274"/>
      <c r="AN53" s="274"/>
      <c r="AO53" s="274"/>
      <c r="AP53" s="274"/>
      <c r="AQ53" s="274"/>
    </row>
    <row r="54" spans="1:43" hidden="1" x14ac:dyDescent="0.25">
      <c r="A54" s="98" t="s">
        <v>131</v>
      </c>
      <c r="B54" s="504"/>
      <c r="C54" s="507"/>
      <c r="D54" s="510"/>
      <c r="E54" s="513"/>
      <c r="F54" s="59"/>
      <c r="G54" s="94"/>
      <c r="H54" s="124"/>
      <c r="I54" s="98" t="s">
        <v>131</v>
      </c>
      <c r="S54" s="177"/>
      <c r="T54" s="177"/>
      <c r="U54" s="177"/>
      <c r="V54" s="177"/>
      <c r="W54" s="177"/>
      <c r="X54" s="177"/>
      <c r="Y54" s="177"/>
      <c r="Z54" s="181">
        <v>34</v>
      </c>
      <c r="AA54" s="177"/>
      <c r="AB54" s="177"/>
      <c r="AC54" s="177"/>
      <c r="AD54" s="177"/>
      <c r="AE54" s="177"/>
      <c r="AF54" s="274"/>
      <c r="AG54" s="274"/>
      <c r="AH54" s="274"/>
      <c r="AI54" s="274"/>
      <c r="AJ54" s="274"/>
      <c r="AK54" s="274"/>
      <c r="AL54" s="274"/>
      <c r="AM54" s="274"/>
      <c r="AN54" s="274"/>
      <c r="AO54" s="274"/>
      <c r="AP54" s="274"/>
      <c r="AQ54" s="274"/>
    </row>
    <row r="55" spans="1:43" ht="15.75" hidden="1" thickBot="1" x14ac:dyDescent="0.3">
      <c r="A55" s="98" t="s">
        <v>131</v>
      </c>
      <c r="B55" s="505"/>
      <c r="C55" s="508"/>
      <c r="D55" s="510"/>
      <c r="E55" s="513"/>
      <c r="F55" s="59"/>
      <c r="G55" s="94"/>
      <c r="H55" s="124"/>
      <c r="I55" s="98" t="s">
        <v>131</v>
      </c>
      <c r="S55" s="177"/>
      <c r="T55" s="177"/>
      <c r="U55" s="177"/>
      <c r="V55" s="177"/>
      <c r="W55" s="177"/>
      <c r="X55" s="177"/>
      <c r="Y55" s="177"/>
      <c r="Z55" s="181">
        <v>35</v>
      </c>
      <c r="AA55" s="177"/>
      <c r="AB55" s="177"/>
      <c r="AC55" s="177"/>
      <c r="AD55" s="177"/>
      <c r="AE55" s="177"/>
      <c r="AF55" s="274"/>
      <c r="AG55" s="274"/>
      <c r="AH55" s="274"/>
      <c r="AI55" s="274"/>
      <c r="AJ55" s="274"/>
      <c r="AK55" s="274"/>
      <c r="AL55" s="274"/>
      <c r="AM55" s="274"/>
      <c r="AN55" s="274"/>
      <c r="AO55" s="274"/>
      <c r="AP55" s="274"/>
      <c r="AQ55" s="274"/>
    </row>
    <row r="56" spans="1:43" hidden="1" x14ac:dyDescent="0.25">
      <c r="A56" s="98" t="s">
        <v>131</v>
      </c>
      <c r="B56" s="496"/>
      <c r="C56" s="506"/>
      <c r="D56" s="510"/>
      <c r="E56" s="513"/>
      <c r="F56" s="59"/>
      <c r="G56" s="94"/>
      <c r="H56" s="124"/>
      <c r="I56" s="98" t="s">
        <v>131</v>
      </c>
      <c r="S56" s="177"/>
      <c r="T56" s="177"/>
      <c r="U56" s="177"/>
      <c r="V56" s="177"/>
      <c r="W56" s="177"/>
      <c r="X56" s="177"/>
      <c r="Y56" s="177"/>
      <c r="Z56" s="181">
        <v>36</v>
      </c>
      <c r="AA56" s="177"/>
      <c r="AB56" s="177"/>
      <c r="AC56" s="177"/>
      <c r="AD56" s="177"/>
      <c r="AE56" s="177"/>
      <c r="AF56" s="274"/>
      <c r="AG56" s="274"/>
      <c r="AH56" s="274"/>
      <c r="AI56" s="274"/>
      <c r="AJ56" s="274"/>
      <c r="AK56" s="274"/>
      <c r="AL56" s="274"/>
      <c r="AM56" s="274"/>
      <c r="AN56" s="274"/>
      <c r="AO56" s="274"/>
      <c r="AP56" s="274"/>
      <c r="AQ56" s="274"/>
    </row>
    <row r="57" spans="1:43" ht="15.75" hidden="1" thickBot="1" x14ac:dyDescent="0.3">
      <c r="A57" s="98" t="s">
        <v>131</v>
      </c>
      <c r="B57" s="497"/>
      <c r="C57" s="508"/>
      <c r="D57" s="511"/>
      <c r="E57" s="514"/>
      <c r="F57" s="62"/>
      <c r="G57" s="92"/>
      <c r="H57" s="91"/>
      <c r="I57" s="98" t="s">
        <v>131</v>
      </c>
      <c r="S57" s="177"/>
      <c r="T57" s="177"/>
      <c r="U57" s="177"/>
      <c r="V57" s="177"/>
      <c r="W57" s="177"/>
      <c r="X57" s="177"/>
      <c r="Y57" s="177"/>
      <c r="Z57" s="181">
        <v>37</v>
      </c>
      <c r="AA57" s="177"/>
      <c r="AB57" s="177"/>
      <c r="AC57" s="177"/>
      <c r="AD57" s="177"/>
      <c r="AE57" s="177"/>
      <c r="AF57" s="274"/>
      <c r="AG57" s="274"/>
      <c r="AH57" s="274"/>
      <c r="AI57" s="274"/>
      <c r="AJ57" s="274"/>
      <c r="AK57" s="274"/>
      <c r="AL57" s="274"/>
      <c r="AM57" s="274"/>
      <c r="AN57" s="274"/>
      <c r="AO57" s="274"/>
      <c r="AP57" s="274"/>
      <c r="AQ57" s="274"/>
    </row>
    <row r="58" spans="1:43" ht="15.75" hidden="1" customHeight="1" thickBot="1" x14ac:dyDescent="0.3">
      <c r="A58" s="98" t="s">
        <v>131</v>
      </c>
      <c r="B58" s="503"/>
      <c r="C58" s="506"/>
      <c r="D58" s="114"/>
      <c r="E58" s="107"/>
      <c r="F58" s="64"/>
      <c r="G58" s="134"/>
      <c r="H58" s="135"/>
      <c r="I58" s="98" t="s">
        <v>131</v>
      </c>
      <c r="S58" s="177"/>
      <c r="T58" s="177"/>
      <c r="U58" s="177"/>
      <c r="V58" s="177"/>
      <c r="W58" s="177"/>
      <c r="X58" s="177"/>
      <c r="Y58" s="177"/>
      <c r="Z58" s="181">
        <v>38</v>
      </c>
      <c r="AA58" s="177"/>
      <c r="AB58" s="177"/>
      <c r="AC58" s="177"/>
      <c r="AD58" s="177"/>
      <c r="AE58" s="177"/>
      <c r="AF58" s="274"/>
      <c r="AG58" s="274"/>
      <c r="AH58" s="274"/>
      <c r="AI58" s="274"/>
      <c r="AJ58" s="274"/>
      <c r="AK58" s="274"/>
      <c r="AL58" s="274"/>
      <c r="AM58" s="274"/>
      <c r="AN58" s="274"/>
      <c r="AO58" s="274"/>
      <c r="AP58" s="274"/>
      <c r="AQ58" s="274"/>
    </row>
    <row r="59" spans="1:43" ht="15" hidden="1" customHeight="1" x14ac:dyDescent="0.25">
      <c r="A59" s="98" t="s">
        <v>131</v>
      </c>
      <c r="B59" s="504"/>
      <c r="C59" s="507"/>
      <c r="D59" s="509"/>
      <c r="E59" s="512"/>
      <c r="F59" s="59"/>
      <c r="G59" s="94"/>
      <c r="H59" s="124"/>
      <c r="I59" s="98" t="s">
        <v>131</v>
      </c>
      <c r="S59" s="177"/>
      <c r="T59" s="177"/>
      <c r="U59" s="177"/>
      <c r="V59" s="177"/>
      <c r="W59" s="177"/>
      <c r="X59" s="177"/>
      <c r="Y59" s="177"/>
      <c r="Z59" s="181">
        <v>39</v>
      </c>
      <c r="AA59" s="177"/>
      <c r="AB59" s="177"/>
      <c r="AC59" s="177"/>
      <c r="AD59" s="177"/>
      <c r="AE59" s="177"/>
      <c r="AF59" s="274"/>
      <c r="AG59" s="274"/>
      <c r="AH59" s="274"/>
      <c r="AI59" s="274"/>
      <c r="AJ59" s="274"/>
      <c r="AK59" s="274"/>
      <c r="AL59" s="274"/>
      <c r="AM59" s="274"/>
      <c r="AN59" s="274"/>
      <c r="AO59" s="274"/>
      <c r="AP59" s="274"/>
      <c r="AQ59" s="274"/>
    </row>
    <row r="60" spans="1:43" ht="15" hidden="1" customHeight="1" x14ac:dyDescent="0.25">
      <c r="A60" s="98" t="s">
        <v>131</v>
      </c>
      <c r="B60" s="504"/>
      <c r="C60" s="507"/>
      <c r="D60" s="510"/>
      <c r="E60" s="513"/>
      <c r="F60" s="59"/>
      <c r="G60" s="94"/>
      <c r="H60" s="124"/>
      <c r="I60" s="98" t="s">
        <v>131</v>
      </c>
      <c r="S60" s="177"/>
      <c r="T60" s="177"/>
      <c r="U60" s="177"/>
      <c r="V60" s="177"/>
      <c r="W60" s="177"/>
      <c r="X60" s="177"/>
      <c r="Y60" s="177"/>
      <c r="Z60" s="181">
        <v>40</v>
      </c>
      <c r="AA60" s="177"/>
      <c r="AB60" s="177"/>
      <c r="AC60" s="177"/>
      <c r="AD60" s="177"/>
      <c r="AE60" s="177"/>
      <c r="AF60" s="274"/>
      <c r="AG60" s="274"/>
      <c r="AH60" s="274"/>
      <c r="AI60" s="274"/>
      <c r="AJ60" s="274"/>
      <c r="AK60" s="274"/>
      <c r="AL60" s="274"/>
      <c r="AM60" s="274"/>
      <c r="AN60" s="274"/>
      <c r="AO60" s="274"/>
      <c r="AP60" s="274"/>
      <c r="AQ60" s="274"/>
    </row>
    <row r="61" spans="1:43" ht="15" hidden="1" customHeight="1" x14ac:dyDescent="0.25">
      <c r="A61" s="98" t="s">
        <v>131</v>
      </c>
      <c r="B61" s="504"/>
      <c r="C61" s="507"/>
      <c r="D61" s="510"/>
      <c r="E61" s="513"/>
      <c r="F61" s="59"/>
      <c r="G61" s="94"/>
      <c r="H61" s="124"/>
      <c r="I61" s="98" t="s">
        <v>131</v>
      </c>
      <c r="S61" s="177"/>
      <c r="T61" s="177"/>
      <c r="U61" s="177"/>
      <c r="V61" s="177"/>
      <c r="W61" s="177"/>
      <c r="X61" s="177"/>
      <c r="Y61" s="177"/>
      <c r="Z61" s="181">
        <v>41</v>
      </c>
      <c r="AA61" s="177"/>
      <c r="AB61" s="177"/>
      <c r="AC61" s="177"/>
      <c r="AD61" s="177"/>
      <c r="AE61" s="177"/>
      <c r="AF61" s="274"/>
      <c r="AG61" s="274"/>
      <c r="AH61" s="274"/>
      <c r="AI61" s="274"/>
      <c r="AJ61" s="274"/>
      <c r="AK61" s="274"/>
      <c r="AL61" s="274"/>
      <c r="AM61" s="274"/>
      <c r="AN61" s="274"/>
      <c r="AO61" s="274"/>
      <c r="AP61" s="274"/>
      <c r="AQ61" s="274"/>
    </row>
    <row r="62" spans="1:43" ht="15" hidden="1" customHeight="1" x14ac:dyDescent="0.25">
      <c r="A62" s="98" t="s">
        <v>131</v>
      </c>
      <c r="B62" s="504"/>
      <c r="C62" s="507"/>
      <c r="D62" s="510"/>
      <c r="E62" s="513"/>
      <c r="F62" s="59"/>
      <c r="G62" s="94"/>
      <c r="H62" s="124"/>
      <c r="I62" s="98" t="s">
        <v>131</v>
      </c>
      <c r="S62" s="177"/>
      <c r="T62" s="177"/>
      <c r="U62" s="177"/>
      <c r="V62" s="177"/>
      <c r="W62" s="177"/>
      <c r="X62" s="177"/>
      <c r="Y62" s="177"/>
      <c r="Z62" s="181">
        <v>42</v>
      </c>
      <c r="AA62" s="177"/>
      <c r="AB62" s="177"/>
      <c r="AC62" s="177"/>
      <c r="AD62" s="177"/>
      <c r="AE62" s="177"/>
      <c r="AF62" s="274"/>
      <c r="AG62" s="274"/>
      <c r="AH62" s="274"/>
      <c r="AI62" s="274"/>
      <c r="AJ62" s="274"/>
      <c r="AK62" s="274"/>
      <c r="AL62" s="274"/>
      <c r="AM62" s="274"/>
      <c r="AN62" s="274"/>
      <c r="AO62" s="274"/>
      <c r="AP62" s="274"/>
      <c r="AQ62" s="274"/>
    </row>
    <row r="63" spans="1:43" ht="15" hidden="1" customHeight="1" x14ac:dyDescent="0.25">
      <c r="A63" s="98" t="s">
        <v>131</v>
      </c>
      <c r="B63" s="504"/>
      <c r="C63" s="507"/>
      <c r="D63" s="510"/>
      <c r="E63" s="513"/>
      <c r="F63" s="59"/>
      <c r="G63" s="94"/>
      <c r="H63" s="124"/>
      <c r="I63" s="98" t="s">
        <v>131</v>
      </c>
      <c r="S63" s="177"/>
      <c r="T63" s="177"/>
      <c r="U63" s="177"/>
      <c r="V63" s="177"/>
      <c r="W63" s="177"/>
      <c r="X63" s="177"/>
      <c r="Y63" s="177"/>
      <c r="Z63" s="181">
        <v>43</v>
      </c>
      <c r="AA63" s="177"/>
      <c r="AB63" s="177"/>
      <c r="AC63" s="177"/>
      <c r="AD63" s="177"/>
      <c r="AE63" s="177"/>
      <c r="AF63" s="274"/>
      <c r="AG63" s="274"/>
      <c r="AH63" s="274"/>
      <c r="AI63" s="274"/>
      <c r="AJ63" s="274"/>
      <c r="AK63" s="274"/>
      <c r="AL63" s="274"/>
      <c r="AM63" s="274"/>
      <c r="AN63" s="274"/>
      <c r="AO63" s="274"/>
      <c r="AP63" s="274"/>
      <c r="AQ63" s="274"/>
    </row>
    <row r="64" spans="1:43" ht="15" hidden="1" customHeight="1" x14ac:dyDescent="0.25">
      <c r="A64" s="98" t="s">
        <v>131</v>
      </c>
      <c r="B64" s="504"/>
      <c r="C64" s="507"/>
      <c r="D64" s="510"/>
      <c r="E64" s="513"/>
      <c r="F64" s="59"/>
      <c r="G64" s="94"/>
      <c r="H64" s="124"/>
      <c r="I64" s="98" t="s">
        <v>131</v>
      </c>
      <c r="S64" s="177"/>
      <c r="T64" s="177"/>
      <c r="U64" s="177"/>
      <c r="V64" s="177"/>
      <c r="W64" s="177"/>
      <c r="X64" s="177"/>
      <c r="Y64" s="177"/>
      <c r="Z64" s="181">
        <v>44</v>
      </c>
      <c r="AA64" s="177"/>
      <c r="AB64" s="177"/>
      <c r="AC64" s="177"/>
      <c r="AD64" s="177"/>
      <c r="AE64" s="177"/>
      <c r="AF64" s="274"/>
      <c r="AG64" s="274"/>
      <c r="AH64" s="274"/>
      <c r="AI64" s="274"/>
      <c r="AJ64" s="274"/>
      <c r="AK64" s="274"/>
      <c r="AL64" s="274"/>
      <c r="AM64" s="274"/>
      <c r="AN64" s="274"/>
      <c r="AO64" s="274"/>
      <c r="AP64" s="274"/>
      <c r="AQ64" s="274"/>
    </row>
    <row r="65" spans="1:43" ht="15.75" hidden="1" customHeight="1" thickBot="1" x14ac:dyDescent="0.3">
      <c r="A65" s="98" t="s">
        <v>131</v>
      </c>
      <c r="B65" s="505"/>
      <c r="C65" s="508"/>
      <c r="D65" s="510"/>
      <c r="E65" s="513"/>
      <c r="F65" s="59"/>
      <c r="G65" s="94"/>
      <c r="H65" s="124"/>
      <c r="I65" s="98" t="s">
        <v>131</v>
      </c>
      <c r="S65" s="177"/>
      <c r="T65" s="177"/>
      <c r="U65" s="177"/>
      <c r="V65" s="177"/>
      <c r="W65" s="177"/>
      <c r="X65" s="177"/>
      <c r="Y65" s="177"/>
      <c r="Z65" s="181">
        <v>45</v>
      </c>
      <c r="AA65" s="177"/>
      <c r="AB65" s="177"/>
      <c r="AC65" s="177"/>
      <c r="AD65" s="177"/>
      <c r="AE65" s="177"/>
      <c r="AF65" s="274"/>
      <c r="AG65" s="274"/>
      <c r="AH65" s="274"/>
      <c r="AI65" s="274"/>
      <c r="AJ65" s="274"/>
      <c r="AK65" s="274"/>
      <c r="AL65" s="274"/>
      <c r="AM65" s="274"/>
      <c r="AN65" s="274"/>
      <c r="AO65" s="274"/>
      <c r="AP65" s="274"/>
      <c r="AQ65" s="274"/>
    </row>
    <row r="66" spans="1:43" ht="15" hidden="1" customHeight="1" x14ac:dyDescent="0.25">
      <c r="A66" s="98" t="s">
        <v>131</v>
      </c>
      <c r="B66" s="496"/>
      <c r="C66" s="506"/>
      <c r="D66" s="510"/>
      <c r="E66" s="513"/>
      <c r="F66" s="59"/>
      <c r="G66" s="94"/>
      <c r="H66" s="124"/>
      <c r="I66" s="98" t="s">
        <v>131</v>
      </c>
      <c r="S66" s="177"/>
      <c r="T66" s="177"/>
      <c r="U66" s="177"/>
      <c r="V66" s="177"/>
      <c r="W66" s="177"/>
      <c r="X66" s="177"/>
      <c r="Y66" s="177"/>
      <c r="Z66" s="181">
        <v>46</v>
      </c>
      <c r="AA66" s="177"/>
      <c r="AB66" s="177"/>
      <c r="AC66" s="177"/>
      <c r="AD66" s="177"/>
      <c r="AE66" s="177"/>
      <c r="AF66" s="274"/>
      <c r="AG66" s="274"/>
      <c r="AH66" s="274"/>
      <c r="AI66" s="274"/>
      <c r="AJ66" s="274"/>
      <c r="AK66" s="274"/>
      <c r="AL66" s="274"/>
      <c r="AM66" s="274"/>
      <c r="AN66" s="274"/>
      <c r="AO66" s="274"/>
      <c r="AP66" s="274"/>
      <c r="AQ66" s="274"/>
    </row>
    <row r="67" spans="1:43" ht="15.75" hidden="1" customHeight="1" thickBot="1" x14ac:dyDescent="0.3">
      <c r="A67" s="98" t="s">
        <v>131</v>
      </c>
      <c r="B67" s="497"/>
      <c r="C67" s="508"/>
      <c r="D67" s="511"/>
      <c r="E67" s="514"/>
      <c r="F67" s="62"/>
      <c r="G67" s="92"/>
      <c r="H67" s="91"/>
      <c r="I67" s="98" t="s">
        <v>131</v>
      </c>
      <c r="S67" s="177"/>
      <c r="T67" s="177"/>
      <c r="U67" s="177"/>
      <c r="V67" s="177"/>
      <c r="W67" s="177"/>
      <c r="X67" s="177"/>
      <c r="Y67" s="177"/>
      <c r="Z67" s="181">
        <v>47</v>
      </c>
      <c r="AA67" s="177"/>
      <c r="AB67" s="177"/>
      <c r="AC67" s="177"/>
      <c r="AD67" s="177"/>
      <c r="AE67" s="177"/>
      <c r="AF67" s="274"/>
      <c r="AG67" s="274"/>
      <c r="AH67" s="274"/>
      <c r="AI67" s="274"/>
      <c r="AJ67" s="274"/>
      <c r="AK67" s="274"/>
      <c r="AL67" s="274"/>
      <c r="AM67" s="274"/>
      <c r="AN67" s="274"/>
      <c r="AO67" s="274"/>
      <c r="AP67" s="274"/>
      <c r="AQ67" s="274"/>
    </row>
    <row r="68" spans="1:43" x14ac:dyDescent="0.25">
      <c r="A68" s="98"/>
      <c r="B68" s="172"/>
      <c r="C68" s="173"/>
      <c r="D68" s="172"/>
      <c r="E68" s="172"/>
      <c r="F68" s="174"/>
      <c r="G68" s="175"/>
      <c r="H68" s="176"/>
      <c r="I68" s="98"/>
      <c r="S68" s="177"/>
      <c r="T68" s="177"/>
      <c r="U68" s="181"/>
      <c r="V68" s="177"/>
      <c r="W68" s="205"/>
      <c r="X68" s="177"/>
      <c r="Y68" s="177"/>
      <c r="Z68" s="181"/>
      <c r="AA68" s="177"/>
      <c r="AB68" s="177"/>
      <c r="AC68" s="177"/>
      <c r="AD68" s="177"/>
      <c r="AE68" s="177"/>
      <c r="AF68" s="274"/>
      <c r="AG68" s="274"/>
      <c r="AH68" s="274"/>
      <c r="AI68" s="274"/>
      <c r="AJ68" s="274"/>
      <c r="AK68" s="274"/>
      <c r="AL68" s="274"/>
      <c r="AM68" s="274"/>
      <c r="AN68" s="274"/>
      <c r="AO68" s="274"/>
      <c r="AP68" s="274"/>
      <c r="AQ68" s="274"/>
    </row>
    <row r="69" spans="1:43" ht="15.75" thickBot="1" x14ac:dyDescent="0.3">
      <c r="A69" s="98" t="s">
        <v>131</v>
      </c>
      <c r="B69" s="98" t="s">
        <v>131</v>
      </c>
      <c r="C69" s="98" t="s">
        <v>131</v>
      </c>
      <c r="D69" s="108" t="s">
        <v>131</v>
      </c>
      <c r="E69" s="108" t="s">
        <v>131</v>
      </c>
      <c r="F69" s="98" t="s">
        <v>131</v>
      </c>
      <c r="G69" s="98" t="s">
        <v>131</v>
      </c>
      <c r="H69" s="98" t="s">
        <v>131</v>
      </c>
      <c r="I69" s="98" t="s">
        <v>131</v>
      </c>
      <c r="S69" s="177"/>
      <c r="T69" s="177"/>
      <c r="U69" s="181"/>
      <c r="V69" s="177"/>
      <c r="W69" s="205"/>
      <c r="X69" s="177"/>
      <c r="Y69" s="177"/>
      <c r="Z69" s="181"/>
      <c r="AA69" s="177"/>
      <c r="AB69" s="177"/>
      <c r="AC69" s="177"/>
      <c r="AD69" s="177"/>
      <c r="AE69" s="177"/>
      <c r="AF69" s="274"/>
      <c r="AG69" s="274"/>
      <c r="AH69" s="274"/>
      <c r="AI69" s="274"/>
      <c r="AJ69" s="274"/>
      <c r="AK69" s="274"/>
      <c r="AL69" s="274"/>
      <c r="AM69" s="274"/>
      <c r="AN69" s="274"/>
      <c r="AO69" s="274"/>
      <c r="AP69" s="274"/>
      <c r="AQ69" s="274"/>
    </row>
    <row r="70" spans="1:43" x14ac:dyDescent="0.25">
      <c r="A70" s="101" t="s">
        <v>131</v>
      </c>
      <c r="B70" s="139" t="s">
        <v>132</v>
      </c>
      <c r="C70" s="99"/>
      <c r="D70" s="109"/>
      <c r="E70" s="109"/>
      <c r="F70" s="99"/>
      <c r="G70" s="493" t="s">
        <v>17</v>
      </c>
      <c r="H70" s="494"/>
      <c r="I70" s="495"/>
      <c r="S70" s="177"/>
      <c r="T70" s="177"/>
      <c r="U70" s="177"/>
      <c r="V70" s="193"/>
      <c r="W70" s="187"/>
      <c r="X70" s="206"/>
      <c r="Y70" s="206"/>
      <c r="Z70" s="181"/>
      <c r="AA70" s="177"/>
      <c r="AB70" s="177"/>
      <c r="AC70" s="177"/>
      <c r="AD70" s="177"/>
      <c r="AE70" s="177"/>
      <c r="AF70" s="274"/>
      <c r="AG70" s="274"/>
      <c r="AH70" s="274"/>
      <c r="AI70" s="274"/>
      <c r="AJ70" s="274"/>
      <c r="AK70" s="274"/>
      <c r="AL70" s="274"/>
      <c r="AM70" s="274"/>
      <c r="AN70" s="274"/>
      <c r="AO70" s="274"/>
      <c r="AP70" s="274"/>
      <c r="AQ70" s="274"/>
    </row>
    <row r="71" spans="1:43" ht="15.75" thickBot="1" x14ac:dyDescent="0.3">
      <c r="A71" s="101" t="s">
        <v>131</v>
      </c>
      <c r="B71" s="140" t="str">
        <f>+B15</f>
        <v>Administrasi Pembayaran Transfer</v>
      </c>
      <c r="C71" s="100"/>
      <c r="D71" s="110"/>
      <c r="E71" s="110"/>
      <c r="F71" s="100"/>
      <c r="G71" s="515">
        <v>0.35</v>
      </c>
      <c r="H71" s="516"/>
      <c r="I71" s="517"/>
      <c r="S71" s="177"/>
      <c r="T71" s="177"/>
      <c r="U71" s="177"/>
      <c r="V71" s="177"/>
      <c r="W71" s="177"/>
      <c r="X71" s="177"/>
      <c r="Y71" s="177"/>
      <c r="Z71" s="177"/>
      <c r="AA71" s="177"/>
      <c r="AB71" s="177"/>
      <c r="AC71" s="177"/>
      <c r="AD71" s="177"/>
      <c r="AE71" s="177"/>
      <c r="AF71" s="274"/>
      <c r="AG71" s="274"/>
      <c r="AH71" s="274"/>
      <c r="AI71" s="274"/>
      <c r="AJ71" s="274"/>
      <c r="AK71" s="274"/>
      <c r="AL71" s="274"/>
      <c r="AM71" s="274"/>
      <c r="AN71" s="274"/>
      <c r="AO71" s="274"/>
      <c r="AP71" s="274"/>
      <c r="AQ71" s="274"/>
    </row>
    <row r="72" spans="1:43" ht="15.75" thickBot="1" x14ac:dyDescent="0.3">
      <c r="A72" s="101" t="s">
        <v>131</v>
      </c>
      <c r="B72" s="55" t="s">
        <v>119</v>
      </c>
      <c r="C72" s="55" t="s">
        <v>36</v>
      </c>
      <c r="D72" s="498" t="s">
        <v>124</v>
      </c>
      <c r="E72" s="499"/>
      <c r="F72" s="500" t="s">
        <v>130</v>
      </c>
      <c r="G72" s="501"/>
      <c r="H72" s="502"/>
      <c r="I72" s="101" t="s">
        <v>131</v>
      </c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77"/>
      <c r="AF72" s="274"/>
      <c r="AG72" s="274"/>
      <c r="AH72" s="274"/>
      <c r="AI72" s="274"/>
      <c r="AJ72" s="274"/>
      <c r="AK72" s="274"/>
      <c r="AL72" s="274"/>
      <c r="AM72" s="274"/>
      <c r="AN72" s="274"/>
      <c r="AO72" s="274"/>
      <c r="AP72" s="274"/>
      <c r="AQ72" s="274"/>
    </row>
    <row r="73" spans="1:43" ht="15.75" customHeight="1" thickBot="1" x14ac:dyDescent="0.3">
      <c r="A73" s="101" t="s">
        <v>131</v>
      </c>
      <c r="B73" s="496">
        <v>1</v>
      </c>
      <c r="C73" s="506" t="s">
        <v>195</v>
      </c>
      <c r="D73" s="170" t="s">
        <v>125</v>
      </c>
      <c r="E73" s="171">
        <v>0.25</v>
      </c>
      <c r="F73" s="93">
        <v>1</v>
      </c>
      <c r="G73" s="57" t="s">
        <v>208</v>
      </c>
      <c r="H73" s="58">
        <v>115</v>
      </c>
      <c r="I73" s="101" t="s">
        <v>131</v>
      </c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177"/>
      <c r="AD73" s="177"/>
      <c r="AE73" s="177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</row>
    <row r="74" spans="1:43" x14ac:dyDescent="0.25">
      <c r="A74" s="101" t="s">
        <v>131</v>
      </c>
      <c r="B74" s="589"/>
      <c r="C74" s="507"/>
      <c r="D74" s="522">
        <v>1</v>
      </c>
      <c r="E74" s="525">
        <f>IF(D74=0,0,VLOOKUP($D74,$F73:$H82,3,FALSE)*$E73)</f>
        <v>28.75</v>
      </c>
      <c r="F74" s="256">
        <v>2</v>
      </c>
      <c r="G74" s="257" t="s">
        <v>207</v>
      </c>
      <c r="H74" s="258">
        <v>100</v>
      </c>
      <c r="I74" s="101" t="s">
        <v>131</v>
      </c>
      <c r="S74" s="177"/>
      <c r="T74" s="177"/>
      <c r="U74" s="177"/>
      <c r="V74" s="177"/>
      <c r="W74" s="177"/>
      <c r="X74" s="177"/>
      <c r="Y74" s="177"/>
      <c r="Z74" s="177"/>
      <c r="AA74" s="177"/>
      <c r="AB74" s="177"/>
      <c r="AC74" s="177"/>
      <c r="AD74" s="177"/>
      <c r="AE74" s="177"/>
      <c r="AF74" s="274"/>
      <c r="AG74" s="274"/>
      <c r="AH74" s="274"/>
      <c r="AI74" s="274"/>
      <c r="AJ74" s="274"/>
      <c r="AK74" s="274"/>
      <c r="AL74" s="274"/>
      <c r="AM74" s="274"/>
      <c r="AN74" s="274"/>
      <c r="AO74" s="274"/>
      <c r="AP74" s="274"/>
      <c r="AQ74" s="274"/>
    </row>
    <row r="75" spans="1:43" x14ac:dyDescent="0.25">
      <c r="A75" s="101" t="s">
        <v>131</v>
      </c>
      <c r="B75" s="589"/>
      <c r="C75" s="507"/>
      <c r="D75" s="523"/>
      <c r="E75" s="526"/>
      <c r="F75" s="59">
        <v>3</v>
      </c>
      <c r="G75" s="60" t="s">
        <v>209</v>
      </c>
      <c r="H75" s="61">
        <v>90</v>
      </c>
      <c r="I75" s="101" t="s">
        <v>131</v>
      </c>
      <c r="S75" s="177"/>
      <c r="T75" s="177"/>
      <c r="U75" s="177"/>
      <c r="V75" s="177"/>
      <c r="W75" s="177"/>
      <c r="X75" s="177"/>
      <c r="Y75" s="177"/>
      <c r="Z75" s="177"/>
      <c r="AA75" s="177"/>
      <c r="AB75" s="177"/>
      <c r="AC75" s="177"/>
      <c r="AD75" s="177"/>
      <c r="AE75" s="177"/>
      <c r="AF75" s="274"/>
      <c r="AG75" s="274"/>
      <c r="AH75" s="274"/>
      <c r="AI75" s="274"/>
      <c r="AJ75" s="274"/>
      <c r="AK75" s="274"/>
      <c r="AL75" s="274"/>
      <c r="AM75" s="274"/>
      <c r="AN75" s="274"/>
      <c r="AO75" s="274"/>
      <c r="AP75" s="274"/>
      <c r="AQ75" s="274"/>
    </row>
    <row r="76" spans="1:43" ht="15.75" customHeight="1" x14ac:dyDescent="0.25">
      <c r="A76" s="101" t="s">
        <v>131</v>
      </c>
      <c r="B76" s="589"/>
      <c r="C76" s="507"/>
      <c r="D76" s="523"/>
      <c r="E76" s="526"/>
      <c r="F76" s="59">
        <v>4</v>
      </c>
      <c r="G76" s="60" t="s">
        <v>191</v>
      </c>
      <c r="H76" s="61">
        <v>80</v>
      </c>
      <c r="I76" s="101" t="s">
        <v>131</v>
      </c>
      <c r="S76" s="177"/>
      <c r="T76" s="177"/>
      <c r="U76" s="177"/>
      <c r="V76" s="177"/>
      <c r="W76" s="177"/>
      <c r="X76" s="177"/>
      <c r="Y76" s="177"/>
      <c r="Z76" s="177"/>
      <c r="AA76" s="177"/>
      <c r="AB76" s="177"/>
      <c r="AC76" s="177"/>
      <c r="AD76" s="177"/>
      <c r="AE76" s="177"/>
      <c r="AF76" s="274"/>
      <c r="AG76" s="274"/>
      <c r="AH76" s="274"/>
      <c r="AI76" s="274"/>
      <c r="AJ76" s="274"/>
      <c r="AK76" s="274"/>
      <c r="AL76" s="274"/>
      <c r="AM76" s="274"/>
      <c r="AN76" s="274"/>
      <c r="AO76" s="274"/>
      <c r="AP76" s="274"/>
      <c r="AQ76" s="274"/>
    </row>
    <row r="77" spans="1:43" x14ac:dyDescent="0.25">
      <c r="A77" s="101" t="s">
        <v>131</v>
      </c>
      <c r="B77" s="589"/>
      <c r="C77" s="507"/>
      <c r="D77" s="523"/>
      <c r="E77" s="526"/>
      <c r="F77" s="59">
        <v>5</v>
      </c>
      <c r="G77" s="60" t="s">
        <v>184</v>
      </c>
      <c r="H77" s="61">
        <v>50</v>
      </c>
      <c r="I77" s="101" t="s">
        <v>131</v>
      </c>
      <c r="S77" s="177"/>
      <c r="T77" s="177"/>
      <c r="U77" s="177"/>
      <c r="V77" s="177"/>
      <c r="W77" s="177"/>
      <c r="X77" s="177"/>
      <c r="Y77" s="177"/>
      <c r="Z77" s="177"/>
      <c r="AA77" s="177"/>
      <c r="AB77" s="177"/>
      <c r="AC77" s="177"/>
      <c r="AD77" s="177"/>
      <c r="AE77" s="177"/>
      <c r="AF77" s="274"/>
      <c r="AG77" s="274"/>
      <c r="AH77" s="274"/>
      <c r="AI77" s="274"/>
      <c r="AJ77" s="274"/>
      <c r="AK77" s="274"/>
      <c r="AL77" s="274"/>
      <c r="AM77" s="274"/>
      <c r="AN77" s="274"/>
      <c r="AO77" s="274"/>
      <c r="AP77" s="274"/>
      <c r="AQ77" s="274"/>
    </row>
    <row r="78" spans="1:43" x14ac:dyDescent="0.25">
      <c r="A78" s="101" t="s">
        <v>131</v>
      </c>
      <c r="B78" s="589"/>
      <c r="C78" s="507"/>
      <c r="D78" s="523"/>
      <c r="E78" s="526"/>
      <c r="F78" s="59"/>
      <c r="G78" s="60"/>
      <c r="H78" s="61"/>
      <c r="I78" s="101" t="s">
        <v>131</v>
      </c>
      <c r="S78" s="177"/>
      <c r="T78" s="177"/>
      <c r="U78" s="177"/>
      <c r="V78" s="177"/>
      <c r="W78" s="177"/>
      <c r="X78" s="177"/>
      <c r="Y78" s="177"/>
      <c r="Z78" s="177"/>
      <c r="AA78" s="177"/>
      <c r="AB78" s="177"/>
      <c r="AC78" s="177"/>
      <c r="AD78" s="177"/>
      <c r="AE78" s="177"/>
      <c r="AF78" s="274"/>
      <c r="AG78" s="274"/>
      <c r="AH78" s="274"/>
      <c r="AI78" s="274"/>
      <c r="AJ78" s="274"/>
      <c r="AK78" s="274"/>
      <c r="AL78" s="274"/>
      <c r="AM78" s="274"/>
      <c r="AN78" s="274"/>
      <c r="AO78" s="274"/>
      <c r="AP78" s="274"/>
      <c r="AQ78" s="274"/>
    </row>
    <row r="79" spans="1:43" x14ac:dyDescent="0.25">
      <c r="A79" s="101" t="s">
        <v>131</v>
      </c>
      <c r="B79" s="589"/>
      <c r="C79" s="507"/>
      <c r="D79" s="523"/>
      <c r="E79" s="526"/>
      <c r="F79" s="59"/>
      <c r="G79" s="60"/>
      <c r="H79" s="221"/>
      <c r="I79" s="101" t="s">
        <v>131</v>
      </c>
      <c r="S79" s="177"/>
      <c r="T79" s="177"/>
      <c r="U79" s="177"/>
      <c r="V79" s="177"/>
      <c r="W79" s="177"/>
      <c r="X79" s="177"/>
      <c r="Y79" s="177"/>
      <c r="Z79" s="177"/>
      <c r="AA79" s="177"/>
      <c r="AB79" s="177"/>
      <c r="AC79" s="177"/>
      <c r="AD79" s="177"/>
      <c r="AE79" s="177"/>
      <c r="AF79" s="274"/>
      <c r="AG79" s="274"/>
      <c r="AH79" s="274"/>
      <c r="AI79" s="274"/>
      <c r="AJ79" s="274"/>
      <c r="AK79" s="274"/>
      <c r="AL79" s="274"/>
      <c r="AM79" s="274"/>
      <c r="AN79" s="274"/>
      <c r="AO79" s="274"/>
      <c r="AP79" s="274"/>
      <c r="AQ79" s="274"/>
    </row>
    <row r="80" spans="1:43" ht="15.75" thickBot="1" x14ac:dyDescent="0.3">
      <c r="A80" s="101" t="s">
        <v>131</v>
      </c>
      <c r="B80" s="497"/>
      <c r="C80" s="508"/>
      <c r="D80" s="523"/>
      <c r="E80" s="526"/>
      <c r="F80" s="59"/>
      <c r="G80" s="60"/>
      <c r="H80" s="221"/>
      <c r="I80" s="101" t="s">
        <v>131</v>
      </c>
      <c r="S80" s="177"/>
      <c r="T80" s="177"/>
      <c r="U80" s="177"/>
      <c r="V80" s="177"/>
      <c r="W80" s="177"/>
      <c r="X80" s="177"/>
      <c r="Y80" s="177"/>
      <c r="Z80" s="177"/>
      <c r="AA80" s="177"/>
      <c r="AB80" s="177"/>
      <c r="AC80" s="177"/>
      <c r="AD80" s="177"/>
      <c r="AE80" s="177"/>
      <c r="AF80" s="274"/>
      <c r="AG80" s="274"/>
      <c r="AH80" s="274"/>
      <c r="AI80" s="274"/>
      <c r="AJ80" s="274"/>
      <c r="AK80" s="274"/>
      <c r="AL80" s="274"/>
      <c r="AM80" s="274"/>
      <c r="AN80" s="274"/>
      <c r="AO80" s="274"/>
      <c r="AP80" s="274"/>
      <c r="AQ80" s="274"/>
    </row>
    <row r="81" spans="1:43" x14ac:dyDescent="0.25">
      <c r="A81" s="101" t="s">
        <v>131</v>
      </c>
      <c r="B81" s="528" t="s">
        <v>128</v>
      </c>
      <c r="C81" s="317" t="s">
        <v>208</v>
      </c>
      <c r="D81" s="523"/>
      <c r="E81" s="526"/>
      <c r="F81" s="59"/>
      <c r="G81" s="60"/>
      <c r="H81" s="221"/>
      <c r="I81" s="101" t="s">
        <v>131</v>
      </c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274"/>
      <c r="AG81" s="274"/>
      <c r="AH81" s="274"/>
      <c r="AI81" s="274"/>
      <c r="AJ81" s="274"/>
      <c r="AK81" s="274"/>
      <c r="AL81" s="274"/>
      <c r="AM81" s="274"/>
      <c r="AN81" s="274"/>
      <c r="AO81" s="274"/>
      <c r="AP81" s="274"/>
      <c r="AQ81" s="274"/>
    </row>
    <row r="82" spans="1:43" ht="15.75" thickBot="1" x14ac:dyDescent="0.3">
      <c r="A82" s="101" t="s">
        <v>131</v>
      </c>
      <c r="B82" s="529"/>
      <c r="C82" s="322"/>
      <c r="D82" s="524"/>
      <c r="E82" s="527"/>
      <c r="F82" s="62"/>
      <c r="G82" s="63"/>
      <c r="H82" s="165"/>
      <c r="I82" s="101" t="s">
        <v>131</v>
      </c>
      <c r="S82" s="177"/>
      <c r="T82" s="177"/>
      <c r="U82" s="177"/>
      <c r="V82" s="177"/>
      <c r="W82" s="177"/>
      <c r="X82" s="177"/>
      <c r="Y82" s="177"/>
      <c r="Z82" s="177"/>
      <c r="AA82" s="177"/>
      <c r="AB82" s="177"/>
      <c r="AC82" s="177"/>
      <c r="AD82" s="177"/>
      <c r="AE82" s="177"/>
      <c r="AF82" s="274"/>
      <c r="AG82" s="274"/>
      <c r="AH82" s="274"/>
      <c r="AI82" s="274"/>
      <c r="AJ82" s="274"/>
      <c r="AK82" s="274"/>
      <c r="AL82" s="274"/>
      <c r="AM82" s="274"/>
      <c r="AN82" s="274"/>
      <c r="AO82" s="274"/>
      <c r="AP82" s="274"/>
      <c r="AQ82" s="274"/>
    </row>
    <row r="83" spans="1:43" ht="15.75" customHeight="1" thickBot="1" x14ac:dyDescent="0.3">
      <c r="A83" s="101" t="s">
        <v>131</v>
      </c>
      <c r="B83" s="496">
        <v>2</v>
      </c>
      <c r="C83" s="506" t="s">
        <v>162</v>
      </c>
      <c r="D83" s="170" t="s">
        <v>125</v>
      </c>
      <c r="E83" s="171">
        <v>0.2</v>
      </c>
      <c r="F83" s="93">
        <v>1</v>
      </c>
      <c r="G83" s="57" t="s">
        <v>203</v>
      </c>
      <c r="H83" s="58">
        <v>115</v>
      </c>
      <c r="I83" s="101" t="s">
        <v>131</v>
      </c>
      <c r="S83" s="177"/>
      <c r="T83" s="177"/>
      <c r="U83" s="177"/>
      <c r="V83" s="177"/>
      <c r="W83" s="177"/>
      <c r="X83" s="177"/>
      <c r="Y83" s="177"/>
      <c r="Z83" s="177"/>
      <c r="AA83" s="177"/>
      <c r="AB83" s="177"/>
      <c r="AC83" s="177"/>
      <c r="AD83" s="177"/>
      <c r="AE83" s="177"/>
      <c r="AF83" s="274"/>
      <c r="AG83" s="274"/>
      <c r="AH83" s="274"/>
      <c r="AI83" s="274"/>
      <c r="AJ83" s="274"/>
      <c r="AK83" s="274"/>
      <c r="AL83" s="274"/>
      <c r="AM83" s="274"/>
      <c r="AN83" s="274"/>
      <c r="AO83" s="274"/>
      <c r="AP83" s="274"/>
      <c r="AQ83" s="274"/>
    </row>
    <row r="84" spans="1:43" x14ac:dyDescent="0.25">
      <c r="A84" s="101" t="s">
        <v>131</v>
      </c>
      <c r="B84" s="589"/>
      <c r="C84" s="507"/>
      <c r="D84" s="509">
        <v>1</v>
      </c>
      <c r="E84" s="512">
        <f>IF(D84=0,0,VLOOKUP($D84,$F83:$H92,3,FALSE)*$E83)</f>
        <v>23</v>
      </c>
      <c r="F84" s="256">
        <v>2</v>
      </c>
      <c r="G84" s="257" t="s">
        <v>204</v>
      </c>
      <c r="H84" s="258">
        <v>100</v>
      </c>
      <c r="I84" s="101" t="s">
        <v>131</v>
      </c>
      <c r="S84" s="177"/>
      <c r="T84" s="177"/>
      <c r="U84" s="177"/>
      <c r="V84" s="177"/>
      <c r="W84" s="177"/>
      <c r="X84" s="177"/>
      <c r="Y84" s="177"/>
      <c r="Z84" s="177"/>
      <c r="AA84" s="177"/>
      <c r="AB84" s="177"/>
      <c r="AC84" s="177"/>
      <c r="AD84" s="177"/>
      <c r="AE84" s="177"/>
      <c r="AF84" s="274"/>
      <c r="AG84" s="274"/>
      <c r="AH84" s="274"/>
      <c r="AI84" s="274"/>
      <c r="AJ84" s="274"/>
      <c r="AK84" s="274"/>
      <c r="AL84" s="274"/>
      <c r="AM84" s="274"/>
      <c r="AN84" s="274"/>
      <c r="AO84" s="274"/>
      <c r="AP84" s="274"/>
      <c r="AQ84" s="274"/>
    </row>
    <row r="85" spans="1:43" x14ac:dyDescent="0.25">
      <c r="A85" s="101" t="s">
        <v>131</v>
      </c>
      <c r="B85" s="589"/>
      <c r="C85" s="507"/>
      <c r="D85" s="510"/>
      <c r="E85" s="513"/>
      <c r="F85" s="59">
        <v>3</v>
      </c>
      <c r="G85" s="60" t="s">
        <v>205</v>
      </c>
      <c r="H85" s="61">
        <v>90</v>
      </c>
      <c r="I85" s="101" t="s">
        <v>131</v>
      </c>
      <c r="S85" s="177"/>
      <c r="T85" s="177"/>
      <c r="U85" s="177"/>
      <c r="V85" s="177"/>
      <c r="W85" s="177"/>
      <c r="X85" s="177"/>
      <c r="Y85" s="177"/>
      <c r="Z85" s="177"/>
      <c r="AA85" s="177"/>
      <c r="AB85" s="177"/>
      <c r="AC85" s="177"/>
      <c r="AD85" s="177"/>
      <c r="AE85" s="177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</row>
    <row r="86" spans="1:43" x14ac:dyDescent="0.25">
      <c r="A86" s="101" t="s">
        <v>131</v>
      </c>
      <c r="B86" s="589"/>
      <c r="C86" s="507"/>
      <c r="D86" s="510"/>
      <c r="E86" s="513"/>
      <c r="F86" s="59">
        <v>4</v>
      </c>
      <c r="G86" s="60" t="s">
        <v>206</v>
      </c>
      <c r="H86" s="61">
        <v>80</v>
      </c>
      <c r="I86" s="101" t="s">
        <v>131</v>
      </c>
      <c r="S86" s="177"/>
      <c r="T86" s="177"/>
      <c r="U86" s="177"/>
      <c r="V86" s="177"/>
      <c r="W86" s="177"/>
      <c r="X86" s="177"/>
      <c r="Y86" s="177"/>
      <c r="Z86" s="177"/>
      <c r="AA86" s="177"/>
      <c r="AB86" s="177"/>
      <c r="AC86" s="177"/>
      <c r="AD86" s="177"/>
      <c r="AE86" s="177"/>
      <c r="AF86" s="274"/>
      <c r="AG86" s="274"/>
      <c r="AH86" s="274"/>
      <c r="AI86" s="274"/>
      <c r="AJ86" s="274"/>
      <c r="AK86" s="274"/>
      <c r="AL86" s="274"/>
      <c r="AM86" s="274"/>
      <c r="AN86" s="274"/>
      <c r="AO86" s="274"/>
      <c r="AP86" s="274"/>
      <c r="AQ86" s="274"/>
    </row>
    <row r="87" spans="1:43" ht="15" customHeight="1" x14ac:dyDescent="0.25">
      <c r="A87" s="101" t="s">
        <v>131</v>
      </c>
      <c r="B87" s="589"/>
      <c r="C87" s="507"/>
      <c r="D87" s="510"/>
      <c r="E87" s="513"/>
      <c r="F87" s="59">
        <v>5</v>
      </c>
      <c r="G87" s="60" t="s">
        <v>184</v>
      </c>
      <c r="H87" s="61">
        <v>50</v>
      </c>
      <c r="I87" s="101" t="s">
        <v>131</v>
      </c>
      <c r="S87" s="177"/>
      <c r="T87" s="177"/>
      <c r="U87" s="177"/>
      <c r="V87" s="177"/>
      <c r="W87" s="177"/>
      <c r="X87" s="177"/>
      <c r="Y87" s="177"/>
      <c r="Z87" s="177"/>
      <c r="AA87" s="177"/>
      <c r="AB87" s="177"/>
      <c r="AC87" s="177"/>
      <c r="AD87" s="177"/>
      <c r="AE87" s="177"/>
      <c r="AF87" s="274"/>
      <c r="AG87" s="274"/>
      <c r="AH87" s="274"/>
      <c r="AI87" s="274"/>
      <c r="AJ87" s="274"/>
      <c r="AK87" s="274"/>
      <c r="AL87" s="274"/>
      <c r="AM87" s="274"/>
      <c r="AN87" s="274"/>
      <c r="AO87" s="274"/>
      <c r="AP87" s="274"/>
      <c r="AQ87" s="274"/>
    </row>
    <row r="88" spans="1:43" x14ac:dyDescent="0.25">
      <c r="A88" s="101" t="s">
        <v>131</v>
      </c>
      <c r="B88" s="589"/>
      <c r="C88" s="507"/>
      <c r="D88" s="510"/>
      <c r="E88" s="513"/>
      <c r="F88" s="59"/>
      <c r="G88" s="60"/>
      <c r="H88" s="61"/>
      <c r="I88" s="101" t="s">
        <v>131</v>
      </c>
      <c r="S88" s="177"/>
      <c r="T88" s="177"/>
      <c r="U88" s="177"/>
      <c r="V88" s="177"/>
      <c r="W88" s="177"/>
      <c r="X88" s="177"/>
      <c r="Y88" s="177"/>
      <c r="Z88" s="177"/>
      <c r="AA88" s="177"/>
      <c r="AB88" s="177"/>
      <c r="AC88" s="177"/>
      <c r="AD88" s="177"/>
      <c r="AE88" s="177"/>
      <c r="AF88" s="274"/>
      <c r="AG88" s="274"/>
      <c r="AH88" s="274"/>
      <c r="AI88" s="274"/>
      <c r="AJ88" s="274"/>
      <c r="AK88" s="274"/>
      <c r="AL88" s="274"/>
      <c r="AM88" s="274"/>
      <c r="AN88" s="274"/>
      <c r="AO88" s="274"/>
      <c r="AP88" s="274"/>
      <c r="AQ88" s="274"/>
    </row>
    <row r="89" spans="1:43" x14ac:dyDescent="0.25">
      <c r="A89" s="101" t="s">
        <v>131</v>
      </c>
      <c r="B89" s="589"/>
      <c r="C89" s="507"/>
      <c r="D89" s="510"/>
      <c r="E89" s="513"/>
      <c r="F89" s="59"/>
      <c r="G89" s="60"/>
      <c r="H89" s="61"/>
      <c r="I89" s="101" t="s">
        <v>131</v>
      </c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7"/>
      <c r="AE89" s="177"/>
    </row>
    <row r="90" spans="1:43" ht="15.75" thickBot="1" x14ac:dyDescent="0.3">
      <c r="A90" s="101" t="s">
        <v>131</v>
      </c>
      <c r="B90" s="497"/>
      <c r="C90" s="508"/>
      <c r="D90" s="510"/>
      <c r="E90" s="513"/>
      <c r="F90" s="59"/>
      <c r="G90" s="60"/>
      <c r="H90" s="221"/>
      <c r="I90" s="101" t="s">
        <v>131</v>
      </c>
      <c r="S90" s="177"/>
      <c r="T90" s="177"/>
      <c r="U90" s="177"/>
      <c r="V90" s="177"/>
      <c r="W90" s="177"/>
      <c r="X90" s="177"/>
      <c r="Y90" s="177"/>
      <c r="Z90" s="177"/>
      <c r="AA90" s="177"/>
      <c r="AB90" s="177"/>
      <c r="AC90" s="177"/>
      <c r="AD90" s="177"/>
      <c r="AE90" s="177"/>
    </row>
    <row r="91" spans="1:43" ht="15" customHeight="1" x14ac:dyDescent="0.25">
      <c r="A91" s="101" t="s">
        <v>131</v>
      </c>
      <c r="B91" s="528" t="s">
        <v>128</v>
      </c>
      <c r="C91" s="357" t="s">
        <v>203</v>
      </c>
      <c r="D91" s="510"/>
      <c r="E91" s="513"/>
      <c r="F91" s="59"/>
      <c r="G91" s="60"/>
      <c r="H91" s="221"/>
      <c r="I91" s="101" t="s">
        <v>131</v>
      </c>
      <c r="S91" s="177"/>
      <c r="T91" s="177"/>
      <c r="U91" s="177"/>
      <c r="V91" s="177"/>
      <c r="W91" s="177"/>
      <c r="X91" s="177"/>
      <c r="Y91" s="177"/>
      <c r="Z91" s="177"/>
      <c r="AA91" s="177"/>
      <c r="AB91" s="177"/>
      <c r="AC91" s="177"/>
      <c r="AD91" s="177"/>
      <c r="AE91" s="177"/>
    </row>
    <row r="92" spans="1:43" ht="15.75" thickBot="1" x14ac:dyDescent="0.3">
      <c r="A92" s="101" t="s">
        <v>131</v>
      </c>
      <c r="B92" s="529"/>
      <c r="C92" s="300"/>
      <c r="D92" s="511"/>
      <c r="E92" s="514"/>
      <c r="F92" s="62"/>
      <c r="G92" s="63"/>
      <c r="H92" s="165"/>
      <c r="I92" s="101" t="s">
        <v>131</v>
      </c>
      <c r="S92" s="177"/>
      <c r="T92" s="177"/>
      <c r="U92" s="177"/>
      <c r="V92" s="177"/>
      <c r="W92" s="177"/>
      <c r="X92" s="177"/>
      <c r="Y92" s="177"/>
      <c r="Z92" s="177"/>
      <c r="AA92" s="177"/>
      <c r="AB92" s="177"/>
      <c r="AC92" s="177"/>
      <c r="AD92" s="177"/>
      <c r="AE92" s="177"/>
    </row>
    <row r="93" spans="1:43" ht="15.75" customHeight="1" thickBot="1" x14ac:dyDescent="0.3">
      <c r="A93" s="101" t="s">
        <v>131</v>
      </c>
      <c r="B93" s="496">
        <v>3</v>
      </c>
      <c r="C93" s="506" t="s">
        <v>163</v>
      </c>
      <c r="D93" s="170" t="s">
        <v>125</v>
      </c>
      <c r="E93" s="171">
        <v>0.25</v>
      </c>
      <c r="F93" s="93">
        <v>1</v>
      </c>
      <c r="G93" s="57" t="s">
        <v>203</v>
      </c>
      <c r="H93" s="58">
        <v>115</v>
      </c>
      <c r="I93" s="101" t="s">
        <v>131</v>
      </c>
      <c r="S93" s="177"/>
      <c r="T93" s="177"/>
      <c r="U93" s="177"/>
      <c r="V93" s="177"/>
      <c r="W93" s="177"/>
      <c r="X93" s="177"/>
      <c r="Y93" s="177"/>
      <c r="Z93" s="177"/>
      <c r="AA93" s="177"/>
      <c r="AB93" s="177"/>
      <c r="AC93" s="177"/>
      <c r="AD93" s="177"/>
      <c r="AE93" s="177"/>
    </row>
    <row r="94" spans="1:43" x14ac:dyDescent="0.25">
      <c r="A94" s="101" t="s">
        <v>131</v>
      </c>
      <c r="B94" s="589"/>
      <c r="C94" s="507"/>
      <c r="D94" s="509">
        <v>1</v>
      </c>
      <c r="E94" s="512">
        <f>IF(D94=0,0,VLOOKUP($D94,$F93:$H102,3,FALSE)*$E93)</f>
        <v>28.75</v>
      </c>
      <c r="F94" s="256">
        <v>2</v>
      </c>
      <c r="G94" s="257" t="s">
        <v>204</v>
      </c>
      <c r="H94" s="258">
        <v>100</v>
      </c>
      <c r="I94" s="101" t="s">
        <v>131</v>
      </c>
      <c r="S94" s="177"/>
      <c r="T94" s="177"/>
      <c r="U94" s="177"/>
      <c r="V94" s="177"/>
      <c r="W94" s="177"/>
      <c r="X94" s="177"/>
      <c r="Y94" s="177"/>
      <c r="Z94" s="177"/>
      <c r="AA94" s="177"/>
      <c r="AB94" s="177"/>
      <c r="AC94" s="177"/>
      <c r="AD94" s="177"/>
      <c r="AE94" s="177"/>
    </row>
    <row r="95" spans="1:43" x14ac:dyDescent="0.25">
      <c r="A95" s="101" t="s">
        <v>131</v>
      </c>
      <c r="B95" s="589"/>
      <c r="C95" s="507"/>
      <c r="D95" s="510"/>
      <c r="E95" s="513"/>
      <c r="F95" s="59">
        <v>3</v>
      </c>
      <c r="G95" s="60" t="s">
        <v>205</v>
      </c>
      <c r="H95" s="61">
        <v>90</v>
      </c>
      <c r="I95" s="101" t="s">
        <v>131</v>
      </c>
      <c r="S95" s="177"/>
      <c r="T95" s="177"/>
      <c r="U95" s="177"/>
      <c r="V95" s="177"/>
      <c r="W95" s="177"/>
      <c r="X95" s="177"/>
      <c r="Y95" s="177"/>
      <c r="Z95" s="177"/>
      <c r="AA95" s="177"/>
      <c r="AB95" s="177"/>
      <c r="AC95" s="177"/>
      <c r="AD95" s="177"/>
      <c r="AE95" s="177"/>
    </row>
    <row r="96" spans="1:43" x14ac:dyDescent="0.25">
      <c r="A96" s="101" t="s">
        <v>131</v>
      </c>
      <c r="B96" s="589"/>
      <c r="C96" s="507"/>
      <c r="D96" s="510"/>
      <c r="E96" s="513"/>
      <c r="F96" s="59">
        <v>4</v>
      </c>
      <c r="G96" s="60" t="s">
        <v>206</v>
      </c>
      <c r="H96" s="61">
        <v>80</v>
      </c>
      <c r="I96" s="101" t="s">
        <v>131</v>
      </c>
      <c r="S96" s="177"/>
      <c r="T96" s="177"/>
      <c r="U96" s="177"/>
      <c r="V96" s="177"/>
      <c r="W96" s="177"/>
      <c r="X96" s="177"/>
      <c r="Y96" s="177"/>
      <c r="Z96" s="177"/>
      <c r="AA96" s="177"/>
      <c r="AB96" s="177"/>
      <c r="AC96" s="177"/>
      <c r="AD96" s="177"/>
      <c r="AE96" s="177"/>
    </row>
    <row r="97" spans="1:31" x14ac:dyDescent="0.25">
      <c r="A97" s="101" t="s">
        <v>131</v>
      </c>
      <c r="B97" s="589"/>
      <c r="C97" s="507"/>
      <c r="D97" s="510"/>
      <c r="E97" s="513"/>
      <c r="F97" s="59">
        <v>5</v>
      </c>
      <c r="G97" s="60" t="s">
        <v>184</v>
      </c>
      <c r="H97" s="61">
        <v>50</v>
      </c>
      <c r="I97" s="101" t="s">
        <v>131</v>
      </c>
      <c r="S97" s="177"/>
      <c r="T97" s="177"/>
      <c r="U97" s="177"/>
      <c r="V97" s="177"/>
      <c r="W97" s="177"/>
      <c r="X97" s="177"/>
      <c r="Y97" s="177"/>
      <c r="Z97" s="177"/>
      <c r="AA97" s="177"/>
      <c r="AB97" s="177"/>
      <c r="AC97" s="177"/>
      <c r="AD97" s="177"/>
      <c r="AE97" s="177"/>
    </row>
    <row r="98" spans="1:31" ht="15" customHeight="1" x14ac:dyDescent="0.25">
      <c r="A98" s="101" t="s">
        <v>131</v>
      </c>
      <c r="B98" s="589"/>
      <c r="C98" s="507"/>
      <c r="D98" s="510"/>
      <c r="E98" s="513"/>
      <c r="F98" s="59"/>
      <c r="G98" s="60"/>
      <c r="H98" s="61"/>
      <c r="I98" s="101" t="s">
        <v>131</v>
      </c>
      <c r="S98" s="177"/>
      <c r="T98" s="177"/>
      <c r="U98" s="177"/>
      <c r="V98" s="177"/>
      <c r="W98" s="177"/>
      <c r="X98" s="177"/>
      <c r="Y98" s="177"/>
      <c r="Z98" s="177"/>
      <c r="AA98" s="177"/>
      <c r="AB98" s="177"/>
      <c r="AC98" s="177"/>
      <c r="AD98" s="177"/>
      <c r="AE98" s="177"/>
    </row>
    <row r="99" spans="1:31" x14ac:dyDescent="0.25">
      <c r="A99" s="101" t="s">
        <v>131</v>
      </c>
      <c r="B99" s="589"/>
      <c r="C99" s="507"/>
      <c r="D99" s="510"/>
      <c r="E99" s="513"/>
      <c r="F99" s="59"/>
      <c r="G99" s="60"/>
      <c r="H99" s="61"/>
      <c r="I99" s="101" t="s">
        <v>131</v>
      </c>
      <c r="S99" s="177"/>
      <c r="T99" s="177"/>
      <c r="U99" s="177"/>
      <c r="V99" s="177"/>
      <c r="W99" s="177"/>
      <c r="X99" s="177"/>
      <c r="Y99" s="177"/>
      <c r="Z99" s="177"/>
      <c r="AA99" s="177"/>
      <c r="AB99" s="177"/>
      <c r="AC99" s="177"/>
      <c r="AD99" s="177"/>
      <c r="AE99" s="177"/>
    </row>
    <row r="100" spans="1:31" ht="15.75" thickBot="1" x14ac:dyDescent="0.3">
      <c r="A100" s="101" t="s">
        <v>131</v>
      </c>
      <c r="B100" s="497"/>
      <c r="C100" s="508"/>
      <c r="D100" s="510"/>
      <c r="E100" s="513"/>
      <c r="F100" s="59"/>
      <c r="G100" s="60"/>
      <c r="H100" s="61"/>
      <c r="I100" s="101" t="s">
        <v>131</v>
      </c>
      <c r="S100" s="177"/>
      <c r="T100" s="177"/>
      <c r="U100" s="177"/>
      <c r="V100" s="177"/>
      <c r="W100" s="177"/>
      <c r="X100" s="177"/>
      <c r="Y100" s="177"/>
      <c r="Z100" s="177"/>
      <c r="AA100" s="177"/>
      <c r="AB100" s="177"/>
      <c r="AC100" s="177"/>
      <c r="AD100" s="177"/>
      <c r="AE100" s="177"/>
    </row>
    <row r="101" spans="1:31" ht="15" customHeight="1" x14ac:dyDescent="0.25">
      <c r="A101" s="101" t="s">
        <v>131</v>
      </c>
      <c r="B101" s="528" t="s">
        <v>128</v>
      </c>
      <c r="C101" s="357" t="s">
        <v>203</v>
      </c>
      <c r="D101" s="510"/>
      <c r="E101" s="513"/>
      <c r="F101" s="59"/>
      <c r="G101" s="60"/>
      <c r="H101" s="61"/>
      <c r="I101" s="101" t="s">
        <v>131</v>
      </c>
      <c r="S101" s="177"/>
      <c r="T101" s="177"/>
      <c r="U101" s="177"/>
      <c r="V101" s="177"/>
      <c r="W101" s="177"/>
      <c r="X101" s="177"/>
      <c r="Y101" s="177"/>
      <c r="Z101" s="177"/>
      <c r="AA101" s="177"/>
      <c r="AB101" s="177"/>
      <c r="AC101" s="177"/>
      <c r="AD101" s="177"/>
      <c r="AE101" s="177"/>
    </row>
    <row r="102" spans="1:31" ht="15.75" thickBot="1" x14ac:dyDescent="0.3">
      <c r="A102" s="101" t="s">
        <v>131</v>
      </c>
      <c r="B102" s="529"/>
      <c r="C102" s="323"/>
      <c r="D102" s="511"/>
      <c r="E102" s="514"/>
      <c r="F102" s="62"/>
      <c r="G102" s="63"/>
      <c r="H102" s="165"/>
      <c r="I102" s="101" t="s">
        <v>131</v>
      </c>
      <c r="S102" s="177"/>
      <c r="T102" s="177"/>
      <c r="U102" s="177"/>
      <c r="V102" s="177"/>
      <c r="W102" s="177"/>
      <c r="X102" s="177"/>
      <c r="Y102" s="177"/>
      <c r="Z102" s="177"/>
      <c r="AA102" s="177"/>
      <c r="AB102" s="177"/>
      <c r="AC102" s="177"/>
      <c r="AD102" s="177"/>
      <c r="AE102" s="177"/>
    </row>
    <row r="103" spans="1:31" ht="15.75" customHeight="1" thickBot="1" x14ac:dyDescent="0.3">
      <c r="A103" s="101" t="s">
        <v>131</v>
      </c>
      <c r="B103" s="518">
        <v>4</v>
      </c>
      <c r="C103" s="506" t="s">
        <v>237</v>
      </c>
      <c r="D103" s="170" t="s">
        <v>125</v>
      </c>
      <c r="E103" s="171">
        <v>0.1</v>
      </c>
      <c r="F103" s="93">
        <v>1</v>
      </c>
      <c r="G103" s="57" t="s">
        <v>202</v>
      </c>
      <c r="H103" s="58">
        <v>115</v>
      </c>
      <c r="I103" s="101" t="s">
        <v>131</v>
      </c>
      <c r="S103" s="177"/>
      <c r="T103" s="177"/>
      <c r="U103" s="177"/>
      <c r="V103" s="177"/>
      <c r="W103" s="177"/>
      <c r="X103" s="177"/>
      <c r="Y103" s="177"/>
      <c r="Z103" s="177"/>
      <c r="AA103" s="177"/>
      <c r="AB103" s="177"/>
      <c r="AC103" s="177"/>
      <c r="AD103" s="177"/>
      <c r="AE103" s="177"/>
    </row>
    <row r="104" spans="1:31" x14ac:dyDescent="0.25">
      <c r="A104" s="101" t="s">
        <v>131</v>
      </c>
      <c r="B104" s="504"/>
      <c r="C104" s="507"/>
      <c r="D104" s="522">
        <v>1</v>
      </c>
      <c r="E104" s="525">
        <f>IF(D104=0,0,VLOOKUP($D104,$F103:$H112,3,FALSE)*$E103)</f>
        <v>11.5</v>
      </c>
      <c r="F104" s="256">
        <v>2</v>
      </c>
      <c r="G104" s="257" t="s">
        <v>192</v>
      </c>
      <c r="H104" s="258">
        <v>100</v>
      </c>
      <c r="I104" s="101" t="s">
        <v>131</v>
      </c>
      <c r="S104" s="177"/>
      <c r="T104" s="177"/>
      <c r="U104" s="177"/>
      <c r="V104" s="177"/>
      <c r="W104" s="177"/>
      <c r="X104" s="177"/>
      <c r="Y104" s="177"/>
      <c r="Z104" s="177"/>
      <c r="AA104" s="177"/>
      <c r="AB104" s="177"/>
      <c r="AC104" s="177"/>
      <c r="AD104" s="177"/>
      <c r="AE104" s="177"/>
    </row>
    <row r="105" spans="1:31" x14ac:dyDescent="0.25">
      <c r="A105" s="101" t="s">
        <v>131</v>
      </c>
      <c r="B105" s="504"/>
      <c r="C105" s="507"/>
      <c r="D105" s="523"/>
      <c r="E105" s="526"/>
      <c r="F105" s="59">
        <v>3</v>
      </c>
      <c r="G105" s="60" t="s">
        <v>193</v>
      </c>
      <c r="H105" s="61">
        <v>90</v>
      </c>
      <c r="I105" s="101" t="s">
        <v>131</v>
      </c>
      <c r="S105" s="177"/>
      <c r="T105" s="177"/>
      <c r="U105" s="177"/>
      <c r="V105" s="177"/>
      <c r="W105" s="177"/>
      <c r="X105" s="177"/>
      <c r="Y105" s="177"/>
      <c r="Z105" s="177"/>
      <c r="AA105" s="177"/>
      <c r="AB105" s="177"/>
      <c r="AC105" s="177"/>
      <c r="AD105" s="177"/>
      <c r="AE105" s="177"/>
    </row>
    <row r="106" spans="1:31" x14ac:dyDescent="0.25">
      <c r="A106" s="101" t="s">
        <v>131</v>
      </c>
      <c r="B106" s="504"/>
      <c r="C106" s="507"/>
      <c r="D106" s="523"/>
      <c r="E106" s="526"/>
      <c r="F106" s="59">
        <v>4</v>
      </c>
      <c r="G106" s="60" t="s">
        <v>194</v>
      </c>
      <c r="H106" s="61">
        <v>80</v>
      </c>
      <c r="I106" s="101" t="s">
        <v>131</v>
      </c>
      <c r="S106" s="177"/>
      <c r="T106" s="177"/>
      <c r="U106" s="177"/>
      <c r="V106" s="177"/>
      <c r="W106" s="177"/>
      <c r="X106" s="177"/>
      <c r="Y106" s="177"/>
      <c r="Z106" s="177"/>
      <c r="AA106" s="177"/>
      <c r="AB106" s="177"/>
      <c r="AC106" s="177"/>
      <c r="AD106" s="177"/>
      <c r="AE106" s="177"/>
    </row>
    <row r="107" spans="1:31" x14ac:dyDescent="0.25">
      <c r="A107" s="101" t="s">
        <v>131</v>
      </c>
      <c r="B107" s="504"/>
      <c r="C107" s="507"/>
      <c r="D107" s="523"/>
      <c r="E107" s="526"/>
      <c r="F107" s="59">
        <v>5</v>
      </c>
      <c r="G107" s="60" t="s">
        <v>185</v>
      </c>
      <c r="H107" s="61">
        <v>50</v>
      </c>
      <c r="I107" s="101" t="s">
        <v>131</v>
      </c>
      <c r="S107" s="177"/>
      <c r="T107" s="177"/>
      <c r="U107" s="177"/>
      <c r="V107" s="177"/>
      <c r="W107" s="177"/>
      <c r="X107" s="177"/>
      <c r="Y107" s="177"/>
      <c r="Z107" s="177"/>
      <c r="AA107" s="177"/>
      <c r="AB107" s="177"/>
      <c r="AC107" s="177"/>
      <c r="AD107" s="177"/>
      <c r="AE107" s="177"/>
    </row>
    <row r="108" spans="1:31" x14ac:dyDescent="0.25">
      <c r="A108" s="101" t="s">
        <v>131</v>
      </c>
      <c r="B108" s="504"/>
      <c r="C108" s="507"/>
      <c r="D108" s="523"/>
      <c r="E108" s="526"/>
      <c r="F108" s="59"/>
      <c r="G108" s="60"/>
      <c r="H108" s="61"/>
      <c r="I108" s="101" t="s">
        <v>131</v>
      </c>
      <c r="S108" s="177"/>
      <c r="T108" s="177"/>
      <c r="U108" s="177"/>
      <c r="V108" s="177"/>
      <c r="W108" s="177"/>
      <c r="X108" s="177"/>
      <c r="Y108" s="177"/>
      <c r="Z108" s="177"/>
      <c r="AA108" s="177"/>
      <c r="AB108" s="177"/>
      <c r="AC108" s="177"/>
      <c r="AD108" s="177"/>
      <c r="AE108" s="177"/>
    </row>
    <row r="109" spans="1:31" ht="15" customHeight="1" x14ac:dyDescent="0.25">
      <c r="A109" s="101" t="s">
        <v>131</v>
      </c>
      <c r="B109" s="504"/>
      <c r="C109" s="507"/>
      <c r="D109" s="523"/>
      <c r="E109" s="526"/>
      <c r="F109" s="59"/>
      <c r="G109" s="60"/>
      <c r="H109" s="61"/>
      <c r="I109" s="101" t="s">
        <v>131</v>
      </c>
      <c r="S109" s="177"/>
      <c r="T109" s="177"/>
      <c r="U109" s="177"/>
      <c r="V109" s="177"/>
      <c r="W109" s="177"/>
      <c r="X109" s="177"/>
      <c r="Y109" s="177"/>
      <c r="Z109" s="177"/>
      <c r="AA109" s="177"/>
      <c r="AB109" s="177"/>
      <c r="AC109" s="177"/>
      <c r="AD109" s="177"/>
      <c r="AE109" s="177"/>
    </row>
    <row r="110" spans="1:31" ht="15.75" thickBot="1" x14ac:dyDescent="0.3">
      <c r="A110" s="101" t="s">
        <v>131</v>
      </c>
      <c r="B110" s="505"/>
      <c r="C110" s="508"/>
      <c r="D110" s="523"/>
      <c r="E110" s="526"/>
      <c r="F110" s="59"/>
      <c r="G110" s="60"/>
      <c r="H110" s="221"/>
      <c r="I110" s="101" t="s">
        <v>131</v>
      </c>
      <c r="S110" s="177"/>
      <c r="T110" s="177"/>
      <c r="U110" s="177"/>
      <c r="V110" s="177"/>
      <c r="W110" s="177"/>
      <c r="X110" s="177"/>
      <c r="Y110" s="177"/>
      <c r="Z110" s="177"/>
      <c r="AA110" s="177"/>
      <c r="AB110" s="177"/>
      <c r="AC110" s="177"/>
      <c r="AD110" s="177"/>
      <c r="AE110" s="177"/>
    </row>
    <row r="111" spans="1:31" x14ac:dyDescent="0.25">
      <c r="A111" s="101" t="s">
        <v>131</v>
      </c>
      <c r="B111" s="528" t="s">
        <v>128</v>
      </c>
      <c r="C111" s="321" t="s">
        <v>202</v>
      </c>
      <c r="D111" s="523"/>
      <c r="E111" s="526"/>
      <c r="F111" s="59"/>
      <c r="G111" s="60"/>
      <c r="H111" s="221"/>
      <c r="I111" s="101" t="s">
        <v>131</v>
      </c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77"/>
      <c r="AE111" s="177"/>
    </row>
    <row r="112" spans="1:31" ht="15.75" customHeight="1" thickBot="1" x14ac:dyDescent="0.3">
      <c r="A112" s="101" t="s">
        <v>131</v>
      </c>
      <c r="B112" s="529"/>
      <c r="C112" s="319"/>
      <c r="D112" s="524"/>
      <c r="E112" s="527"/>
      <c r="F112" s="62"/>
      <c r="G112" s="63"/>
      <c r="H112" s="165"/>
      <c r="I112" s="101" t="s">
        <v>131</v>
      </c>
      <c r="S112" s="177"/>
      <c r="T112" s="177"/>
      <c r="U112" s="177"/>
      <c r="V112" s="177"/>
      <c r="W112" s="177"/>
      <c r="X112" s="177"/>
      <c r="Y112" s="177"/>
      <c r="Z112" s="177"/>
      <c r="AA112" s="177"/>
      <c r="AB112" s="177"/>
      <c r="AC112" s="177"/>
      <c r="AD112" s="177"/>
      <c r="AE112" s="177"/>
    </row>
    <row r="113" spans="1:31" ht="15.75" customHeight="1" thickBot="1" x14ac:dyDescent="0.3">
      <c r="A113" s="101" t="s">
        <v>131</v>
      </c>
      <c r="B113" s="503">
        <v>5</v>
      </c>
      <c r="C113" s="506" t="s">
        <v>201</v>
      </c>
      <c r="D113" s="170" t="s">
        <v>125</v>
      </c>
      <c r="E113" s="171">
        <v>0.1</v>
      </c>
      <c r="F113" s="93">
        <v>1</v>
      </c>
      <c r="G113" s="57" t="s">
        <v>198</v>
      </c>
      <c r="H113" s="58">
        <v>115</v>
      </c>
      <c r="I113" s="101" t="s">
        <v>131</v>
      </c>
      <c r="S113" s="177"/>
      <c r="T113" s="177"/>
      <c r="U113" s="177"/>
      <c r="V113" s="177"/>
      <c r="W113" s="177"/>
      <c r="X113" s="177"/>
      <c r="Y113" s="177"/>
      <c r="Z113" s="177"/>
      <c r="AA113" s="177"/>
      <c r="AB113" s="177"/>
      <c r="AC113" s="177"/>
      <c r="AD113" s="177"/>
      <c r="AE113" s="177"/>
    </row>
    <row r="114" spans="1:31" ht="15" customHeight="1" x14ac:dyDescent="0.25">
      <c r="A114" s="101" t="s">
        <v>131</v>
      </c>
      <c r="B114" s="504"/>
      <c r="C114" s="507"/>
      <c r="D114" s="522">
        <v>1</v>
      </c>
      <c r="E114" s="525">
        <f>IF(D114=0,0,VLOOKUP($D114,$F113:$H122,3,FALSE)*$E113)</f>
        <v>11.5</v>
      </c>
      <c r="F114" s="256">
        <v>2</v>
      </c>
      <c r="G114" s="257" t="s">
        <v>199</v>
      </c>
      <c r="H114" s="258">
        <v>100</v>
      </c>
      <c r="I114" s="101" t="s">
        <v>131</v>
      </c>
      <c r="S114" s="177"/>
      <c r="T114" s="177"/>
      <c r="U114" s="177"/>
      <c r="V114" s="177"/>
      <c r="W114" s="177"/>
      <c r="X114" s="177"/>
      <c r="Y114" s="177"/>
      <c r="Z114" s="177"/>
      <c r="AA114" s="177"/>
      <c r="AB114" s="177"/>
      <c r="AC114" s="177"/>
      <c r="AD114" s="177"/>
      <c r="AE114" s="177"/>
    </row>
    <row r="115" spans="1:31" ht="15" customHeight="1" x14ac:dyDescent="0.25">
      <c r="A115" s="101" t="s">
        <v>131</v>
      </c>
      <c r="B115" s="504"/>
      <c r="C115" s="507"/>
      <c r="D115" s="523"/>
      <c r="E115" s="526"/>
      <c r="F115" s="59">
        <v>3</v>
      </c>
      <c r="G115" s="60" t="s">
        <v>200</v>
      </c>
      <c r="H115" s="61">
        <v>90</v>
      </c>
      <c r="I115" s="101" t="s">
        <v>131</v>
      </c>
      <c r="S115" s="177"/>
      <c r="T115" s="177"/>
      <c r="U115" s="177"/>
      <c r="V115" s="177"/>
      <c r="W115" s="177"/>
      <c r="X115" s="177"/>
      <c r="Y115" s="177"/>
      <c r="Z115" s="177"/>
      <c r="AA115" s="177"/>
      <c r="AB115" s="177"/>
      <c r="AC115" s="177"/>
      <c r="AD115" s="177"/>
      <c r="AE115" s="177"/>
    </row>
    <row r="116" spans="1:31" ht="15" customHeight="1" x14ac:dyDescent="0.25">
      <c r="A116" s="101" t="s">
        <v>131</v>
      </c>
      <c r="B116" s="504"/>
      <c r="C116" s="507"/>
      <c r="D116" s="523"/>
      <c r="E116" s="526"/>
      <c r="F116" s="59">
        <v>4</v>
      </c>
      <c r="G116" s="60" t="s">
        <v>194</v>
      </c>
      <c r="H116" s="61">
        <v>80</v>
      </c>
      <c r="I116" s="101" t="s">
        <v>131</v>
      </c>
      <c r="S116" s="177"/>
      <c r="T116" s="177"/>
      <c r="U116" s="177"/>
      <c r="V116" s="177"/>
      <c r="W116" s="177"/>
      <c r="X116" s="177"/>
      <c r="Y116" s="177"/>
      <c r="Z116" s="177"/>
      <c r="AA116" s="177"/>
      <c r="AB116" s="177"/>
      <c r="AC116" s="177"/>
      <c r="AD116" s="177"/>
      <c r="AE116" s="177"/>
    </row>
    <row r="117" spans="1:31" ht="15" customHeight="1" x14ac:dyDescent="0.25">
      <c r="A117" s="101" t="s">
        <v>131</v>
      </c>
      <c r="B117" s="504"/>
      <c r="C117" s="507"/>
      <c r="D117" s="523"/>
      <c r="E117" s="526"/>
      <c r="F117" s="59">
        <v>5</v>
      </c>
      <c r="G117" s="60" t="s">
        <v>197</v>
      </c>
      <c r="H117" s="61">
        <v>50</v>
      </c>
      <c r="I117" s="101" t="s">
        <v>131</v>
      </c>
      <c r="S117" s="177"/>
      <c r="T117" s="177"/>
      <c r="U117" s="177"/>
      <c r="V117" s="177"/>
      <c r="W117" s="177"/>
      <c r="X117" s="177"/>
      <c r="Y117" s="177"/>
      <c r="Z117" s="177"/>
      <c r="AA117" s="177"/>
      <c r="AB117" s="177"/>
      <c r="AC117" s="177"/>
      <c r="AD117" s="177"/>
      <c r="AE117" s="177"/>
    </row>
    <row r="118" spans="1:31" ht="15" customHeight="1" x14ac:dyDescent="0.25">
      <c r="A118" s="101" t="s">
        <v>131</v>
      </c>
      <c r="B118" s="504"/>
      <c r="C118" s="507"/>
      <c r="D118" s="523"/>
      <c r="E118" s="526"/>
      <c r="F118" s="59"/>
      <c r="G118" s="60"/>
      <c r="H118" s="61"/>
      <c r="I118" s="101" t="s">
        <v>131</v>
      </c>
      <c r="S118" s="177"/>
      <c r="T118" s="177"/>
      <c r="U118" s="177"/>
      <c r="V118" s="177"/>
      <c r="W118" s="177"/>
      <c r="X118" s="177"/>
      <c r="Y118" s="177"/>
      <c r="Z118" s="177"/>
      <c r="AA118" s="177"/>
      <c r="AB118" s="177"/>
      <c r="AC118" s="177"/>
      <c r="AD118" s="177"/>
      <c r="AE118" s="177"/>
    </row>
    <row r="119" spans="1:31" ht="15.75" customHeight="1" x14ac:dyDescent="0.25">
      <c r="A119" s="101" t="s">
        <v>131</v>
      </c>
      <c r="B119" s="504"/>
      <c r="C119" s="507"/>
      <c r="D119" s="523"/>
      <c r="E119" s="526"/>
      <c r="F119" s="59"/>
      <c r="G119" s="60"/>
      <c r="H119" s="61"/>
      <c r="I119" s="101" t="s">
        <v>131</v>
      </c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</row>
    <row r="120" spans="1:31" ht="15.75" customHeight="1" thickBot="1" x14ac:dyDescent="0.3">
      <c r="A120" s="101" t="s">
        <v>131</v>
      </c>
      <c r="B120" s="505"/>
      <c r="C120" s="508"/>
      <c r="D120" s="523"/>
      <c r="E120" s="526"/>
      <c r="F120" s="59"/>
      <c r="G120" s="60"/>
      <c r="H120" s="61"/>
      <c r="I120" s="101" t="s">
        <v>131</v>
      </c>
      <c r="S120" s="177"/>
      <c r="T120" s="177"/>
      <c r="U120" s="177"/>
      <c r="V120" s="177"/>
      <c r="W120" s="177"/>
      <c r="X120" s="177"/>
      <c r="Y120" s="177"/>
      <c r="Z120" s="177"/>
      <c r="AA120" s="177"/>
      <c r="AB120" s="177"/>
      <c r="AC120" s="177"/>
      <c r="AD120" s="177"/>
      <c r="AE120" s="177"/>
    </row>
    <row r="121" spans="1:31" ht="15" customHeight="1" x14ac:dyDescent="0.25">
      <c r="A121" s="101" t="s">
        <v>131</v>
      </c>
      <c r="B121" s="528" t="s">
        <v>128</v>
      </c>
      <c r="C121" s="317" t="s">
        <v>198</v>
      </c>
      <c r="D121" s="523"/>
      <c r="E121" s="526"/>
      <c r="F121" s="59"/>
      <c r="G121" s="60"/>
      <c r="H121" s="61"/>
      <c r="I121" s="101" t="s">
        <v>131</v>
      </c>
      <c r="S121" s="177"/>
      <c r="T121" s="177"/>
      <c r="U121" s="177"/>
      <c r="V121" s="177"/>
      <c r="W121" s="177"/>
      <c r="X121" s="177"/>
      <c r="Y121" s="177"/>
      <c r="Z121" s="177"/>
      <c r="AA121" s="177"/>
      <c r="AB121" s="177"/>
      <c r="AC121" s="177"/>
      <c r="AD121" s="177"/>
      <c r="AE121" s="177"/>
    </row>
    <row r="122" spans="1:31" ht="15.75" customHeight="1" thickBot="1" x14ac:dyDescent="0.3">
      <c r="A122" s="101" t="s">
        <v>131</v>
      </c>
      <c r="B122" s="529"/>
      <c r="C122" s="318"/>
      <c r="D122" s="524"/>
      <c r="E122" s="527"/>
      <c r="F122" s="62"/>
      <c r="G122" s="63"/>
      <c r="H122" s="165"/>
      <c r="I122" s="101" t="s">
        <v>131</v>
      </c>
      <c r="S122" s="177"/>
      <c r="T122" s="177"/>
      <c r="U122" s="177"/>
      <c r="V122" s="177"/>
      <c r="W122" s="177"/>
      <c r="X122" s="177"/>
      <c r="Y122" s="177"/>
      <c r="Z122" s="177"/>
      <c r="AA122" s="177"/>
      <c r="AB122" s="177"/>
      <c r="AC122" s="177"/>
      <c r="AD122" s="177"/>
      <c r="AE122" s="177"/>
    </row>
    <row r="123" spans="1:31" ht="15.75" customHeight="1" thickBot="1" x14ac:dyDescent="0.3">
      <c r="A123" s="101" t="s">
        <v>131</v>
      </c>
      <c r="B123" s="580">
        <v>6</v>
      </c>
      <c r="C123" s="506" t="s">
        <v>266</v>
      </c>
      <c r="D123" s="170" t="s">
        <v>125</v>
      </c>
      <c r="E123" s="171">
        <v>0.1</v>
      </c>
      <c r="F123" s="93">
        <v>1</v>
      </c>
      <c r="G123" s="57" t="s">
        <v>262</v>
      </c>
      <c r="H123" s="58">
        <v>115</v>
      </c>
      <c r="I123" s="101" t="s">
        <v>131</v>
      </c>
      <c r="S123" s="177"/>
      <c r="T123" s="177"/>
      <c r="U123" s="177"/>
      <c r="V123" s="177"/>
      <c r="W123" s="177"/>
      <c r="X123" s="177"/>
      <c r="Y123" s="177"/>
      <c r="Z123" s="177"/>
      <c r="AA123" s="177"/>
      <c r="AB123" s="177"/>
      <c r="AC123" s="177"/>
      <c r="AD123" s="177"/>
      <c r="AE123" s="177"/>
    </row>
    <row r="124" spans="1:31" ht="15" customHeight="1" x14ac:dyDescent="0.25">
      <c r="A124" s="101" t="s">
        <v>131</v>
      </c>
      <c r="B124" s="581"/>
      <c r="C124" s="507"/>
      <c r="D124" s="583">
        <v>1</v>
      </c>
      <c r="E124" s="586">
        <f>IF(D124=0,0,VLOOKUP($D124,$F123:$H132,3,FALSE)*$E123)</f>
        <v>11.5</v>
      </c>
      <c r="F124" s="256">
        <v>2</v>
      </c>
      <c r="G124" s="320" t="s">
        <v>261</v>
      </c>
      <c r="H124" s="258">
        <v>100</v>
      </c>
      <c r="I124" s="101" t="s">
        <v>131</v>
      </c>
      <c r="S124" s="177"/>
      <c r="T124" s="177"/>
      <c r="U124" s="177"/>
      <c r="V124" s="177"/>
      <c r="W124" s="177"/>
      <c r="X124" s="177"/>
      <c r="Y124" s="177"/>
      <c r="Z124" s="177"/>
      <c r="AA124" s="177"/>
      <c r="AB124" s="177"/>
      <c r="AC124" s="177"/>
      <c r="AD124" s="177"/>
      <c r="AE124" s="177"/>
    </row>
    <row r="125" spans="1:31" ht="15" customHeight="1" x14ac:dyDescent="0.25">
      <c r="A125" s="101" t="s">
        <v>131</v>
      </c>
      <c r="B125" s="581"/>
      <c r="C125" s="507"/>
      <c r="D125" s="584"/>
      <c r="E125" s="587"/>
      <c r="F125" s="59">
        <v>3</v>
      </c>
      <c r="G125" s="60" t="s">
        <v>263</v>
      </c>
      <c r="H125" s="61">
        <v>90</v>
      </c>
      <c r="I125" s="101" t="s">
        <v>131</v>
      </c>
    </row>
    <row r="126" spans="1:31" ht="15" customHeight="1" x14ac:dyDescent="0.25">
      <c r="A126" s="101" t="s">
        <v>131</v>
      </c>
      <c r="B126" s="581"/>
      <c r="C126" s="507"/>
      <c r="D126" s="584"/>
      <c r="E126" s="587"/>
      <c r="F126" s="59">
        <v>4</v>
      </c>
      <c r="G126" s="60" t="s">
        <v>264</v>
      </c>
      <c r="H126" s="61">
        <v>80</v>
      </c>
      <c r="I126" s="101" t="s">
        <v>131</v>
      </c>
    </row>
    <row r="127" spans="1:31" ht="15" customHeight="1" x14ac:dyDescent="0.25">
      <c r="A127" s="101" t="s">
        <v>131</v>
      </c>
      <c r="B127" s="581"/>
      <c r="C127" s="507"/>
      <c r="D127" s="584"/>
      <c r="E127" s="587"/>
      <c r="F127" s="59">
        <v>5</v>
      </c>
      <c r="G127" s="60" t="s">
        <v>265</v>
      </c>
      <c r="H127" s="61">
        <v>50</v>
      </c>
      <c r="I127" s="101" t="s">
        <v>131</v>
      </c>
    </row>
    <row r="128" spans="1:31" ht="15" customHeight="1" x14ac:dyDescent="0.25">
      <c r="A128" s="101" t="s">
        <v>131</v>
      </c>
      <c r="B128" s="581"/>
      <c r="C128" s="507"/>
      <c r="D128" s="584"/>
      <c r="E128" s="587"/>
      <c r="F128" s="59"/>
      <c r="G128" s="60"/>
      <c r="H128" s="61"/>
      <c r="I128" s="101" t="s">
        <v>131</v>
      </c>
    </row>
    <row r="129" spans="1:9" ht="15" customHeight="1" x14ac:dyDescent="0.25">
      <c r="A129" s="101"/>
      <c r="B129" s="581"/>
      <c r="C129" s="507"/>
      <c r="D129" s="584"/>
      <c r="E129" s="587"/>
      <c r="F129" s="59"/>
      <c r="G129" s="60"/>
      <c r="H129" s="61"/>
      <c r="I129" s="101"/>
    </row>
    <row r="130" spans="1:9" ht="15" customHeight="1" thickBot="1" x14ac:dyDescent="0.3">
      <c r="A130" s="101"/>
      <c r="B130" s="582"/>
      <c r="C130" s="508"/>
      <c r="D130" s="584"/>
      <c r="E130" s="587"/>
      <c r="F130" s="59"/>
      <c r="G130" s="60"/>
      <c r="H130" s="61"/>
      <c r="I130" s="101"/>
    </row>
    <row r="131" spans="1:9" ht="15" customHeight="1" x14ac:dyDescent="0.25">
      <c r="A131" s="101" t="s">
        <v>131</v>
      </c>
      <c r="B131" s="528" t="s">
        <v>128</v>
      </c>
      <c r="C131" s="376" t="s">
        <v>262</v>
      </c>
      <c r="D131" s="584"/>
      <c r="E131" s="587"/>
      <c r="F131" s="59"/>
      <c r="G131" s="60"/>
      <c r="H131" s="61"/>
      <c r="I131" s="101" t="s">
        <v>131</v>
      </c>
    </row>
    <row r="132" spans="1:9" ht="15.75" customHeight="1" thickBot="1" x14ac:dyDescent="0.3">
      <c r="A132" s="101" t="s">
        <v>131</v>
      </c>
      <c r="B132" s="529"/>
      <c r="C132" s="322"/>
      <c r="D132" s="585"/>
      <c r="E132" s="588"/>
      <c r="F132" s="62"/>
      <c r="G132" s="63"/>
      <c r="H132" s="165"/>
      <c r="I132" s="101" t="s">
        <v>131</v>
      </c>
    </row>
    <row r="133" spans="1:9" ht="15" hidden="1" customHeight="1" x14ac:dyDescent="0.25">
      <c r="A133" s="101" t="s">
        <v>131</v>
      </c>
      <c r="B133" s="528"/>
      <c r="C133" s="578"/>
      <c r="D133" s="210"/>
      <c r="E133" s="211"/>
      <c r="F133" s="212"/>
      <c r="G133" s="164"/>
      <c r="H133" s="163"/>
      <c r="I133" s="101" t="s">
        <v>131</v>
      </c>
    </row>
    <row r="134" spans="1:9" ht="15.75" hidden="1" customHeight="1" thickBot="1" x14ac:dyDescent="0.3">
      <c r="A134" s="101" t="s">
        <v>131</v>
      </c>
      <c r="B134" s="529"/>
      <c r="C134" s="579"/>
      <c r="D134" s="129"/>
      <c r="E134" s="131"/>
      <c r="F134" s="160"/>
      <c r="G134" s="161"/>
      <c r="H134" s="162"/>
      <c r="I134" s="101" t="s">
        <v>131</v>
      </c>
    </row>
    <row r="135" spans="1:9" ht="15.75" hidden="1" customHeight="1" thickBot="1" x14ac:dyDescent="0.3">
      <c r="A135" s="101" t="s">
        <v>131</v>
      </c>
      <c r="B135" s="518"/>
      <c r="C135" s="506"/>
      <c r="D135" s="114"/>
      <c r="E135" s="107"/>
      <c r="F135" s="64"/>
      <c r="G135" s="128"/>
      <c r="H135" s="119"/>
      <c r="I135" s="101" t="s">
        <v>131</v>
      </c>
    </row>
    <row r="136" spans="1:9" ht="15" hidden="1" customHeight="1" x14ac:dyDescent="0.25">
      <c r="A136" s="101" t="s">
        <v>131</v>
      </c>
      <c r="B136" s="504"/>
      <c r="C136" s="507"/>
      <c r="D136" s="509"/>
      <c r="E136" s="512"/>
      <c r="F136" s="59"/>
      <c r="G136" s="94"/>
      <c r="H136" s="124"/>
      <c r="I136" s="101" t="s">
        <v>131</v>
      </c>
    </row>
    <row r="137" spans="1:9" ht="15" hidden="1" customHeight="1" x14ac:dyDescent="0.25">
      <c r="A137" s="101" t="s">
        <v>131</v>
      </c>
      <c r="B137" s="504"/>
      <c r="C137" s="507"/>
      <c r="D137" s="510"/>
      <c r="E137" s="513"/>
      <c r="F137" s="59"/>
      <c r="G137" s="94"/>
      <c r="H137" s="124"/>
      <c r="I137" s="101" t="s">
        <v>131</v>
      </c>
    </row>
    <row r="138" spans="1:9" ht="15" hidden="1" customHeight="1" x14ac:dyDescent="0.25">
      <c r="A138" s="101" t="s">
        <v>131</v>
      </c>
      <c r="B138" s="504"/>
      <c r="C138" s="507"/>
      <c r="D138" s="510"/>
      <c r="E138" s="513"/>
      <c r="F138" s="59"/>
      <c r="G138" s="94"/>
      <c r="H138" s="124"/>
      <c r="I138" s="101" t="s">
        <v>131</v>
      </c>
    </row>
    <row r="139" spans="1:9" ht="15" hidden="1" customHeight="1" x14ac:dyDescent="0.25">
      <c r="A139" s="101" t="s">
        <v>131</v>
      </c>
      <c r="B139" s="504"/>
      <c r="C139" s="507"/>
      <c r="D139" s="510"/>
      <c r="E139" s="513"/>
      <c r="F139" s="59"/>
      <c r="G139" s="94"/>
      <c r="H139" s="124"/>
      <c r="I139" s="101" t="s">
        <v>131</v>
      </c>
    </row>
    <row r="140" spans="1:9" ht="15" hidden="1" customHeight="1" x14ac:dyDescent="0.25">
      <c r="A140" s="101" t="s">
        <v>131</v>
      </c>
      <c r="B140" s="504"/>
      <c r="C140" s="507"/>
      <c r="D140" s="510"/>
      <c r="E140" s="513"/>
      <c r="F140" s="59"/>
      <c r="G140" s="94"/>
      <c r="H140" s="124"/>
      <c r="I140" s="101" t="s">
        <v>131</v>
      </c>
    </row>
    <row r="141" spans="1:9" ht="15" hidden="1" customHeight="1" x14ac:dyDescent="0.25">
      <c r="A141" s="101" t="s">
        <v>131</v>
      </c>
      <c r="B141" s="504"/>
      <c r="C141" s="507"/>
      <c r="D141" s="510"/>
      <c r="E141" s="513"/>
      <c r="F141" s="59"/>
      <c r="G141" s="94"/>
      <c r="H141" s="124"/>
      <c r="I141" s="101" t="s">
        <v>131</v>
      </c>
    </row>
    <row r="142" spans="1:9" ht="15.75" hidden="1" customHeight="1" thickBot="1" x14ac:dyDescent="0.3">
      <c r="A142" s="101" t="s">
        <v>131</v>
      </c>
      <c r="B142" s="505"/>
      <c r="C142" s="508"/>
      <c r="D142" s="510"/>
      <c r="E142" s="513"/>
      <c r="F142" s="59"/>
      <c r="G142" s="94"/>
      <c r="H142" s="124"/>
      <c r="I142" s="101" t="s">
        <v>131</v>
      </c>
    </row>
    <row r="143" spans="1:9" ht="15.75" hidden="1" customHeight="1" x14ac:dyDescent="0.25">
      <c r="A143" s="101" t="s">
        <v>131</v>
      </c>
      <c r="B143" s="496"/>
      <c r="C143" s="506"/>
      <c r="D143" s="510"/>
      <c r="E143" s="513"/>
      <c r="F143" s="59"/>
      <c r="G143" s="94"/>
      <c r="H143" s="124"/>
      <c r="I143" s="101" t="s">
        <v>131</v>
      </c>
    </row>
    <row r="144" spans="1:9" ht="15.75" hidden="1" customHeight="1" thickBot="1" x14ac:dyDescent="0.3">
      <c r="A144" s="101" t="s">
        <v>131</v>
      </c>
      <c r="B144" s="497"/>
      <c r="C144" s="508"/>
      <c r="D144" s="511"/>
      <c r="E144" s="514"/>
      <c r="F144" s="62"/>
      <c r="G144" s="92"/>
      <c r="H144" s="91"/>
      <c r="I144" s="101" t="s">
        <v>131</v>
      </c>
    </row>
    <row r="145" spans="1:9" ht="15.75" hidden="1" customHeight="1" thickBot="1" x14ac:dyDescent="0.3">
      <c r="A145" s="101" t="s">
        <v>131</v>
      </c>
      <c r="B145" s="518"/>
      <c r="C145" s="506"/>
      <c r="D145" s="114"/>
      <c r="E145" s="107"/>
      <c r="F145" s="64"/>
      <c r="G145" s="128"/>
      <c r="H145" s="119"/>
      <c r="I145" s="101" t="s">
        <v>131</v>
      </c>
    </row>
    <row r="146" spans="1:9" ht="15" hidden="1" customHeight="1" x14ac:dyDescent="0.25">
      <c r="A146" s="101" t="s">
        <v>131</v>
      </c>
      <c r="B146" s="504"/>
      <c r="C146" s="507"/>
      <c r="D146" s="509"/>
      <c r="E146" s="512"/>
      <c r="F146" s="59"/>
      <c r="G146" s="94"/>
      <c r="H146" s="124"/>
      <c r="I146" s="101" t="s">
        <v>131</v>
      </c>
    </row>
    <row r="147" spans="1:9" ht="15" hidden="1" customHeight="1" x14ac:dyDescent="0.25">
      <c r="A147" s="101" t="s">
        <v>131</v>
      </c>
      <c r="B147" s="504"/>
      <c r="C147" s="507"/>
      <c r="D147" s="510"/>
      <c r="E147" s="513"/>
      <c r="F147" s="59"/>
      <c r="G147" s="94"/>
      <c r="H147" s="124"/>
      <c r="I147" s="101" t="s">
        <v>131</v>
      </c>
    </row>
    <row r="148" spans="1:9" ht="15" hidden="1" customHeight="1" x14ac:dyDescent="0.25">
      <c r="A148" s="101" t="s">
        <v>131</v>
      </c>
      <c r="B148" s="504"/>
      <c r="C148" s="507"/>
      <c r="D148" s="510"/>
      <c r="E148" s="513"/>
      <c r="F148" s="59"/>
      <c r="G148" s="94"/>
      <c r="H148" s="124"/>
      <c r="I148" s="101" t="s">
        <v>131</v>
      </c>
    </row>
    <row r="149" spans="1:9" ht="15" hidden="1" customHeight="1" x14ac:dyDescent="0.25">
      <c r="A149" s="101" t="s">
        <v>131</v>
      </c>
      <c r="B149" s="504"/>
      <c r="C149" s="507"/>
      <c r="D149" s="510"/>
      <c r="E149" s="513"/>
      <c r="F149" s="59"/>
      <c r="G149" s="94"/>
      <c r="H149" s="124"/>
      <c r="I149" s="101" t="s">
        <v>131</v>
      </c>
    </row>
    <row r="150" spans="1:9" ht="15" hidden="1" customHeight="1" x14ac:dyDescent="0.25">
      <c r="A150" s="101" t="s">
        <v>131</v>
      </c>
      <c r="B150" s="504"/>
      <c r="C150" s="507"/>
      <c r="D150" s="510"/>
      <c r="E150" s="513"/>
      <c r="F150" s="59"/>
      <c r="G150" s="94"/>
      <c r="H150" s="124"/>
      <c r="I150" s="101" t="s">
        <v>131</v>
      </c>
    </row>
    <row r="151" spans="1:9" ht="15" hidden="1" customHeight="1" x14ac:dyDescent="0.25">
      <c r="A151" s="101" t="s">
        <v>131</v>
      </c>
      <c r="B151" s="504"/>
      <c r="C151" s="507"/>
      <c r="D151" s="510"/>
      <c r="E151" s="513"/>
      <c r="F151" s="59"/>
      <c r="G151" s="94"/>
      <c r="H151" s="124"/>
      <c r="I151" s="101" t="s">
        <v>131</v>
      </c>
    </row>
    <row r="152" spans="1:9" ht="15.75" hidden="1" customHeight="1" thickBot="1" x14ac:dyDescent="0.3">
      <c r="A152" s="101" t="s">
        <v>131</v>
      </c>
      <c r="B152" s="505"/>
      <c r="C152" s="508"/>
      <c r="D152" s="510"/>
      <c r="E152" s="513"/>
      <c r="F152" s="59"/>
      <c r="G152" s="94"/>
      <c r="H152" s="124"/>
      <c r="I152" s="101" t="s">
        <v>131</v>
      </c>
    </row>
    <row r="153" spans="1:9" ht="15" hidden="1" customHeight="1" x14ac:dyDescent="0.25">
      <c r="A153" s="101" t="s">
        <v>131</v>
      </c>
      <c r="B153" s="496"/>
      <c r="C153" s="506"/>
      <c r="D153" s="510"/>
      <c r="E153" s="513"/>
      <c r="F153" s="59"/>
      <c r="G153" s="94"/>
      <c r="H153" s="124"/>
      <c r="I153" s="101" t="s">
        <v>131</v>
      </c>
    </row>
    <row r="154" spans="1:9" ht="15.75" hidden="1" customHeight="1" thickBot="1" x14ac:dyDescent="0.3">
      <c r="A154" s="101" t="s">
        <v>131</v>
      </c>
      <c r="B154" s="497"/>
      <c r="C154" s="508"/>
      <c r="D154" s="511"/>
      <c r="E154" s="514"/>
      <c r="F154" s="62"/>
      <c r="G154" s="92"/>
      <c r="H154" s="91"/>
      <c r="I154" s="101" t="s">
        <v>131</v>
      </c>
    </row>
    <row r="155" spans="1:9" ht="15.75" hidden="1" customHeight="1" thickBot="1" x14ac:dyDescent="0.3">
      <c r="A155" s="101" t="s">
        <v>131</v>
      </c>
      <c r="B155" s="55"/>
      <c r="C155" s="55"/>
      <c r="D155" s="498"/>
      <c r="E155" s="499"/>
      <c r="F155" s="500"/>
      <c r="G155" s="501"/>
      <c r="H155" s="502"/>
      <c r="I155" s="101" t="s">
        <v>131</v>
      </c>
    </row>
    <row r="156" spans="1:9" ht="15.75" hidden="1" customHeight="1" thickBot="1" x14ac:dyDescent="0.3">
      <c r="A156" s="101" t="s">
        <v>131</v>
      </c>
      <c r="B156" s="518"/>
      <c r="C156" s="506"/>
      <c r="D156" s="114"/>
      <c r="E156" s="107"/>
      <c r="F156" s="64"/>
      <c r="G156" s="128"/>
      <c r="H156" s="119"/>
      <c r="I156" s="101" t="s">
        <v>131</v>
      </c>
    </row>
    <row r="157" spans="1:9" ht="15" hidden="1" customHeight="1" x14ac:dyDescent="0.25">
      <c r="A157" s="101" t="s">
        <v>131</v>
      </c>
      <c r="B157" s="504"/>
      <c r="C157" s="507"/>
      <c r="D157" s="509"/>
      <c r="E157" s="512"/>
      <c r="F157" s="59"/>
      <c r="G157" s="94"/>
      <c r="H157" s="124"/>
      <c r="I157" s="101" t="s">
        <v>131</v>
      </c>
    </row>
    <row r="158" spans="1:9" ht="15" hidden="1" customHeight="1" x14ac:dyDescent="0.25">
      <c r="A158" s="101" t="s">
        <v>131</v>
      </c>
      <c r="B158" s="504"/>
      <c r="C158" s="507"/>
      <c r="D158" s="510"/>
      <c r="E158" s="513"/>
      <c r="F158" s="59"/>
      <c r="G158" s="94"/>
      <c r="H158" s="124"/>
      <c r="I158" s="101" t="s">
        <v>131</v>
      </c>
    </row>
    <row r="159" spans="1:9" ht="15" hidden="1" customHeight="1" x14ac:dyDescent="0.25">
      <c r="A159" s="101" t="s">
        <v>131</v>
      </c>
      <c r="B159" s="504"/>
      <c r="C159" s="507"/>
      <c r="D159" s="510"/>
      <c r="E159" s="513"/>
      <c r="F159" s="59"/>
      <c r="G159" s="94"/>
      <c r="H159" s="124"/>
      <c r="I159" s="101" t="s">
        <v>131</v>
      </c>
    </row>
    <row r="160" spans="1:9" ht="15" hidden="1" customHeight="1" x14ac:dyDescent="0.25">
      <c r="A160" s="101" t="s">
        <v>131</v>
      </c>
      <c r="B160" s="504"/>
      <c r="C160" s="507"/>
      <c r="D160" s="510"/>
      <c r="E160" s="513"/>
      <c r="F160" s="59"/>
      <c r="G160" s="94"/>
      <c r="H160" s="124"/>
      <c r="I160" s="101" t="s">
        <v>131</v>
      </c>
    </row>
    <row r="161" spans="1:9" ht="15" hidden="1" customHeight="1" x14ac:dyDescent="0.25">
      <c r="A161" s="101" t="s">
        <v>131</v>
      </c>
      <c r="B161" s="504"/>
      <c r="C161" s="507"/>
      <c r="D161" s="510"/>
      <c r="E161" s="513"/>
      <c r="F161" s="59"/>
      <c r="G161" s="94"/>
      <c r="H161" s="124"/>
      <c r="I161" s="101" t="s">
        <v>131</v>
      </c>
    </row>
    <row r="162" spans="1:9" ht="15" hidden="1" customHeight="1" x14ac:dyDescent="0.25">
      <c r="A162" s="101" t="s">
        <v>131</v>
      </c>
      <c r="B162" s="504"/>
      <c r="C162" s="507"/>
      <c r="D162" s="510"/>
      <c r="E162" s="513"/>
      <c r="F162" s="59"/>
      <c r="G162" s="94"/>
      <c r="H162" s="124"/>
      <c r="I162" s="101" t="s">
        <v>131</v>
      </c>
    </row>
    <row r="163" spans="1:9" ht="15.75" hidden="1" customHeight="1" thickBot="1" x14ac:dyDescent="0.3">
      <c r="A163" s="101" t="s">
        <v>131</v>
      </c>
      <c r="B163" s="505"/>
      <c r="C163" s="508"/>
      <c r="D163" s="510"/>
      <c r="E163" s="513"/>
      <c r="F163" s="59"/>
      <c r="G163" s="94"/>
      <c r="H163" s="124"/>
      <c r="I163" s="101" t="s">
        <v>131</v>
      </c>
    </row>
    <row r="164" spans="1:9" ht="15" hidden="1" customHeight="1" x14ac:dyDescent="0.25">
      <c r="A164" s="101" t="s">
        <v>131</v>
      </c>
      <c r="B164" s="496"/>
      <c r="C164" s="506"/>
      <c r="D164" s="510"/>
      <c r="E164" s="513"/>
      <c r="F164" s="59"/>
      <c r="G164" s="94"/>
      <c r="H164" s="124"/>
      <c r="I164" s="101" t="s">
        <v>131</v>
      </c>
    </row>
    <row r="165" spans="1:9" ht="15.75" hidden="1" customHeight="1" thickBot="1" x14ac:dyDescent="0.3">
      <c r="A165" s="101" t="s">
        <v>131</v>
      </c>
      <c r="B165" s="497"/>
      <c r="C165" s="508"/>
      <c r="D165" s="511"/>
      <c r="E165" s="514"/>
      <c r="F165" s="62"/>
      <c r="G165" s="92"/>
      <c r="H165" s="91"/>
      <c r="I165" s="101" t="s">
        <v>131</v>
      </c>
    </row>
    <row r="166" spans="1:9" ht="15.75" hidden="1" customHeight="1" thickBot="1" x14ac:dyDescent="0.3">
      <c r="A166" s="101" t="s">
        <v>131</v>
      </c>
      <c r="B166" s="55"/>
      <c r="C166" s="55"/>
      <c r="D166" s="498"/>
      <c r="E166" s="499"/>
      <c r="F166" s="500"/>
      <c r="G166" s="501"/>
      <c r="H166" s="502"/>
      <c r="I166" s="101" t="s">
        <v>131</v>
      </c>
    </row>
    <row r="167" spans="1:9" ht="15.75" hidden="1" customHeight="1" thickBot="1" x14ac:dyDescent="0.3">
      <c r="A167" s="101" t="s">
        <v>131</v>
      </c>
      <c r="B167" s="503"/>
      <c r="C167" s="506"/>
      <c r="D167" s="114"/>
      <c r="E167" s="107"/>
      <c r="F167" s="64"/>
      <c r="G167" s="134"/>
      <c r="H167" s="135"/>
      <c r="I167" s="101" t="s">
        <v>131</v>
      </c>
    </row>
    <row r="168" spans="1:9" ht="15" hidden="1" customHeight="1" x14ac:dyDescent="0.25">
      <c r="A168" s="101" t="s">
        <v>131</v>
      </c>
      <c r="B168" s="504"/>
      <c r="C168" s="507"/>
      <c r="D168" s="509"/>
      <c r="E168" s="512"/>
      <c r="F168" s="59"/>
      <c r="G168" s="94"/>
      <c r="H168" s="124"/>
      <c r="I168" s="101" t="s">
        <v>131</v>
      </c>
    </row>
    <row r="169" spans="1:9" ht="15" hidden="1" customHeight="1" x14ac:dyDescent="0.25">
      <c r="A169" s="101" t="s">
        <v>131</v>
      </c>
      <c r="B169" s="504"/>
      <c r="C169" s="507"/>
      <c r="D169" s="510"/>
      <c r="E169" s="513"/>
      <c r="F169" s="59"/>
      <c r="G169" s="94"/>
      <c r="H169" s="124"/>
      <c r="I169" s="101" t="s">
        <v>131</v>
      </c>
    </row>
    <row r="170" spans="1:9" ht="15" hidden="1" customHeight="1" x14ac:dyDescent="0.25">
      <c r="A170" s="101" t="s">
        <v>131</v>
      </c>
      <c r="B170" s="504"/>
      <c r="C170" s="507"/>
      <c r="D170" s="510"/>
      <c r="E170" s="513"/>
      <c r="F170" s="59"/>
      <c r="G170" s="94"/>
      <c r="H170" s="124"/>
      <c r="I170" s="101" t="s">
        <v>131</v>
      </c>
    </row>
    <row r="171" spans="1:9" ht="15" hidden="1" customHeight="1" x14ac:dyDescent="0.25">
      <c r="A171" s="101" t="s">
        <v>131</v>
      </c>
      <c r="B171" s="504"/>
      <c r="C171" s="507"/>
      <c r="D171" s="510"/>
      <c r="E171" s="513"/>
      <c r="F171" s="59"/>
      <c r="G171" s="94"/>
      <c r="H171" s="124"/>
      <c r="I171" s="101" t="s">
        <v>131</v>
      </c>
    </row>
    <row r="172" spans="1:9" ht="15" hidden="1" customHeight="1" x14ac:dyDescent="0.25">
      <c r="A172" s="101" t="s">
        <v>131</v>
      </c>
      <c r="B172" s="504"/>
      <c r="C172" s="507"/>
      <c r="D172" s="510"/>
      <c r="E172" s="513"/>
      <c r="F172" s="59"/>
      <c r="G172" s="94"/>
      <c r="H172" s="124"/>
      <c r="I172" s="101" t="s">
        <v>131</v>
      </c>
    </row>
    <row r="173" spans="1:9" ht="15" hidden="1" customHeight="1" x14ac:dyDescent="0.25">
      <c r="A173" s="101" t="s">
        <v>131</v>
      </c>
      <c r="B173" s="504"/>
      <c r="C173" s="507"/>
      <c r="D173" s="510"/>
      <c r="E173" s="513"/>
      <c r="F173" s="59"/>
      <c r="G173" s="94"/>
      <c r="H173" s="124"/>
      <c r="I173" s="101" t="s">
        <v>131</v>
      </c>
    </row>
    <row r="174" spans="1:9" ht="15.75" hidden="1" customHeight="1" thickBot="1" x14ac:dyDescent="0.3">
      <c r="A174" s="101" t="s">
        <v>131</v>
      </c>
      <c r="B174" s="505"/>
      <c r="C174" s="508"/>
      <c r="D174" s="510"/>
      <c r="E174" s="513"/>
      <c r="F174" s="59"/>
      <c r="G174" s="94"/>
      <c r="H174" s="124"/>
      <c r="I174" s="101" t="s">
        <v>131</v>
      </c>
    </row>
    <row r="175" spans="1:9" ht="15" hidden="1" customHeight="1" x14ac:dyDescent="0.25">
      <c r="A175" s="101" t="s">
        <v>131</v>
      </c>
      <c r="B175" s="496"/>
      <c r="C175" s="506"/>
      <c r="D175" s="510"/>
      <c r="E175" s="513"/>
      <c r="F175" s="59"/>
      <c r="G175" s="94"/>
      <c r="H175" s="124"/>
      <c r="I175" s="101" t="s">
        <v>131</v>
      </c>
    </row>
    <row r="176" spans="1:9" ht="15.75" hidden="1" customHeight="1" thickBot="1" x14ac:dyDescent="0.3">
      <c r="A176" s="101" t="s">
        <v>131</v>
      </c>
      <c r="B176" s="497"/>
      <c r="C176" s="508"/>
      <c r="D176" s="511"/>
      <c r="E176" s="514"/>
      <c r="F176" s="62"/>
      <c r="G176" s="92"/>
      <c r="H176" s="91"/>
      <c r="I176" s="101" t="s">
        <v>131</v>
      </c>
    </row>
    <row r="177" spans="1:13" ht="15" customHeight="1" x14ac:dyDescent="0.25">
      <c r="A177" s="101" t="s">
        <v>131</v>
      </c>
      <c r="B177" s="101" t="s">
        <v>131</v>
      </c>
      <c r="C177" s="101" t="s">
        <v>131</v>
      </c>
      <c r="D177" s="111" t="s">
        <v>131</v>
      </c>
      <c r="E177" s="111" t="s">
        <v>131</v>
      </c>
      <c r="F177" s="101" t="s">
        <v>131</v>
      </c>
      <c r="G177" s="101" t="s">
        <v>131</v>
      </c>
      <c r="H177" s="101" t="s">
        <v>131</v>
      </c>
      <c r="I177" s="101" t="s">
        <v>131</v>
      </c>
    </row>
    <row r="178" spans="1:13" ht="15" customHeight="1" thickBot="1" x14ac:dyDescent="0.3">
      <c r="A178" s="142"/>
      <c r="B178" s="142"/>
      <c r="C178" s="142"/>
      <c r="D178" s="143"/>
      <c r="E178" s="143"/>
      <c r="F178" s="142"/>
      <c r="G178" s="142"/>
      <c r="H178" s="142"/>
      <c r="I178" s="142"/>
    </row>
    <row r="179" spans="1:13" ht="15" customHeight="1" x14ac:dyDescent="0.25">
      <c r="A179" s="98" t="s">
        <v>131</v>
      </c>
      <c r="B179" s="116" t="s">
        <v>120</v>
      </c>
      <c r="C179" s="95"/>
      <c r="D179" s="104"/>
      <c r="E179" s="104"/>
      <c r="F179" s="95"/>
      <c r="G179" s="560" t="s">
        <v>17</v>
      </c>
      <c r="H179" s="560"/>
      <c r="I179" s="561"/>
    </row>
    <row r="180" spans="1:13" ht="15" customHeight="1" thickBot="1" x14ac:dyDescent="0.3">
      <c r="A180" s="98" t="s">
        <v>131</v>
      </c>
      <c r="B180" s="117" t="s">
        <v>213</v>
      </c>
      <c r="C180" s="96"/>
      <c r="D180" s="105"/>
      <c r="E180" s="105"/>
      <c r="F180" s="96"/>
      <c r="G180" s="562">
        <v>0.3</v>
      </c>
      <c r="H180" s="563"/>
      <c r="I180" s="564"/>
    </row>
    <row r="181" spans="1:13" ht="15" customHeight="1" thickBot="1" x14ac:dyDescent="0.3">
      <c r="A181" s="98" t="s">
        <v>131</v>
      </c>
      <c r="B181" s="97"/>
      <c r="C181" s="97"/>
      <c r="D181" s="106"/>
      <c r="E181" s="106"/>
      <c r="F181" s="97"/>
      <c r="G181" s="97"/>
      <c r="H181" s="97"/>
      <c r="I181" s="98" t="s">
        <v>131</v>
      </c>
    </row>
    <row r="182" spans="1:13" ht="15" customHeight="1" thickBot="1" x14ac:dyDescent="0.3">
      <c r="A182" s="98" t="s">
        <v>131</v>
      </c>
      <c r="B182" s="55" t="s">
        <v>119</v>
      </c>
      <c r="C182" s="55" t="s">
        <v>118</v>
      </c>
      <c r="D182" s="498" t="s">
        <v>124</v>
      </c>
      <c r="E182" s="499"/>
      <c r="F182" s="500" t="s">
        <v>127</v>
      </c>
      <c r="G182" s="501"/>
      <c r="H182" s="502"/>
      <c r="I182" s="98" t="s">
        <v>131</v>
      </c>
      <c r="K182" s="544" t="s">
        <v>129</v>
      </c>
      <c r="L182" s="545"/>
      <c r="M182" s="546"/>
    </row>
    <row r="183" spans="1:13" ht="15" customHeight="1" thickBot="1" x14ac:dyDescent="0.3">
      <c r="A183" s="98" t="s">
        <v>131</v>
      </c>
      <c r="B183" s="518">
        <v>1</v>
      </c>
      <c r="C183" s="506" t="s">
        <v>310</v>
      </c>
      <c r="D183" s="170" t="s">
        <v>125</v>
      </c>
      <c r="E183" s="171">
        <v>0.7</v>
      </c>
      <c r="F183" s="93">
        <v>1</v>
      </c>
      <c r="G183" s="57" t="s">
        <v>311</v>
      </c>
      <c r="H183" s="58">
        <v>115</v>
      </c>
      <c r="I183" s="98" t="s">
        <v>131</v>
      </c>
      <c r="K183" s="120" t="s">
        <v>118</v>
      </c>
      <c r="L183" s="121" t="s">
        <v>124</v>
      </c>
      <c r="M183" s="122" t="s">
        <v>128</v>
      </c>
    </row>
    <row r="184" spans="1:13" ht="15" customHeight="1" x14ac:dyDescent="0.25">
      <c r="A184" s="98" t="s">
        <v>131</v>
      </c>
      <c r="B184" s="504"/>
      <c r="C184" s="507"/>
      <c r="D184" s="522">
        <v>1</v>
      </c>
      <c r="E184" s="525">
        <f>IF(D184=0,0,VLOOKUP($D184,$F183:$H192,3,FALSE)*$E183)</f>
        <v>80.5</v>
      </c>
      <c r="F184" s="256">
        <v>2</v>
      </c>
      <c r="G184" s="257" t="s">
        <v>312</v>
      </c>
      <c r="H184" s="258">
        <v>100</v>
      </c>
      <c r="I184" s="98" t="s">
        <v>131</v>
      </c>
      <c r="K184" s="70">
        <v>1</v>
      </c>
      <c r="L184" s="125">
        <f>E184</f>
        <v>80.5</v>
      </c>
      <c r="M184" s="547">
        <f>SUM(L184:L188)</f>
        <v>115</v>
      </c>
    </row>
    <row r="185" spans="1:13" ht="15" customHeight="1" x14ac:dyDescent="0.25">
      <c r="A185" s="98" t="s">
        <v>131</v>
      </c>
      <c r="B185" s="504"/>
      <c r="C185" s="507"/>
      <c r="D185" s="523"/>
      <c r="E185" s="526"/>
      <c r="F185" s="59">
        <v>3</v>
      </c>
      <c r="G185" s="60" t="s">
        <v>313</v>
      </c>
      <c r="H185" s="61">
        <v>90</v>
      </c>
      <c r="I185" s="98" t="s">
        <v>131</v>
      </c>
      <c r="K185" s="71">
        <v>2</v>
      </c>
      <c r="L185" s="126">
        <f>+E194</f>
        <v>34.5</v>
      </c>
      <c r="M185" s="547"/>
    </row>
    <row r="186" spans="1:13" ht="15" customHeight="1" x14ac:dyDescent="0.25">
      <c r="A186" s="98" t="s">
        <v>131</v>
      </c>
      <c r="B186" s="504"/>
      <c r="C186" s="507"/>
      <c r="D186" s="523"/>
      <c r="E186" s="526"/>
      <c r="F186" s="59">
        <v>4</v>
      </c>
      <c r="G186" s="60" t="s">
        <v>314</v>
      </c>
      <c r="H186" s="61">
        <v>80</v>
      </c>
      <c r="I186" s="98" t="s">
        <v>131</v>
      </c>
      <c r="K186" s="71">
        <v>3</v>
      </c>
      <c r="L186" s="126">
        <f>E204</f>
        <v>0</v>
      </c>
      <c r="M186" s="547"/>
    </row>
    <row r="187" spans="1:13" ht="15" customHeight="1" x14ac:dyDescent="0.25">
      <c r="A187" s="98" t="s">
        <v>131</v>
      </c>
      <c r="B187" s="504"/>
      <c r="C187" s="507"/>
      <c r="D187" s="523"/>
      <c r="E187" s="526"/>
      <c r="F187" s="59">
        <v>5</v>
      </c>
      <c r="G187" s="60" t="s">
        <v>315</v>
      </c>
      <c r="H187" s="61">
        <v>50</v>
      </c>
      <c r="I187" s="98" t="s">
        <v>131</v>
      </c>
      <c r="K187" s="71">
        <v>4</v>
      </c>
      <c r="L187" s="126">
        <f>E214</f>
        <v>0</v>
      </c>
      <c r="M187" s="547"/>
    </row>
    <row r="188" spans="1:13" ht="15" customHeight="1" thickBot="1" x14ac:dyDescent="0.3">
      <c r="A188" s="98" t="s">
        <v>131</v>
      </c>
      <c r="B188" s="504"/>
      <c r="C188" s="507"/>
      <c r="D188" s="523"/>
      <c r="E188" s="526"/>
      <c r="F188" s="59"/>
      <c r="G188" s="60"/>
      <c r="H188" s="61"/>
      <c r="I188" s="98" t="s">
        <v>131</v>
      </c>
      <c r="K188" s="72">
        <v>5</v>
      </c>
      <c r="L188" s="127">
        <f>E224</f>
        <v>0</v>
      </c>
      <c r="M188" s="548"/>
    </row>
    <row r="189" spans="1:13" ht="15" customHeight="1" thickBot="1" x14ac:dyDescent="0.3">
      <c r="A189" s="98" t="s">
        <v>131</v>
      </c>
      <c r="B189" s="504"/>
      <c r="C189" s="507"/>
      <c r="D189" s="523"/>
      <c r="E189" s="526"/>
      <c r="F189" s="59"/>
      <c r="G189" s="60"/>
      <c r="H189" s="221"/>
      <c r="I189" s="98" t="s">
        <v>131</v>
      </c>
    </row>
    <row r="190" spans="1:13" ht="15" customHeight="1" thickBot="1" x14ac:dyDescent="0.3">
      <c r="A190" s="98" t="s">
        <v>131</v>
      </c>
      <c r="B190" s="505"/>
      <c r="C190" s="508"/>
      <c r="D190" s="523"/>
      <c r="E190" s="526"/>
      <c r="F190" s="59"/>
      <c r="G190" s="60"/>
      <c r="H190" s="221"/>
      <c r="I190" s="98" t="s">
        <v>131</v>
      </c>
      <c r="K190" s="549" t="s">
        <v>62</v>
      </c>
      <c r="L190" s="550"/>
      <c r="M190" s="551"/>
    </row>
    <row r="191" spans="1:13" ht="15" customHeight="1" thickBot="1" x14ac:dyDescent="0.3">
      <c r="A191" s="98" t="s">
        <v>131</v>
      </c>
      <c r="B191" s="528" t="s">
        <v>128</v>
      </c>
      <c r="C191" s="324" t="s">
        <v>324</v>
      </c>
      <c r="D191" s="523"/>
      <c r="E191" s="526"/>
      <c r="F191" s="59"/>
      <c r="G191" s="60"/>
      <c r="H191" s="221"/>
      <c r="I191" s="98" t="s">
        <v>131</v>
      </c>
      <c r="K191" s="129" t="s">
        <v>36</v>
      </c>
      <c r="L191" s="130" t="s">
        <v>124</v>
      </c>
      <c r="M191" s="131" t="s">
        <v>128</v>
      </c>
    </row>
    <row r="192" spans="1:13" ht="18" customHeight="1" thickBot="1" x14ac:dyDescent="0.3">
      <c r="A192" s="98" t="s">
        <v>131</v>
      </c>
      <c r="B192" s="529"/>
      <c r="C192" s="325"/>
      <c r="D192" s="524"/>
      <c r="E192" s="527"/>
      <c r="F192" s="62"/>
      <c r="G192" s="63"/>
      <c r="H192" s="165"/>
      <c r="I192" s="98" t="s">
        <v>131</v>
      </c>
      <c r="K192" s="70">
        <v>1</v>
      </c>
      <c r="L192" s="125">
        <f>E239</f>
        <v>46</v>
      </c>
      <c r="M192" s="552">
        <f>SUM(L192:L201)</f>
        <v>113.5</v>
      </c>
    </row>
    <row r="193" spans="1:13" ht="15" customHeight="1" thickBot="1" x14ac:dyDescent="0.3">
      <c r="A193" s="98" t="s">
        <v>131</v>
      </c>
      <c r="B193" s="518">
        <v>2</v>
      </c>
      <c r="C193" s="553" t="s">
        <v>316</v>
      </c>
      <c r="D193" s="170" t="s">
        <v>125</v>
      </c>
      <c r="E193" s="171">
        <v>0.3</v>
      </c>
      <c r="F193" s="93">
        <v>1</v>
      </c>
      <c r="G193" s="352" t="s">
        <v>317</v>
      </c>
      <c r="H193" s="58">
        <v>115</v>
      </c>
      <c r="I193" s="98" t="s">
        <v>131</v>
      </c>
      <c r="K193" s="71">
        <v>2</v>
      </c>
      <c r="L193" s="126">
        <f>E248</f>
        <v>28.75</v>
      </c>
      <c r="M193" s="547"/>
    </row>
    <row r="194" spans="1:13" ht="15" customHeight="1" x14ac:dyDescent="0.25">
      <c r="A194" s="98" t="s">
        <v>131</v>
      </c>
      <c r="B194" s="504"/>
      <c r="C194" s="554"/>
      <c r="D194" s="509">
        <v>1</v>
      </c>
      <c r="E194" s="512">
        <f>IF(D194=0,0,VLOOKUP($D194,$F193:$H202,3,FALSE)*$E193)</f>
        <v>34.5</v>
      </c>
      <c r="F194" s="256">
        <v>2</v>
      </c>
      <c r="G194" s="353" t="s">
        <v>315</v>
      </c>
      <c r="H194" s="258">
        <v>50</v>
      </c>
      <c r="I194" s="98" t="s">
        <v>131</v>
      </c>
      <c r="K194" s="71">
        <v>3</v>
      </c>
      <c r="L194" s="126">
        <f>E258</f>
        <v>10</v>
      </c>
      <c r="M194" s="547"/>
    </row>
    <row r="195" spans="1:13" ht="15" customHeight="1" x14ac:dyDescent="0.25">
      <c r="A195" s="98" t="s">
        <v>131</v>
      </c>
      <c r="B195" s="504"/>
      <c r="C195" s="554"/>
      <c r="D195" s="510"/>
      <c r="E195" s="513"/>
      <c r="F195" s="59">
        <v>3</v>
      </c>
      <c r="G195" s="222"/>
      <c r="H195" s="61"/>
      <c r="I195" s="98" t="s">
        <v>131</v>
      </c>
      <c r="K195" s="71">
        <v>4</v>
      </c>
      <c r="L195" s="126">
        <f>E268</f>
        <v>23</v>
      </c>
      <c r="M195" s="547"/>
    </row>
    <row r="196" spans="1:13" ht="15" customHeight="1" x14ac:dyDescent="0.25">
      <c r="A196" s="98" t="s">
        <v>131</v>
      </c>
      <c r="B196" s="504"/>
      <c r="C196" s="554"/>
      <c r="D196" s="510"/>
      <c r="E196" s="513"/>
      <c r="F196" s="59">
        <v>4</v>
      </c>
      <c r="G196" s="222"/>
      <c r="H196" s="61"/>
      <c r="I196" s="98" t="s">
        <v>131</v>
      </c>
      <c r="K196" s="71">
        <v>5</v>
      </c>
      <c r="L196" s="126">
        <f>+E278</f>
        <v>5.75</v>
      </c>
      <c r="M196" s="547"/>
    </row>
    <row r="197" spans="1:13" ht="15" customHeight="1" x14ac:dyDescent="0.25">
      <c r="A197" s="98" t="s">
        <v>131</v>
      </c>
      <c r="B197" s="504"/>
      <c r="C197" s="554"/>
      <c r="D197" s="510"/>
      <c r="E197" s="513"/>
      <c r="F197" s="59">
        <v>5</v>
      </c>
      <c r="G197" s="222"/>
      <c r="H197" s="61"/>
      <c r="I197" s="98" t="s">
        <v>131</v>
      </c>
      <c r="K197" s="70">
        <v>6</v>
      </c>
      <c r="L197" s="126">
        <f>+E287</f>
        <v>0</v>
      </c>
      <c r="M197" s="547"/>
    </row>
    <row r="198" spans="1:13" ht="15" customHeight="1" x14ac:dyDescent="0.25">
      <c r="A198" s="98" t="s">
        <v>131</v>
      </c>
      <c r="B198" s="504"/>
      <c r="C198" s="554"/>
      <c r="D198" s="510"/>
      <c r="E198" s="513"/>
      <c r="F198" s="59"/>
      <c r="G198" s="60"/>
      <c r="H198" s="61"/>
      <c r="I198" s="98" t="s">
        <v>131</v>
      </c>
      <c r="K198" s="71">
        <v>7</v>
      </c>
      <c r="L198" s="126">
        <f>+E297</f>
        <v>0</v>
      </c>
      <c r="M198" s="547"/>
    </row>
    <row r="199" spans="1:13" ht="15" customHeight="1" x14ac:dyDescent="0.25">
      <c r="A199" s="98" t="s">
        <v>131</v>
      </c>
      <c r="B199" s="504"/>
      <c r="C199" s="554"/>
      <c r="D199" s="510"/>
      <c r="E199" s="513"/>
      <c r="F199" s="59"/>
      <c r="G199" s="60"/>
      <c r="H199" s="61"/>
      <c r="I199" s="98" t="s">
        <v>131</v>
      </c>
      <c r="K199" s="71">
        <v>8</v>
      </c>
      <c r="L199" s="126">
        <f>+E307</f>
        <v>0</v>
      </c>
      <c r="M199" s="547"/>
    </row>
    <row r="200" spans="1:13" ht="15" customHeight="1" thickBot="1" x14ac:dyDescent="0.3">
      <c r="A200" s="98" t="s">
        <v>131</v>
      </c>
      <c r="B200" s="505"/>
      <c r="C200" s="555"/>
      <c r="D200" s="510"/>
      <c r="E200" s="513"/>
      <c r="F200" s="59"/>
      <c r="G200" s="60"/>
      <c r="H200" s="61"/>
      <c r="I200" s="98" t="s">
        <v>131</v>
      </c>
      <c r="K200" s="71">
        <v>9</v>
      </c>
      <c r="L200" s="126">
        <f>E318</f>
        <v>0</v>
      </c>
      <c r="M200" s="547"/>
    </row>
    <row r="201" spans="1:13" ht="15" customHeight="1" thickBot="1" x14ac:dyDescent="0.3">
      <c r="A201" s="98" t="s">
        <v>131</v>
      </c>
      <c r="B201" s="528" t="s">
        <v>128</v>
      </c>
      <c r="C201" s="326" t="s">
        <v>317</v>
      </c>
      <c r="D201" s="510"/>
      <c r="E201" s="513"/>
      <c r="F201" s="59"/>
      <c r="G201" s="60"/>
      <c r="H201" s="61"/>
      <c r="I201" s="98" t="s">
        <v>131</v>
      </c>
      <c r="K201" s="72">
        <v>10</v>
      </c>
      <c r="L201" s="127">
        <f>E329</f>
        <v>0</v>
      </c>
      <c r="M201" s="548"/>
    </row>
    <row r="202" spans="1:13" ht="15" customHeight="1" thickBot="1" x14ac:dyDescent="0.3">
      <c r="A202" s="98" t="s">
        <v>131</v>
      </c>
      <c r="B202" s="529"/>
      <c r="C202" s="327"/>
      <c r="D202" s="511"/>
      <c r="E202" s="514"/>
      <c r="F202" s="62"/>
      <c r="G202" s="63"/>
      <c r="H202" s="165"/>
      <c r="I202" s="98" t="s">
        <v>131</v>
      </c>
    </row>
    <row r="203" spans="1:13" ht="15" hidden="1" customHeight="1" thickBot="1" x14ac:dyDescent="0.3">
      <c r="A203" s="98" t="s">
        <v>131</v>
      </c>
      <c r="B203" s="518">
        <v>3</v>
      </c>
      <c r="C203" s="541"/>
      <c r="D203" s="170" t="s">
        <v>125</v>
      </c>
      <c r="E203" s="171"/>
      <c r="F203" s="93"/>
      <c r="G203" s="57"/>
      <c r="H203" s="58"/>
      <c r="I203" s="98" t="s">
        <v>131</v>
      </c>
    </row>
    <row r="204" spans="1:13" ht="15" hidden="1" customHeight="1" x14ac:dyDescent="0.25">
      <c r="A204" s="98" t="s">
        <v>131</v>
      </c>
      <c r="B204" s="504"/>
      <c r="C204" s="542"/>
      <c r="D204" s="509"/>
      <c r="E204" s="512">
        <f>IF(D204=0,0,VLOOKUP($D204,$F203:$H212,3,FALSE)*$E203)</f>
        <v>0</v>
      </c>
      <c r="F204" s="59"/>
      <c r="G204" s="60"/>
      <c r="H204" s="61"/>
      <c r="I204" s="98" t="s">
        <v>131</v>
      </c>
    </row>
    <row r="205" spans="1:13" ht="15" hidden="1" customHeight="1" x14ac:dyDescent="0.25">
      <c r="A205" s="98" t="s">
        <v>131</v>
      </c>
      <c r="B205" s="504"/>
      <c r="C205" s="542"/>
      <c r="D205" s="510"/>
      <c r="E205" s="513"/>
      <c r="F205" s="59"/>
      <c r="G205" s="60"/>
      <c r="H205" s="61"/>
      <c r="I205" s="98" t="s">
        <v>131</v>
      </c>
    </row>
    <row r="206" spans="1:13" ht="15" hidden="1" customHeight="1" x14ac:dyDescent="0.25">
      <c r="A206" s="98" t="s">
        <v>131</v>
      </c>
      <c r="B206" s="504"/>
      <c r="C206" s="542"/>
      <c r="D206" s="510"/>
      <c r="E206" s="513"/>
      <c r="F206" s="59"/>
      <c r="G206" s="60"/>
      <c r="H206" s="61"/>
      <c r="I206" s="98" t="s">
        <v>131</v>
      </c>
    </row>
    <row r="207" spans="1:13" ht="15" hidden="1" customHeight="1" x14ac:dyDescent="0.25">
      <c r="A207" s="98" t="s">
        <v>131</v>
      </c>
      <c r="B207" s="504"/>
      <c r="C207" s="542"/>
      <c r="D207" s="510"/>
      <c r="E207" s="513"/>
      <c r="F207" s="59"/>
      <c r="G207" s="60"/>
      <c r="H207" s="61"/>
      <c r="I207" s="98" t="s">
        <v>131</v>
      </c>
    </row>
    <row r="208" spans="1:13" ht="15" hidden="1" customHeight="1" x14ac:dyDescent="0.25">
      <c r="A208" s="98" t="s">
        <v>131</v>
      </c>
      <c r="B208" s="504"/>
      <c r="C208" s="542"/>
      <c r="D208" s="510"/>
      <c r="E208" s="513"/>
      <c r="F208" s="59"/>
      <c r="G208" s="60"/>
      <c r="H208" s="61"/>
      <c r="I208" s="98" t="s">
        <v>131</v>
      </c>
    </row>
    <row r="209" spans="1:9" ht="15" hidden="1" customHeight="1" x14ac:dyDescent="0.25">
      <c r="A209" s="98" t="s">
        <v>131</v>
      </c>
      <c r="B209" s="504"/>
      <c r="C209" s="542"/>
      <c r="D209" s="510"/>
      <c r="E209" s="513"/>
      <c r="F209" s="59"/>
      <c r="G209" s="60"/>
      <c r="H209" s="61"/>
      <c r="I209" s="98" t="s">
        <v>131</v>
      </c>
    </row>
    <row r="210" spans="1:9" ht="15" hidden="1" customHeight="1" thickBot="1" x14ac:dyDescent="0.3">
      <c r="A210" s="98" t="s">
        <v>131</v>
      </c>
      <c r="B210" s="505"/>
      <c r="C210" s="543"/>
      <c r="D210" s="510"/>
      <c r="E210" s="513"/>
      <c r="F210" s="59"/>
      <c r="G210" s="60"/>
      <c r="H210" s="61"/>
      <c r="I210" s="98" t="s">
        <v>131</v>
      </c>
    </row>
    <row r="211" spans="1:9" ht="15" hidden="1" customHeight="1" x14ac:dyDescent="0.25">
      <c r="A211" s="98" t="s">
        <v>131</v>
      </c>
      <c r="B211" s="528" t="s">
        <v>128</v>
      </c>
      <c r="C211" s="576"/>
      <c r="D211" s="510"/>
      <c r="E211" s="513"/>
      <c r="F211" s="59"/>
      <c r="G211" s="60"/>
      <c r="H211" s="61"/>
      <c r="I211" s="98" t="s">
        <v>131</v>
      </c>
    </row>
    <row r="212" spans="1:9" ht="15" hidden="1" customHeight="1" thickBot="1" x14ac:dyDescent="0.3">
      <c r="A212" s="98" t="s">
        <v>131</v>
      </c>
      <c r="B212" s="529"/>
      <c r="C212" s="577"/>
      <c r="D212" s="511"/>
      <c r="E212" s="514"/>
      <c r="F212" s="62"/>
      <c r="G212" s="63"/>
      <c r="H212" s="165"/>
      <c r="I212" s="98" t="s">
        <v>131</v>
      </c>
    </row>
    <row r="213" spans="1:9" ht="15" hidden="1" customHeight="1" thickBot="1" x14ac:dyDescent="0.3">
      <c r="A213" s="98" t="s">
        <v>131</v>
      </c>
      <c r="B213" s="518">
        <v>4</v>
      </c>
      <c r="C213" s="541"/>
      <c r="D213" s="170" t="s">
        <v>125</v>
      </c>
      <c r="E213" s="171"/>
      <c r="F213" s="93"/>
      <c r="G213" s="57"/>
      <c r="H213" s="58"/>
      <c r="I213" s="98" t="s">
        <v>131</v>
      </c>
    </row>
    <row r="214" spans="1:9" ht="15" hidden="1" customHeight="1" x14ac:dyDescent="0.25">
      <c r="A214" s="98" t="s">
        <v>131</v>
      </c>
      <c r="B214" s="504"/>
      <c r="C214" s="542"/>
      <c r="D214" s="509"/>
      <c r="E214" s="512">
        <f>IF(D214=0,0,VLOOKUP($D214,$F213:$H222,3,FALSE)*$E213)</f>
        <v>0</v>
      </c>
      <c r="F214" s="59"/>
      <c r="G214" s="60"/>
      <c r="H214" s="61"/>
      <c r="I214" s="98" t="s">
        <v>131</v>
      </c>
    </row>
    <row r="215" spans="1:9" ht="15" hidden="1" customHeight="1" x14ac:dyDescent="0.25">
      <c r="A215" s="98" t="s">
        <v>131</v>
      </c>
      <c r="B215" s="504"/>
      <c r="C215" s="542"/>
      <c r="D215" s="510"/>
      <c r="E215" s="513"/>
      <c r="F215" s="59"/>
      <c r="G215" s="60"/>
      <c r="H215" s="61"/>
      <c r="I215" s="98" t="s">
        <v>131</v>
      </c>
    </row>
    <row r="216" spans="1:9" ht="15" hidden="1" customHeight="1" x14ac:dyDescent="0.25">
      <c r="A216" s="98" t="s">
        <v>131</v>
      </c>
      <c r="B216" s="504"/>
      <c r="C216" s="542"/>
      <c r="D216" s="510"/>
      <c r="E216" s="513"/>
      <c r="F216" s="59"/>
      <c r="G216" s="60"/>
      <c r="H216" s="61"/>
      <c r="I216" s="98" t="s">
        <v>131</v>
      </c>
    </row>
    <row r="217" spans="1:9" ht="15" hidden="1" customHeight="1" x14ac:dyDescent="0.25">
      <c r="A217" s="98" t="s">
        <v>131</v>
      </c>
      <c r="B217" s="504"/>
      <c r="C217" s="542"/>
      <c r="D217" s="510"/>
      <c r="E217" s="513"/>
      <c r="F217" s="59"/>
      <c r="G217" s="60"/>
      <c r="H217" s="61"/>
      <c r="I217" s="98" t="s">
        <v>131</v>
      </c>
    </row>
    <row r="218" spans="1:9" ht="15" hidden="1" customHeight="1" x14ac:dyDescent="0.25">
      <c r="A218" s="98" t="s">
        <v>131</v>
      </c>
      <c r="B218" s="504"/>
      <c r="C218" s="542"/>
      <c r="D218" s="510"/>
      <c r="E218" s="513"/>
      <c r="F218" s="59"/>
      <c r="G218" s="60"/>
      <c r="H218" s="61"/>
      <c r="I218" s="98" t="s">
        <v>131</v>
      </c>
    </row>
    <row r="219" spans="1:9" ht="15" hidden="1" customHeight="1" x14ac:dyDescent="0.25">
      <c r="A219" s="98" t="s">
        <v>131</v>
      </c>
      <c r="B219" s="504"/>
      <c r="C219" s="542"/>
      <c r="D219" s="510"/>
      <c r="E219" s="513"/>
      <c r="F219" s="59"/>
      <c r="G219" s="60"/>
      <c r="H219" s="61"/>
      <c r="I219" s="98" t="s">
        <v>131</v>
      </c>
    </row>
    <row r="220" spans="1:9" ht="15" hidden="1" customHeight="1" thickBot="1" x14ac:dyDescent="0.3">
      <c r="A220" s="98" t="s">
        <v>131</v>
      </c>
      <c r="B220" s="505"/>
      <c r="C220" s="543"/>
      <c r="D220" s="510"/>
      <c r="E220" s="513"/>
      <c r="F220" s="59"/>
      <c r="G220" s="60"/>
      <c r="H220" s="61"/>
      <c r="I220" s="98" t="s">
        <v>131</v>
      </c>
    </row>
    <row r="221" spans="1:9" ht="15" hidden="1" customHeight="1" x14ac:dyDescent="0.25">
      <c r="A221" s="98" t="s">
        <v>131</v>
      </c>
      <c r="B221" s="528" t="s">
        <v>128</v>
      </c>
      <c r="C221" s="541"/>
      <c r="D221" s="510"/>
      <c r="E221" s="513"/>
      <c r="F221" s="59"/>
      <c r="G221" s="60"/>
      <c r="H221" s="61"/>
      <c r="I221" s="98" t="s">
        <v>131</v>
      </c>
    </row>
    <row r="222" spans="1:9" ht="15" hidden="1" customHeight="1" thickBot="1" x14ac:dyDescent="0.3">
      <c r="A222" s="98" t="s">
        <v>131</v>
      </c>
      <c r="B222" s="529"/>
      <c r="C222" s="543"/>
      <c r="D222" s="511"/>
      <c r="E222" s="514"/>
      <c r="F222" s="62"/>
      <c r="G222" s="63"/>
      <c r="H222" s="165"/>
      <c r="I222" s="98" t="s">
        <v>131</v>
      </c>
    </row>
    <row r="223" spans="1:9" ht="15" hidden="1" customHeight="1" thickBot="1" x14ac:dyDescent="0.3">
      <c r="A223" s="98" t="s">
        <v>131</v>
      </c>
      <c r="B223" s="503"/>
      <c r="C223" s="506"/>
      <c r="D223" s="141"/>
      <c r="E223" s="107"/>
      <c r="F223" s="64"/>
      <c r="G223" s="134"/>
      <c r="H223" s="135"/>
      <c r="I223" s="98" t="s">
        <v>131</v>
      </c>
    </row>
    <row r="224" spans="1:9" ht="15" hidden="1" customHeight="1" x14ac:dyDescent="0.25">
      <c r="A224" s="98" t="s">
        <v>131</v>
      </c>
      <c r="B224" s="504"/>
      <c r="C224" s="507"/>
      <c r="D224" s="509"/>
      <c r="E224" s="512"/>
      <c r="F224" s="59"/>
      <c r="G224" s="94"/>
      <c r="H224" s="124"/>
      <c r="I224" s="98" t="s">
        <v>131</v>
      </c>
    </row>
    <row r="225" spans="1:9" ht="15" hidden="1" customHeight="1" x14ac:dyDescent="0.25">
      <c r="A225" s="98" t="s">
        <v>131</v>
      </c>
      <c r="B225" s="504"/>
      <c r="C225" s="507"/>
      <c r="D225" s="510"/>
      <c r="E225" s="513"/>
      <c r="F225" s="59"/>
      <c r="G225" s="94"/>
      <c r="H225" s="124"/>
      <c r="I225" s="98" t="s">
        <v>131</v>
      </c>
    </row>
    <row r="226" spans="1:9" ht="15" hidden="1" customHeight="1" x14ac:dyDescent="0.25">
      <c r="A226" s="98" t="s">
        <v>131</v>
      </c>
      <c r="B226" s="504"/>
      <c r="C226" s="507"/>
      <c r="D226" s="510"/>
      <c r="E226" s="513"/>
      <c r="F226" s="59"/>
      <c r="G226" s="94"/>
      <c r="H226" s="124"/>
      <c r="I226" s="98" t="s">
        <v>131</v>
      </c>
    </row>
    <row r="227" spans="1:9" ht="15" hidden="1" customHeight="1" x14ac:dyDescent="0.25">
      <c r="A227" s="98" t="s">
        <v>131</v>
      </c>
      <c r="B227" s="504"/>
      <c r="C227" s="507"/>
      <c r="D227" s="510"/>
      <c r="E227" s="513"/>
      <c r="F227" s="59"/>
      <c r="G227" s="94"/>
      <c r="H227" s="124"/>
      <c r="I227" s="98" t="s">
        <v>131</v>
      </c>
    </row>
    <row r="228" spans="1:9" ht="15" hidden="1" customHeight="1" x14ac:dyDescent="0.25">
      <c r="A228" s="98" t="s">
        <v>131</v>
      </c>
      <c r="B228" s="504"/>
      <c r="C228" s="507"/>
      <c r="D228" s="510"/>
      <c r="E228" s="513"/>
      <c r="F228" s="59"/>
      <c r="G228" s="94"/>
      <c r="H228" s="124"/>
      <c r="I228" s="98" t="s">
        <v>131</v>
      </c>
    </row>
    <row r="229" spans="1:9" ht="15" hidden="1" customHeight="1" x14ac:dyDescent="0.25">
      <c r="A229" s="98" t="s">
        <v>131</v>
      </c>
      <c r="B229" s="504"/>
      <c r="C229" s="507"/>
      <c r="D229" s="510"/>
      <c r="E229" s="513"/>
      <c r="F229" s="59"/>
      <c r="G229" s="94"/>
      <c r="H229" s="124"/>
      <c r="I229" s="98" t="s">
        <v>131</v>
      </c>
    </row>
    <row r="230" spans="1:9" ht="15" hidden="1" customHeight="1" thickBot="1" x14ac:dyDescent="0.3">
      <c r="A230" s="98" t="s">
        <v>131</v>
      </c>
      <c r="B230" s="505"/>
      <c r="C230" s="508"/>
      <c r="D230" s="510"/>
      <c r="E230" s="513"/>
      <c r="F230" s="59"/>
      <c r="G230" s="94"/>
      <c r="H230" s="124"/>
      <c r="I230" s="98" t="s">
        <v>131</v>
      </c>
    </row>
    <row r="231" spans="1:9" ht="15" hidden="1" customHeight="1" x14ac:dyDescent="0.25">
      <c r="A231" s="98" t="s">
        <v>131</v>
      </c>
      <c r="B231" s="496"/>
      <c r="C231" s="506"/>
      <c r="D231" s="510"/>
      <c r="E231" s="513"/>
      <c r="F231" s="59"/>
      <c r="G231" s="94"/>
      <c r="H231" s="124"/>
      <c r="I231" s="98" t="s">
        <v>131</v>
      </c>
    </row>
    <row r="232" spans="1:9" ht="15" hidden="1" customHeight="1" thickBot="1" x14ac:dyDescent="0.3">
      <c r="A232" s="98" t="s">
        <v>131</v>
      </c>
      <c r="B232" s="497"/>
      <c r="C232" s="508"/>
      <c r="D232" s="511"/>
      <c r="E232" s="514"/>
      <c r="F232" s="62"/>
      <c r="G232" s="92"/>
      <c r="H232" s="91"/>
      <c r="I232" s="98" t="s">
        <v>131</v>
      </c>
    </row>
    <row r="233" spans="1:9" ht="15" customHeight="1" x14ac:dyDescent="0.25">
      <c r="A233" s="98"/>
      <c r="B233" s="83"/>
      <c r="C233" s="136"/>
      <c r="D233" s="83"/>
      <c r="E233" s="83"/>
      <c r="F233" s="84"/>
      <c r="G233" s="137"/>
      <c r="H233" s="138"/>
      <c r="I233" s="98"/>
    </row>
    <row r="234" spans="1:9" ht="15" customHeight="1" thickBot="1" x14ac:dyDescent="0.3">
      <c r="A234" s="98" t="s">
        <v>131</v>
      </c>
      <c r="B234" s="98" t="s">
        <v>131</v>
      </c>
      <c r="C234" s="98" t="s">
        <v>131</v>
      </c>
      <c r="D234" s="108" t="s">
        <v>131</v>
      </c>
      <c r="E234" s="108" t="s">
        <v>131</v>
      </c>
      <c r="F234" s="98" t="s">
        <v>131</v>
      </c>
      <c r="G234" s="98" t="s">
        <v>131</v>
      </c>
      <c r="H234" s="98" t="s">
        <v>131</v>
      </c>
      <c r="I234" s="98" t="s">
        <v>131</v>
      </c>
    </row>
    <row r="235" spans="1:9" ht="15" customHeight="1" x14ac:dyDescent="0.25">
      <c r="A235" s="101" t="s">
        <v>131</v>
      </c>
      <c r="B235" s="139" t="s">
        <v>133</v>
      </c>
      <c r="C235" s="99"/>
      <c r="D235" s="109"/>
      <c r="E235" s="109"/>
      <c r="F235" s="99"/>
      <c r="G235" s="493" t="s">
        <v>17</v>
      </c>
      <c r="H235" s="494"/>
      <c r="I235" s="495"/>
    </row>
    <row r="236" spans="1:9" ht="15" customHeight="1" thickBot="1" x14ac:dyDescent="0.3">
      <c r="A236" s="101" t="s">
        <v>131</v>
      </c>
      <c r="B236" s="140" t="s">
        <v>213</v>
      </c>
      <c r="C236" s="100"/>
      <c r="D236" s="110"/>
      <c r="E236" s="110"/>
      <c r="F236" s="100"/>
      <c r="G236" s="515">
        <v>0.3</v>
      </c>
      <c r="H236" s="516"/>
      <c r="I236" s="517"/>
    </row>
    <row r="237" spans="1:9" ht="15" customHeight="1" thickBot="1" x14ac:dyDescent="0.3">
      <c r="A237" s="101" t="s">
        <v>131</v>
      </c>
      <c r="B237" s="55" t="s">
        <v>119</v>
      </c>
      <c r="C237" s="55" t="s">
        <v>36</v>
      </c>
      <c r="D237" s="498" t="s">
        <v>124</v>
      </c>
      <c r="E237" s="499"/>
      <c r="F237" s="500" t="s">
        <v>130</v>
      </c>
      <c r="G237" s="501"/>
      <c r="H237" s="502"/>
      <c r="I237" s="101" t="s">
        <v>131</v>
      </c>
    </row>
    <row r="238" spans="1:9" ht="15" customHeight="1" thickBot="1" x14ac:dyDescent="0.3">
      <c r="A238" s="101" t="s">
        <v>131</v>
      </c>
      <c r="B238" s="518">
        <v>1</v>
      </c>
      <c r="C238" s="506" t="s">
        <v>164</v>
      </c>
      <c r="D238" s="170" t="s">
        <v>125</v>
      </c>
      <c r="E238" s="171">
        <v>0.4</v>
      </c>
      <c r="F238" s="93">
        <v>1</v>
      </c>
      <c r="G238" s="57" t="s">
        <v>208</v>
      </c>
      <c r="H238" s="58">
        <v>115</v>
      </c>
      <c r="I238" s="101" t="s">
        <v>131</v>
      </c>
    </row>
    <row r="239" spans="1:9" ht="15" customHeight="1" x14ac:dyDescent="0.25">
      <c r="A239" s="101" t="s">
        <v>131</v>
      </c>
      <c r="B239" s="504"/>
      <c r="C239" s="507"/>
      <c r="D239" s="509">
        <v>1</v>
      </c>
      <c r="E239" s="512">
        <f>IF(D239=0,0,VLOOKUP($D239,$F238:$H246,3,FALSE)*$E238)</f>
        <v>46</v>
      </c>
      <c r="F239" s="256">
        <v>2</v>
      </c>
      <c r="G239" s="257" t="s">
        <v>207</v>
      </c>
      <c r="H239" s="258">
        <v>100</v>
      </c>
      <c r="I239" s="101" t="s">
        <v>131</v>
      </c>
    </row>
    <row r="240" spans="1:9" ht="15" customHeight="1" x14ac:dyDescent="0.25">
      <c r="A240" s="101" t="s">
        <v>131</v>
      </c>
      <c r="B240" s="504"/>
      <c r="C240" s="507"/>
      <c r="D240" s="510"/>
      <c r="E240" s="513"/>
      <c r="F240" s="59">
        <v>3</v>
      </c>
      <c r="G240" s="60" t="s">
        <v>209</v>
      </c>
      <c r="H240" s="61">
        <v>90</v>
      </c>
      <c r="I240" s="101" t="s">
        <v>131</v>
      </c>
    </row>
    <row r="241" spans="1:9" ht="15" customHeight="1" x14ac:dyDescent="0.25">
      <c r="A241" s="101" t="s">
        <v>131</v>
      </c>
      <c r="B241" s="504"/>
      <c r="C241" s="507"/>
      <c r="D241" s="510"/>
      <c r="E241" s="513"/>
      <c r="F241" s="59">
        <v>4</v>
      </c>
      <c r="G241" s="60" t="s">
        <v>191</v>
      </c>
      <c r="H241" s="61">
        <v>80</v>
      </c>
      <c r="I241" s="101" t="s">
        <v>131</v>
      </c>
    </row>
    <row r="242" spans="1:9" ht="15" customHeight="1" x14ac:dyDescent="0.25">
      <c r="A242" s="101" t="s">
        <v>131</v>
      </c>
      <c r="B242" s="504"/>
      <c r="C242" s="507"/>
      <c r="D242" s="510"/>
      <c r="E242" s="513"/>
      <c r="F242" s="59">
        <v>5</v>
      </c>
      <c r="G242" s="60" t="s">
        <v>184</v>
      </c>
      <c r="H242" s="61">
        <v>50</v>
      </c>
      <c r="I242" s="101" t="s">
        <v>131</v>
      </c>
    </row>
    <row r="243" spans="1:9" ht="15" customHeight="1" x14ac:dyDescent="0.25">
      <c r="A243" s="101" t="s">
        <v>131</v>
      </c>
      <c r="B243" s="504"/>
      <c r="C243" s="507"/>
      <c r="D243" s="510"/>
      <c r="E243" s="513"/>
      <c r="F243" s="59"/>
      <c r="G243" s="60"/>
      <c r="H243" s="61"/>
      <c r="I243" s="101" t="s">
        <v>131</v>
      </c>
    </row>
    <row r="244" spans="1:9" ht="15" customHeight="1" thickBot="1" x14ac:dyDescent="0.3">
      <c r="A244" s="101" t="s">
        <v>131</v>
      </c>
      <c r="B244" s="504"/>
      <c r="C244" s="507"/>
      <c r="D244" s="510"/>
      <c r="E244" s="513"/>
      <c r="F244" s="59"/>
      <c r="G244" s="60"/>
      <c r="H244" s="61"/>
      <c r="I244" s="101" t="s">
        <v>131</v>
      </c>
    </row>
    <row r="245" spans="1:9" ht="15" customHeight="1" x14ac:dyDescent="0.25">
      <c r="A245" s="101" t="s">
        <v>131</v>
      </c>
      <c r="B245" s="528" t="s">
        <v>128</v>
      </c>
      <c r="C245" s="298" t="s">
        <v>208</v>
      </c>
      <c r="D245" s="510"/>
      <c r="E245" s="513"/>
      <c r="F245" s="59"/>
      <c r="G245" s="60"/>
      <c r="H245" s="221"/>
      <c r="I245" s="101" t="s">
        <v>131</v>
      </c>
    </row>
    <row r="246" spans="1:9" ht="15" customHeight="1" thickBot="1" x14ac:dyDescent="0.3">
      <c r="A246" s="101" t="s">
        <v>131</v>
      </c>
      <c r="B246" s="529"/>
      <c r="C246" s="299"/>
      <c r="D246" s="511"/>
      <c r="E246" s="514"/>
      <c r="F246" s="62"/>
      <c r="G246" s="63"/>
      <c r="H246" s="165"/>
      <c r="I246" s="101" t="s">
        <v>131</v>
      </c>
    </row>
    <row r="247" spans="1:9" ht="15" customHeight="1" thickBot="1" x14ac:dyDescent="0.3">
      <c r="A247" s="101" t="s">
        <v>131</v>
      </c>
      <c r="B247" s="518">
        <v>2</v>
      </c>
      <c r="C247" s="506" t="s">
        <v>165</v>
      </c>
      <c r="D247" s="170" t="s">
        <v>125</v>
      </c>
      <c r="E247" s="171">
        <v>0.25</v>
      </c>
      <c r="F247" s="93">
        <v>1</v>
      </c>
      <c r="G247" s="57" t="s">
        <v>208</v>
      </c>
      <c r="H247" s="58">
        <v>115</v>
      </c>
      <c r="I247" s="101" t="s">
        <v>131</v>
      </c>
    </row>
    <row r="248" spans="1:9" ht="15" customHeight="1" x14ac:dyDescent="0.25">
      <c r="A248" s="101" t="s">
        <v>131</v>
      </c>
      <c r="B248" s="504"/>
      <c r="C248" s="507"/>
      <c r="D248" s="522">
        <v>1</v>
      </c>
      <c r="E248" s="525">
        <f>IF(D248=0,0,VLOOKUP($D248,$F247:$H256,3,FALSE)*$E247)</f>
        <v>28.75</v>
      </c>
      <c r="F248" s="256">
        <v>2</v>
      </c>
      <c r="G248" s="257" t="s">
        <v>207</v>
      </c>
      <c r="H248" s="258">
        <v>100</v>
      </c>
      <c r="I248" s="101" t="s">
        <v>131</v>
      </c>
    </row>
    <row r="249" spans="1:9" ht="15" customHeight="1" x14ac:dyDescent="0.25">
      <c r="A249" s="101" t="s">
        <v>131</v>
      </c>
      <c r="B249" s="504"/>
      <c r="C249" s="507"/>
      <c r="D249" s="523"/>
      <c r="E249" s="526"/>
      <c r="F249" s="59">
        <v>3</v>
      </c>
      <c r="G249" s="60" t="s">
        <v>209</v>
      </c>
      <c r="H249" s="61">
        <v>90</v>
      </c>
      <c r="I249" s="101" t="s">
        <v>131</v>
      </c>
    </row>
    <row r="250" spans="1:9" ht="15" customHeight="1" x14ac:dyDescent="0.25">
      <c r="A250" s="101" t="s">
        <v>131</v>
      </c>
      <c r="B250" s="504"/>
      <c r="C250" s="507"/>
      <c r="D250" s="523"/>
      <c r="E250" s="526"/>
      <c r="F250" s="59">
        <v>4</v>
      </c>
      <c r="G250" s="60" t="s">
        <v>191</v>
      </c>
      <c r="H250" s="61">
        <v>80</v>
      </c>
      <c r="I250" s="101" t="s">
        <v>131</v>
      </c>
    </row>
    <row r="251" spans="1:9" ht="15" customHeight="1" x14ac:dyDescent="0.25">
      <c r="A251" s="101" t="s">
        <v>131</v>
      </c>
      <c r="B251" s="504"/>
      <c r="C251" s="507"/>
      <c r="D251" s="523"/>
      <c r="E251" s="526"/>
      <c r="F251" s="59">
        <v>5</v>
      </c>
      <c r="G251" s="60" t="s">
        <v>184</v>
      </c>
      <c r="H251" s="61">
        <v>50</v>
      </c>
      <c r="I251" s="101" t="s">
        <v>131</v>
      </c>
    </row>
    <row r="252" spans="1:9" ht="15" customHeight="1" x14ac:dyDescent="0.25">
      <c r="A252" s="101" t="s">
        <v>131</v>
      </c>
      <c r="B252" s="504"/>
      <c r="C252" s="507"/>
      <c r="D252" s="523"/>
      <c r="E252" s="526"/>
      <c r="F252" s="59"/>
      <c r="G252" s="60"/>
      <c r="H252" s="61"/>
      <c r="I252" s="101" t="s">
        <v>131</v>
      </c>
    </row>
    <row r="253" spans="1:9" ht="15" customHeight="1" x14ac:dyDescent="0.25">
      <c r="A253" s="101" t="s">
        <v>131</v>
      </c>
      <c r="B253" s="504"/>
      <c r="C253" s="507"/>
      <c r="D253" s="523"/>
      <c r="E253" s="526"/>
      <c r="F253" s="59"/>
      <c r="G253" s="60"/>
      <c r="H253" s="61"/>
      <c r="I253" s="101" t="s">
        <v>131</v>
      </c>
    </row>
    <row r="254" spans="1:9" ht="15" customHeight="1" thickBot="1" x14ac:dyDescent="0.3">
      <c r="A254" s="101" t="s">
        <v>131</v>
      </c>
      <c r="B254" s="505"/>
      <c r="C254" s="508"/>
      <c r="D254" s="523"/>
      <c r="E254" s="526"/>
      <c r="F254" s="159"/>
      <c r="G254" s="222"/>
      <c r="H254" s="221"/>
      <c r="I254" s="101" t="s">
        <v>131</v>
      </c>
    </row>
    <row r="255" spans="1:9" ht="15" customHeight="1" x14ac:dyDescent="0.25">
      <c r="A255" s="101" t="s">
        <v>131</v>
      </c>
      <c r="B255" s="528" t="s">
        <v>128</v>
      </c>
      <c r="C255" s="317" t="s">
        <v>208</v>
      </c>
      <c r="D255" s="523"/>
      <c r="E255" s="526"/>
      <c r="F255" s="159"/>
      <c r="G255" s="222"/>
      <c r="H255" s="221"/>
      <c r="I255" s="101" t="s">
        <v>131</v>
      </c>
    </row>
    <row r="256" spans="1:9" ht="15" customHeight="1" thickBot="1" x14ac:dyDescent="0.3">
      <c r="A256" s="101" t="s">
        <v>131</v>
      </c>
      <c r="B256" s="529"/>
      <c r="C256" s="351"/>
      <c r="D256" s="524"/>
      <c r="E256" s="527"/>
      <c r="F256" s="62"/>
      <c r="G256" s="63"/>
      <c r="H256" s="165"/>
      <c r="I256" s="101" t="s">
        <v>131</v>
      </c>
    </row>
    <row r="257" spans="1:9" ht="15" customHeight="1" thickBot="1" x14ac:dyDescent="0.3">
      <c r="A257" s="101" t="s">
        <v>131</v>
      </c>
      <c r="B257" s="518">
        <v>3</v>
      </c>
      <c r="C257" s="506" t="s">
        <v>166</v>
      </c>
      <c r="D257" s="170" t="s">
        <v>125</v>
      </c>
      <c r="E257" s="171">
        <v>0.1</v>
      </c>
      <c r="F257" s="93">
        <v>1</v>
      </c>
      <c r="G257" s="57" t="s">
        <v>210</v>
      </c>
      <c r="H257" s="58">
        <v>115</v>
      </c>
      <c r="I257" s="101" t="s">
        <v>131</v>
      </c>
    </row>
    <row r="258" spans="1:9" ht="15" customHeight="1" x14ac:dyDescent="0.25">
      <c r="A258" s="101" t="s">
        <v>131</v>
      </c>
      <c r="B258" s="504"/>
      <c r="C258" s="507"/>
      <c r="D258" s="532">
        <v>2</v>
      </c>
      <c r="E258" s="535">
        <f>IF(D258=0,0,VLOOKUP($D258,$F257:$H266,3,FALSE)*$E257)</f>
        <v>10</v>
      </c>
      <c r="F258" s="256">
        <v>2</v>
      </c>
      <c r="G258" s="257" t="s">
        <v>211</v>
      </c>
      <c r="H258" s="258">
        <v>100</v>
      </c>
      <c r="I258" s="101" t="s">
        <v>131</v>
      </c>
    </row>
    <row r="259" spans="1:9" ht="15" customHeight="1" x14ac:dyDescent="0.25">
      <c r="A259" s="101" t="s">
        <v>131</v>
      </c>
      <c r="B259" s="504"/>
      <c r="C259" s="507"/>
      <c r="D259" s="533"/>
      <c r="E259" s="536"/>
      <c r="F259" s="59">
        <v>3</v>
      </c>
      <c r="G259" s="60" t="s">
        <v>212</v>
      </c>
      <c r="H259" s="61">
        <v>90</v>
      </c>
      <c r="I259" s="101" t="s">
        <v>131</v>
      </c>
    </row>
    <row r="260" spans="1:9" ht="15" customHeight="1" x14ac:dyDescent="0.25">
      <c r="A260" s="101" t="s">
        <v>131</v>
      </c>
      <c r="B260" s="504"/>
      <c r="C260" s="507"/>
      <c r="D260" s="533"/>
      <c r="E260" s="536"/>
      <c r="F260" s="59">
        <v>4</v>
      </c>
      <c r="G260" s="60" t="s">
        <v>196</v>
      </c>
      <c r="H260" s="61">
        <v>80</v>
      </c>
      <c r="I260" s="101" t="s">
        <v>131</v>
      </c>
    </row>
    <row r="261" spans="1:9" ht="15" customHeight="1" x14ac:dyDescent="0.25">
      <c r="A261" s="101" t="s">
        <v>131</v>
      </c>
      <c r="B261" s="504"/>
      <c r="C261" s="507"/>
      <c r="D261" s="533"/>
      <c r="E261" s="536"/>
      <c r="F261" s="59">
        <v>5</v>
      </c>
      <c r="G261" s="60" t="s">
        <v>185</v>
      </c>
      <c r="H261" s="61">
        <v>50</v>
      </c>
      <c r="I261" s="101" t="s">
        <v>131</v>
      </c>
    </row>
    <row r="262" spans="1:9" ht="15" customHeight="1" x14ac:dyDescent="0.25">
      <c r="A262" s="101" t="s">
        <v>131</v>
      </c>
      <c r="B262" s="504"/>
      <c r="C262" s="507"/>
      <c r="D262" s="533"/>
      <c r="E262" s="536"/>
      <c r="F262" s="59"/>
      <c r="G262" s="60"/>
      <c r="H262" s="61"/>
      <c r="I262" s="101" t="s">
        <v>131</v>
      </c>
    </row>
    <row r="263" spans="1:9" ht="15" customHeight="1" x14ac:dyDescent="0.25">
      <c r="A263" s="101" t="s">
        <v>131</v>
      </c>
      <c r="B263" s="504"/>
      <c r="C263" s="507"/>
      <c r="D263" s="533"/>
      <c r="E263" s="536"/>
      <c r="F263" s="59"/>
      <c r="G263" s="60"/>
      <c r="H263" s="61"/>
      <c r="I263" s="101" t="s">
        <v>131</v>
      </c>
    </row>
    <row r="264" spans="1:9" ht="15" customHeight="1" thickBot="1" x14ac:dyDescent="0.3">
      <c r="A264" s="101" t="s">
        <v>131</v>
      </c>
      <c r="B264" s="505"/>
      <c r="C264" s="508"/>
      <c r="D264" s="533"/>
      <c r="E264" s="536"/>
      <c r="F264" s="59"/>
      <c r="G264" s="60"/>
      <c r="H264" s="61"/>
      <c r="I264" s="101" t="s">
        <v>131</v>
      </c>
    </row>
    <row r="265" spans="1:9" ht="15" customHeight="1" x14ac:dyDescent="0.25">
      <c r="A265" s="101" t="s">
        <v>131</v>
      </c>
      <c r="B265" s="528" t="s">
        <v>128</v>
      </c>
      <c r="C265" s="377" t="s">
        <v>211</v>
      </c>
      <c r="D265" s="533"/>
      <c r="E265" s="536"/>
      <c r="F265" s="59"/>
      <c r="G265" s="60"/>
      <c r="H265" s="61"/>
      <c r="I265" s="101" t="s">
        <v>131</v>
      </c>
    </row>
    <row r="266" spans="1:9" ht="15" customHeight="1" thickBot="1" x14ac:dyDescent="0.3">
      <c r="A266" s="101" t="s">
        <v>131</v>
      </c>
      <c r="B266" s="529"/>
      <c r="C266" s="351"/>
      <c r="D266" s="534"/>
      <c r="E266" s="537"/>
      <c r="F266" s="62"/>
      <c r="G266" s="354"/>
      <c r="H266" s="165"/>
      <c r="I266" s="101" t="s">
        <v>131</v>
      </c>
    </row>
    <row r="267" spans="1:9" ht="15" customHeight="1" thickBot="1" x14ac:dyDescent="0.3">
      <c r="A267" s="101" t="s">
        <v>131</v>
      </c>
      <c r="B267" s="518">
        <v>4</v>
      </c>
      <c r="C267" s="538" t="s">
        <v>325</v>
      </c>
      <c r="D267" s="170" t="s">
        <v>125</v>
      </c>
      <c r="E267" s="171">
        <v>0.2</v>
      </c>
      <c r="F267" s="93">
        <v>1</v>
      </c>
      <c r="G267" s="352" t="s">
        <v>217</v>
      </c>
      <c r="H267" s="58">
        <v>115</v>
      </c>
      <c r="I267" s="101" t="s">
        <v>131</v>
      </c>
    </row>
    <row r="268" spans="1:9" ht="15" customHeight="1" x14ac:dyDescent="0.25">
      <c r="A268" s="101" t="s">
        <v>131</v>
      </c>
      <c r="B268" s="504"/>
      <c r="C268" s="539"/>
      <c r="D268" s="522">
        <v>1</v>
      </c>
      <c r="E268" s="512">
        <f>IF(D268=0,0,VLOOKUP($D268,$F267:$H276,3,FALSE)*$E267)</f>
        <v>23</v>
      </c>
      <c r="F268" s="256">
        <v>2</v>
      </c>
      <c r="G268" s="353" t="s">
        <v>214</v>
      </c>
      <c r="H268" s="258">
        <v>100</v>
      </c>
      <c r="I268" s="101" t="s">
        <v>131</v>
      </c>
    </row>
    <row r="269" spans="1:9" ht="15" customHeight="1" x14ac:dyDescent="0.25">
      <c r="A269" s="101" t="s">
        <v>131</v>
      </c>
      <c r="B269" s="504"/>
      <c r="C269" s="539"/>
      <c r="D269" s="523"/>
      <c r="E269" s="513"/>
      <c r="F269" s="59">
        <v>3</v>
      </c>
      <c r="G269" s="222" t="s">
        <v>215</v>
      </c>
      <c r="H269" s="61">
        <v>90</v>
      </c>
      <c r="I269" s="101" t="s">
        <v>131</v>
      </c>
    </row>
    <row r="270" spans="1:9" ht="15" customHeight="1" x14ac:dyDescent="0.25">
      <c r="A270" s="101" t="s">
        <v>131</v>
      </c>
      <c r="B270" s="504"/>
      <c r="C270" s="539"/>
      <c r="D270" s="523"/>
      <c r="E270" s="513"/>
      <c r="F270" s="59">
        <v>4</v>
      </c>
      <c r="G270" s="222" t="s">
        <v>216</v>
      </c>
      <c r="H270" s="61">
        <v>80</v>
      </c>
      <c r="I270" s="101" t="s">
        <v>131</v>
      </c>
    </row>
    <row r="271" spans="1:9" ht="15" customHeight="1" x14ac:dyDescent="0.25">
      <c r="A271" s="101" t="s">
        <v>131</v>
      </c>
      <c r="B271" s="504"/>
      <c r="C271" s="539"/>
      <c r="D271" s="523"/>
      <c r="E271" s="513"/>
      <c r="F271" s="59">
        <v>5</v>
      </c>
      <c r="G271" s="222" t="s">
        <v>318</v>
      </c>
      <c r="H271" s="61">
        <v>50</v>
      </c>
      <c r="I271" s="101" t="s">
        <v>131</v>
      </c>
    </row>
    <row r="272" spans="1:9" ht="15" customHeight="1" x14ac:dyDescent="0.25">
      <c r="A272" s="101" t="s">
        <v>131</v>
      </c>
      <c r="B272" s="504"/>
      <c r="C272" s="539"/>
      <c r="D272" s="523"/>
      <c r="E272" s="513"/>
      <c r="F272" s="59"/>
      <c r="G272" s="60"/>
      <c r="H272" s="61"/>
      <c r="I272" s="101" t="s">
        <v>131</v>
      </c>
    </row>
    <row r="273" spans="1:9" ht="15" customHeight="1" x14ac:dyDescent="0.25">
      <c r="A273" s="101" t="s">
        <v>131</v>
      </c>
      <c r="B273" s="504"/>
      <c r="C273" s="539"/>
      <c r="D273" s="523"/>
      <c r="E273" s="513"/>
      <c r="F273" s="59"/>
      <c r="G273" s="60"/>
      <c r="H273" s="61"/>
      <c r="I273" s="101" t="s">
        <v>131</v>
      </c>
    </row>
    <row r="274" spans="1:9" ht="15" customHeight="1" thickBot="1" x14ac:dyDescent="0.3">
      <c r="A274" s="101" t="s">
        <v>131</v>
      </c>
      <c r="B274" s="505"/>
      <c r="C274" s="540"/>
      <c r="D274" s="523"/>
      <c r="E274" s="513"/>
      <c r="F274" s="59"/>
      <c r="G274" s="60"/>
      <c r="H274" s="61"/>
      <c r="I274" s="101" t="s">
        <v>131</v>
      </c>
    </row>
    <row r="275" spans="1:9" ht="15" customHeight="1" x14ac:dyDescent="0.25">
      <c r="A275" s="101" t="s">
        <v>131</v>
      </c>
      <c r="B275" s="528" t="s">
        <v>128</v>
      </c>
      <c r="C275" s="355" t="s">
        <v>217</v>
      </c>
      <c r="D275" s="523"/>
      <c r="E275" s="513"/>
      <c r="F275" s="59"/>
      <c r="G275" s="266"/>
      <c r="H275" s="61"/>
      <c r="I275" s="101" t="s">
        <v>131</v>
      </c>
    </row>
    <row r="276" spans="1:9" ht="15" customHeight="1" thickBot="1" x14ac:dyDescent="0.3">
      <c r="A276" s="101" t="s">
        <v>131</v>
      </c>
      <c r="B276" s="529"/>
      <c r="C276" s="270"/>
      <c r="D276" s="524"/>
      <c r="E276" s="514"/>
      <c r="F276" s="62"/>
      <c r="G276" s="63"/>
      <c r="H276" s="165"/>
      <c r="I276" s="101" t="s">
        <v>131</v>
      </c>
    </row>
    <row r="277" spans="1:9" ht="15" customHeight="1" thickBot="1" x14ac:dyDescent="0.3">
      <c r="A277" s="101" t="s">
        <v>131</v>
      </c>
      <c r="B277" s="503">
        <v>5</v>
      </c>
      <c r="C277" s="538" t="s">
        <v>319</v>
      </c>
      <c r="D277" s="170" t="s">
        <v>125</v>
      </c>
      <c r="E277" s="171">
        <v>0.05</v>
      </c>
      <c r="F277" s="93">
        <v>1</v>
      </c>
      <c r="G277" s="352" t="s">
        <v>321</v>
      </c>
      <c r="H277" s="58">
        <v>115</v>
      </c>
      <c r="I277" s="101" t="s">
        <v>131</v>
      </c>
    </row>
    <row r="278" spans="1:9" ht="15" customHeight="1" x14ac:dyDescent="0.25">
      <c r="A278" s="101" t="s">
        <v>131</v>
      </c>
      <c r="B278" s="504"/>
      <c r="C278" s="539"/>
      <c r="D278" s="522">
        <v>1</v>
      </c>
      <c r="E278" s="525">
        <f>IF(D278=0,0,VLOOKUP($D278,$F277:$H285,3,FALSE)*$E277)</f>
        <v>5.75</v>
      </c>
      <c r="F278" s="59">
        <v>2</v>
      </c>
      <c r="G278" s="352" t="s">
        <v>320</v>
      </c>
      <c r="H278" s="61">
        <v>50</v>
      </c>
      <c r="I278" s="101" t="s">
        <v>131</v>
      </c>
    </row>
    <row r="279" spans="1:9" ht="15" customHeight="1" x14ac:dyDescent="0.25">
      <c r="A279" s="101" t="s">
        <v>131</v>
      </c>
      <c r="B279" s="504"/>
      <c r="C279" s="539"/>
      <c r="D279" s="523"/>
      <c r="E279" s="526"/>
      <c r="F279" s="59"/>
      <c r="G279" s="222"/>
      <c r="H279" s="61"/>
      <c r="I279" s="101" t="s">
        <v>131</v>
      </c>
    </row>
    <row r="280" spans="1:9" ht="15" customHeight="1" x14ac:dyDescent="0.25">
      <c r="A280" s="101" t="s">
        <v>131</v>
      </c>
      <c r="B280" s="504"/>
      <c r="C280" s="539"/>
      <c r="D280" s="523"/>
      <c r="E280" s="526"/>
      <c r="F280" s="59"/>
      <c r="G280" s="222"/>
      <c r="H280" s="61"/>
      <c r="I280" s="101" t="s">
        <v>131</v>
      </c>
    </row>
    <row r="281" spans="1:9" ht="15" customHeight="1" x14ac:dyDescent="0.25">
      <c r="A281" s="101" t="s">
        <v>131</v>
      </c>
      <c r="B281" s="504"/>
      <c r="C281" s="539"/>
      <c r="D281" s="523"/>
      <c r="E281" s="526"/>
      <c r="F281" s="59"/>
      <c r="G281" s="222"/>
      <c r="H281" s="61"/>
      <c r="I281" s="101" t="s">
        <v>131</v>
      </c>
    </row>
    <row r="282" spans="1:9" ht="15" customHeight="1" x14ac:dyDescent="0.25">
      <c r="A282" s="101" t="s">
        <v>131</v>
      </c>
      <c r="B282" s="504"/>
      <c r="C282" s="539"/>
      <c r="D282" s="523"/>
      <c r="E282" s="526"/>
      <c r="F282" s="59"/>
      <c r="G282" s="60"/>
      <c r="H282" s="61"/>
      <c r="I282" s="101" t="s">
        <v>131</v>
      </c>
    </row>
    <row r="283" spans="1:9" ht="15" customHeight="1" thickBot="1" x14ac:dyDescent="0.3">
      <c r="A283" s="101" t="s">
        <v>131</v>
      </c>
      <c r="B283" s="504"/>
      <c r="C283" s="539"/>
      <c r="D283" s="523"/>
      <c r="E283" s="526"/>
      <c r="F283" s="59"/>
      <c r="G283" s="60"/>
      <c r="H283" s="61"/>
      <c r="I283" s="101" t="s">
        <v>131</v>
      </c>
    </row>
    <row r="284" spans="1:9" ht="15" customHeight="1" x14ac:dyDescent="0.25">
      <c r="A284" s="101" t="s">
        <v>131</v>
      </c>
      <c r="B284" s="528" t="s">
        <v>128</v>
      </c>
      <c r="C284" s="355" t="s">
        <v>321</v>
      </c>
      <c r="D284" s="523"/>
      <c r="E284" s="526"/>
      <c r="F284" s="59"/>
      <c r="G284" s="60"/>
      <c r="H284" s="61"/>
      <c r="I284" s="101" t="s">
        <v>131</v>
      </c>
    </row>
    <row r="285" spans="1:9" ht="15" customHeight="1" thickBot="1" x14ac:dyDescent="0.3">
      <c r="A285" s="101" t="s">
        <v>131</v>
      </c>
      <c r="B285" s="529"/>
      <c r="C285" s="356"/>
      <c r="D285" s="524"/>
      <c r="E285" s="527"/>
      <c r="F285" s="62"/>
      <c r="G285" s="63"/>
      <c r="H285" s="165"/>
      <c r="I285" s="101" t="s">
        <v>131</v>
      </c>
    </row>
    <row r="286" spans="1:9" ht="15" hidden="1" customHeight="1" thickBot="1" x14ac:dyDescent="0.3">
      <c r="A286" s="101" t="s">
        <v>131</v>
      </c>
      <c r="B286" s="518">
        <v>6</v>
      </c>
      <c r="C286" s="519"/>
      <c r="D286" s="170" t="s">
        <v>125</v>
      </c>
      <c r="E286" s="171"/>
      <c r="F286" s="93"/>
      <c r="G286" s="57"/>
      <c r="H286" s="58"/>
      <c r="I286" s="101" t="s">
        <v>131</v>
      </c>
    </row>
    <row r="287" spans="1:9" ht="15" hidden="1" customHeight="1" x14ac:dyDescent="0.25">
      <c r="A287" s="101" t="s">
        <v>131</v>
      </c>
      <c r="B287" s="504"/>
      <c r="C287" s="520"/>
      <c r="D287" s="522"/>
      <c r="E287" s="525">
        <f>IF(D287=0,0,VLOOKUP($D287,$F286:$H295,3,FALSE)*$E286)</f>
        <v>0</v>
      </c>
      <c r="F287" s="256"/>
      <c r="G287" s="257"/>
      <c r="H287" s="258"/>
      <c r="I287" s="101" t="s">
        <v>131</v>
      </c>
    </row>
    <row r="288" spans="1:9" ht="15" hidden="1" customHeight="1" x14ac:dyDescent="0.25">
      <c r="A288" s="101" t="s">
        <v>131</v>
      </c>
      <c r="B288" s="504"/>
      <c r="C288" s="520"/>
      <c r="D288" s="523"/>
      <c r="E288" s="526"/>
      <c r="F288" s="59"/>
      <c r="G288" s="60"/>
      <c r="H288" s="61"/>
      <c r="I288" s="101" t="s">
        <v>131</v>
      </c>
    </row>
    <row r="289" spans="1:9" ht="15" hidden="1" customHeight="1" x14ac:dyDescent="0.25">
      <c r="A289" s="101" t="s">
        <v>131</v>
      </c>
      <c r="B289" s="504"/>
      <c r="C289" s="520"/>
      <c r="D289" s="523"/>
      <c r="E289" s="526"/>
      <c r="F289" s="59"/>
      <c r="G289" s="60"/>
      <c r="H289" s="61"/>
      <c r="I289" s="101" t="s">
        <v>131</v>
      </c>
    </row>
    <row r="290" spans="1:9" ht="15" hidden="1" customHeight="1" x14ac:dyDescent="0.25">
      <c r="A290" s="101" t="s">
        <v>131</v>
      </c>
      <c r="B290" s="504"/>
      <c r="C290" s="520"/>
      <c r="D290" s="523"/>
      <c r="E290" s="526"/>
      <c r="F290" s="59"/>
      <c r="G290" s="60"/>
      <c r="H290" s="61"/>
      <c r="I290" s="101" t="s">
        <v>131</v>
      </c>
    </row>
    <row r="291" spans="1:9" ht="15" hidden="1" customHeight="1" x14ac:dyDescent="0.25">
      <c r="A291" s="101" t="s">
        <v>131</v>
      </c>
      <c r="B291" s="504"/>
      <c r="C291" s="520"/>
      <c r="D291" s="523"/>
      <c r="E291" s="526"/>
      <c r="F291" s="59"/>
      <c r="G291" s="60"/>
      <c r="H291" s="61"/>
      <c r="I291" s="101" t="s">
        <v>131</v>
      </c>
    </row>
    <row r="292" spans="1:9" ht="15" hidden="1" customHeight="1" x14ac:dyDescent="0.25">
      <c r="A292" s="101" t="s">
        <v>131</v>
      </c>
      <c r="B292" s="504"/>
      <c r="C292" s="520"/>
      <c r="D292" s="523"/>
      <c r="E292" s="526"/>
      <c r="F292" s="59"/>
      <c r="G292" s="60"/>
      <c r="H292" s="61"/>
      <c r="I292" s="101" t="s">
        <v>131</v>
      </c>
    </row>
    <row r="293" spans="1:9" ht="15" hidden="1" customHeight="1" thickBot="1" x14ac:dyDescent="0.3">
      <c r="A293" s="101" t="s">
        <v>131</v>
      </c>
      <c r="B293" s="505"/>
      <c r="C293" s="521"/>
      <c r="D293" s="523"/>
      <c r="E293" s="526"/>
      <c r="F293" s="59"/>
      <c r="G293" s="60"/>
      <c r="H293" s="61"/>
      <c r="I293" s="101" t="s">
        <v>131</v>
      </c>
    </row>
    <row r="294" spans="1:9" ht="15" hidden="1" customHeight="1" x14ac:dyDescent="0.25">
      <c r="A294" s="101" t="s">
        <v>131</v>
      </c>
      <c r="B294" s="528" t="s">
        <v>128</v>
      </c>
      <c r="C294" s="530"/>
      <c r="D294" s="523"/>
      <c r="E294" s="526"/>
      <c r="F294" s="59"/>
      <c r="G294" s="60"/>
      <c r="H294" s="61"/>
      <c r="I294" s="101" t="s">
        <v>131</v>
      </c>
    </row>
    <row r="295" spans="1:9" ht="15" hidden="1" customHeight="1" thickBot="1" x14ac:dyDescent="0.3">
      <c r="A295" s="101" t="s">
        <v>131</v>
      </c>
      <c r="B295" s="529"/>
      <c r="C295" s="531"/>
      <c r="D295" s="524"/>
      <c r="E295" s="527"/>
      <c r="F295" s="62"/>
      <c r="G295" s="63"/>
      <c r="H295" s="165"/>
      <c r="I295" s="101" t="s">
        <v>131</v>
      </c>
    </row>
    <row r="296" spans="1:9" ht="15" hidden="1" customHeight="1" thickBot="1" x14ac:dyDescent="0.3">
      <c r="A296" s="101" t="s">
        <v>131</v>
      </c>
      <c r="B296" s="518"/>
      <c r="C296" s="506"/>
      <c r="D296" s="170" t="s">
        <v>125</v>
      </c>
      <c r="E296" s="107"/>
      <c r="F296" s="93"/>
      <c r="G296" s="57"/>
      <c r="H296" s="58"/>
      <c r="I296" s="101" t="s">
        <v>131</v>
      </c>
    </row>
    <row r="297" spans="1:9" ht="15" hidden="1" customHeight="1" x14ac:dyDescent="0.25">
      <c r="A297" s="101" t="s">
        <v>131</v>
      </c>
      <c r="B297" s="504"/>
      <c r="C297" s="507"/>
      <c r="D297" s="509"/>
      <c r="E297" s="512"/>
      <c r="F297" s="256"/>
      <c r="G297" s="257"/>
      <c r="H297" s="258"/>
      <c r="I297" s="101" t="s">
        <v>131</v>
      </c>
    </row>
    <row r="298" spans="1:9" ht="15" hidden="1" customHeight="1" x14ac:dyDescent="0.25">
      <c r="A298" s="101" t="s">
        <v>131</v>
      </c>
      <c r="B298" s="504"/>
      <c r="C298" s="507"/>
      <c r="D298" s="510"/>
      <c r="E298" s="513"/>
      <c r="F298" s="59"/>
      <c r="G298" s="60"/>
      <c r="H298" s="61"/>
      <c r="I298" s="101" t="s">
        <v>131</v>
      </c>
    </row>
    <row r="299" spans="1:9" ht="15" hidden="1" customHeight="1" x14ac:dyDescent="0.25">
      <c r="A299" s="101" t="s">
        <v>131</v>
      </c>
      <c r="B299" s="504"/>
      <c r="C299" s="507"/>
      <c r="D299" s="510"/>
      <c r="E299" s="513"/>
      <c r="F299" s="59"/>
      <c r="G299" s="60"/>
      <c r="H299" s="61"/>
      <c r="I299" s="101" t="s">
        <v>131</v>
      </c>
    </row>
    <row r="300" spans="1:9" ht="15" hidden="1" customHeight="1" x14ac:dyDescent="0.25">
      <c r="A300" s="101" t="s">
        <v>131</v>
      </c>
      <c r="B300" s="504"/>
      <c r="C300" s="507"/>
      <c r="D300" s="510"/>
      <c r="E300" s="513"/>
      <c r="F300" s="59"/>
      <c r="G300" s="60"/>
      <c r="H300" s="61"/>
      <c r="I300" s="101" t="s">
        <v>131</v>
      </c>
    </row>
    <row r="301" spans="1:9" ht="15" hidden="1" customHeight="1" x14ac:dyDescent="0.25">
      <c r="A301" s="101" t="s">
        <v>131</v>
      </c>
      <c r="B301" s="504"/>
      <c r="C301" s="507"/>
      <c r="D301" s="510"/>
      <c r="E301" s="513"/>
      <c r="F301" s="59"/>
      <c r="G301" s="94"/>
      <c r="H301" s="124"/>
      <c r="I301" s="101" t="s">
        <v>131</v>
      </c>
    </row>
    <row r="302" spans="1:9" ht="15" hidden="1" customHeight="1" x14ac:dyDescent="0.25">
      <c r="A302" s="101" t="s">
        <v>131</v>
      </c>
      <c r="B302" s="504"/>
      <c r="C302" s="507"/>
      <c r="D302" s="510"/>
      <c r="E302" s="513"/>
      <c r="F302" s="59"/>
      <c r="G302" s="94"/>
      <c r="H302" s="124"/>
      <c r="I302" s="101" t="s">
        <v>131</v>
      </c>
    </row>
    <row r="303" spans="1:9" ht="15" hidden="1" customHeight="1" thickBot="1" x14ac:dyDescent="0.3">
      <c r="A303" s="101" t="s">
        <v>131</v>
      </c>
      <c r="B303" s="505"/>
      <c r="C303" s="508"/>
      <c r="D303" s="510"/>
      <c r="E303" s="513"/>
      <c r="F303" s="59"/>
      <c r="G303" s="94"/>
      <c r="H303" s="124"/>
      <c r="I303" s="101" t="s">
        <v>131</v>
      </c>
    </row>
    <row r="304" spans="1:9" ht="15" hidden="1" customHeight="1" x14ac:dyDescent="0.25">
      <c r="A304" s="101" t="s">
        <v>131</v>
      </c>
      <c r="B304" s="496"/>
      <c r="C304" s="506"/>
      <c r="D304" s="510"/>
      <c r="E304" s="513"/>
      <c r="F304" s="59"/>
      <c r="G304" s="94"/>
      <c r="H304" s="124"/>
      <c r="I304" s="101" t="s">
        <v>131</v>
      </c>
    </row>
    <row r="305" spans="1:9" ht="15" hidden="1" customHeight="1" thickBot="1" x14ac:dyDescent="0.3">
      <c r="A305" s="101" t="s">
        <v>131</v>
      </c>
      <c r="B305" s="497"/>
      <c r="C305" s="508"/>
      <c r="D305" s="511"/>
      <c r="E305" s="514"/>
      <c r="F305" s="62"/>
      <c r="G305" s="92"/>
      <c r="H305" s="91"/>
      <c r="I305" s="101" t="s">
        <v>131</v>
      </c>
    </row>
    <row r="306" spans="1:9" ht="15" hidden="1" customHeight="1" thickBot="1" x14ac:dyDescent="0.3">
      <c r="A306" s="101" t="s">
        <v>131</v>
      </c>
      <c r="B306" s="518"/>
      <c r="C306" s="506"/>
      <c r="D306" s="170" t="s">
        <v>125</v>
      </c>
      <c r="E306" s="107"/>
      <c r="F306" s="93"/>
      <c r="G306" s="57"/>
      <c r="H306" s="58"/>
      <c r="I306" s="101" t="s">
        <v>131</v>
      </c>
    </row>
    <row r="307" spans="1:9" ht="15" hidden="1" customHeight="1" x14ac:dyDescent="0.25">
      <c r="A307" s="101" t="s">
        <v>131</v>
      </c>
      <c r="B307" s="504"/>
      <c r="C307" s="507"/>
      <c r="D307" s="509"/>
      <c r="E307" s="512"/>
      <c r="F307" s="256"/>
      <c r="G307" s="257"/>
      <c r="H307" s="258"/>
      <c r="I307" s="101" t="s">
        <v>131</v>
      </c>
    </row>
    <row r="308" spans="1:9" ht="15" hidden="1" customHeight="1" x14ac:dyDescent="0.25">
      <c r="A308" s="101" t="s">
        <v>131</v>
      </c>
      <c r="B308" s="504"/>
      <c r="C308" s="507"/>
      <c r="D308" s="510"/>
      <c r="E308" s="513"/>
      <c r="F308" s="59"/>
      <c r="G308" s="60"/>
      <c r="H308" s="61"/>
      <c r="I308" s="101" t="s">
        <v>131</v>
      </c>
    </row>
    <row r="309" spans="1:9" ht="15" hidden="1" customHeight="1" x14ac:dyDescent="0.25">
      <c r="A309" s="101" t="s">
        <v>131</v>
      </c>
      <c r="B309" s="504"/>
      <c r="C309" s="507"/>
      <c r="D309" s="510"/>
      <c r="E309" s="513"/>
      <c r="F309" s="59"/>
      <c r="G309" s="60"/>
      <c r="H309" s="61"/>
      <c r="I309" s="101" t="s">
        <v>131</v>
      </c>
    </row>
    <row r="310" spans="1:9" ht="15" hidden="1" customHeight="1" x14ac:dyDescent="0.25">
      <c r="A310" s="101" t="s">
        <v>131</v>
      </c>
      <c r="B310" s="504"/>
      <c r="C310" s="507"/>
      <c r="D310" s="510"/>
      <c r="E310" s="513"/>
      <c r="F310" s="59"/>
      <c r="G310" s="60"/>
      <c r="H310" s="61"/>
      <c r="I310" s="101" t="s">
        <v>131</v>
      </c>
    </row>
    <row r="311" spans="1:9" ht="15" hidden="1" customHeight="1" x14ac:dyDescent="0.25">
      <c r="A311" s="101" t="s">
        <v>131</v>
      </c>
      <c r="B311" s="504"/>
      <c r="C311" s="507"/>
      <c r="D311" s="510"/>
      <c r="E311" s="513"/>
      <c r="F311" s="59"/>
      <c r="G311" s="94"/>
      <c r="H311" s="124"/>
      <c r="I311" s="101" t="s">
        <v>131</v>
      </c>
    </row>
    <row r="312" spans="1:9" ht="15" hidden="1" customHeight="1" x14ac:dyDescent="0.25">
      <c r="A312" s="101" t="s">
        <v>131</v>
      </c>
      <c r="B312" s="504"/>
      <c r="C312" s="507"/>
      <c r="D312" s="510"/>
      <c r="E312" s="513"/>
      <c r="F312" s="59"/>
      <c r="G312" s="94"/>
      <c r="H312" s="124"/>
      <c r="I312" s="101" t="s">
        <v>131</v>
      </c>
    </row>
    <row r="313" spans="1:9" ht="15" hidden="1" customHeight="1" thickBot="1" x14ac:dyDescent="0.3">
      <c r="A313" s="101" t="s">
        <v>131</v>
      </c>
      <c r="B313" s="505"/>
      <c r="C313" s="508"/>
      <c r="D313" s="510"/>
      <c r="E313" s="513"/>
      <c r="F313" s="59"/>
      <c r="G313" s="94"/>
      <c r="H313" s="124"/>
      <c r="I313" s="101" t="s">
        <v>131</v>
      </c>
    </row>
    <row r="314" spans="1:9" ht="15" hidden="1" customHeight="1" x14ac:dyDescent="0.25">
      <c r="A314" s="101" t="s">
        <v>131</v>
      </c>
      <c r="B314" s="496"/>
      <c r="C314" s="506"/>
      <c r="D314" s="510"/>
      <c r="E314" s="513"/>
      <c r="F314" s="59"/>
      <c r="G314" s="94"/>
      <c r="H314" s="124"/>
      <c r="I314" s="101" t="s">
        <v>131</v>
      </c>
    </row>
    <row r="315" spans="1:9" ht="15" hidden="1" customHeight="1" thickBot="1" x14ac:dyDescent="0.3">
      <c r="A315" s="101" t="s">
        <v>131</v>
      </c>
      <c r="B315" s="497"/>
      <c r="C315" s="508"/>
      <c r="D315" s="511"/>
      <c r="E315" s="514"/>
      <c r="F315" s="62"/>
      <c r="G315" s="92"/>
      <c r="H315" s="91"/>
      <c r="I315" s="101" t="s">
        <v>131</v>
      </c>
    </row>
    <row r="316" spans="1:9" ht="15" hidden="1" customHeight="1" thickBot="1" x14ac:dyDescent="0.3">
      <c r="A316" s="101" t="s">
        <v>131</v>
      </c>
      <c r="B316" s="55"/>
      <c r="C316" s="55"/>
      <c r="D316" s="498"/>
      <c r="E316" s="499"/>
      <c r="F316" s="500"/>
      <c r="G316" s="501"/>
      <c r="H316" s="502"/>
      <c r="I316" s="101" t="s">
        <v>131</v>
      </c>
    </row>
    <row r="317" spans="1:9" ht="15" hidden="1" customHeight="1" thickBot="1" x14ac:dyDescent="0.3">
      <c r="A317" s="101" t="s">
        <v>131</v>
      </c>
      <c r="B317" s="518"/>
      <c r="C317" s="506"/>
      <c r="D317" s="141"/>
      <c r="E317" s="107"/>
      <c r="F317" s="64"/>
      <c r="G317" s="128"/>
      <c r="H317" s="119"/>
      <c r="I317" s="101" t="s">
        <v>131</v>
      </c>
    </row>
    <row r="318" spans="1:9" ht="15" hidden="1" customHeight="1" x14ac:dyDescent="0.25">
      <c r="A318" s="101" t="s">
        <v>131</v>
      </c>
      <c r="B318" s="504"/>
      <c r="C318" s="507"/>
      <c r="D318" s="509"/>
      <c r="E318" s="512"/>
      <c r="F318" s="59"/>
      <c r="G318" s="94"/>
      <c r="H318" s="124"/>
      <c r="I318" s="101" t="s">
        <v>131</v>
      </c>
    </row>
    <row r="319" spans="1:9" ht="15" hidden="1" customHeight="1" x14ac:dyDescent="0.25">
      <c r="A319" s="101" t="s">
        <v>131</v>
      </c>
      <c r="B319" s="504"/>
      <c r="C319" s="507"/>
      <c r="D319" s="510"/>
      <c r="E319" s="513"/>
      <c r="F319" s="59"/>
      <c r="G319" s="94"/>
      <c r="H319" s="124"/>
      <c r="I319" s="101" t="s">
        <v>131</v>
      </c>
    </row>
    <row r="320" spans="1:9" ht="15" hidden="1" customHeight="1" x14ac:dyDescent="0.25">
      <c r="A320" s="101" t="s">
        <v>131</v>
      </c>
      <c r="B320" s="504"/>
      <c r="C320" s="507"/>
      <c r="D320" s="510"/>
      <c r="E320" s="513"/>
      <c r="F320" s="59"/>
      <c r="G320" s="94"/>
      <c r="H320" s="124"/>
      <c r="I320" s="101" t="s">
        <v>131</v>
      </c>
    </row>
    <row r="321" spans="1:9" ht="15" hidden="1" customHeight="1" x14ac:dyDescent="0.25">
      <c r="A321" s="101" t="s">
        <v>131</v>
      </c>
      <c r="B321" s="504"/>
      <c r="C321" s="507"/>
      <c r="D321" s="510"/>
      <c r="E321" s="513"/>
      <c r="F321" s="59"/>
      <c r="G321" s="94"/>
      <c r="H321" s="124"/>
      <c r="I321" s="101" t="s">
        <v>131</v>
      </c>
    </row>
    <row r="322" spans="1:9" ht="15" hidden="1" customHeight="1" x14ac:dyDescent="0.25">
      <c r="A322" s="101" t="s">
        <v>131</v>
      </c>
      <c r="B322" s="504"/>
      <c r="C322" s="507"/>
      <c r="D322" s="510"/>
      <c r="E322" s="513"/>
      <c r="F322" s="59"/>
      <c r="G322" s="94"/>
      <c r="H322" s="124"/>
      <c r="I322" s="101" t="s">
        <v>131</v>
      </c>
    </row>
    <row r="323" spans="1:9" ht="15" hidden="1" customHeight="1" x14ac:dyDescent="0.25">
      <c r="A323" s="101" t="s">
        <v>131</v>
      </c>
      <c r="B323" s="504"/>
      <c r="C323" s="507"/>
      <c r="D323" s="510"/>
      <c r="E323" s="513"/>
      <c r="F323" s="59"/>
      <c r="G323" s="94"/>
      <c r="H323" s="124"/>
      <c r="I323" s="101" t="s">
        <v>131</v>
      </c>
    </row>
    <row r="324" spans="1:9" ht="15" hidden="1" customHeight="1" thickBot="1" x14ac:dyDescent="0.3">
      <c r="A324" s="101" t="s">
        <v>131</v>
      </c>
      <c r="B324" s="505"/>
      <c r="C324" s="508"/>
      <c r="D324" s="510"/>
      <c r="E324" s="513"/>
      <c r="F324" s="59"/>
      <c r="G324" s="94"/>
      <c r="H324" s="124"/>
      <c r="I324" s="101" t="s">
        <v>131</v>
      </c>
    </row>
    <row r="325" spans="1:9" ht="15" hidden="1" customHeight="1" x14ac:dyDescent="0.25">
      <c r="A325" s="101" t="s">
        <v>131</v>
      </c>
      <c r="B325" s="496"/>
      <c r="C325" s="506"/>
      <c r="D325" s="510"/>
      <c r="E325" s="513"/>
      <c r="F325" s="59"/>
      <c r="G325" s="94"/>
      <c r="H325" s="124"/>
      <c r="I325" s="101" t="s">
        <v>131</v>
      </c>
    </row>
    <row r="326" spans="1:9" ht="15" hidden="1" customHeight="1" thickBot="1" x14ac:dyDescent="0.3">
      <c r="A326" s="101" t="s">
        <v>131</v>
      </c>
      <c r="B326" s="497"/>
      <c r="C326" s="508"/>
      <c r="D326" s="511"/>
      <c r="E326" s="514"/>
      <c r="F326" s="62"/>
      <c r="G326" s="92"/>
      <c r="H326" s="91"/>
      <c r="I326" s="101" t="s">
        <v>131</v>
      </c>
    </row>
    <row r="327" spans="1:9" ht="15" hidden="1" customHeight="1" thickBot="1" x14ac:dyDescent="0.3">
      <c r="A327" s="101" t="s">
        <v>131</v>
      </c>
      <c r="B327" s="55"/>
      <c r="C327" s="55"/>
      <c r="D327" s="498"/>
      <c r="E327" s="499"/>
      <c r="F327" s="500"/>
      <c r="G327" s="501"/>
      <c r="H327" s="502"/>
      <c r="I327" s="101" t="s">
        <v>131</v>
      </c>
    </row>
    <row r="328" spans="1:9" ht="15" hidden="1" customHeight="1" thickBot="1" x14ac:dyDescent="0.3">
      <c r="A328" s="101" t="s">
        <v>131</v>
      </c>
      <c r="B328" s="503"/>
      <c r="C328" s="506"/>
      <c r="D328" s="141"/>
      <c r="E328" s="107"/>
      <c r="F328" s="64"/>
      <c r="G328" s="134"/>
      <c r="H328" s="135"/>
      <c r="I328" s="101" t="s">
        <v>131</v>
      </c>
    </row>
    <row r="329" spans="1:9" ht="15" hidden="1" customHeight="1" x14ac:dyDescent="0.25">
      <c r="A329" s="101" t="s">
        <v>131</v>
      </c>
      <c r="B329" s="504"/>
      <c r="C329" s="507"/>
      <c r="D329" s="509"/>
      <c r="E329" s="512"/>
      <c r="F329" s="59"/>
      <c r="G329" s="94"/>
      <c r="H329" s="124"/>
      <c r="I329" s="101" t="s">
        <v>131</v>
      </c>
    </row>
    <row r="330" spans="1:9" ht="15" hidden="1" customHeight="1" x14ac:dyDescent="0.25">
      <c r="A330" s="101" t="s">
        <v>131</v>
      </c>
      <c r="B330" s="504"/>
      <c r="C330" s="507"/>
      <c r="D330" s="510"/>
      <c r="E330" s="513"/>
      <c r="F330" s="59"/>
      <c r="G330" s="94"/>
      <c r="H330" s="124"/>
      <c r="I330" s="101" t="s">
        <v>131</v>
      </c>
    </row>
    <row r="331" spans="1:9" ht="15" hidden="1" customHeight="1" x14ac:dyDescent="0.25">
      <c r="A331" s="101" t="s">
        <v>131</v>
      </c>
      <c r="B331" s="504"/>
      <c r="C331" s="507"/>
      <c r="D331" s="510"/>
      <c r="E331" s="513"/>
      <c r="F331" s="59"/>
      <c r="G331" s="94"/>
      <c r="H331" s="124"/>
      <c r="I331" s="101" t="s">
        <v>131</v>
      </c>
    </row>
    <row r="332" spans="1:9" ht="15" hidden="1" customHeight="1" x14ac:dyDescent="0.25">
      <c r="A332" s="101" t="s">
        <v>131</v>
      </c>
      <c r="B332" s="504"/>
      <c r="C332" s="507"/>
      <c r="D332" s="510"/>
      <c r="E332" s="513"/>
      <c r="F332" s="59"/>
      <c r="G332" s="94"/>
      <c r="H332" s="124"/>
      <c r="I332" s="101" t="s">
        <v>131</v>
      </c>
    </row>
    <row r="333" spans="1:9" ht="15" hidden="1" customHeight="1" x14ac:dyDescent="0.25">
      <c r="A333" s="101" t="s">
        <v>131</v>
      </c>
      <c r="B333" s="504"/>
      <c r="C333" s="507"/>
      <c r="D333" s="510"/>
      <c r="E333" s="513"/>
      <c r="F333" s="59"/>
      <c r="G333" s="94"/>
      <c r="H333" s="124"/>
      <c r="I333" s="101" t="s">
        <v>131</v>
      </c>
    </row>
    <row r="334" spans="1:9" ht="15" hidden="1" customHeight="1" x14ac:dyDescent="0.25">
      <c r="A334" s="101" t="s">
        <v>131</v>
      </c>
      <c r="B334" s="504"/>
      <c r="C334" s="507"/>
      <c r="D334" s="510"/>
      <c r="E334" s="513"/>
      <c r="F334" s="59"/>
      <c r="G334" s="94"/>
      <c r="H334" s="124"/>
      <c r="I334" s="101" t="s">
        <v>131</v>
      </c>
    </row>
    <row r="335" spans="1:9" ht="15" hidden="1" customHeight="1" thickBot="1" x14ac:dyDescent="0.3">
      <c r="A335" s="101" t="s">
        <v>131</v>
      </c>
      <c r="B335" s="505"/>
      <c r="C335" s="508"/>
      <c r="D335" s="510"/>
      <c r="E335" s="513"/>
      <c r="F335" s="59"/>
      <c r="G335" s="94"/>
      <c r="H335" s="124"/>
      <c r="I335" s="101" t="s">
        <v>131</v>
      </c>
    </row>
    <row r="336" spans="1:9" ht="15" hidden="1" customHeight="1" x14ac:dyDescent="0.25">
      <c r="A336" s="101" t="s">
        <v>131</v>
      </c>
      <c r="B336" s="496"/>
      <c r="C336" s="506"/>
      <c r="D336" s="510"/>
      <c r="E336" s="513"/>
      <c r="F336" s="59"/>
      <c r="G336" s="94"/>
      <c r="H336" s="124"/>
      <c r="I336" s="101" t="s">
        <v>131</v>
      </c>
    </row>
    <row r="337" spans="1:15" ht="15" hidden="1" customHeight="1" thickBot="1" x14ac:dyDescent="0.3">
      <c r="A337" s="101" t="s">
        <v>131</v>
      </c>
      <c r="B337" s="497"/>
      <c r="C337" s="508"/>
      <c r="D337" s="511"/>
      <c r="E337" s="514"/>
      <c r="F337" s="62"/>
      <c r="G337" s="92"/>
      <c r="H337" s="91"/>
      <c r="I337" s="101" t="s">
        <v>131</v>
      </c>
    </row>
    <row r="338" spans="1:15" ht="15" customHeight="1" x14ac:dyDescent="0.25">
      <c r="A338" s="101" t="s">
        <v>131</v>
      </c>
      <c r="B338" s="101" t="s">
        <v>131</v>
      </c>
      <c r="C338" s="265" t="s">
        <v>131</v>
      </c>
      <c r="D338" s="111" t="s">
        <v>131</v>
      </c>
      <c r="E338" s="111" t="s">
        <v>131</v>
      </c>
      <c r="F338" s="101" t="s">
        <v>131</v>
      </c>
      <c r="G338" s="101" t="s">
        <v>131</v>
      </c>
      <c r="H338" s="101" t="s">
        <v>131</v>
      </c>
      <c r="I338" s="101" t="s">
        <v>131</v>
      </c>
    </row>
    <row r="339" spans="1:15" ht="39.75" customHeight="1" thickBot="1" x14ac:dyDescent="0.3"/>
    <row r="340" spans="1:15" x14ac:dyDescent="0.25">
      <c r="B340" s="116" t="s">
        <v>121</v>
      </c>
      <c r="C340" s="95"/>
      <c r="D340" s="104"/>
      <c r="E340" s="104"/>
      <c r="F340" s="95"/>
      <c r="G340" s="560" t="s">
        <v>17</v>
      </c>
      <c r="H340" s="560"/>
      <c r="I340" s="561"/>
      <c r="O340" s="144">
        <v>2</v>
      </c>
    </row>
    <row r="341" spans="1:15" ht="15.75" thickBot="1" x14ac:dyDescent="0.3">
      <c r="B341" s="117" t="s">
        <v>238</v>
      </c>
      <c r="C341" s="96"/>
      <c r="D341" s="105"/>
      <c r="E341" s="105"/>
      <c r="F341" s="96"/>
      <c r="G341" s="562">
        <v>0.25</v>
      </c>
      <c r="H341" s="563"/>
      <c r="I341" s="564"/>
    </row>
    <row r="342" spans="1:15" ht="15.75" thickBot="1" x14ac:dyDescent="0.3">
      <c r="A342" s="98" t="s">
        <v>131</v>
      </c>
      <c r="B342" s="97"/>
      <c r="C342" s="97"/>
      <c r="D342" s="106"/>
      <c r="E342" s="106"/>
      <c r="F342" s="97"/>
      <c r="G342" s="97"/>
      <c r="H342" s="97"/>
      <c r="I342" s="98" t="s">
        <v>131</v>
      </c>
    </row>
    <row r="343" spans="1:15" ht="15.75" thickBot="1" x14ac:dyDescent="0.3">
      <c r="A343" s="98" t="s">
        <v>131</v>
      </c>
      <c r="B343" s="55" t="s">
        <v>119</v>
      </c>
      <c r="C343" s="55" t="s">
        <v>118</v>
      </c>
      <c r="D343" s="498" t="s">
        <v>124</v>
      </c>
      <c r="E343" s="499"/>
      <c r="F343" s="500" t="s">
        <v>127</v>
      </c>
      <c r="G343" s="501"/>
      <c r="H343" s="502"/>
      <c r="I343" s="98" t="s">
        <v>131</v>
      </c>
      <c r="K343" s="120" t="s">
        <v>118</v>
      </c>
      <c r="L343" s="121" t="s">
        <v>124</v>
      </c>
      <c r="M343" s="122" t="s">
        <v>128</v>
      </c>
    </row>
    <row r="344" spans="1:15" ht="15.75" customHeight="1" thickBot="1" x14ac:dyDescent="0.3">
      <c r="A344" s="98" t="s">
        <v>131</v>
      </c>
      <c r="B344" s="518">
        <v>1</v>
      </c>
      <c r="C344" s="506" t="s">
        <v>240</v>
      </c>
      <c r="D344" s="170" t="s">
        <v>125</v>
      </c>
      <c r="E344" s="171">
        <v>1</v>
      </c>
      <c r="F344" s="93">
        <v>1</v>
      </c>
      <c r="G344" s="57" t="s">
        <v>248</v>
      </c>
      <c r="H344" s="58">
        <v>115</v>
      </c>
      <c r="I344" s="98" t="s">
        <v>131</v>
      </c>
      <c r="K344" s="70">
        <v>1</v>
      </c>
      <c r="L344" s="125">
        <f>E345</f>
        <v>112</v>
      </c>
      <c r="M344" s="547">
        <f>SUM(L344:L348)</f>
        <v>112</v>
      </c>
    </row>
    <row r="345" spans="1:15" x14ac:dyDescent="0.25">
      <c r="A345" s="98" t="s">
        <v>131</v>
      </c>
      <c r="B345" s="504"/>
      <c r="C345" s="507"/>
      <c r="D345" s="522">
        <v>2</v>
      </c>
      <c r="E345" s="525">
        <f>IF(D345=0,0,VLOOKUP($D345,$F344:$H353,3,FALSE)*$E344)</f>
        <v>112</v>
      </c>
      <c r="F345" s="59">
        <v>2</v>
      </c>
      <c r="G345" s="60" t="s">
        <v>242</v>
      </c>
      <c r="H345" s="61">
        <v>112</v>
      </c>
      <c r="I345" s="98" t="s">
        <v>131</v>
      </c>
      <c r="K345" s="71">
        <v>2</v>
      </c>
      <c r="L345" s="126">
        <f>E355</f>
        <v>0</v>
      </c>
      <c r="M345" s="547"/>
    </row>
    <row r="346" spans="1:15" x14ac:dyDescent="0.25">
      <c r="A346" s="98" t="s">
        <v>131</v>
      </c>
      <c r="B346" s="504"/>
      <c r="C346" s="507"/>
      <c r="D346" s="523"/>
      <c r="E346" s="526"/>
      <c r="F346" s="59">
        <v>3</v>
      </c>
      <c r="G346" s="60" t="s">
        <v>243</v>
      </c>
      <c r="H346" s="61">
        <v>110</v>
      </c>
      <c r="I346" s="98" t="s">
        <v>131</v>
      </c>
      <c r="K346" s="71">
        <v>3</v>
      </c>
      <c r="L346" s="126">
        <f>E365</f>
        <v>0</v>
      </c>
      <c r="M346" s="547"/>
    </row>
    <row r="347" spans="1:15" x14ac:dyDescent="0.25">
      <c r="A347" s="98" t="s">
        <v>131</v>
      </c>
      <c r="B347" s="504"/>
      <c r="C347" s="507"/>
      <c r="D347" s="523"/>
      <c r="E347" s="526"/>
      <c r="F347" s="59">
        <v>4</v>
      </c>
      <c r="G347" s="60" t="s">
        <v>244</v>
      </c>
      <c r="H347" s="61">
        <v>108</v>
      </c>
      <c r="I347" s="98" t="s">
        <v>131</v>
      </c>
      <c r="K347" s="71">
        <v>4</v>
      </c>
      <c r="L347" s="126">
        <f>E375</f>
        <v>0</v>
      </c>
      <c r="M347" s="547"/>
    </row>
    <row r="348" spans="1:15" ht="15.75" thickBot="1" x14ac:dyDescent="0.3">
      <c r="A348" s="98" t="s">
        <v>131</v>
      </c>
      <c r="B348" s="504"/>
      <c r="C348" s="507"/>
      <c r="D348" s="523"/>
      <c r="E348" s="526"/>
      <c r="F348" s="59">
        <v>5</v>
      </c>
      <c r="G348" s="60" t="s">
        <v>245</v>
      </c>
      <c r="H348" s="61">
        <v>106</v>
      </c>
      <c r="I348" s="98" t="s">
        <v>131</v>
      </c>
      <c r="K348" s="72">
        <v>5</v>
      </c>
      <c r="L348" s="127">
        <f>E385</f>
        <v>0</v>
      </c>
      <c r="M348" s="548"/>
    </row>
    <row r="349" spans="1:15" ht="15.75" thickBot="1" x14ac:dyDescent="0.3">
      <c r="A349" s="98" t="s">
        <v>131</v>
      </c>
      <c r="B349" s="504"/>
      <c r="C349" s="507"/>
      <c r="D349" s="523"/>
      <c r="E349" s="526"/>
      <c r="F349" s="159">
        <v>6</v>
      </c>
      <c r="G349" s="222" t="s">
        <v>246</v>
      </c>
      <c r="H349" s="221">
        <v>104</v>
      </c>
      <c r="I349" s="98" t="s">
        <v>131</v>
      </c>
    </row>
    <row r="350" spans="1:15" ht="15.75" thickBot="1" x14ac:dyDescent="0.3">
      <c r="A350" s="98" t="s">
        <v>131</v>
      </c>
      <c r="B350" s="504"/>
      <c r="C350" s="507"/>
      <c r="D350" s="523"/>
      <c r="E350" s="526"/>
      <c r="F350" s="159">
        <v>7</v>
      </c>
      <c r="G350" s="222" t="s">
        <v>247</v>
      </c>
      <c r="H350" s="221">
        <v>102</v>
      </c>
      <c r="I350" s="98" t="s">
        <v>131</v>
      </c>
      <c r="K350" s="549" t="s">
        <v>62</v>
      </c>
      <c r="L350" s="550"/>
      <c r="M350" s="551"/>
    </row>
    <row r="351" spans="1:15" ht="15.75" thickBot="1" x14ac:dyDescent="0.3">
      <c r="A351" s="98" t="s">
        <v>131</v>
      </c>
      <c r="B351" s="505"/>
      <c r="C351" s="508"/>
      <c r="D351" s="523"/>
      <c r="E351" s="526"/>
      <c r="F351" s="159">
        <v>8</v>
      </c>
      <c r="G351" s="222" t="s">
        <v>241</v>
      </c>
      <c r="H351" s="221">
        <v>100</v>
      </c>
      <c r="I351" s="98" t="s">
        <v>131</v>
      </c>
      <c r="K351" s="129" t="s">
        <v>36</v>
      </c>
      <c r="L351" s="130" t="s">
        <v>124</v>
      </c>
      <c r="M351" s="131" t="s">
        <v>128</v>
      </c>
    </row>
    <row r="352" spans="1:15" x14ac:dyDescent="0.25">
      <c r="A352" s="98" t="s">
        <v>131</v>
      </c>
      <c r="B352" s="528" t="s">
        <v>128</v>
      </c>
      <c r="C352" s="317" t="s">
        <v>242</v>
      </c>
      <c r="D352" s="523"/>
      <c r="E352" s="526"/>
      <c r="F352" s="159">
        <v>9</v>
      </c>
      <c r="G352" s="222" t="s">
        <v>239</v>
      </c>
      <c r="H352" s="221">
        <v>50</v>
      </c>
      <c r="I352" s="98" t="s">
        <v>131</v>
      </c>
      <c r="K352" s="70">
        <v>1</v>
      </c>
      <c r="L352" s="125">
        <f>E399</f>
        <v>28.75</v>
      </c>
      <c r="M352" s="552">
        <f>SUM(L352:L361)</f>
        <v>107.5</v>
      </c>
    </row>
    <row r="353" spans="1:13" ht="15.75" thickBot="1" x14ac:dyDescent="0.3">
      <c r="A353" s="98" t="s">
        <v>131</v>
      </c>
      <c r="B353" s="529"/>
      <c r="C353" s="318"/>
      <c r="D353" s="524"/>
      <c r="E353" s="527"/>
      <c r="F353" s="62"/>
      <c r="G353" s="63"/>
      <c r="H353" s="165"/>
      <c r="I353" s="98" t="s">
        <v>131</v>
      </c>
      <c r="K353" s="71">
        <v>2</v>
      </c>
      <c r="L353" s="126">
        <f>E408</f>
        <v>22.5</v>
      </c>
      <c r="M353" s="547"/>
    </row>
    <row r="354" spans="1:13" ht="15.75" hidden="1" customHeight="1" thickBot="1" x14ac:dyDescent="0.3">
      <c r="A354" s="98" t="s">
        <v>131</v>
      </c>
      <c r="B354" s="518"/>
      <c r="C354" s="506"/>
      <c r="D354" s="114" t="s">
        <v>125</v>
      </c>
      <c r="E354" s="107"/>
      <c r="F354" s="93"/>
      <c r="G354" s="128"/>
      <c r="H354" s="119"/>
      <c r="I354" s="98" t="s">
        <v>131</v>
      </c>
      <c r="K354" s="71">
        <v>3</v>
      </c>
      <c r="L354" s="126">
        <f>E417</f>
        <v>17.25</v>
      </c>
      <c r="M354" s="547"/>
    </row>
    <row r="355" spans="1:13" ht="15" hidden="1" customHeight="1" x14ac:dyDescent="0.25">
      <c r="A355" s="98" t="s">
        <v>131</v>
      </c>
      <c r="B355" s="504"/>
      <c r="C355" s="507"/>
      <c r="D355" s="509"/>
      <c r="E355" s="512">
        <f>IF(D355=0,0,VLOOKUP($D355,$F354:$H363,3,FALSE)*$E354)</f>
        <v>0</v>
      </c>
      <c r="F355" s="59"/>
      <c r="G355" s="94"/>
      <c r="H355" s="124"/>
      <c r="I355" s="98" t="s">
        <v>131</v>
      </c>
      <c r="K355" s="71">
        <v>4</v>
      </c>
      <c r="L355" s="126">
        <f>E427</f>
        <v>11.5</v>
      </c>
      <c r="M355" s="547"/>
    </row>
    <row r="356" spans="1:13" ht="15" hidden="1" customHeight="1" x14ac:dyDescent="0.25">
      <c r="A356" s="98" t="s">
        <v>131</v>
      </c>
      <c r="B356" s="504"/>
      <c r="C356" s="507"/>
      <c r="D356" s="510"/>
      <c r="E356" s="513"/>
      <c r="F356" s="59"/>
      <c r="G356" s="94"/>
      <c r="H356" s="124"/>
      <c r="I356" s="98" t="s">
        <v>131</v>
      </c>
      <c r="K356" s="71">
        <v>5</v>
      </c>
      <c r="L356" s="126">
        <f>E437</f>
        <v>27.5</v>
      </c>
      <c r="M356" s="547"/>
    </row>
    <row r="357" spans="1:13" ht="15" hidden="1" customHeight="1" x14ac:dyDescent="0.25">
      <c r="A357" s="98" t="s">
        <v>131</v>
      </c>
      <c r="B357" s="504"/>
      <c r="C357" s="507"/>
      <c r="D357" s="510"/>
      <c r="E357" s="513"/>
      <c r="F357" s="59"/>
      <c r="G357" s="94"/>
      <c r="H357" s="124"/>
      <c r="I357" s="98" t="s">
        <v>131</v>
      </c>
      <c r="K357" s="70">
        <v>6</v>
      </c>
      <c r="L357" s="126">
        <f>E447</f>
        <v>0</v>
      </c>
      <c r="M357" s="547"/>
    </row>
    <row r="358" spans="1:13" ht="15" hidden="1" customHeight="1" x14ac:dyDescent="0.25">
      <c r="A358" s="98" t="s">
        <v>131</v>
      </c>
      <c r="B358" s="504"/>
      <c r="C358" s="507"/>
      <c r="D358" s="510"/>
      <c r="E358" s="513"/>
      <c r="F358" s="59"/>
      <c r="G358" s="94"/>
      <c r="H358" s="124"/>
      <c r="I358" s="98" t="s">
        <v>131</v>
      </c>
      <c r="K358" s="71">
        <v>7</v>
      </c>
      <c r="L358" s="126">
        <f>E457</f>
        <v>0</v>
      </c>
      <c r="M358" s="547"/>
    </row>
    <row r="359" spans="1:13" ht="15" hidden="1" customHeight="1" x14ac:dyDescent="0.25">
      <c r="A359" s="98" t="s">
        <v>131</v>
      </c>
      <c r="B359" s="504"/>
      <c r="C359" s="507"/>
      <c r="D359" s="510"/>
      <c r="E359" s="513"/>
      <c r="F359" s="59"/>
      <c r="G359" s="94"/>
      <c r="H359" s="124"/>
      <c r="I359" s="98" t="s">
        <v>131</v>
      </c>
      <c r="K359" s="71">
        <v>8</v>
      </c>
      <c r="L359" s="126">
        <f>E467</f>
        <v>0</v>
      </c>
      <c r="M359" s="547"/>
    </row>
    <row r="360" spans="1:13" ht="15" hidden="1" customHeight="1" x14ac:dyDescent="0.25">
      <c r="A360" s="98" t="s">
        <v>131</v>
      </c>
      <c r="B360" s="504"/>
      <c r="C360" s="507"/>
      <c r="D360" s="510"/>
      <c r="E360" s="513"/>
      <c r="F360" s="59"/>
      <c r="G360" s="94"/>
      <c r="H360" s="124"/>
      <c r="I360" s="98" t="s">
        <v>131</v>
      </c>
      <c r="K360" s="71">
        <v>9</v>
      </c>
      <c r="L360" s="126">
        <f>E478</f>
        <v>0</v>
      </c>
      <c r="M360" s="547"/>
    </row>
    <row r="361" spans="1:13" ht="15.75" hidden="1" customHeight="1" thickBot="1" x14ac:dyDescent="0.3">
      <c r="A361" s="98" t="s">
        <v>131</v>
      </c>
      <c r="B361" s="505"/>
      <c r="C361" s="508"/>
      <c r="D361" s="510"/>
      <c r="E361" s="513"/>
      <c r="F361" s="59"/>
      <c r="G361" s="94"/>
      <c r="H361" s="124"/>
      <c r="I361" s="98" t="s">
        <v>131</v>
      </c>
      <c r="K361" s="72">
        <v>10</v>
      </c>
      <c r="L361" s="127">
        <f>E489</f>
        <v>0</v>
      </c>
      <c r="M361" s="548"/>
    </row>
    <row r="362" spans="1:13" ht="15" hidden="1" customHeight="1" x14ac:dyDescent="0.25">
      <c r="A362" s="98" t="s">
        <v>131</v>
      </c>
      <c r="B362" s="496" t="s">
        <v>128</v>
      </c>
      <c r="C362" s="506"/>
      <c r="D362" s="510"/>
      <c r="E362" s="513"/>
      <c r="F362" s="59"/>
      <c r="G362" s="94"/>
      <c r="H362" s="124"/>
      <c r="I362" s="98" t="s">
        <v>131</v>
      </c>
    </row>
    <row r="363" spans="1:13" ht="15.75" hidden="1" customHeight="1" thickBot="1" x14ac:dyDescent="0.3">
      <c r="A363" s="98" t="s">
        <v>131</v>
      </c>
      <c r="B363" s="497"/>
      <c r="C363" s="508"/>
      <c r="D363" s="511"/>
      <c r="E363" s="514"/>
      <c r="F363" s="62"/>
      <c r="G363" s="92"/>
      <c r="H363" s="91"/>
      <c r="I363" s="98" t="s">
        <v>131</v>
      </c>
    </row>
    <row r="364" spans="1:13" ht="15.75" hidden="1" customHeight="1" thickBot="1" x14ac:dyDescent="0.3">
      <c r="A364" s="98" t="s">
        <v>131</v>
      </c>
      <c r="B364" s="518">
        <v>3</v>
      </c>
      <c r="C364" s="506"/>
      <c r="D364" s="114" t="s">
        <v>125</v>
      </c>
      <c r="E364" s="107"/>
      <c r="F364" s="93">
        <v>10</v>
      </c>
      <c r="G364" s="128" t="s">
        <v>126</v>
      </c>
      <c r="H364" s="119">
        <v>115</v>
      </c>
      <c r="I364" s="98" t="s">
        <v>131</v>
      </c>
    </row>
    <row r="365" spans="1:13" ht="15" hidden="1" customHeight="1" x14ac:dyDescent="0.25">
      <c r="A365" s="98" t="s">
        <v>131</v>
      </c>
      <c r="B365" s="504"/>
      <c r="C365" s="507"/>
      <c r="D365" s="509"/>
      <c r="E365" s="512">
        <f>IF(D365=0,0,VLOOKUP($D365,$F364:$H373,3,FALSE)*$E364)</f>
        <v>0</v>
      </c>
      <c r="F365" s="59">
        <v>9</v>
      </c>
      <c r="G365" s="94" t="s">
        <v>126</v>
      </c>
      <c r="H365" s="124">
        <f>H364-5</f>
        <v>110</v>
      </c>
      <c r="I365" s="98" t="s">
        <v>131</v>
      </c>
    </row>
    <row r="366" spans="1:13" ht="15" hidden="1" customHeight="1" x14ac:dyDescent="0.25">
      <c r="A366" s="98" t="s">
        <v>131</v>
      </c>
      <c r="B366" s="504"/>
      <c r="C366" s="507"/>
      <c r="D366" s="510"/>
      <c r="E366" s="513"/>
      <c r="F366" s="59">
        <v>8</v>
      </c>
      <c r="G366" s="94" t="s">
        <v>126</v>
      </c>
      <c r="H366" s="124">
        <f t="shared" ref="H366:H373" si="5">H365-5</f>
        <v>105</v>
      </c>
      <c r="I366" s="98" t="s">
        <v>131</v>
      </c>
    </row>
    <row r="367" spans="1:13" ht="15" hidden="1" customHeight="1" x14ac:dyDescent="0.25">
      <c r="A367" s="98" t="s">
        <v>131</v>
      </c>
      <c r="B367" s="504"/>
      <c r="C367" s="507"/>
      <c r="D367" s="510"/>
      <c r="E367" s="513"/>
      <c r="F367" s="59">
        <v>7</v>
      </c>
      <c r="G367" s="94" t="s">
        <v>126</v>
      </c>
      <c r="H367" s="124">
        <f t="shared" si="5"/>
        <v>100</v>
      </c>
      <c r="I367" s="98" t="s">
        <v>131</v>
      </c>
    </row>
    <row r="368" spans="1:13" ht="15" hidden="1" customHeight="1" x14ac:dyDescent="0.25">
      <c r="A368" s="98" t="s">
        <v>131</v>
      </c>
      <c r="B368" s="504"/>
      <c r="C368" s="507"/>
      <c r="D368" s="510"/>
      <c r="E368" s="513"/>
      <c r="F368" s="59">
        <v>6</v>
      </c>
      <c r="G368" s="94" t="s">
        <v>126</v>
      </c>
      <c r="H368" s="124">
        <f t="shared" si="5"/>
        <v>95</v>
      </c>
      <c r="I368" s="98" t="s">
        <v>131</v>
      </c>
    </row>
    <row r="369" spans="1:9" ht="15" hidden="1" customHeight="1" x14ac:dyDescent="0.25">
      <c r="A369" s="98" t="s">
        <v>131</v>
      </c>
      <c r="B369" s="504"/>
      <c r="C369" s="507"/>
      <c r="D369" s="510"/>
      <c r="E369" s="513"/>
      <c r="F369" s="59">
        <v>5</v>
      </c>
      <c r="G369" s="94" t="s">
        <v>126</v>
      </c>
      <c r="H369" s="124">
        <f t="shared" si="5"/>
        <v>90</v>
      </c>
      <c r="I369" s="98" t="s">
        <v>131</v>
      </c>
    </row>
    <row r="370" spans="1:9" ht="15" hidden="1" customHeight="1" x14ac:dyDescent="0.25">
      <c r="A370" s="98" t="s">
        <v>131</v>
      </c>
      <c r="B370" s="504"/>
      <c r="C370" s="507"/>
      <c r="D370" s="510"/>
      <c r="E370" s="513"/>
      <c r="F370" s="59">
        <v>4</v>
      </c>
      <c r="G370" s="94" t="s">
        <v>126</v>
      </c>
      <c r="H370" s="124">
        <f t="shared" si="5"/>
        <v>85</v>
      </c>
      <c r="I370" s="98" t="s">
        <v>131</v>
      </c>
    </row>
    <row r="371" spans="1:9" ht="15.75" hidden="1" customHeight="1" thickBot="1" x14ac:dyDescent="0.3">
      <c r="A371" s="98" t="s">
        <v>131</v>
      </c>
      <c r="B371" s="505"/>
      <c r="C371" s="508"/>
      <c r="D371" s="510"/>
      <c r="E371" s="513"/>
      <c r="F371" s="59">
        <v>3</v>
      </c>
      <c r="G371" s="94" t="s">
        <v>126</v>
      </c>
      <c r="H371" s="124">
        <f t="shared" si="5"/>
        <v>80</v>
      </c>
      <c r="I371" s="98" t="s">
        <v>131</v>
      </c>
    </row>
    <row r="372" spans="1:9" ht="15" hidden="1" customHeight="1" x14ac:dyDescent="0.25">
      <c r="A372" s="98" t="s">
        <v>131</v>
      </c>
      <c r="B372" s="496" t="s">
        <v>128</v>
      </c>
      <c r="C372" s="506"/>
      <c r="D372" s="510"/>
      <c r="E372" s="513"/>
      <c r="F372" s="59">
        <v>2</v>
      </c>
      <c r="G372" s="94" t="s">
        <v>126</v>
      </c>
      <c r="H372" s="124">
        <f t="shared" si="5"/>
        <v>75</v>
      </c>
      <c r="I372" s="98" t="s">
        <v>131</v>
      </c>
    </row>
    <row r="373" spans="1:9" ht="15.75" hidden="1" customHeight="1" thickBot="1" x14ac:dyDescent="0.3">
      <c r="A373" s="98" t="s">
        <v>131</v>
      </c>
      <c r="B373" s="497"/>
      <c r="C373" s="508"/>
      <c r="D373" s="511"/>
      <c r="E373" s="514"/>
      <c r="F373" s="62">
        <v>1</v>
      </c>
      <c r="G373" s="92" t="s">
        <v>126</v>
      </c>
      <c r="H373" s="91">
        <f t="shared" si="5"/>
        <v>70</v>
      </c>
      <c r="I373" s="98" t="s">
        <v>131</v>
      </c>
    </row>
    <row r="374" spans="1:9" ht="15.75" hidden="1" customHeight="1" thickBot="1" x14ac:dyDescent="0.3">
      <c r="A374" s="98" t="s">
        <v>131</v>
      </c>
      <c r="B374" s="518">
        <v>4</v>
      </c>
      <c r="C374" s="506"/>
      <c r="D374" s="114" t="s">
        <v>125</v>
      </c>
      <c r="E374" s="107"/>
      <c r="F374" s="93">
        <v>10</v>
      </c>
      <c r="G374" s="128" t="s">
        <v>126</v>
      </c>
      <c r="H374" s="119">
        <v>115</v>
      </c>
      <c r="I374" s="98" t="s">
        <v>131</v>
      </c>
    </row>
    <row r="375" spans="1:9" ht="15" hidden="1" customHeight="1" x14ac:dyDescent="0.25">
      <c r="A375" s="98" t="s">
        <v>131</v>
      </c>
      <c r="B375" s="504"/>
      <c r="C375" s="507"/>
      <c r="D375" s="509"/>
      <c r="E375" s="512">
        <f>IF(D375=0,0,VLOOKUP($D375,$F374:$H383,3,FALSE)*$E374)</f>
        <v>0</v>
      </c>
      <c r="F375" s="59">
        <v>9</v>
      </c>
      <c r="G375" s="94" t="s">
        <v>126</v>
      </c>
      <c r="H375" s="124">
        <f>H374-5</f>
        <v>110</v>
      </c>
      <c r="I375" s="98" t="s">
        <v>131</v>
      </c>
    </row>
    <row r="376" spans="1:9" ht="15" hidden="1" customHeight="1" x14ac:dyDescent="0.25">
      <c r="A376" s="98" t="s">
        <v>131</v>
      </c>
      <c r="B376" s="504"/>
      <c r="C376" s="507"/>
      <c r="D376" s="510"/>
      <c r="E376" s="513"/>
      <c r="F376" s="59">
        <v>8</v>
      </c>
      <c r="G376" s="94" t="s">
        <v>126</v>
      </c>
      <c r="H376" s="124">
        <f t="shared" ref="H376:H383" si="6">H375-5</f>
        <v>105</v>
      </c>
      <c r="I376" s="98" t="s">
        <v>131</v>
      </c>
    </row>
    <row r="377" spans="1:9" ht="15" hidden="1" customHeight="1" x14ac:dyDescent="0.25">
      <c r="A377" s="98" t="s">
        <v>131</v>
      </c>
      <c r="B377" s="504"/>
      <c r="C377" s="507"/>
      <c r="D377" s="510"/>
      <c r="E377" s="513"/>
      <c r="F377" s="59">
        <v>7</v>
      </c>
      <c r="G377" s="94" t="s">
        <v>126</v>
      </c>
      <c r="H377" s="124">
        <f t="shared" si="6"/>
        <v>100</v>
      </c>
      <c r="I377" s="98" t="s">
        <v>131</v>
      </c>
    </row>
    <row r="378" spans="1:9" ht="15" hidden="1" customHeight="1" x14ac:dyDescent="0.25">
      <c r="A378" s="98" t="s">
        <v>131</v>
      </c>
      <c r="B378" s="504"/>
      <c r="C378" s="507"/>
      <c r="D378" s="510"/>
      <c r="E378" s="513"/>
      <c r="F378" s="59">
        <v>6</v>
      </c>
      <c r="G378" s="94" t="s">
        <v>126</v>
      </c>
      <c r="H378" s="124">
        <f t="shared" si="6"/>
        <v>95</v>
      </c>
      <c r="I378" s="98" t="s">
        <v>131</v>
      </c>
    </row>
    <row r="379" spans="1:9" ht="15" hidden="1" customHeight="1" x14ac:dyDescent="0.25">
      <c r="A379" s="98" t="s">
        <v>131</v>
      </c>
      <c r="B379" s="504"/>
      <c r="C379" s="507"/>
      <c r="D379" s="510"/>
      <c r="E379" s="513"/>
      <c r="F379" s="59">
        <v>5</v>
      </c>
      <c r="G379" s="94" t="s">
        <v>126</v>
      </c>
      <c r="H379" s="124">
        <f t="shared" si="6"/>
        <v>90</v>
      </c>
      <c r="I379" s="98" t="s">
        <v>131</v>
      </c>
    </row>
    <row r="380" spans="1:9" ht="15" hidden="1" customHeight="1" x14ac:dyDescent="0.25">
      <c r="A380" s="98" t="s">
        <v>131</v>
      </c>
      <c r="B380" s="504"/>
      <c r="C380" s="507"/>
      <c r="D380" s="510"/>
      <c r="E380" s="513"/>
      <c r="F380" s="59">
        <v>4</v>
      </c>
      <c r="G380" s="94" t="s">
        <v>126</v>
      </c>
      <c r="H380" s="124">
        <f t="shared" si="6"/>
        <v>85</v>
      </c>
      <c r="I380" s="98" t="s">
        <v>131</v>
      </c>
    </row>
    <row r="381" spans="1:9" ht="15.75" hidden="1" customHeight="1" thickBot="1" x14ac:dyDescent="0.3">
      <c r="A381" s="98" t="s">
        <v>131</v>
      </c>
      <c r="B381" s="505"/>
      <c r="C381" s="508"/>
      <c r="D381" s="510"/>
      <c r="E381" s="513"/>
      <c r="F381" s="59">
        <v>3</v>
      </c>
      <c r="G381" s="94" t="s">
        <v>126</v>
      </c>
      <c r="H381" s="124">
        <f t="shared" si="6"/>
        <v>80</v>
      </c>
      <c r="I381" s="98" t="s">
        <v>131</v>
      </c>
    </row>
    <row r="382" spans="1:9" ht="15" hidden="1" customHeight="1" x14ac:dyDescent="0.25">
      <c r="A382" s="98" t="s">
        <v>131</v>
      </c>
      <c r="B382" s="496" t="s">
        <v>128</v>
      </c>
      <c r="C382" s="506"/>
      <c r="D382" s="510"/>
      <c r="E382" s="513"/>
      <c r="F382" s="59">
        <v>2</v>
      </c>
      <c r="G382" s="94" t="s">
        <v>126</v>
      </c>
      <c r="H382" s="124">
        <f t="shared" si="6"/>
        <v>75</v>
      </c>
      <c r="I382" s="98" t="s">
        <v>131</v>
      </c>
    </row>
    <row r="383" spans="1:9" ht="15.75" hidden="1" customHeight="1" thickBot="1" x14ac:dyDescent="0.3">
      <c r="A383" s="98" t="s">
        <v>131</v>
      </c>
      <c r="B383" s="497"/>
      <c r="C383" s="508"/>
      <c r="D383" s="511"/>
      <c r="E383" s="514"/>
      <c r="F383" s="62">
        <v>1</v>
      </c>
      <c r="G383" s="92" t="s">
        <v>126</v>
      </c>
      <c r="H383" s="91">
        <f t="shared" si="6"/>
        <v>70</v>
      </c>
      <c r="I383" s="98" t="s">
        <v>131</v>
      </c>
    </row>
    <row r="384" spans="1:9" ht="15.75" hidden="1" customHeight="1" thickBot="1" x14ac:dyDescent="0.3">
      <c r="A384" s="98" t="s">
        <v>131</v>
      </c>
      <c r="B384" s="503">
        <v>5</v>
      </c>
      <c r="C384" s="506"/>
      <c r="D384" s="114" t="s">
        <v>125</v>
      </c>
      <c r="E384" s="107"/>
      <c r="F384" s="64">
        <v>10</v>
      </c>
      <c r="G384" s="134" t="s">
        <v>126</v>
      </c>
      <c r="H384" s="135">
        <v>115</v>
      </c>
      <c r="I384" s="98" t="s">
        <v>131</v>
      </c>
    </row>
    <row r="385" spans="1:9" ht="15" hidden="1" customHeight="1" x14ac:dyDescent="0.25">
      <c r="A385" s="98" t="s">
        <v>131</v>
      </c>
      <c r="B385" s="504"/>
      <c r="C385" s="507"/>
      <c r="D385" s="509"/>
      <c r="E385" s="512">
        <f>IF(D385=0,0,VLOOKUP($D385,$F384:$H393,3,FALSE)*$E384)</f>
        <v>0</v>
      </c>
      <c r="F385" s="59">
        <v>9</v>
      </c>
      <c r="G385" s="94" t="s">
        <v>126</v>
      </c>
      <c r="H385" s="124">
        <f>H384-5</f>
        <v>110</v>
      </c>
      <c r="I385" s="98" t="s">
        <v>131</v>
      </c>
    </row>
    <row r="386" spans="1:9" ht="15" hidden="1" customHeight="1" x14ac:dyDescent="0.25">
      <c r="A386" s="98" t="s">
        <v>131</v>
      </c>
      <c r="B386" s="504"/>
      <c r="C386" s="507"/>
      <c r="D386" s="510"/>
      <c r="E386" s="513"/>
      <c r="F386" s="59">
        <v>8</v>
      </c>
      <c r="G386" s="94" t="s">
        <v>126</v>
      </c>
      <c r="H386" s="124">
        <f t="shared" ref="H386:H393" si="7">H385-5</f>
        <v>105</v>
      </c>
      <c r="I386" s="98" t="s">
        <v>131</v>
      </c>
    </row>
    <row r="387" spans="1:9" ht="15" hidden="1" customHeight="1" x14ac:dyDescent="0.25">
      <c r="A387" s="98" t="s">
        <v>131</v>
      </c>
      <c r="B387" s="504"/>
      <c r="C387" s="507"/>
      <c r="D387" s="510"/>
      <c r="E387" s="513"/>
      <c r="F387" s="59">
        <v>7</v>
      </c>
      <c r="G387" s="94" t="s">
        <v>126</v>
      </c>
      <c r="H387" s="124">
        <f t="shared" si="7"/>
        <v>100</v>
      </c>
      <c r="I387" s="98" t="s">
        <v>131</v>
      </c>
    </row>
    <row r="388" spans="1:9" ht="15" hidden="1" customHeight="1" x14ac:dyDescent="0.25">
      <c r="A388" s="98" t="s">
        <v>131</v>
      </c>
      <c r="B388" s="504"/>
      <c r="C388" s="507"/>
      <c r="D388" s="510"/>
      <c r="E388" s="513"/>
      <c r="F388" s="59">
        <v>6</v>
      </c>
      <c r="G388" s="94" t="s">
        <v>126</v>
      </c>
      <c r="H388" s="124">
        <f t="shared" si="7"/>
        <v>95</v>
      </c>
      <c r="I388" s="98" t="s">
        <v>131</v>
      </c>
    </row>
    <row r="389" spans="1:9" ht="15" hidden="1" customHeight="1" x14ac:dyDescent="0.25">
      <c r="A389" s="98" t="s">
        <v>131</v>
      </c>
      <c r="B389" s="504"/>
      <c r="C389" s="507"/>
      <c r="D389" s="510"/>
      <c r="E389" s="513"/>
      <c r="F389" s="59">
        <v>5</v>
      </c>
      <c r="G389" s="94" t="s">
        <v>126</v>
      </c>
      <c r="H389" s="124">
        <f t="shared" si="7"/>
        <v>90</v>
      </c>
      <c r="I389" s="98" t="s">
        <v>131</v>
      </c>
    </row>
    <row r="390" spans="1:9" ht="15" hidden="1" customHeight="1" x14ac:dyDescent="0.25">
      <c r="A390" s="98" t="s">
        <v>131</v>
      </c>
      <c r="B390" s="504"/>
      <c r="C390" s="507"/>
      <c r="D390" s="510"/>
      <c r="E390" s="513"/>
      <c r="F390" s="59">
        <v>4</v>
      </c>
      <c r="G390" s="94" t="s">
        <v>126</v>
      </c>
      <c r="H390" s="124">
        <f t="shared" si="7"/>
        <v>85</v>
      </c>
      <c r="I390" s="98" t="s">
        <v>131</v>
      </c>
    </row>
    <row r="391" spans="1:9" ht="15.75" hidden="1" customHeight="1" thickBot="1" x14ac:dyDescent="0.3">
      <c r="A391" s="98" t="s">
        <v>131</v>
      </c>
      <c r="B391" s="505"/>
      <c r="C391" s="508"/>
      <c r="D391" s="510"/>
      <c r="E391" s="513"/>
      <c r="F391" s="59">
        <v>3</v>
      </c>
      <c r="G391" s="94" t="s">
        <v>126</v>
      </c>
      <c r="H391" s="124">
        <f t="shared" si="7"/>
        <v>80</v>
      </c>
      <c r="I391" s="98" t="s">
        <v>131</v>
      </c>
    </row>
    <row r="392" spans="1:9" ht="15" hidden="1" customHeight="1" x14ac:dyDescent="0.25">
      <c r="A392" s="98" t="s">
        <v>131</v>
      </c>
      <c r="B392" s="496" t="s">
        <v>128</v>
      </c>
      <c r="C392" s="506"/>
      <c r="D392" s="510"/>
      <c r="E392" s="513"/>
      <c r="F392" s="59">
        <v>2</v>
      </c>
      <c r="G392" s="94" t="s">
        <v>126</v>
      </c>
      <c r="H392" s="124">
        <f t="shared" si="7"/>
        <v>75</v>
      </c>
      <c r="I392" s="98" t="s">
        <v>131</v>
      </c>
    </row>
    <row r="393" spans="1:9" ht="15.75" hidden="1" customHeight="1" thickBot="1" x14ac:dyDescent="0.3">
      <c r="A393" s="98" t="s">
        <v>131</v>
      </c>
      <c r="B393" s="497"/>
      <c r="C393" s="508"/>
      <c r="D393" s="511"/>
      <c r="E393" s="514"/>
      <c r="F393" s="62">
        <v>1</v>
      </c>
      <c r="G393" s="92" t="s">
        <v>126</v>
      </c>
      <c r="H393" s="91">
        <f t="shared" si="7"/>
        <v>70</v>
      </c>
      <c r="I393" s="98" t="s">
        <v>131</v>
      </c>
    </row>
    <row r="394" spans="1:9" ht="15.75" thickBot="1" x14ac:dyDescent="0.3">
      <c r="A394" s="98" t="s">
        <v>131</v>
      </c>
      <c r="B394" s="98" t="s">
        <v>131</v>
      </c>
      <c r="C394" s="98"/>
      <c r="D394" s="108" t="s">
        <v>131</v>
      </c>
      <c r="E394" s="108" t="s">
        <v>131</v>
      </c>
      <c r="F394" s="98" t="s">
        <v>131</v>
      </c>
      <c r="G394" s="98" t="s">
        <v>131</v>
      </c>
      <c r="H394" s="98" t="s">
        <v>131</v>
      </c>
      <c r="I394" s="98" t="s">
        <v>131</v>
      </c>
    </row>
    <row r="395" spans="1:9" x14ac:dyDescent="0.25">
      <c r="A395" s="101" t="s">
        <v>131</v>
      </c>
      <c r="B395" s="139" t="s">
        <v>134</v>
      </c>
      <c r="C395" s="99"/>
      <c r="D395" s="109"/>
      <c r="E395" s="109"/>
      <c r="F395" s="99"/>
      <c r="G395" s="493" t="s">
        <v>17</v>
      </c>
      <c r="H395" s="494"/>
      <c r="I395" s="495"/>
    </row>
    <row r="396" spans="1:9" ht="15.75" thickBot="1" x14ac:dyDescent="0.3">
      <c r="A396" s="101" t="s">
        <v>131</v>
      </c>
      <c r="B396" s="140" t="str">
        <f>+B341</f>
        <v>Operasional Petugas Lapangan (KMT &amp; MARKETING)</v>
      </c>
      <c r="C396" s="100"/>
      <c r="D396" s="110"/>
      <c r="E396" s="110"/>
      <c r="F396" s="100"/>
      <c r="G396" s="515">
        <v>0.25</v>
      </c>
      <c r="H396" s="516"/>
      <c r="I396" s="517"/>
    </row>
    <row r="397" spans="1:9" ht="15.75" thickBot="1" x14ac:dyDescent="0.3">
      <c r="A397" s="101" t="s">
        <v>131</v>
      </c>
      <c r="B397" s="55" t="s">
        <v>119</v>
      </c>
      <c r="C397" s="55" t="s">
        <v>36</v>
      </c>
      <c r="D397" s="498" t="s">
        <v>124</v>
      </c>
      <c r="E397" s="499"/>
      <c r="F397" s="500" t="s">
        <v>130</v>
      </c>
      <c r="G397" s="501"/>
      <c r="H397" s="502"/>
      <c r="I397" s="101" t="s">
        <v>131</v>
      </c>
    </row>
    <row r="398" spans="1:9" ht="15.75" customHeight="1" thickBot="1" x14ac:dyDescent="0.3">
      <c r="A398" s="101" t="s">
        <v>131</v>
      </c>
      <c r="B398" s="518">
        <v>1</v>
      </c>
      <c r="C398" s="573" t="s">
        <v>250</v>
      </c>
      <c r="D398" s="170" t="s">
        <v>125</v>
      </c>
      <c r="E398" s="171">
        <v>0.25</v>
      </c>
      <c r="F398" s="93">
        <v>1</v>
      </c>
      <c r="G398" s="57" t="s">
        <v>180</v>
      </c>
      <c r="H398" s="58">
        <v>115</v>
      </c>
      <c r="I398" s="101" t="s">
        <v>131</v>
      </c>
    </row>
    <row r="399" spans="1:9" x14ac:dyDescent="0.25">
      <c r="A399" s="101" t="s">
        <v>131</v>
      </c>
      <c r="B399" s="504"/>
      <c r="C399" s="574"/>
      <c r="D399" s="509">
        <v>1</v>
      </c>
      <c r="E399" s="512">
        <f>IF(D399=0,0,VLOOKUP($D399,$F398:$H406,3,FALSE)*$E398)</f>
        <v>28.75</v>
      </c>
      <c r="F399" s="59">
        <v>2</v>
      </c>
      <c r="G399" s="60" t="s">
        <v>181</v>
      </c>
      <c r="H399" s="61">
        <v>100</v>
      </c>
      <c r="I399" s="101" t="s">
        <v>131</v>
      </c>
    </row>
    <row r="400" spans="1:9" x14ac:dyDescent="0.25">
      <c r="A400" s="101" t="s">
        <v>131</v>
      </c>
      <c r="B400" s="504"/>
      <c r="C400" s="574"/>
      <c r="D400" s="510"/>
      <c r="E400" s="513"/>
      <c r="F400" s="59">
        <v>3</v>
      </c>
      <c r="G400" s="60" t="s">
        <v>182</v>
      </c>
      <c r="H400" s="61">
        <v>90</v>
      </c>
      <c r="I400" s="101" t="s">
        <v>131</v>
      </c>
    </row>
    <row r="401" spans="1:9" x14ac:dyDescent="0.25">
      <c r="A401" s="101" t="s">
        <v>131</v>
      </c>
      <c r="B401" s="504"/>
      <c r="C401" s="574"/>
      <c r="D401" s="510"/>
      <c r="E401" s="513"/>
      <c r="F401" s="59">
        <v>4</v>
      </c>
      <c r="G401" s="60" t="s">
        <v>183</v>
      </c>
      <c r="H401" s="61">
        <v>70</v>
      </c>
      <c r="I401" s="101" t="s">
        <v>131</v>
      </c>
    </row>
    <row r="402" spans="1:9" x14ac:dyDescent="0.25">
      <c r="A402" s="101" t="s">
        <v>131</v>
      </c>
      <c r="B402" s="504"/>
      <c r="C402" s="574"/>
      <c r="D402" s="510"/>
      <c r="E402" s="513"/>
      <c r="F402" s="59">
        <v>5</v>
      </c>
      <c r="G402" s="60" t="s">
        <v>259</v>
      </c>
      <c r="H402" s="61">
        <v>50</v>
      </c>
      <c r="I402" s="101" t="s">
        <v>131</v>
      </c>
    </row>
    <row r="403" spans="1:9" x14ac:dyDescent="0.25">
      <c r="A403" s="101" t="s">
        <v>131</v>
      </c>
      <c r="B403" s="504"/>
      <c r="C403" s="574"/>
      <c r="D403" s="510"/>
      <c r="E403" s="513"/>
      <c r="F403" s="59"/>
      <c r="G403" s="60"/>
      <c r="H403" s="61"/>
      <c r="I403" s="101" t="s">
        <v>131</v>
      </c>
    </row>
    <row r="404" spans="1:9" ht="15.75" thickBot="1" x14ac:dyDescent="0.3">
      <c r="A404" s="101" t="s">
        <v>131</v>
      </c>
      <c r="B404" s="504"/>
      <c r="C404" s="574"/>
      <c r="D404" s="510"/>
      <c r="E404" s="513"/>
      <c r="F404" s="59"/>
      <c r="G404" s="60"/>
      <c r="H404" s="61"/>
      <c r="I404" s="101" t="s">
        <v>131</v>
      </c>
    </row>
    <row r="405" spans="1:9" x14ac:dyDescent="0.25">
      <c r="A405" s="101" t="s">
        <v>131</v>
      </c>
      <c r="B405" s="528" t="s">
        <v>128</v>
      </c>
      <c r="C405" s="357" t="s">
        <v>180</v>
      </c>
      <c r="D405" s="510"/>
      <c r="E405" s="513"/>
      <c r="F405" s="59"/>
      <c r="G405" s="60"/>
      <c r="H405" s="221"/>
      <c r="I405" s="101" t="s">
        <v>131</v>
      </c>
    </row>
    <row r="406" spans="1:9" ht="15.75" thickBot="1" x14ac:dyDescent="0.3">
      <c r="A406" s="101" t="s">
        <v>131</v>
      </c>
      <c r="B406" s="529"/>
      <c r="C406" s="300"/>
      <c r="D406" s="511"/>
      <c r="E406" s="514"/>
      <c r="F406" s="62"/>
      <c r="G406" s="63"/>
      <c r="H406" s="165"/>
      <c r="I406" s="101" t="s">
        <v>131</v>
      </c>
    </row>
    <row r="407" spans="1:9" ht="15.75" customHeight="1" thickBot="1" x14ac:dyDescent="0.3">
      <c r="A407" s="101" t="s">
        <v>131</v>
      </c>
      <c r="B407" s="518">
        <v>2</v>
      </c>
      <c r="C407" s="573" t="s">
        <v>251</v>
      </c>
      <c r="D407" s="170" t="s">
        <v>125</v>
      </c>
      <c r="E407" s="171">
        <v>0.25</v>
      </c>
      <c r="F407" s="93">
        <v>1</v>
      </c>
      <c r="G407" s="57" t="s">
        <v>180</v>
      </c>
      <c r="H407" s="58">
        <v>115</v>
      </c>
      <c r="I407" s="101" t="s">
        <v>131</v>
      </c>
    </row>
    <row r="408" spans="1:9" x14ac:dyDescent="0.25">
      <c r="A408" s="101" t="s">
        <v>131</v>
      </c>
      <c r="B408" s="504"/>
      <c r="C408" s="574"/>
      <c r="D408" s="532">
        <v>3</v>
      </c>
      <c r="E408" s="535">
        <f>IF(D408=0,0,VLOOKUP($D408,$F407:$H415,3,FALSE)*$E407)</f>
        <v>22.5</v>
      </c>
      <c r="F408" s="59">
        <v>2</v>
      </c>
      <c r="G408" s="60" t="s">
        <v>181</v>
      </c>
      <c r="H408" s="61">
        <v>100</v>
      </c>
      <c r="I408" s="101" t="s">
        <v>131</v>
      </c>
    </row>
    <row r="409" spans="1:9" x14ac:dyDescent="0.25">
      <c r="A409" s="101" t="s">
        <v>131</v>
      </c>
      <c r="B409" s="504"/>
      <c r="C409" s="574"/>
      <c r="D409" s="533"/>
      <c r="E409" s="536"/>
      <c r="F409" s="59">
        <v>3</v>
      </c>
      <c r="G409" s="60" t="s">
        <v>182</v>
      </c>
      <c r="H409" s="61">
        <v>90</v>
      </c>
      <c r="I409" s="101" t="s">
        <v>131</v>
      </c>
    </row>
    <row r="410" spans="1:9" x14ac:dyDescent="0.25">
      <c r="A410" s="101" t="s">
        <v>131</v>
      </c>
      <c r="B410" s="504"/>
      <c r="C410" s="574"/>
      <c r="D410" s="533"/>
      <c r="E410" s="536"/>
      <c r="F410" s="59">
        <v>4</v>
      </c>
      <c r="G410" s="60" t="s">
        <v>183</v>
      </c>
      <c r="H410" s="61">
        <v>70</v>
      </c>
      <c r="I410" s="101" t="s">
        <v>131</v>
      </c>
    </row>
    <row r="411" spans="1:9" x14ac:dyDescent="0.25">
      <c r="A411" s="101" t="s">
        <v>131</v>
      </c>
      <c r="B411" s="504"/>
      <c r="C411" s="574"/>
      <c r="D411" s="533"/>
      <c r="E411" s="536"/>
      <c r="F411" s="59">
        <v>5</v>
      </c>
      <c r="G411" s="60" t="s">
        <v>259</v>
      </c>
      <c r="H411" s="61">
        <v>50</v>
      </c>
      <c r="I411" s="101" t="s">
        <v>131</v>
      </c>
    </row>
    <row r="412" spans="1:9" x14ac:dyDescent="0.25">
      <c r="A412" s="101" t="s">
        <v>131</v>
      </c>
      <c r="B412" s="504"/>
      <c r="C412" s="574"/>
      <c r="D412" s="533"/>
      <c r="E412" s="536"/>
      <c r="F412" s="59"/>
      <c r="G412" s="60"/>
      <c r="H412" s="61"/>
      <c r="I412" s="101" t="s">
        <v>131</v>
      </c>
    </row>
    <row r="413" spans="1:9" ht="15.75" thickBot="1" x14ac:dyDescent="0.3">
      <c r="A413" s="101" t="s">
        <v>131</v>
      </c>
      <c r="B413" s="505"/>
      <c r="C413" s="575"/>
      <c r="D413" s="533"/>
      <c r="E413" s="536"/>
      <c r="F413" s="59"/>
      <c r="G413" s="60"/>
      <c r="H413" s="61"/>
      <c r="I413" s="101" t="s">
        <v>131</v>
      </c>
    </row>
    <row r="414" spans="1:9" x14ac:dyDescent="0.25">
      <c r="A414" s="101" t="s">
        <v>131</v>
      </c>
      <c r="B414" s="528" t="s">
        <v>128</v>
      </c>
      <c r="C414" s="377" t="s">
        <v>182</v>
      </c>
      <c r="D414" s="533"/>
      <c r="E414" s="536"/>
      <c r="F414" s="59"/>
      <c r="G414" s="60"/>
      <c r="H414" s="221"/>
      <c r="I414" s="101" t="s">
        <v>131</v>
      </c>
    </row>
    <row r="415" spans="1:9" ht="15.75" thickBot="1" x14ac:dyDescent="0.3">
      <c r="A415" s="101" t="s">
        <v>131</v>
      </c>
      <c r="B415" s="529"/>
      <c r="C415" s="300"/>
      <c r="D415" s="534"/>
      <c r="E415" s="537"/>
      <c r="F415" s="62"/>
      <c r="G415" s="63"/>
      <c r="H415" s="165"/>
      <c r="I415" s="101" t="s">
        <v>131</v>
      </c>
    </row>
    <row r="416" spans="1:9" ht="15.75" customHeight="1" thickBot="1" x14ac:dyDescent="0.3">
      <c r="A416" s="101" t="s">
        <v>131</v>
      </c>
      <c r="B416" s="518">
        <v>3</v>
      </c>
      <c r="C416" s="573" t="s">
        <v>252</v>
      </c>
      <c r="D416" s="170" t="s">
        <v>125</v>
      </c>
      <c r="E416" s="171">
        <v>0.15</v>
      </c>
      <c r="F416" s="93">
        <v>1</v>
      </c>
      <c r="G416" s="57" t="s">
        <v>248</v>
      </c>
      <c r="H416" s="58">
        <v>115</v>
      </c>
      <c r="I416" s="101" t="s">
        <v>131</v>
      </c>
    </row>
    <row r="417" spans="1:9" x14ac:dyDescent="0.25">
      <c r="A417" s="101" t="s">
        <v>131</v>
      </c>
      <c r="B417" s="504"/>
      <c r="C417" s="574"/>
      <c r="D417" s="557">
        <v>1</v>
      </c>
      <c r="E417" s="512">
        <f>IF(D417=0,0,VLOOKUP($D417,$F416:$H425,3,FALSE)*$E416)</f>
        <v>17.25</v>
      </c>
      <c r="F417" s="59">
        <v>2</v>
      </c>
      <c r="G417" s="60" t="s">
        <v>242</v>
      </c>
      <c r="H417" s="61">
        <v>112</v>
      </c>
      <c r="I417" s="101" t="s">
        <v>131</v>
      </c>
    </row>
    <row r="418" spans="1:9" x14ac:dyDescent="0.25">
      <c r="A418" s="101" t="s">
        <v>131</v>
      </c>
      <c r="B418" s="504"/>
      <c r="C418" s="574"/>
      <c r="D418" s="558"/>
      <c r="E418" s="513"/>
      <c r="F418" s="59">
        <v>3</v>
      </c>
      <c r="G418" s="60" t="s">
        <v>243</v>
      </c>
      <c r="H418" s="61">
        <v>110</v>
      </c>
      <c r="I418" s="101" t="s">
        <v>131</v>
      </c>
    </row>
    <row r="419" spans="1:9" x14ac:dyDescent="0.25">
      <c r="A419" s="101" t="s">
        <v>131</v>
      </c>
      <c r="B419" s="504"/>
      <c r="C419" s="574"/>
      <c r="D419" s="558"/>
      <c r="E419" s="513"/>
      <c r="F419" s="59">
        <v>4</v>
      </c>
      <c r="G419" s="60" t="s">
        <v>244</v>
      </c>
      <c r="H419" s="61">
        <v>108</v>
      </c>
      <c r="I419" s="101" t="s">
        <v>131</v>
      </c>
    </row>
    <row r="420" spans="1:9" x14ac:dyDescent="0.25">
      <c r="A420" s="101" t="s">
        <v>131</v>
      </c>
      <c r="B420" s="504"/>
      <c r="C420" s="574"/>
      <c r="D420" s="558"/>
      <c r="E420" s="513"/>
      <c r="F420" s="59">
        <v>5</v>
      </c>
      <c r="G420" s="60" t="s">
        <v>245</v>
      </c>
      <c r="H420" s="61">
        <v>106</v>
      </c>
      <c r="I420" s="101" t="s">
        <v>131</v>
      </c>
    </row>
    <row r="421" spans="1:9" x14ac:dyDescent="0.25">
      <c r="A421" s="101" t="s">
        <v>131</v>
      </c>
      <c r="B421" s="504"/>
      <c r="C421" s="574"/>
      <c r="D421" s="558"/>
      <c r="E421" s="513"/>
      <c r="F421" s="159">
        <v>6</v>
      </c>
      <c r="G421" s="222" t="s">
        <v>246</v>
      </c>
      <c r="H421" s="221">
        <v>104</v>
      </c>
      <c r="I421" s="101" t="s">
        <v>131</v>
      </c>
    </row>
    <row r="422" spans="1:9" x14ac:dyDescent="0.25">
      <c r="A422" s="101" t="s">
        <v>131</v>
      </c>
      <c r="B422" s="504"/>
      <c r="C422" s="574"/>
      <c r="D422" s="558"/>
      <c r="E422" s="513"/>
      <c r="F422" s="159">
        <v>7</v>
      </c>
      <c r="G422" s="222" t="s">
        <v>247</v>
      </c>
      <c r="H422" s="221">
        <v>102</v>
      </c>
      <c r="I422" s="101" t="s">
        <v>131</v>
      </c>
    </row>
    <row r="423" spans="1:9" ht="15.75" thickBot="1" x14ac:dyDescent="0.3">
      <c r="A423" s="101" t="s">
        <v>131</v>
      </c>
      <c r="B423" s="505"/>
      <c r="C423" s="575"/>
      <c r="D423" s="558"/>
      <c r="E423" s="513"/>
      <c r="F423" s="159">
        <v>8</v>
      </c>
      <c r="G423" s="222" t="s">
        <v>241</v>
      </c>
      <c r="H423" s="221">
        <v>100</v>
      </c>
      <c r="I423" s="101" t="s">
        <v>131</v>
      </c>
    </row>
    <row r="424" spans="1:9" x14ac:dyDescent="0.25">
      <c r="A424" s="101" t="s">
        <v>131</v>
      </c>
      <c r="B424" s="528" t="s">
        <v>128</v>
      </c>
      <c r="C424" s="360" t="s">
        <v>248</v>
      </c>
      <c r="D424" s="558"/>
      <c r="E424" s="513"/>
      <c r="F424" s="159">
        <v>9</v>
      </c>
      <c r="G424" s="222" t="s">
        <v>239</v>
      </c>
      <c r="H424" s="221">
        <v>50</v>
      </c>
      <c r="I424" s="101" t="s">
        <v>131</v>
      </c>
    </row>
    <row r="425" spans="1:9" ht="15.75" thickBot="1" x14ac:dyDescent="0.3">
      <c r="A425" s="101" t="s">
        <v>131</v>
      </c>
      <c r="B425" s="529"/>
      <c r="C425" s="300"/>
      <c r="D425" s="559"/>
      <c r="E425" s="514"/>
      <c r="F425" s="62"/>
      <c r="G425" s="63"/>
      <c r="H425" s="165"/>
      <c r="I425" s="101" t="s">
        <v>131</v>
      </c>
    </row>
    <row r="426" spans="1:9" ht="15.75" customHeight="1" thickBot="1" x14ac:dyDescent="0.3">
      <c r="A426" s="101" t="s">
        <v>131</v>
      </c>
      <c r="B426" s="518">
        <v>4</v>
      </c>
      <c r="C426" s="573" t="s">
        <v>338</v>
      </c>
      <c r="D426" s="170" t="s">
        <v>125</v>
      </c>
      <c r="E426" s="171">
        <v>0.1</v>
      </c>
      <c r="F426" s="93">
        <v>1</v>
      </c>
      <c r="G426" s="57" t="s">
        <v>253</v>
      </c>
      <c r="H426" s="58">
        <v>115</v>
      </c>
      <c r="I426" s="101" t="s">
        <v>131</v>
      </c>
    </row>
    <row r="427" spans="1:9" ht="15" customHeight="1" x14ac:dyDescent="0.25">
      <c r="A427" s="101" t="s">
        <v>131</v>
      </c>
      <c r="B427" s="504"/>
      <c r="C427" s="574"/>
      <c r="D427" s="557">
        <v>1</v>
      </c>
      <c r="E427" s="512">
        <f>IF(D427=0,0,VLOOKUP($D427,$F426:$H435,3,FALSE)*$E426)</f>
        <v>11.5</v>
      </c>
      <c r="F427" s="59">
        <v>2</v>
      </c>
      <c r="G427" s="60" t="s">
        <v>254</v>
      </c>
      <c r="H427" s="61">
        <v>100</v>
      </c>
      <c r="I427" s="101" t="s">
        <v>131</v>
      </c>
    </row>
    <row r="428" spans="1:9" ht="15" customHeight="1" x14ac:dyDescent="0.25">
      <c r="A428" s="101" t="s">
        <v>131</v>
      </c>
      <c r="B428" s="504"/>
      <c r="C428" s="574"/>
      <c r="D428" s="558"/>
      <c r="E428" s="513"/>
      <c r="F428" s="59">
        <v>3</v>
      </c>
      <c r="G428" s="60" t="s">
        <v>255</v>
      </c>
      <c r="H428" s="61">
        <v>90</v>
      </c>
      <c r="I428" s="101" t="s">
        <v>131</v>
      </c>
    </row>
    <row r="429" spans="1:9" ht="15" customHeight="1" x14ac:dyDescent="0.25">
      <c r="A429" s="101" t="s">
        <v>131</v>
      </c>
      <c r="B429" s="504"/>
      <c r="C429" s="574"/>
      <c r="D429" s="558"/>
      <c r="E429" s="513"/>
      <c r="F429" s="59">
        <v>4</v>
      </c>
      <c r="G429" s="60" t="s">
        <v>256</v>
      </c>
      <c r="H429" s="61">
        <v>70</v>
      </c>
      <c r="I429" s="101" t="s">
        <v>131</v>
      </c>
    </row>
    <row r="430" spans="1:9" ht="15" customHeight="1" x14ac:dyDescent="0.25">
      <c r="A430" s="101" t="s">
        <v>131</v>
      </c>
      <c r="B430" s="504"/>
      <c r="C430" s="574"/>
      <c r="D430" s="558"/>
      <c r="E430" s="513"/>
      <c r="F430" s="59">
        <v>5</v>
      </c>
      <c r="G430" s="60" t="s">
        <v>257</v>
      </c>
      <c r="H430" s="61">
        <v>50</v>
      </c>
      <c r="I430" s="101" t="s">
        <v>131</v>
      </c>
    </row>
    <row r="431" spans="1:9" ht="15" customHeight="1" x14ac:dyDescent="0.25">
      <c r="A431" s="101" t="s">
        <v>131</v>
      </c>
      <c r="B431" s="504"/>
      <c r="C431" s="574"/>
      <c r="D431" s="558"/>
      <c r="E431" s="513"/>
      <c r="F431" s="59"/>
      <c r="G431" s="60"/>
      <c r="H431" s="61"/>
      <c r="I431" s="101" t="s">
        <v>131</v>
      </c>
    </row>
    <row r="432" spans="1:9" ht="15" customHeight="1" x14ac:dyDescent="0.25">
      <c r="A432" s="101" t="s">
        <v>131</v>
      </c>
      <c r="B432" s="504"/>
      <c r="C432" s="574"/>
      <c r="D432" s="558"/>
      <c r="E432" s="513"/>
      <c r="F432" s="59"/>
      <c r="G432" s="60"/>
      <c r="H432" s="61"/>
      <c r="I432" s="101" t="s">
        <v>131</v>
      </c>
    </row>
    <row r="433" spans="1:9" ht="15.75" customHeight="1" thickBot="1" x14ac:dyDescent="0.3">
      <c r="A433" s="101" t="s">
        <v>131</v>
      </c>
      <c r="B433" s="505"/>
      <c r="C433" s="575"/>
      <c r="D433" s="558"/>
      <c r="E433" s="513"/>
      <c r="F433" s="59"/>
      <c r="G433" s="60"/>
      <c r="H433" s="61"/>
      <c r="I433" s="101" t="s">
        <v>131</v>
      </c>
    </row>
    <row r="434" spans="1:9" ht="15" customHeight="1" x14ac:dyDescent="0.25">
      <c r="A434" s="101" t="s">
        <v>131</v>
      </c>
      <c r="B434" s="528" t="s">
        <v>128</v>
      </c>
      <c r="C434" s="357" t="s">
        <v>253</v>
      </c>
      <c r="D434" s="558"/>
      <c r="E434" s="513"/>
      <c r="F434" s="59"/>
      <c r="G434" s="60"/>
      <c r="H434" s="221"/>
      <c r="I434" s="101" t="s">
        <v>131</v>
      </c>
    </row>
    <row r="435" spans="1:9" ht="15.75" customHeight="1" thickBot="1" x14ac:dyDescent="0.3">
      <c r="A435" s="101" t="s">
        <v>131</v>
      </c>
      <c r="B435" s="529"/>
      <c r="C435" s="300"/>
      <c r="D435" s="559"/>
      <c r="E435" s="514"/>
      <c r="F435" s="62"/>
      <c r="G435" s="63"/>
      <c r="H435" s="165"/>
      <c r="I435" s="101" t="s">
        <v>131</v>
      </c>
    </row>
    <row r="436" spans="1:9" ht="15.75" customHeight="1" thickBot="1" x14ac:dyDescent="0.3">
      <c r="A436" s="101" t="s">
        <v>131</v>
      </c>
      <c r="B436" s="503">
        <v>5</v>
      </c>
      <c r="C436" s="506" t="s">
        <v>258</v>
      </c>
      <c r="D436" s="271" t="s">
        <v>125</v>
      </c>
      <c r="E436" s="107">
        <v>0.25</v>
      </c>
      <c r="F436" s="93">
        <v>1</v>
      </c>
      <c r="G436" s="57" t="s">
        <v>248</v>
      </c>
      <c r="H436" s="58">
        <v>115</v>
      </c>
      <c r="I436" s="101" t="s">
        <v>131</v>
      </c>
    </row>
    <row r="437" spans="1:9" ht="15" customHeight="1" x14ac:dyDescent="0.25">
      <c r="A437" s="101" t="s">
        <v>131</v>
      </c>
      <c r="B437" s="504"/>
      <c r="C437" s="507"/>
      <c r="D437" s="532">
        <v>3</v>
      </c>
      <c r="E437" s="535">
        <f>IF(D437=0,0,VLOOKUP($D437,$F436:$H445,3,FALSE)*$E436)</f>
        <v>27.5</v>
      </c>
      <c r="F437" s="59">
        <v>2</v>
      </c>
      <c r="G437" s="60" t="s">
        <v>242</v>
      </c>
      <c r="H437" s="61">
        <v>112</v>
      </c>
      <c r="I437" s="101" t="s">
        <v>131</v>
      </c>
    </row>
    <row r="438" spans="1:9" ht="15" customHeight="1" x14ac:dyDescent="0.25">
      <c r="A438" s="101" t="s">
        <v>131</v>
      </c>
      <c r="B438" s="504"/>
      <c r="C438" s="507"/>
      <c r="D438" s="533"/>
      <c r="E438" s="536"/>
      <c r="F438" s="59">
        <v>3</v>
      </c>
      <c r="G438" s="60" t="s">
        <v>243</v>
      </c>
      <c r="H438" s="61">
        <v>110</v>
      </c>
      <c r="I438" s="101" t="s">
        <v>131</v>
      </c>
    </row>
    <row r="439" spans="1:9" ht="15" customHeight="1" x14ac:dyDescent="0.25">
      <c r="A439" s="101" t="s">
        <v>131</v>
      </c>
      <c r="B439" s="504"/>
      <c r="C439" s="507"/>
      <c r="D439" s="533"/>
      <c r="E439" s="536"/>
      <c r="F439" s="59">
        <v>4</v>
      </c>
      <c r="G439" s="60" t="s">
        <v>244</v>
      </c>
      <c r="H439" s="61">
        <v>108</v>
      </c>
      <c r="I439" s="101" t="s">
        <v>131</v>
      </c>
    </row>
    <row r="440" spans="1:9" ht="15" customHeight="1" x14ac:dyDescent="0.25">
      <c r="A440" s="101" t="s">
        <v>131</v>
      </c>
      <c r="B440" s="504"/>
      <c r="C440" s="507"/>
      <c r="D440" s="533"/>
      <c r="E440" s="536"/>
      <c r="F440" s="59">
        <v>5</v>
      </c>
      <c r="G440" s="60" t="s">
        <v>245</v>
      </c>
      <c r="H440" s="61">
        <v>106</v>
      </c>
      <c r="I440" s="101" t="s">
        <v>131</v>
      </c>
    </row>
    <row r="441" spans="1:9" ht="15" customHeight="1" x14ac:dyDescent="0.25">
      <c r="A441" s="101" t="s">
        <v>131</v>
      </c>
      <c r="B441" s="504"/>
      <c r="C441" s="507"/>
      <c r="D441" s="533"/>
      <c r="E441" s="536"/>
      <c r="F441" s="159">
        <v>6</v>
      </c>
      <c r="G441" s="222" t="s">
        <v>246</v>
      </c>
      <c r="H441" s="221">
        <v>104</v>
      </c>
      <c r="I441" s="101" t="s">
        <v>131</v>
      </c>
    </row>
    <row r="442" spans="1:9" ht="15" customHeight="1" x14ac:dyDescent="0.25">
      <c r="A442" s="101" t="s">
        <v>131</v>
      </c>
      <c r="B442" s="504"/>
      <c r="C442" s="507"/>
      <c r="D442" s="533"/>
      <c r="E442" s="536"/>
      <c r="F442" s="159">
        <v>7</v>
      </c>
      <c r="G442" s="222" t="s">
        <v>247</v>
      </c>
      <c r="H442" s="221">
        <v>102</v>
      </c>
      <c r="I442" s="101" t="s">
        <v>131</v>
      </c>
    </row>
    <row r="443" spans="1:9" ht="15.75" customHeight="1" thickBot="1" x14ac:dyDescent="0.3">
      <c r="A443" s="101" t="s">
        <v>131</v>
      </c>
      <c r="B443" s="505"/>
      <c r="C443" s="508"/>
      <c r="D443" s="533"/>
      <c r="E443" s="536"/>
      <c r="F443" s="159">
        <v>8</v>
      </c>
      <c r="G443" s="222" t="s">
        <v>241</v>
      </c>
      <c r="H443" s="221">
        <v>100</v>
      </c>
      <c r="I443" s="101" t="s">
        <v>131</v>
      </c>
    </row>
    <row r="444" spans="1:9" ht="15" customHeight="1" x14ac:dyDescent="0.25">
      <c r="A444" s="101" t="s">
        <v>131</v>
      </c>
      <c r="B444" s="496" t="s">
        <v>128</v>
      </c>
      <c r="C444" s="380" t="s">
        <v>336</v>
      </c>
      <c r="D444" s="533"/>
      <c r="E444" s="536"/>
      <c r="F444" s="159">
        <v>9</v>
      </c>
      <c r="G444" s="222" t="s">
        <v>239</v>
      </c>
      <c r="H444" s="221">
        <v>50</v>
      </c>
      <c r="I444" s="101" t="s">
        <v>131</v>
      </c>
    </row>
    <row r="445" spans="1:9" ht="15.75" customHeight="1" thickBot="1" x14ac:dyDescent="0.3">
      <c r="A445" s="101" t="s">
        <v>131</v>
      </c>
      <c r="B445" s="497"/>
      <c r="C445" s="297"/>
      <c r="D445" s="534"/>
      <c r="E445" s="537"/>
      <c r="F445" s="62"/>
      <c r="G445" s="92"/>
      <c r="H445" s="91"/>
      <c r="I445" s="101" t="s">
        <v>131</v>
      </c>
    </row>
    <row r="446" spans="1:9" ht="15.75" hidden="1" customHeight="1" thickBot="1" x14ac:dyDescent="0.3">
      <c r="A446" s="101" t="s">
        <v>131</v>
      </c>
      <c r="B446" s="518">
        <v>6</v>
      </c>
      <c r="C446" s="568"/>
      <c r="D446" s="271" t="s">
        <v>125</v>
      </c>
      <c r="E446" s="107"/>
      <c r="F446" s="93"/>
      <c r="G446" s="57"/>
      <c r="H446" s="58"/>
      <c r="I446" s="101" t="s">
        <v>131</v>
      </c>
    </row>
    <row r="447" spans="1:9" ht="15" hidden="1" customHeight="1" x14ac:dyDescent="0.25">
      <c r="A447" s="101" t="s">
        <v>131</v>
      </c>
      <c r="B447" s="504"/>
      <c r="C447" s="569"/>
      <c r="D447" s="509"/>
      <c r="E447" s="512">
        <f>IF(D447=0,0,VLOOKUP($D447,$F446:$H455,3,FALSE)*$E446)</f>
        <v>0</v>
      </c>
      <c r="F447" s="59"/>
      <c r="G447" s="60"/>
      <c r="H447" s="61"/>
      <c r="I447" s="101" t="s">
        <v>131</v>
      </c>
    </row>
    <row r="448" spans="1:9" ht="15" hidden="1" customHeight="1" x14ac:dyDescent="0.25">
      <c r="A448" s="101" t="s">
        <v>131</v>
      </c>
      <c r="B448" s="504"/>
      <c r="C448" s="569"/>
      <c r="D448" s="510"/>
      <c r="E448" s="513"/>
      <c r="F448" s="59"/>
      <c r="G448" s="60"/>
      <c r="H448" s="61"/>
      <c r="I448" s="101" t="s">
        <v>131</v>
      </c>
    </row>
    <row r="449" spans="1:9" ht="15" hidden="1" customHeight="1" x14ac:dyDescent="0.25">
      <c r="A449" s="101" t="s">
        <v>131</v>
      </c>
      <c r="B449" s="504"/>
      <c r="C449" s="569"/>
      <c r="D449" s="510"/>
      <c r="E449" s="513"/>
      <c r="F449" s="59"/>
      <c r="G449" s="60"/>
      <c r="H449" s="61"/>
      <c r="I449" s="101" t="s">
        <v>131</v>
      </c>
    </row>
    <row r="450" spans="1:9" ht="15" hidden="1" customHeight="1" x14ac:dyDescent="0.25">
      <c r="A450" s="101" t="s">
        <v>131</v>
      </c>
      <c r="B450" s="504"/>
      <c r="C450" s="569"/>
      <c r="D450" s="510"/>
      <c r="E450" s="513"/>
      <c r="F450" s="59"/>
      <c r="G450" s="60"/>
      <c r="H450" s="61"/>
      <c r="I450" s="101" t="s">
        <v>131</v>
      </c>
    </row>
    <row r="451" spans="1:9" ht="15" hidden="1" customHeight="1" x14ac:dyDescent="0.25">
      <c r="A451" s="101" t="s">
        <v>131</v>
      </c>
      <c r="B451" s="504"/>
      <c r="C451" s="569"/>
      <c r="D451" s="510"/>
      <c r="E451" s="513"/>
      <c r="F451" s="59"/>
      <c r="G451" s="60"/>
      <c r="H451" s="61"/>
      <c r="I451" s="101" t="s">
        <v>131</v>
      </c>
    </row>
    <row r="452" spans="1:9" ht="15" hidden="1" customHeight="1" x14ac:dyDescent="0.25">
      <c r="A452" s="101" t="s">
        <v>131</v>
      </c>
      <c r="B452" s="504"/>
      <c r="C452" s="569"/>
      <c r="D452" s="510"/>
      <c r="E452" s="513"/>
      <c r="F452" s="59"/>
      <c r="G452" s="60"/>
      <c r="H452" s="61"/>
      <c r="I452" s="101" t="s">
        <v>131</v>
      </c>
    </row>
    <row r="453" spans="1:9" ht="15.75" hidden="1" customHeight="1" thickBot="1" x14ac:dyDescent="0.3">
      <c r="A453" s="101" t="s">
        <v>131</v>
      </c>
      <c r="B453" s="505"/>
      <c r="C453" s="570"/>
      <c r="D453" s="510"/>
      <c r="E453" s="513"/>
      <c r="F453" s="59"/>
      <c r="G453" s="60"/>
      <c r="H453" s="61"/>
      <c r="I453" s="101" t="s">
        <v>131</v>
      </c>
    </row>
    <row r="454" spans="1:9" ht="15" hidden="1" customHeight="1" x14ac:dyDescent="0.25">
      <c r="A454" s="101" t="s">
        <v>131</v>
      </c>
      <c r="B454" s="496" t="s">
        <v>128</v>
      </c>
      <c r="C454" s="571"/>
      <c r="D454" s="510"/>
      <c r="E454" s="513"/>
      <c r="F454" s="59"/>
      <c r="G454" s="60"/>
      <c r="H454" s="221"/>
      <c r="I454" s="101" t="s">
        <v>131</v>
      </c>
    </row>
    <row r="455" spans="1:9" ht="15.75" hidden="1" customHeight="1" thickBot="1" x14ac:dyDescent="0.3">
      <c r="A455" s="101" t="s">
        <v>131</v>
      </c>
      <c r="B455" s="497"/>
      <c r="C455" s="572"/>
      <c r="D455" s="511"/>
      <c r="E455" s="514"/>
      <c r="F455" s="62"/>
      <c r="G455" s="92"/>
      <c r="H455" s="91"/>
      <c r="I455" s="101" t="s">
        <v>131</v>
      </c>
    </row>
    <row r="456" spans="1:9" ht="15.75" hidden="1" customHeight="1" thickBot="1" x14ac:dyDescent="0.3">
      <c r="A456" s="101" t="s">
        <v>131</v>
      </c>
      <c r="B456" s="518">
        <v>7</v>
      </c>
      <c r="C456" s="506"/>
      <c r="D456" s="114" t="s">
        <v>125</v>
      </c>
      <c r="E456" s="107"/>
      <c r="F456" s="93">
        <v>1</v>
      </c>
      <c r="G456" s="128" t="s">
        <v>126</v>
      </c>
      <c r="H456" s="119">
        <v>115</v>
      </c>
      <c r="I456" s="101" t="s">
        <v>131</v>
      </c>
    </row>
    <row r="457" spans="1:9" ht="15" hidden="1" customHeight="1" x14ac:dyDescent="0.25">
      <c r="A457" s="101" t="s">
        <v>131</v>
      </c>
      <c r="B457" s="504"/>
      <c r="C457" s="507"/>
      <c r="D457" s="509"/>
      <c r="E457" s="512">
        <f>IF(D457=0,0,VLOOKUP($D457,$F456:$H465,3,FALSE)*$E456)</f>
        <v>0</v>
      </c>
      <c r="F457" s="59">
        <v>2</v>
      </c>
      <c r="G457" s="94" t="s">
        <v>126</v>
      </c>
      <c r="H457" s="124">
        <f>H456-5</f>
        <v>110</v>
      </c>
      <c r="I457" s="101" t="s">
        <v>131</v>
      </c>
    </row>
    <row r="458" spans="1:9" ht="15" hidden="1" customHeight="1" x14ac:dyDescent="0.25">
      <c r="A458" s="101" t="s">
        <v>131</v>
      </c>
      <c r="B458" s="504"/>
      <c r="C458" s="507"/>
      <c r="D458" s="510"/>
      <c r="E458" s="513"/>
      <c r="F458" s="59">
        <v>3</v>
      </c>
      <c r="G458" s="94" t="s">
        <v>126</v>
      </c>
      <c r="H458" s="124">
        <f t="shared" ref="H458:H465" si="8">H457-5</f>
        <v>105</v>
      </c>
      <c r="I458" s="101" t="s">
        <v>131</v>
      </c>
    </row>
    <row r="459" spans="1:9" ht="15" hidden="1" customHeight="1" x14ac:dyDescent="0.25">
      <c r="A459" s="101" t="s">
        <v>131</v>
      </c>
      <c r="B459" s="504"/>
      <c r="C459" s="507"/>
      <c r="D459" s="510"/>
      <c r="E459" s="513"/>
      <c r="F459" s="59">
        <v>4</v>
      </c>
      <c r="G459" s="94" t="s">
        <v>126</v>
      </c>
      <c r="H459" s="124">
        <f t="shared" si="8"/>
        <v>100</v>
      </c>
      <c r="I459" s="101" t="s">
        <v>131</v>
      </c>
    </row>
    <row r="460" spans="1:9" ht="15" hidden="1" customHeight="1" x14ac:dyDescent="0.25">
      <c r="A460" s="101" t="s">
        <v>131</v>
      </c>
      <c r="B460" s="504"/>
      <c r="C460" s="507"/>
      <c r="D460" s="510"/>
      <c r="E460" s="513"/>
      <c r="F460" s="59">
        <v>5</v>
      </c>
      <c r="G460" s="94" t="s">
        <v>126</v>
      </c>
      <c r="H460" s="124">
        <f t="shared" si="8"/>
        <v>95</v>
      </c>
      <c r="I460" s="101" t="s">
        <v>131</v>
      </c>
    </row>
    <row r="461" spans="1:9" ht="15" hidden="1" customHeight="1" x14ac:dyDescent="0.25">
      <c r="A461" s="101" t="s">
        <v>131</v>
      </c>
      <c r="B461" s="504"/>
      <c r="C461" s="507"/>
      <c r="D461" s="510"/>
      <c r="E461" s="513"/>
      <c r="F461" s="59">
        <v>6</v>
      </c>
      <c r="G461" s="94" t="s">
        <v>126</v>
      </c>
      <c r="H461" s="124">
        <f t="shared" si="8"/>
        <v>90</v>
      </c>
      <c r="I461" s="101" t="s">
        <v>131</v>
      </c>
    </row>
    <row r="462" spans="1:9" ht="15" hidden="1" customHeight="1" x14ac:dyDescent="0.25">
      <c r="A462" s="101" t="s">
        <v>131</v>
      </c>
      <c r="B462" s="504"/>
      <c r="C462" s="507"/>
      <c r="D462" s="510"/>
      <c r="E462" s="513"/>
      <c r="F462" s="59">
        <v>7</v>
      </c>
      <c r="G462" s="94" t="s">
        <v>126</v>
      </c>
      <c r="H462" s="124">
        <f t="shared" si="8"/>
        <v>85</v>
      </c>
      <c r="I462" s="101" t="s">
        <v>131</v>
      </c>
    </row>
    <row r="463" spans="1:9" ht="15.75" hidden="1" customHeight="1" thickBot="1" x14ac:dyDescent="0.3">
      <c r="A463" s="101" t="s">
        <v>131</v>
      </c>
      <c r="B463" s="505"/>
      <c r="C463" s="508"/>
      <c r="D463" s="510"/>
      <c r="E463" s="513"/>
      <c r="F463" s="59">
        <v>8</v>
      </c>
      <c r="G463" s="94" t="s">
        <v>126</v>
      </c>
      <c r="H463" s="124">
        <f t="shared" si="8"/>
        <v>80</v>
      </c>
      <c r="I463" s="101" t="s">
        <v>131</v>
      </c>
    </row>
    <row r="464" spans="1:9" ht="15" hidden="1" customHeight="1" x14ac:dyDescent="0.25">
      <c r="A464" s="101" t="s">
        <v>131</v>
      </c>
      <c r="B464" s="496" t="s">
        <v>128</v>
      </c>
      <c r="C464" s="506"/>
      <c r="D464" s="510"/>
      <c r="E464" s="513"/>
      <c r="F464" s="59">
        <v>9</v>
      </c>
      <c r="G464" s="94" t="s">
        <v>126</v>
      </c>
      <c r="H464" s="124">
        <f t="shared" si="8"/>
        <v>75</v>
      </c>
      <c r="I464" s="101" t="s">
        <v>131</v>
      </c>
    </row>
    <row r="465" spans="1:9" ht="15.75" hidden="1" customHeight="1" thickBot="1" x14ac:dyDescent="0.3">
      <c r="A465" s="101" t="s">
        <v>131</v>
      </c>
      <c r="B465" s="497"/>
      <c r="C465" s="508"/>
      <c r="D465" s="511"/>
      <c r="E465" s="514"/>
      <c r="F465" s="62">
        <v>10</v>
      </c>
      <c r="G465" s="92" t="s">
        <v>126</v>
      </c>
      <c r="H465" s="91">
        <f t="shared" si="8"/>
        <v>70</v>
      </c>
      <c r="I465" s="101" t="s">
        <v>131</v>
      </c>
    </row>
    <row r="466" spans="1:9" ht="15.75" hidden="1" customHeight="1" thickBot="1" x14ac:dyDescent="0.3">
      <c r="A466" s="101" t="s">
        <v>131</v>
      </c>
      <c r="B466" s="518">
        <v>8</v>
      </c>
      <c r="C466" s="506"/>
      <c r="D466" s="114" t="s">
        <v>125</v>
      </c>
      <c r="E466" s="107">
        <v>0.6</v>
      </c>
      <c r="F466" s="93">
        <v>10</v>
      </c>
      <c r="G466" s="128" t="s">
        <v>126</v>
      </c>
      <c r="H466" s="119">
        <v>115</v>
      </c>
      <c r="I466" s="101" t="s">
        <v>131</v>
      </c>
    </row>
    <row r="467" spans="1:9" ht="15" hidden="1" customHeight="1" x14ac:dyDescent="0.25">
      <c r="A467" s="101" t="s">
        <v>131</v>
      </c>
      <c r="B467" s="504"/>
      <c r="C467" s="507"/>
      <c r="D467" s="509"/>
      <c r="E467" s="512">
        <f>IF(D467=0,0,VLOOKUP($D467,$F466:$H475,3,FALSE)*$E466)</f>
        <v>0</v>
      </c>
      <c r="F467" s="59">
        <v>9</v>
      </c>
      <c r="G467" s="94" t="s">
        <v>126</v>
      </c>
      <c r="H467" s="124">
        <f>H466-5</f>
        <v>110</v>
      </c>
      <c r="I467" s="101" t="s">
        <v>131</v>
      </c>
    </row>
    <row r="468" spans="1:9" ht="15" hidden="1" customHeight="1" x14ac:dyDescent="0.25">
      <c r="A468" s="101" t="s">
        <v>131</v>
      </c>
      <c r="B468" s="504"/>
      <c r="C468" s="507"/>
      <c r="D468" s="510"/>
      <c r="E468" s="513"/>
      <c r="F468" s="59">
        <v>8</v>
      </c>
      <c r="G468" s="94" t="s">
        <v>126</v>
      </c>
      <c r="H468" s="124">
        <f t="shared" ref="H468:H475" si="9">H467-5</f>
        <v>105</v>
      </c>
      <c r="I468" s="101" t="s">
        <v>131</v>
      </c>
    </row>
    <row r="469" spans="1:9" ht="15" hidden="1" customHeight="1" x14ac:dyDescent="0.25">
      <c r="A469" s="101" t="s">
        <v>131</v>
      </c>
      <c r="B469" s="504"/>
      <c r="C469" s="507"/>
      <c r="D469" s="510"/>
      <c r="E469" s="513"/>
      <c r="F469" s="59">
        <v>7</v>
      </c>
      <c r="G469" s="94" t="s">
        <v>126</v>
      </c>
      <c r="H469" s="124">
        <f t="shared" si="9"/>
        <v>100</v>
      </c>
      <c r="I469" s="101" t="s">
        <v>131</v>
      </c>
    </row>
    <row r="470" spans="1:9" ht="15" hidden="1" customHeight="1" x14ac:dyDescent="0.25">
      <c r="A470" s="101" t="s">
        <v>131</v>
      </c>
      <c r="B470" s="504"/>
      <c r="C470" s="507"/>
      <c r="D470" s="510"/>
      <c r="E470" s="513"/>
      <c r="F470" s="59">
        <v>6</v>
      </c>
      <c r="G470" s="94" t="s">
        <v>126</v>
      </c>
      <c r="H470" s="124">
        <f t="shared" si="9"/>
        <v>95</v>
      </c>
      <c r="I470" s="101" t="s">
        <v>131</v>
      </c>
    </row>
    <row r="471" spans="1:9" ht="15" hidden="1" customHeight="1" x14ac:dyDescent="0.25">
      <c r="A471" s="101" t="s">
        <v>131</v>
      </c>
      <c r="B471" s="504"/>
      <c r="C471" s="507"/>
      <c r="D471" s="510"/>
      <c r="E471" s="513"/>
      <c r="F471" s="59">
        <v>5</v>
      </c>
      <c r="G471" s="94" t="s">
        <v>126</v>
      </c>
      <c r="H471" s="124">
        <f t="shared" si="9"/>
        <v>90</v>
      </c>
      <c r="I471" s="101" t="s">
        <v>131</v>
      </c>
    </row>
    <row r="472" spans="1:9" ht="15" hidden="1" customHeight="1" x14ac:dyDescent="0.25">
      <c r="A472" s="101" t="s">
        <v>131</v>
      </c>
      <c r="B472" s="504"/>
      <c r="C472" s="507"/>
      <c r="D472" s="510"/>
      <c r="E472" s="513"/>
      <c r="F472" s="59">
        <v>4</v>
      </c>
      <c r="G472" s="94" t="s">
        <v>126</v>
      </c>
      <c r="H472" s="124">
        <f t="shared" si="9"/>
        <v>85</v>
      </c>
      <c r="I472" s="101" t="s">
        <v>131</v>
      </c>
    </row>
    <row r="473" spans="1:9" ht="15.75" hidden="1" customHeight="1" thickBot="1" x14ac:dyDescent="0.3">
      <c r="A473" s="101" t="s">
        <v>131</v>
      </c>
      <c r="B473" s="505"/>
      <c r="C473" s="508"/>
      <c r="D473" s="510"/>
      <c r="E473" s="513"/>
      <c r="F473" s="59">
        <v>3</v>
      </c>
      <c r="G473" s="94" t="s">
        <v>126</v>
      </c>
      <c r="H473" s="124">
        <f t="shared" si="9"/>
        <v>80</v>
      </c>
      <c r="I473" s="101" t="s">
        <v>131</v>
      </c>
    </row>
    <row r="474" spans="1:9" ht="15" hidden="1" customHeight="1" x14ac:dyDescent="0.25">
      <c r="A474" s="101" t="s">
        <v>131</v>
      </c>
      <c r="B474" s="496" t="s">
        <v>128</v>
      </c>
      <c r="C474" s="506"/>
      <c r="D474" s="510"/>
      <c r="E474" s="513"/>
      <c r="F474" s="59">
        <v>2</v>
      </c>
      <c r="G474" s="94" t="s">
        <v>126</v>
      </c>
      <c r="H474" s="124">
        <f t="shared" si="9"/>
        <v>75</v>
      </c>
      <c r="I474" s="101" t="s">
        <v>131</v>
      </c>
    </row>
    <row r="475" spans="1:9" ht="15.75" hidden="1" customHeight="1" thickBot="1" x14ac:dyDescent="0.3">
      <c r="A475" s="101" t="s">
        <v>131</v>
      </c>
      <c r="B475" s="497"/>
      <c r="C475" s="508"/>
      <c r="D475" s="511"/>
      <c r="E475" s="514"/>
      <c r="F475" s="62">
        <v>1</v>
      </c>
      <c r="G475" s="92" t="s">
        <v>126</v>
      </c>
      <c r="H475" s="91">
        <f t="shared" si="9"/>
        <v>70</v>
      </c>
      <c r="I475" s="101" t="s">
        <v>131</v>
      </c>
    </row>
    <row r="476" spans="1:9" ht="15.75" hidden="1" customHeight="1" thickBot="1" x14ac:dyDescent="0.3">
      <c r="A476" s="101" t="s">
        <v>131</v>
      </c>
      <c r="B476" s="518">
        <v>9</v>
      </c>
      <c r="C476" s="506"/>
      <c r="D476" s="114" t="s">
        <v>125</v>
      </c>
      <c r="E476" s="107">
        <v>0.6</v>
      </c>
      <c r="F476" s="93">
        <v>10</v>
      </c>
      <c r="G476" s="128" t="s">
        <v>126</v>
      </c>
      <c r="H476" s="119">
        <v>115</v>
      </c>
      <c r="I476" s="101" t="s">
        <v>131</v>
      </c>
    </row>
    <row r="477" spans="1:9" ht="15" hidden="1" customHeight="1" x14ac:dyDescent="0.25">
      <c r="A477" s="101" t="s">
        <v>131</v>
      </c>
      <c r="B477" s="504"/>
      <c r="C477" s="507"/>
      <c r="D477" s="509"/>
      <c r="E477" s="512">
        <f>IF(D477=0,0,VLOOKUP($D477,$F476:$H485,3,FALSE)*$E476)</f>
        <v>0</v>
      </c>
      <c r="F477" s="59">
        <v>9</v>
      </c>
      <c r="G477" s="94" t="s">
        <v>126</v>
      </c>
      <c r="H477" s="124">
        <f>H476-5</f>
        <v>110</v>
      </c>
      <c r="I477" s="101" t="s">
        <v>131</v>
      </c>
    </row>
    <row r="478" spans="1:9" ht="15" hidden="1" customHeight="1" x14ac:dyDescent="0.25">
      <c r="A478" s="101" t="s">
        <v>131</v>
      </c>
      <c r="B478" s="504"/>
      <c r="C478" s="507"/>
      <c r="D478" s="510"/>
      <c r="E478" s="513"/>
      <c r="F478" s="59">
        <v>8</v>
      </c>
      <c r="G478" s="94" t="s">
        <v>126</v>
      </c>
      <c r="H478" s="124">
        <f t="shared" ref="H478:H485" si="10">H477-5</f>
        <v>105</v>
      </c>
      <c r="I478" s="101" t="s">
        <v>131</v>
      </c>
    </row>
    <row r="479" spans="1:9" ht="15" hidden="1" customHeight="1" x14ac:dyDescent="0.25">
      <c r="A479" s="101" t="s">
        <v>131</v>
      </c>
      <c r="B479" s="504"/>
      <c r="C479" s="507"/>
      <c r="D479" s="510"/>
      <c r="E479" s="513"/>
      <c r="F479" s="59">
        <v>7</v>
      </c>
      <c r="G479" s="94" t="s">
        <v>126</v>
      </c>
      <c r="H479" s="124">
        <f t="shared" si="10"/>
        <v>100</v>
      </c>
      <c r="I479" s="101" t="s">
        <v>131</v>
      </c>
    </row>
    <row r="480" spans="1:9" ht="15" hidden="1" customHeight="1" x14ac:dyDescent="0.25">
      <c r="A480" s="101" t="s">
        <v>131</v>
      </c>
      <c r="B480" s="504"/>
      <c r="C480" s="507"/>
      <c r="D480" s="510"/>
      <c r="E480" s="513"/>
      <c r="F480" s="59">
        <v>6</v>
      </c>
      <c r="G480" s="94" t="s">
        <v>126</v>
      </c>
      <c r="H480" s="124">
        <f t="shared" si="10"/>
        <v>95</v>
      </c>
      <c r="I480" s="101" t="s">
        <v>131</v>
      </c>
    </row>
    <row r="481" spans="1:9" ht="15" hidden="1" customHeight="1" x14ac:dyDescent="0.25">
      <c r="A481" s="101" t="s">
        <v>131</v>
      </c>
      <c r="B481" s="504"/>
      <c r="C481" s="507"/>
      <c r="D481" s="510"/>
      <c r="E481" s="513"/>
      <c r="F481" s="59">
        <v>5</v>
      </c>
      <c r="G481" s="94" t="s">
        <v>126</v>
      </c>
      <c r="H481" s="124">
        <f t="shared" si="10"/>
        <v>90</v>
      </c>
      <c r="I481" s="101" t="s">
        <v>131</v>
      </c>
    </row>
    <row r="482" spans="1:9" ht="15" hidden="1" customHeight="1" x14ac:dyDescent="0.25">
      <c r="A482" s="101" t="s">
        <v>131</v>
      </c>
      <c r="B482" s="504"/>
      <c r="C482" s="507"/>
      <c r="D482" s="510"/>
      <c r="E482" s="513"/>
      <c r="F482" s="59">
        <v>4</v>
      </c>
      <c r="G482" s="94" t="s">
        <v>126</v>
      </c>
      <c r="H482" s="124">
        <f t="shared" si="10"/>
        <v>85</v>
      </c>
      <c r="I482" s="101" t="s">
        <v>131</v>
      </c>
    </row>
    <row r="483" spans="1:9" ht="15.75" hidden="1" customHeight="1" thickBot="1" x14ac:dyDescent="0.3">
      <c r="A483" s="101" t="s">
        <v>131</v>
      </c>
      <c r="B483" s="505"/>
      <c r="C483" s="508"/>
      <c r="D483" s="510"/>
      <c r="E483" s="513"/>
      <c r="F483" s="59">
        <v>3</v>
      </c>
      <c r="G483" s="94" t="s">
        <v>126</v>
      </c>
      <c r="H483" s="124">
        <f t="shared" si="10"/>
        <v>80</v>
      </c>
      <c r="I483" s="101" t="s">
        <v>131</v>
      </c>
    </row>
    <row r="484" spans="1:9" ht="15" hidden="1" customHeight="1" x14ac:dyDescent="0.25">
      <c r="A484" s="101" t="s">
        <v>131</v>
      </c>
      <c r="B484" s="496" t="s">
        <v>128</v>
      </c>
      <c r="C484" s="506"/>
      <c r="D484" s="510"/>
      <c r="E484" s="513"/>
      <c r="F484" s="59">
        <v>2</v>
      </c>
      <c r="G484" s="94" t="s">
        <v>126</v>
      </c>
      <c r="H484" s="124">
        <f t="shared" si="10"/>
        <v>75</v>
      </c>
      <c r="I484" s="101" t="s">
        <v>131</v>
      </c>
    </row>
    <row r="485" spans="1:9" ht="15.75" hidden="1" customHeight="1" thickBot="1" x14ac:dyDescent="0.3">
      <c r="A485" s="101" t="s">
        <v>131</v>
      </c>
      <c r="B485" s="497"/>
      <c r="C485" s="508"/>
      <c r="D485" s="511"/>
      <c r="E485" s="514"/>
      <c r="F485" s="62">
        <v>1</v>
      </c>
      <c r="G485" s="92" t="s">
        <v>126</v>
      </c>
      <c r="H485" s="91">
        <f t="shared" si="10"/>
        <v>70</v>
      </c>
      <c r="I485" s="101" t="s">
        <v>131</v>
      </c>
    </row>
    <row r="486" spans="1:9" ht="15.75" hidden="1" customHeight="1" thickBot="1" x14ac:dyDescent="0.3">
      <c r="A486" s="101" t="s">
        <v>131</v>
      </c>
      <c r="B486" s="503">
        <v>10</v>
      </c>
      <c r="C486" s="506"/>
      <c r="D486" s="114" t="s">
        <v>125</v>
      </c>
      <c r="E486" s="107">
        <v>0.6</v>
      </c>
      <c r="F486" s="64">
        <v>10</v>
      </c>
      <c r="G486" s="134" t="s">
        <v>126</v>
      </c>
      <c r="H486" s="135">
        <v>115</v>
      </c>
      <c r="I486" s="101" t="s">
        <v>131</v>
      </c>
    </row>
    <row r="487" spans="1:9" ht="15" hidden="1" customHeight="1" x14ac:dyDescent="0.25">
      <c r="A487" s="101" t="s">
        <v>131</v>
      </c>
      <c r="B487" s="504"/>
      <c r="C487" s="507"/>
      <c r="D487" s="509"/>
      <c r="E487" s="512">
        <f>IF(D487=0,0,VLOOKUP($D487,$F486:$H495,3,FALSE)*$E486)</f>
        <v>0</v>
      </c>
      <c r="F487" s="59">
        <v>9</v>
      </c>
      <c r="G487" s="94" t="s">
        <v>126</v>
      </c>
      <c r="H487" s="124">
        <f>H486-5</f>
        <v>110</v>
      </c>
      <c r="I487" s="101" t="s">
        <v>131</v>
      </c>
    </row>
    <row r="488" spans="1:9" ht="15" hidden="1" customHeight="1" x14ac:dyDescent="0.25">
      <c r="A488" s="101" t="s">
        <v>131</v>
      </c>
      <c r="B488" s="504"/>
      <c r="C488" s="507"/>
      <c r="D488" s="510"/>
      <c r="E488" s="513"/>
      <c r="F488" s="59">
        <v>8</v>
      </c>
      <c r="G488" s="94" t="s">
        <v>126</v>
      </c>
      <c r="H488" s="124">
        <f t="shared" ref="H488:H495" si="11">H487-5</f>
        <v>105</v>
      </c>
      <c r="I488" s="101" t="s">
        <v>131</v>
      </c>
    </row>
    <row r="489" spans="1:9" ht="15" hidden="1" customHeight="1" x14ac:dyDescent="0.25">
      <c r="A489" s="101" t="s">
        <v>131</v>
      </c>
      <c r="B489" s="504"/>
      <c r="C489" s="507"/>
      <c r="D489" s="510"/>
      <c r="E489" s="513"/>
      <c r="F489" s="59">
        <v>7</v>
      </c>
      <c r="G489" s="94" t="s">
        <v>126</v>
      </c>
      <c r="H489" s="124">
        <f t="shared" si="11"/>
        <v>100</v>
      </c>
      <c r="I489" s="101" t="s">
        <v>131</v>
      </c>
    </row>
    <row r="490" spans="1:9" ht="15" hidden="1" customHeight="1" x14ac:dyDescent="0.25">
      <c r="A490" s="101" t="s">
        <v>131</v>
      </c>
      <c r="B490" s="504"/>
      <c r="C490" s="507"/>
      <c r="D490" s="510"/>
      <c r="E490" s="513"/>
      <c r="F490" s="59">
        <v>6</v>
      </c>
      <c r="G490" s="94" t="s">
        <v>126</v>
      </c>
      <c r="H490" s="124">
        <f t="shared" si="11"/>
        <v>95</v>
      </c>
      <c r="I490" s="101" t="s">
        <v>131</v>
      </c>
    </row>
    <row r="491" spans="1:9" ht="15" hidden="1" customHeight="1" x14ac:dyDescent="0.25">
      <c r="A491" s="101" t="s">
        <v>131</v>
      </c>
      <c r="B491" s="504"/>
      <c r="C491" s="507"/>
      <c r="D491" s="510"/>
      <c r="E491" s="513"/>
      <c r="F491" s="59">
        <v>5</v>
      </c>
      <c r="G491" s="94" t="s">
        <v>126</v>
      </c>
      <c r="H491" s="124">
        <f t="shared" si="11"/>
        <v>90</v>
      </c>
      <c r="I491" s="101" t="s">
        <v>131</v>
      </c>
    </row>
    <row r="492" spans="1:9" ht="15" hidden="1" customHeight="1" x14ac:dyDescent="0.25">
      <c r="A492" s="101" t="s">
        <v>131</v>
      </c>
      <c r="B492" s="504"/>
      <c r="C492" s="507"/>
      <c r="D492" s="510"/>
      <c r="E492" s="513"/>
      <c r="F492" s="59">
        <v>4</v>
      </c>
      <c r="G492" s="94" t="s">
        <v>126</v>
      </c>
      <c r="H492" s="124">
        <f t="shared" si="11"/>
        <v>85</v>
      </c>
      <c r="I492" s="101" t="s">
        <v>131</v>
      </c>
    </row>
    <row r="493" spans="1:9" ht="15.75" hidden="1" customHeight="1" thickBot="1" x14ac:dyDescent="0.3">
      <c r="A493" s="101" t="s">
        <v>131</v>
      </c>
      <c r="B493" s="505"/>
      <c r="C493" s="508"/>
      <c r="D493" s="510"/>
      <c r="E493" s="513"/>
      <c r="F493" s="59">
        <v>3</v>
      </c>
      <c r="G493" s="94" t="s">
        <v>126</v>
      </c>
      <c r="H493" s="124">
        <f t="shared" si="11"/>
        <v>80</v>
      </c>
      <c r="I493" s="101" t="s">
        <v>131</v>
      </c>
    </row>
    <row r="494" spans="1:9" ht="15" hidden="1" customHeight="1" x14ac:dyDescent="0.25">
      <c r="A494" s="101" t="s">
        <v>131</v>
      </c>
      <c r="B494" s="496" t="s">
        <v>128</v>
      </c>
      <c r="C494" s="506"/>
      <c r="D494" s="510"/>
      <c r="E494" s="513"/>
      <c r="F494" s="59">
        <v>2</v>
      </c>
      <c r="G494" s="94" t="s">
        <v>126</v>
      </c>
      <c r="H494" s="124">
        <f t="shared" si="11"/>
        <v>75</v>
      </c>
      <c r="I494" s="101" t="s">
        <v>131</v>
      </c>
    </row>
    <row r="495" spans="1:9" ht="15.75" hidden="1" customHeight="1" thickBot="1" x14ac:dyDescent="0.3">
      <c r="A495" s="101" t="s">
        <v>131</v>
      </c>
      <c r="B495" s="497"/>
      <c r="C495" s="508"/>
      <c r="D495" s="511"/>
      <c r="E495" s="514"/>
      <c r="F495" s="62">
        <v>1</v>
      </c>
      <c r="G495" s="92" t="s">
        <v>126</v>
      </c>
      <c r="H495" s="91">
        <f t="shared" si="11"/>
        <v>70</v>
      </c>
      <c r="I495" s="101" t="s">
        <v>131</v>
      </c>
    </row>
    <row r="496" spans="1:9" x14ac:dyDescent="0.25">
      <c r="A496" s="101" t="s">
        <v>131</v>
      </c>
      <c r="B496" s="101" t="s">
        <v>131</v>
      </c>
      <c r="C496" s="101" t="s">
        <v>131</v>
      </c>
      <c r="D496" s="111" t="s">
        <v>131</v>
      </c>
      <c r="E496" s="111" t="s">
        <v>131</v>
      </c>
      <c r="F496" s="101" t="s">
        <v>131</v>
      </c>
      <c r="G496" s="101" t="s">
        <v>131</v>
      </c>
      <c r="H496" s="101" t="s">
        <v>131</v>
      </c>
      <c r="I496" s="101" t="s">
        <v>131</v>
      </c>
    </row>
    <row r="497" spans="1:15" ht="53.25" customHeight="1" thickBot="1" x14ac:dyDescent="0.3"/>
    <row r="498" spans="1:15" x14ac:dyDescent="0.25">
      <c r="B498" s="116" t="s">
        <v>122</v>
      </c>
      <c r="C498" s="95"/>
      <c r="D498" s="104"/>
      <c r="E498" s="104"/>
      <c r="F498" s="95"/>
      <c r="G498" s="560" t="s">
        <v>17</v>
      </c>
      <c r="H498" s="560"/>
      <c r="I498" s="561"/>
      <c r="O498" s="144">
        <v>3</v>
      </c>
    </row>
    <row r="499" spans="1:15" ht="15.75" thickBot="1" x14ac:dyDescent="0.3">
      <c r="B499" s="117" t="s">
        <v>143</v>
      </c>
      <c r="C499" s="96"/>
      <c r="D499" s="105"/>
      <c r="E499" s="105"/>
      <c r="F499" s="96"/>
      <c r="G499" s="562">
        <v>0.1</v>
      </c>
      <c r="H499" s="563"/>
      <c r="I499" s="564"/>
    </row>
    <row r="500" spans="1:15" ht="15.75" thickBot="1" x14ac:dyDescent="0.3">
      <c r="A500" s="115" t="s">
        <v>131</v>
      </c>
      <c r="B500" s="97"/>
      <c r="C500" s="97"/>
      <c r="D500" s="106"/>
      <c r="E500" s="106"/>
      <c r="F500" s="97"/>
      <c r="G500" s="97"/>
      <c r="H500" s="97"/>
      <c r="I500" s="98" t="s">
        <v>131</v>
      </c>
    </row>
    <row r="501" spans="1:15" ht="15.75" thickBot="1" x14ac:dyDescent="0.3">
      <c r="A501" s="98" t="s">
        <v>131</v>
      </c>
      <c r="B501" s="55" t="s">
        <v>119</v>
      </c>
      <c r="C501" s="55" t="s">
        <v>118</v>
      </c>
      <c r="D501" s="498" t="s">
        <v>124</v>
      </c>
      <c r="E501" s="499"/>
      <c r="F501" s="500" t="s">
        <v>127</v>
      </c>
      <c r="G501" s="501"/>
      <c r="H501" s="502"/>
      <c r="I501" s="98" t="s">
        <v>131</v>
      </c>
      <c r="K501" s="544" t="s">
        <v>129</v>
      </c>
      <c r="L501" s="545"/>
      <c r="M501" s="546"/>
    </row>
    <row r="502" spans="1:15" ht="15.75" thickBot="1" x14ac:dyDescent="0.3">
      <c r="A502" s="98" t="s">
        <v>131</v>
      </c>
      <c r="B502" s="518">
        <v>1</v>
      </c>
      <c r="C502" s="506" t="s">
        <v>143</v>
      </c>
      <c r="D502" s="170" t="s">
        <v>125</v>
      </c>
      <c r="E502" s="171">
        <v>1</v>
      </c>
      <c r="F502" s="212">
        <v>1</v>
      </c>
      <c r="G502" s="267" t="s">
        <v>225</v>
      </c>
      <c r="H502" s="223">
        <v>115</v>
      </c>
      <c r="I502" s="98" t="s">
        <v>131</v>
      </c>
      <c r="K502" s="120" t="s">
        <v>118</v>
      </c>
      <c r="L502" s="121" t="s">
        <v>124</v>
      </c>
      <c r="M502" s="122" t="s">
        <v>128</v>
      </c>
    </row>
    <row r="503" spans="1:15" x14ac:dyDescent="0.25">
      <c r="A503" s="98" t="s">
        <v>131</v>
      </c>
      <c r="B503" s="504"/>
      <c r="C503" s="507"/>
      <c r="D503" s="522">
        <v>1</v>
      </c>
      <c r="E503" s="525">
        <f>IF(D503=0,0,VLOOKUP($D503,$F502:$H511,3,FALSE)*$E502)</f>
        <v>115</v>
      </c>
      <c r="F503" s="159">
        <v>2</v>
      </c>
      <c r="G503" s="268" t="s">
        <v>226</v>
      </c>
      <c r="H503" s="221">
        <v>111</v>
      </c>
      <c r="I503" s="98" t="s">
        <v>131</v>
      </c>
      <c r="K503" s="70">
        <v>1</v>
      </c>
      <c r="L503" s="125">
        <f>E503</f>
        <v>115</v>
      </c>
      <c r="M503" s="547">
        <f>SUM(L503:L507)</f>
        <v>115</v>
      </c>
    </row>
    <row r="504" spans="1:15" x14ac:dyDescent="0.25">
      <c r="A504" s="98" t="s">
        <v>131</v>
      </c>
      <c r="B504" s="504"/>
      <c r="C504" s="507"/>
      <c r="D504" s="523"/>
      <c r="E504" s="526"/>
      <c r="F504" s="159">
        <v>3</v>
      </c>
      <c r="G504" s="268" t="s">
        <v>227</v>
      </c>
      <c r="H504" s="221">
        <f t="shared" ref="H504:H511" si="12">+H503-1</f>
        <v>110</v>
      </c>
      <c r="I504" s="98" t="s">
        <v>131</v>
      </c>
      <c r="K504" s="71">
        <v>2</v>
      </c>
      <c r="L504" s="126">
        <f>E514</f>
        <v>0</v>
      </c>
      <c r="M504" s="547"/>
    </row>
    <row r="505" spans="1:15" x14ac:dyDescent="0.25">
      <c r="A505" s="98" t="s">
        <v>131</v>
      </c>
      <c r="B505" s="504"/>
      <c r="C505" s="507"/>
      <c r="D505" s="523"/>
      <c r="E505" s="526"/>
      <c r="F505" s="159">
        <v>4</v>
      </c>
      <c r="G505" s="268" t="s">
        <v>228</v>
      </c>
      <c r="H505" s="221">
        <f t="shared" si="12"/>
        <v>109</v>
      </c>
      <c r="I505" s="98" t="s">
        <v>131</v>
      </c>
      <c r="K505" s="71">
        <v>3</v>
      </c>
      <c r="L505" s="126">
        <f>E524</f>
        <v>0</v>
      </c>
      <c r="M505" s="547"/>
    </row>
    <row r="506" spans="1:15" x14ac:dyDescent="0.25">
      <c r="A506" s="98" t="s">
        <v>131</v>
      </c>
      <c r="B506" s="504"/>
      <c r="C506" s="507"/>
      <c r="D506" s="523"/>
      <c r="E506" s="526"/>
      <c r="F506" s="159">
        <v>5</v>
      </c>
      <c r="G506" s="268" t="s">
        <v>229</v>
      </c>
      <c r="H506" s="221">
        <f t="shared" si="12"/>
        <v>108</v>
      </c>
      <c r="I506" s="98" t="s">
        <v>131</v>
      </c>
      <c r="K506" s="71">
        <v>4</v>
      </c>
      <c r="L506" s="126">
        <f>E534</f>
        <v>0</v>
      </c>
      <c r="M506" s="547"/>
    </row>
    <row r="507" spans="1:15" ht="15.75" thickBot="1" x14ac:dyDescent="0.3">
      <c r="A507" s="98" t="s">
        <v>131</v>
      </c>
      <c r="B507" s="504"/>
      <c r="C507" s="507"/>
      <c r="D507" s="523"/>
      <c r="E507" s="526"/>
      <c r="F507" s="159">
        <v>6</v>
      </c>
      <c r="G507" s="268" t="s">
        <v>230</v>
      </c>
      <c r="H507" s="221">
        <f t="shared" si="12"/>
        <v>107</v>
      </c>
      <c r="I507" s="98" t="s">
        <v>131</v>
      </c>
      <c r="K507" s="72">
        <v>5</v>
      </c>
      <c r="L507" s="127">
        <f>E544</f>
        <v>0</v>
      </c>
      <c r="M507" s="548"/>
    </row>
    <row r="508" spans="1:15" ht="15.75" thickBot="1" x14ac:dyDescent="0.3">
      <c r="A508" s="98" t="s">
        <v>131</v>
      </c>
      <c r="B508" s="504"/>
      <c r="C508" s="507"/>
      <c r="D508" s="523"/>
      <c r="E508" s="526"/>
      <c r="F508" s="159">
        <v>7</v>
      </c>
      <c r="G508" s="268" t="s">
        <v>231</v>
      </c>
      <c r="H508" s="221">
        <f t="shared" si="12"/>
        <v>106</v>
      </c>
      <c r="I508" s="98" t="s">
        <v>131</v>
      </c>
    </row>
    <row r="509" spans="1:15" ht="15.75" thickBot="1" x14ac:dyDescent="0.3">
      <c r="A509" s="98" t="s">
        <v>131</v>
      </c>
      <c r="B509" s="505"/>
      <c r="C509" s="508"/>
      <c r="D509" s="523"/>
      <c r="E509" s="526"/>
      <c r="F509" s="159">
        <v>8</v>
      </c>
      <c r="G509" s="268" t="s">
        <v>232</v>
      </c>
      <c r="H509" s="221">
        <f t="shared" si="12"/>
        <v>105</v>
      </c>
      <c r="I509" s="98" t="s">
        <v>131</v>
      </c>
      <c r="K509" s="549" t="s">
        <v>62</v>
      </c>
      <c r="L509" s="550"/>
      <c r="M509" s="551"/>
    </row>
    <row r="510" spans="1:15" ht="15.75" thickBot="1" x14ac:dyDescent="0.3">
      <c r="A510" s="98" t="s">
        <v>131</v>
      </c>
      <c r="B510" s="528" t="s">
        <v>128</v>
      </c>
      <c r="C510" s="530" t="s">
        <v>308</v>
      </c>
      <c r="D510" s="523"/>
      <c r="E510" s="526"/>
      <c r="F510" s="159">
        <v>9</v>
      </c>
      <c r="G510" s="269" t="s">
        <v>233</v>
      </c>
      <c r="H510" s="221">
        <f t="shared" si="12"/>
        <v>104</v>
      </c>
      <c r="I510" s="98" t="s">
        <v>131</v>
      </c>
      <c r="K510" s="129" t="s">
        <v>36</v>
      </c>
      <c r="L510" s="130" t="s">
        <v>124</v>
      </c>
      <c r="M510" s="131" t="s">
        <v>128</v>
      </c>
    </row>
    <row r="511" spans="1:15" ht="15.75" thickBot="1" x14ac:dyDescent="0.3">
      <c r="A511" s="98" t="s">
        <v>131</v>
      </c>
      <c r="B511" s="529"/>
      <c r="C511" s="531"/>
      <c r="D511" s="524"/>
      <c r="E511" s="527"/>
      <c r="F511" s="160">
        <v>10</v>
      </c>
      <c r="G511" s="161" t="s">
        <v>234</v>
      </c>
      <c r="H511" s="221">
        <f t="shared" si="12"/>
        <v>103</v>
      </c>
      <c r="I511" s="98" t="s">
        <v>131</v>
      </c>
      <c r="K511" s="70">
        <v>1</v>
      </c>
      <c r="L511" s="125">
        <f>E557</f>
        <v>28.75</v>
      </c>
      <c r="M511" s="552">
        <f>SUM(L511:L520)</f>
        <v>115</v>
      </c>
    </row>
    <row r="512" spans="1:15" ht="15.75" hidden="1" thickBot="1" x14ac:dyDescent="0.3">
      <c r="A512" s="98" t="s">
        <v>131</v>
      </c>
      <c r="B512" s="518"/>
      <c r="C512" s="506"/>
      <c r="D512" s="169" t="s">
        <v>125</v>
      </c>
      <c r="E512" s="107"/>
      <c r="F512" s="93"/>
      <c r="G512" s="128"/>
      <c r="H512" s="119"/>
      <c r="I512" s="98" t="s">
        <v>131</v>
      </c>
      <c r="K512" s="71">
        <v>2</v>
      </c>
      <c r="L512" s="126">
        <f>E566</f>
        <v>28.75</v>
      </c>
      <c r="M512" s="547"/>
    </row>
    <row r="513" spans="1:13" ht="15.75" hidden="1" customHeight="1" x14ac:dyDescent="0.25">
      <c r="A513" s="98" t="s">
        <v>131</v>
      </c>
      <c r="B513" s="504"/>
      <c r="C513" s="507"/>
      <c r="D513" s="509"/>
      <c r="E513" s="512">
        <f>IF(D513=0,0,VLOOKUP($D513,$F512:$H521,3,FALSE)*$E512)</f>
        <v>0</v>
      </c>
      <c r="F513" s="59"/>
      <c r="G513" s="94"/>
      <c r="H513" s="124"/>
      <c r="I513" s="98" t="s">
        <v>131</v>
      </c>
      <c r="K513" s="71">
        <v>3</v>
      </c>
      <c r="L513" s="126">
        <f>E575</f>
        <v>28.75</v>
      </c>
      <c r="M513" s="547"/>
    </row>
    <row r="514" spans="1:13" ht="15" hidden="1" customHeight="1" x14ac:dyDescent="0.25">
      <c r="A514" s="98" t="s">
        <v>131</v>
      </c>
      <c r="B514" s="504"/>
      <c r="C514" s="507"/>
      <c r="D514" s="510"/>
      <c r="E514" s="513"/>
      <c r="F514" s="59"/>
      <c r="G514" s="94"/>
      <c r="H514" s="124"/>
      <c r="I514" s="98" t="s">
        <v>131</v>
      </c>
      <c r="K514" s="71">
        <v>4</v>
      </c>
      <c r="L514" s="126">
        <f>E584</f>
        <v>28.75</v>
      </c>
      <c r="M514" s="547"/>
    </row>
    <row r="515" spans="1:13" ht="15" hidden="1" customHeight="1" x14ac:dyDescent="0.25">
      <c r="A515" s="98" t="s">
        <v>131</v>
      </c>
      <c r="B515" s="504"/>
      <c r="C515" s="507"/>
      <c r="D515" s="510"/>
      <c r="E515" s="513"/>
      <c r="F515" s="59"/>
      <c r="G515" s="94"/>
      <c r="H515" s="124"/>
      <c r="I515" s="98" t="s">
        <v>131</v>
      </c>
      <c r="K515" s="71">
        <v>5</v>
      </c>
      <c r="L515" s="126">
        <f>E595</f>
        <v>0</v>
      </c>
      <c r="M515" s="547"/>
    </row>
    <row r="516" spans="1:13" ht="15" hidden="1" customHeight="1" x14ac:dyDescent="0.25">
      <c r="A516" s="98" t="s">
        <v>131</v>
      </c>
      <c r="B516" s="504"/>
      <c r="C516" s="507"/>
      <c r="D516" s="510"/>
      <c r="E516" s="513"/>
      <c r="F516" s="59"/>
      <c r="G516" s="94"/>
      <c r="H516" s="124"/>
      <c r="I516" s="98" t="s">
        <v>131</v>
      </c>
      <c r="K516" s="70">
        <v>6</v>
      </c>
      <c r="L516" s="126">
        <f>E605</f>
        <v>0</v>
      </c>
      <c r="M516" s="547"/>
    </row>
    <row r="517" spans="1:13" ht="15" hidden="1" customHeight="1" x14ac:dyDescent="0.25">
      <c r="A517" s="98" t="s">
        <v>131</v>
      </c>
      <c r="B517" s="504"/>
      <c r="C517" s="507"/>
      <c r="D517" s="510"/>
      <c r="E517" s="513"/>
      <c r="F517" s="59"/>
      <c r="G517" s="94"/>
      <c r="H517" s="124"/>
      <c r="I517" s="98" t="s">
        <v>131</v>
      </c>
      <c r="K517" s="71">
        <v>7</v>
      </c>
      <c r="L517" s="126">
        <f>E615</f>
        <v>0</v>
      </c>
      <c r="M517" s="547"/>
    </row>
    <row r="518" spans="1:13" ht="15" hidden="1" customHeight="1" x14ac:dyDescent="0.25">
      <c r="A518" s="98" t="s">
        <v>131</v>
      </c>
      <c r="B518" s="504"/>
      <c r="C518" s="507"/>
      <c r="D518" s="510"/>
      <c r="E518" s="513"/>
      <c r="F518" s="59"/>
      <c r="G518" s="94"/>
      <c r="H518" s="124"/>
      <c r="I518" s="98" t="s">
        <v>131</v>
      </c>
      <c r="K518" s="71">
        <v>8</v>
      </c>
      <c r="L518" s="126">
        <f>E625</f>
        <v>0</v>
      </c>
      <c r="M518" s="547"/>
    </row>
    <row r="519" spans="1:13" ht="15" hidden="1" customHeight="1" thickBot="1" x14ac:dyDescent="0.3">
      <c r="A519" s="98" t="s">
        <v>131</v>
      </c>
      <c r="B519" s="505"/>
      <c r="C519" s="508"/>
      <c r="D519" s="510"/>
      <c r="E519" s="513"/>
      <c r="F519" s="59"/>
      <c r="G519" s="94"/>
      <c r="H519" s="124"/>
      <c r="I519" s="98" t="s">
        <v>131</v>
      </c>
      <c r="K519" s="71">
        <v>9</v>
      </c>
      <c r="L519" s="126">
        <f>E635</f>
        <v>0</v>
      </c>
      <c r="M519" s="547"/>
    </row>
    <row r="520" spans="1:13" ht="15.75" hidden="1" customHeight="1" thickBot="1" x14ac:dyDescent="0.3">
      <c r="A520" s="98" t="s">
        <v>131</v>
      </c>
      <c r="B520" s="496" t="s">
        <v>128</v>
      </c>
      <c r="C520" s="506"/>
      <c r="D520" s="510"/>
      <c r="E520" s="513"/>
      <c r="F520" s="59"/>
      <c r="G520" s="94"/>
      <c r="H520" s="124"/>
      <c r="I520" s="98" t="s">
        <v>131</v>
      </c>
      <c r="K520" s="72">
        <v>10</v>
      </c>
      <c r="L520" s="127">
        <f>E645</f>
        <v>0</v>
      </c>
      <c r="M520" s="548"/>
    </row>
    <row r="521" spans="1:13" ht="15" hidden="1" customHeight="1" thickBot="1" x14ac:dyDescent="0.3">
      <c r="A521" s="98" t="s">
        <v>131</v>
      </c>
      <c r="B521" s="497"/>
      <c r="C521" s="508"/>
      <c r="D521" s="511"/>
      <c r="E521" s="514"/>
      <c r="F521" s="62"/>
      <c r="G521" s="92"/>
      <c r="H521" s="91"/>
      <c r="I521" s="98" t="s">
        <v>131</v>
      </c>
    </row>
    <row r="522" spans="1:13" ht="15.75" hidden="1" customHeight="1" thickBot="1" x14ac:dyDescent="0.3">
      <c r="A522" s="98" t="s">
        <v>131</v>
      </c>
      <c r="B522" s="518">
        <v>3</v>
      </c>
      <c r="C522" s="506"/>
      <c r="D522" s="169" t="s">
        <v>125</v>
      </c>
      <c r="E522" s="107"/>
      <c r="F522" s="93">
        <v>10</v>
      </c>
      <c r="G522" s="128" t="s">
        <v>126</v>
      </c>
      <c r="H522" s="119">
        <v>115</v>
      </c>
      <c r="I522" s="98" t="s">
        <v>131</v>
      </c>
    </row>
    <row r="523" spans="1:13" ht="15.75" hidden="1" customHeight="1" x14ac:dyDescent="0.25">
      <c r="A523" s="98" t="s">
        <v>131</v>
      </c>
      <c r="B523" s="504"/>
      <c r="C523" s="507"/>
      <c r="D523" s="509"/>
      <c r="E523" s="512">
        <f>IF(D523=0,0,VLOOKUP($D523,$F522:$H531,3,FALSE)*$E522)</f>
        <v>0</v>
      </c>
      <c r="F523" s="59">
        <v>9</v>
      </c>
      <c r="G523" s="94" t="s">
        <v>126</v>
      </c>
      <c r="H523" s="124">
        <f>H522-5</f>
        <v>110</v>
      </c>
      <c r="I523" s="98" t="s">
        <v>131</v>
      </c>
    </row>
    <row r="524" spans="1:13" ht="15" hidden="1" customHeight="1" x14ac:dyDescent="0.25">
      <c r="A524" s="98" t="s">
        <v>131</v>
      </c>
      <c r="B524" s="504"/>
      <c r="C524" s="507"/>
      <c r="D524" s="510"/>
      <c r="E524" s="513"/>
      <c r="F524" s="59">
        <v>8</v>
      </c>
      <c r="G524" s="94" t="s">
        <v>126</v>
      </c>
      <c r="H524" s="124">
        <f t="shared" ref="H524:H531" si="13">H523-5</f>
        <v>105</v>
      </c>
      <c r="I524" s="98" t="s">
        <v>131</v>
      </c>
    </row>
    <row r="525" spans="1:13" ht="15" hidden="1" customHeight="1" x14ac:dyDescent="0.25">
      <c r="A525" s="98" t="s">
        <v>131</v>
      </c>
      <c r="B525" s="504"/>
      <c r="C525" s="507"/>
      <c r="D525" s="510"/>
      <c r="E525" s="513"/>
      <c r="F525" s="59">
        <v>7</v>
      </c>
      <c r="G525" s="94" t="s">
        <v>126</v>
      </c>
      <c r="H525" s="124">
        <f t="shared" si="13"/>
        <v>100</v>
      </c>
      <c r="I525" s="98" t="s">
        <v>131</v>
      </c>
    </row>
    <row r="526" spans="1:13" ht="15" hidden="1" customHeight="1" x14ac:dyDescent="0.25">
      <c r="A526" s="98" t="s">
        <v>131</v>
      </c>
      <c r="B526" s="504"/>
      <c r="C526" s="507"/>
      <c r="D526" s="510"/>
      <c r="E526" s="513"/>
      <c r="F526" s="59">
        <v>6</v>
      </c>
      <c r="G526" s="94" t="s">
        <v>126</v>
      </c>
      <c r="H526" s="124">
        <f t="shared" si="13"/>
        <v>95</v>
      </c>
      <c r="I526" s="98" t="s">
        <v>131</v>
      </c>
    </row>
    <row r="527" spans="1:13" ht="15" hidden="1" customHeight="1" x14ac:dyDescent="0.25">
      <c r="A527" s="98" t="s">
        <v>131</v>
      </c>
      <c r="B527" s="504"/>
      <c r="C527" s="507"/>
      <c r="D527" s="510"/>
      <c r="E527" s="513"/>
      <c r="F527" s="59">
        <v>5</v>
      </c>
      <c r="G527" s="94" t="s">
        <v>126</v>
      </c>
      <c r="H527" s="124">
        <f t="shared" si="13"/>
        <v>90</v>
      </c>
      <c r="I527" s="98" t="s">
        <v>131</v>
      </c>
    </row>
    <row r="528" spans="1:13" ht="15" hidden="1" customHeight="1" x14ac:dyDescent="0.25">
      <c r="A528" s="98" t="s">
        <v>131</v>
      </c>
      <c r="B528" s="504"/>
      <c r="C528" s="507"/>
      <c r="D528" s="510"/>
      <c r="E528" s="513"/>
      <c r="F528" s="59">
        <v>4</v>
      </c>
      <c r="G528" s="94" t="s">
        <v>126</v>
      </c>
      <c r="H528" s="124">
        <f t="shared" si="13"/>
        <v>85</v>
      </c>
      <c r="I528" s="98" t="s">
        <v>131</v>
      </c>
    </row>
    <row r="529" spans="1:9" ht="15" hidden="1" customHeight="1" thickBot="1" x14ac:dyDescent="0.3">
      <c r="A529" s="98" t="s">
        <v>131</v>
      </c>
      <c r="B529" s="505"/>
      <c r="C529" s="508"/>
      <c r="D529" s="510"/>
      <c r="E529" s="513"/>
      <c r="F529" s="59">
        <v>3</v>
      </c>
      <c r="G529" s="94" t="s">
        <v>126</v>
      </c>
      <c r="H529" s="124">
        <f t="shared" si="13"/>
        <v>80</v>
      </c>
      <c r="I529" s="98" t="s">
        <v>131</v>
      </c>
    </row>
    <row r="530" spans="1:9" ht="15.75" hidden="1" customHeight="1" x14ac:dyDescent="0.25">
      <c r="A530" s="98" t="s">
        <v>131</v>
      </c>
      <c r="B530" s="496" t="s">
        <v>128</v>
      </c>
      <c r="C530" s="506"/>
      <c r="D530" s="510"/>
      <c r="E530" s="513"/>
      <c r="F530" s="59">
        <v>2</v>
      </c>
      <c r="G530" s="94" t="s">
        <v>126</v>
      </c>
      <c r="H530" s="124">
        <f t="shared" si="13"/>
        <v>75</v>
      </c>
      <c r="I530" s="98" t="s">
        <v>131</v>
      </c>
    </row>
    <row r="531" spans="1:9" ht="15" hidden="1" customHeight="1" thickBot="1" x14ac:dyDescent="0.3">
      <c r="A531" s="98" t="s">
        <v>131</v>
      </c>
      <c r="B531" s="497"/>
      <c r="C531" s="508"/>
      <c r="D531" s="511"/>
      <c r="E531" s="514"/>
      <c r="F531" s="62">
        <v>1</v>
      </c>
      <c r="G531" s="92" t="s">
        <v>126</v>
      </c>
      <c r="H531" s="91">
        <f t="shared" si="13"/>
        <v>70</v>
      </c>
      <c r="I531" s="98" t="s">
        <v>131</v>
      </c>
    </row>
    <row r="532" spans="1:9" ht="15.75" hidden="1" customHeight="1" thickBot="1" x14ac:dyDescent="0.3">
      <c r="A532" s="98" t="s">
        <v>131</v>
      </c>
      <c r="B532" s="518">
        <v>4</v>
      </c>
      <c r="C532" s="506"/>
      <c r="D532" s="169" t="s">
        <v>125</v>
      </c>
      <c r="E532" s="107"/>
      <c r="F532" s="93">
        <v>10</v>
      </c>
      <c r="G532" s="128" t="s">
        <v>126</v>
      </c>
      <c r="H532" s="119">
        <v>115</v>
      </c>
      <c r="I532" s="98" t="s">
        <v>131</v>
      </c>
    </row>
    <row r="533" spans="1:9" ht="15.75" hidden="1" customHeight="1" x14ac:dyDescent="0.25">
      <c r="A533" s="98" t="s">
        <v>131</v>
      </c>
      <c r="B533" s="504"/>
      <c r="C533" s="507"/>
      <c r="D533" s="509"/>
      <c r="E533" s="512">
        <f>IF(D533=0,0,VLOOKUP($D533,$F532:$H541,3,FALSE)*$E532)</f>
        <v>0</v>
      </c>
      <c r="F533" s="59">
        <v>9</v>
      </c>
      <c r="G533" s="94" t="s">
        <v>126</v>
      </c>
      <c r="H533" s="124">
        <f>H532-5</f>
        <v>110</v>
      </c>
      <c r="I533" s="98" t="s">
        <v>131</v>
      </c>
    </row>
    <row r="534" spans="1:9" ht="15" hidden="1" customHeight="1" x14ac:dyDescent="0.25">
      <c r="A534" s="98" t="s">
        <v>131</v>
      </c>
      <c r="B534" s="504"/>
      <c r="C534" s="507"/>
      <c r="D534" s="510"/>
      <c r="E534" s="513"/>
      <c r="F534" s="59">
        <v>8</v>
      </c>
      <c r="G534" s="94" t="s">
        <v>126</v>
      </c>
      <c r="H534" s="124">
        <f t="shared" ref="H534:H541" si="14">H533-5</f>
        <v>105</v>
      </c>
      <c r="I534" s="98" t="s">
        <v>131</v>
      </c>
    </row>
    <row r="535" spans="1:9" ht="15" hidden="1" customHeight="1" x14ac:dyDescent="0.25">
      <c r="A535" s="98" t="s">
        <v>131</v>
      </c>
      <c r="B535" s="504"/>
      <c r="C535" s="507"/>
      <c r="D535" s="510"/>
      <c r="E535" s="513"/>
      <c r="F535" s="59">
        <v>7</v>
      </c>
      <c r="G535" s="94" t="s">
        <v>126</v>
      </c>
      <c r="H535" s="124">
        <f t="shared" si="14"/>
        <v>100</v>
      </c>
      <c r="I535" s="98" t="s">
        <v>131</v>
      </c>
    </row>
    <row r="536" spans="1:9" ht="15" hidden="1" customHeight="1" x14ac:dyDescent="0.25">
      <c r="A536" s="98" t="s">
        <v>131</v>
      </c>
      <c r="B536" s="504"/>
      <c r="C536" s="507"/>
      <c r="D536" s="510"/>
      <c r="E536" s="513"/>
      <c r="F536" s="59">
        <v>6</v>
      </c>
      <c r="G536" s="94" t="s">
        <v>126</v>
      </c>
      <c r="H536" s="124">
        <f t="shared" si="14"/>
        <v>95</v>
      </c>
      <c r="I536" s="98" t="s">
        <v>131</v>
      </c>
    </row>
    <row r="537" spans="1:9" ht="15" hidden="1" customHeight="1" x14ac:dyDescent="0.25">
      <c r="A537" s="98" t="s">
        <v>131</v>
      </c>
      <c r="B537" s="504"/>
      <c r="C537" s="507"/>
      <c r="D537" s="510"/>
      <c r="E537" s="513"/>
      <c r="F537" s="59">
        <v>5</v>
      </c>
      <c r="G537" s="94" t="s">
        <v>126</v>
      </c>
      <c r="H537" s="124">
        <f t="shared" si="14"/>
        <v>90</v>
      </c>
      <c r="I537" s="98" t="s">
        <v>131</v>
      </c>
    </row>
    <row r="538" spans="1:9" ht="15" hidden="1" customHeight="1" x14ac:dyDescent="0.25">
      <c r="A538" s="98" t="s">
        <v>131</v>
      </c>
      <c r="B538" s="504"/>
      <c r="C538" s="507"/>
      <c r="D538" s="510"/>
      <c r="E538" s="513"/>
      <c r="F538" s="59">
        <v>4</v>
      </c>
      <c r="G538" s="94" t="s">
        <v>126</v>
      </c>
      <c r="H538" s="124">
        <f t="shared" si="14"/>
        <v>85</v>
      </c>
      <c r="I538" s="98" t="s">
        <v>131</v>
      </c>
    </row>
    <row r="539" spans="1:9" ht="15" hidden="1" customHeight="1" thickBot="1" x14ac:dyDescent="0.3">
      <c r="A539" s="98" t="s">
        <v>131</v>
      </c>
      <c r="B539" s="505"/>
      <c r="C539" s="508"/>
      <c r="D539" s="510"/>
      <c r="E539" s="513"/>
      <c r="F539" s="59">
        <v>3</v>
      </c>
      <c r="G539" s="94" t="s">
        <v>126</v>
      </c>
      <c r="H539" s="124">
        <f t="shared" si="14"/>
        <v>80</v>
      </c>
      <c r="I539" s="98" t="s">
        <v>131</v>
      </c>
    </row>
    <row r="540" spans="1:9" ht="15.75" hidden="1" customHeight="1" x14ac:dyDescent="0.25">
      <c r="A540" s="98" t="s">
        <v>131</v>
      </c>
      <c r="B540" s="496" t="s">
        <v>128</v>
      </c>
      <c r="C540" s="506"/>
      <c r="D540" s="510"/>
      <c r="E540" s="513"/>
      <c r="F540" s="59">
        <v>2</v>
      </c>
      <c r="G540" s="94" t="s">
        <v>126</v>
      </c>
      <c r="H540" s="124">
        <f t="shared" si="14"/>
        <v>75</v>
      </c>
      <c r="I540" s="98" t="s">
        <v>131</v>
      </c>
    </row>
    <row r="541" spans="1:9" ht="15" hidden="1" customHeight="1" thickBot="1" x14ac:dyDescent="0.3">
      <c r="A541" s="98" t="s">
        <v>131</v>
      </c>
      <c r="B541" s="497"/>
      <c r="C541" s="508"/>
      <c r="D541" s="511"/>
      <c r="E541" s="514"/>
      <c r="F541" s="62">
        <v>1</v>
      </c>
      <c r="G541" s="92" t="s">
        <v>126</v>
      </c>
      <c r="H541" s="91">
        <f t="shared" si="14"/>
        <v>70</v>
      </c>
      <c r="I541" s="98" t="s">
        <v>131</v>
      </c>
    </row>
    <row r="542" spans="1:9" ht="15.75" hidden="1" customHeight="1" thickBot="1" x14ac:dyDescent="0.3">
      <c r="A542" s="98" t="s">
        <v>131</v>
      </c>
      <c r="B542" s="503">
        <v>5</v>
      </c>
      <c r="C542" s="506"/>
      <c r="D542" s="169" t="s">
        <v>125</v>
      </c>
      <c r="E542" s="107"/>
      <c r="F542" s="64">
        <v>10</v>
      </c>
      <c r="G542" s="134" t="s">
        <v>126</v>
      </c>
      <c r="H542" s="135">
        <v>115</v>
      </c>
      <c r="I542" s="98" t="s">
        <v>131</v>
      </c>
    </row>
    <row r="543" spans="1:9" ht="15.75" hidden="1" customHeight="1" x14ac:dyDescent="0.25">
      <c r="A543" s="98" t="s">
        <v>131</v>
      </c>
      <c r="B543" s="504"/>
      <c r="C543" s="507"/>
      <c r="D543" s="509"/>
      <c r="E543" s="512">
        <f>IF(D543=0,0,VLOOKUP($D543,$F542:$H551,3,FALSE)*$E542)</f>
        <v>0</v>
      </c>
      <c r="F543" s="59">
        <v>9</v>
      </c>
      <c r="G543" s="94" t="s">
        <v>126</v>
      </c>
      <c r="H543" s="124">
        <f>H542-5</f>
        <v>110</v>
      </c>
      <c r="I543" s="98" t="s">
        <v>131</v>
      </c>
    </row>
    <row r="544" spans="1:9" ht="15" hidden="1" customHeight="1" x14ac:dyDescent="0.25">
      <c r="A544" s="98" t="s">
        <v>131</v>
      </c>
      <c r="B544" s="504"/>
      <c r="C544" s="507"/>
      <c r="D544" s="510"/>
      <c r="E544" s="513"/>
      <c r="F544" s="59">
        <v>8</v>
      </c>
      <c r="G544" s="94" t="s">
        <v>126</v>
      </c>
      <c r="H544" s="124">
        <f t="shared" ref="H544:H551" si="15">H543-5</f>
        <v>105</v>
      </c>
      <c r="I544" s="98" t="s">
        <v>131</v>
      </c>
    </row>
    <row r="545" spans="1:9" ht="15" hidden="1" customHeight="1" x14ac:dyDescent="0.25">
      <c r="A545" s="98" t="s">
        <v>131</v>
      </c>
      <c r="B545" s="504"/>
      <c r="C545" s="507"/>
      <c r="D545" s="510"/>
      <c r="E545" s="513"/>
      <c r="F545" s="59">
        <v>7</v>
      </c>
      <c r="G545" s="94" t="s">
        <v>126</v>
      </c>
      <c r="H545" s="124">
        <f t="shared" si="15"/>
        <v>100</v>
      </c>
      <c r="I545" s="98" t="s">
        <v>131</v>
      </c>
    </row>
    <row r="546" spans="1:9" ht="15" hidden="1" customHeight="1" x14ac:dyDescent="0.25">
      <c r="A546" s="98" t="s">
        <v>131</v>
      </c>
      <c r="B546" s="504"/>
      <c r="C546" s="507"/>
      <c r="D546" s="510"/>
      <c r="E546" s="513"/>
      <c r="F546" s="59">
        <v>6</v>
      </c>
      <c r="G546" s="94" t="s">
        <v>126</v>
      </c>
      <c r="H546" s="124">
        <f t="shared" si="15"/>
        <v>95</v>
      </c>
      <c r="I546" s="98" t="s">
        <v>131</v>
      </c>
    </row>
    <row r="547" spans="1:9" ht="15" hidden="1" customHeight="1" x14ac:dyDescent="0.25">
      <c r="A547" s="98" t="s">
        <v>131</v>
      </c>
      <c r="B547" s="504"/>
      <c r="C547" s="507"/>
      <c r="D547" s="510"/>
      <c r="E547" s="513"/>
      <c r="F547" s="59">
        <v>5</v>
      </c>
      <c r="G547" s="94" t="s">
        <v>126</v>
      </c>
      <c r="H547" s="124">
        <f t="shared" si="15"/>
        <v>90</v>
      </c>
      <c r="I547" s="98" t="s">
        <v>131</v>
      </c>
    </row>
    <row r="548" spans="1:9" ht="15" hidden="1" customHeight="1" x14ac:dyDescent="0.25">
      <c r="A548" s="98" t="s">
        <v>131</v>
      </c>
      <c r="B548" s="504"/>
      <c r="C548" s="507"/>
      <c r="D548" s="510"/>
      <c r="E548" s="513"/>
      <c r="F548" s="59">
        <v>4</v>
      </c>
      <c r="G548" s="94" t="s">
        <v>126</v>
      </c>
      <c r="H548" s="124">
        <f t="shared" si="15"/>
        <v>85</v>
      </c>
      <c r="I548" s="98" t="s">
        <v>131</v>
      </c>
    </row>
    <row r="549" spans="1:9" ht="15" hidden="1" customHeight="1" thickBot="1" x14ac:dyDescent="0.3">
      <c r="A549" s="98" t="s">
        <v>131</v>
      </c>
      <c r="B549" s="505"/>
      <c r="C549" s="508"/>
      <c r="D549" s="510"/>
      <c r="E549" s="513"/>
      <c r="F549" s="59">
        <v>3</v>
      </c>
      <c r="G549" s="94" t="s">
        <v>126</v>
      </c>
      <c r="H549" s="124">
        <f t="shared" si="15"/>
        <v>80</v>
      </c>
      <c r="I549" s="98" t="s">
        <v>131</v>
      </c>
    </row>
    <row r="550" spans="1:9" ht="15.75" hidden="1" customHeight="1" x14ac:dyDescent="0.25">
      <c r="A550" s="98" t="s">
        <v>131</v>
      </c>
      <c r="B550" s="496" t="s">
        <v>128</v>
      </c>
      <c r="C550" s="506"/>
      <c r="D550" s="510"/>
      <c r="E550" s="513"/>
      <c r="F550" s="59">
        <v>2</v>
      </c>
      <c r="G550" s="94" t="s">
        <v>126</v>
      </c>
      <c r="H550" s="124">
        <f t="shared" si="15"/>
        <v>75</v>
      </c>
      <c r="I550" s="98" t="s">
        <v>131</v>
      </c>
    </row>
    <row r="551" spans="1:9" ht="15" hidden="1" customHeight="1" thickBot="1" x14ac:dyDescent="0.3">
      <c r="A551" s="98" t="s">
        <v>131</v>
      </c>
      <c r="B551" s="497"/>
      <c r="C551" s="508"/>
      <c r="D551" s="511"/>
      <c r="E551" s="514"/>
      <c r="F551" s="62">
        <v>1</v>
      </c>
      <c r="G551" s="92" t="s">
        <v>126</v>
      </c>
      <c r="H551" s="91">
        <f t="shared" si="15"/>
        <v>70</v>
      </c>
      <c r="I551" s="98" t="s">
        <v>131</v>
      </c>
    </row>
    <row r="552" spans="1:9" ht="15.75" customHeight="1" thickBot="1" x14ac:dyDescent="0.3">
      <c r="A552" s="98" t="s">
        <v>131</v>
      </c>
      <c r="B552" s="98" t="s">
        <v>131</v>
      </c>
      <c r="C552" s="98"/>
      <c r="D552" s="108" t="s">
        <v>131</v>
      </c>
      <c r="E552" s="108" t="s">
        <v>131</v>
      </c>
      <c r="F552" s="98" t="s">
        <v>131</v>
      </c>
      <c r="G552" s="98" t="s">
        <v>131</v>
      </c>
      <c r="H552" s="98" t="s">
        <v>131</v>
      </c>
      <c r="I552" s="98" t="s">
        <v>131</v>
      </c>
    </row>
    <row r="553" spans="1:9" x14ac:dyDescent="0.25">
      <c r="A553" s="98" t="s">
        <v>131</v>
      </c>
      <c r="B553" s="139" t="s">
        <v>135</v>
      </c>
      <c r="C553" s="99"/>
      <c r="D553" s="109"/>
      <c r="E553" s="109"/>
      <c r="F553" s="99"/>
      <c r="G553" s="493" t="s">
        <v>17</v>
      </c>
      <c r="H553" s="494"/>
      <c r="I553" s="495"/>
    </row>
    <row r="554" spans="1:9" ht="15.75" thickBot="1" x14ac:dyDescent="0.3">
      <c r="A554" s="101" t="s">
        <v>131</v>
      </c>
      <c r="B554" s="140" t="s">
        <v>143</v>
      </c>
      <c r="C554" s="100"/>
      <c r="D554" s="110"/>
      <c r="E554" s="110"/>
      <c r="F554" s="100"/>
      <c r="G554" s="515">
        <v>0.1</v>
      </c>
      <c r="H554" s="516"/>
      <c r="I554" s="517"/>
    </row>
    <row r="555" spans="1:9" ht="15.75" thickBot="1" x14ac:dyDescent="0.3">
      <c r="A555" s="101" t="s">
        <v>131</v>
      </c>
      <c r="B555" s="55" t="s">
        <v>119</v>
      </c>
      <c r="C555" s="55" t="s">
        <v>36</v>
      </c>
      <c r="D555" s="498" t="s">
        <v>124</v>
      </c>
      <c r="E555" s="499"/>
      <c r="F555" s="500" t="s">
        <v>130</v>
      </c>
      <c r="G555" s="501"/>
      <c r="H555" s="502"/>
      <c r="I555" s="101" t="s">
        <v>131</v>
      </c>
    </row>
    <row r="556" spans="1:9" ht="15.75" thickBot="1" x14ac:dyDescent="0.3">
      <c r="A556" s="101" t="s">
        <v>131</v>
      </c>
      <c r="B556" s="518">
        <v>1</v>
      </c>
      <c r="C556" s="506" t="s">
        <v>161</v>
      </c>
      <c r="D556" s="170" t="s">
        <v>125</v>
      </c>
      <c r="E556" s="171">
        <v>0.25</v>
      </c>
      <c r="F556" s="93">
        <v>1</v>
      </c>
      <c r="G556" s="57" t="s">
        <v>151</v>
      </c>
      <c r="H556" s="58">
        <v>115</v>
      </c>
      <c r="I556" s="101" t="s">
        <v>131</v>
      </c>
    </row>
    <row r="557" spans="1:9" ht="15.75" customHeight="1" x14ac:dyDescent="0.25">
      <c r="A557" s="101" t="s">
        <v>131</v>
      </c>
      <c r="B557" s="504"/>
      <c r="C557" s="507"/>
      <c r="D557" s="522">
        <v>1</v>
      </c>
      <c r="E557" s="525">
        <f>IF(D557=0,0,VLOOKUP($D557,$F556:$H564,3,FALSE)*$E556)</f>
        <v>28.75</v>
      </c>
      <c r="F557" s="59">
        <v>2</v>
      </c>
      <c r="G557" s="60" t="s">
        <v>152</v>
      </c>
      <c r="H557" s="61">
        <v>100</v>
      </c>
      <c r="I557" s="101" t="s">
        <v>131</v>
      </c>
    </row>
    <row r="558" spans="1:9" x14ac:dyDescent="0.25">
      <c r="A558" s="101" t="s">
        <v>131</v>
      </c>
      <c r="B558" s="504"/>
      <c r="C558" s="507"/>
      <c r="D558" s="523"/>
      <c r="E558" s="526"/>
      <c r="F558" s="59">
        <v>3</v>
      </c>
      <c r="G558" s="60" t="s">
        <v>153</v>
      </c>
      <c r="H558" s="61">
        <v>90</v>
      </c>
      <c r="I558" s="101" t="s">
        <v>131</v>
      </c>
    </row>
    <row r="559" spans="1:9" x14ac:dyDescent="0.25">
      <c r="A559" s="101" t="s">
        <v>131</v>
      </c>
      <c r="B559" s="504"/>
      <c r="C559" s="507"/>
      <c r="D559" s="523"/>
      <c r="E559" s="526"/>
      <c r="F559" s="59">
        <v>4</v>
      </c>
      <c r="G559" s="60" t="s">
        <v>154</v>
      </c>
      <c r="H559" s="61">
        <v>50</v>
      </c>
      <c r="I559" s="101" t="s">
        <v>131</v>
      </c>
    </row>
    <row r="560" spans="1:9" x14ac:dyDescent="0.25">
      <c r="A560" s="101" t="s">
        <v>131</v>
      </c>
      <c r="B560" s="504"/>
      <c r="C560" s="507"/>
      <c r="D560" s="523"/>
      <c r="E560" s="526"/>
      <c r="F560" s="59"/>
      <c r="G560" s="60"/>
      <c r="H560" s="61"/>
      <c r="I560" s="101" t="s">
        <v>131</v>
      </c>
    </row>
    <row r="561" spans="1:9" x14ac:dyDescent="0.25">
      <c r="A561" s="101" t="s">
        <v>131</v>
      </c>
      <c r="B561" s="504"/>
      <c r="C561" s="507"/>
      <c r="D561" s="523"/>
      <c r="E561" s="526"/>
      <c r="F561" s="59"/>
      <c r="G561" s="60"/>
      <c r="H561" s="61"/>
      <c r="I561" s="101" t="s">
        <v>131</v>
      </c>
    </row>
    <row r="562" spans="1:9" ht="15.75" thickBot="1" x14ac:dyDescent="0.3">
      <c r="A562" s="101" t="s">
        <v>131</v>
      </c>
      <c r="B562" s="505"/>
      <c r="C562" s="508"/>
      <c r="D562" s="523"/>
      <c r="E562" s="526"/>
      <c r="F562" s="59"/>
      <c r="G562" s="60"/>
      <c r="H562" s="61"/>
      <c r="I562" s="101" t="s">
        <v>131</v>
      </c>
    </row>
    <row r="563" spans="1:9" x14ac:dyDescent="0.25">
      <c r="A563" s="101" t="s">
        <v>131</v>
      </c>
      <c r="B563" s="528" t="s">
        <v>128</v>
      </c>
      <c r="C563" s="530" t="s">
        <v>179</v>
      </c>
      <c r="D563" s="523"/>
      <c r="E563" s="526"/>
      <c r="F563" s="59"/>
      <c r="G563" s="60"/>
      <c r="H563" s="61"/>
      <c r="I563" s="101" t="s">
        <v>131</v>
      </c>
    </row>
    <row r="564" spans="1:9" ht="15.75" thickBot="1" x14ac:dyDescent="0.3">
      <c r="A564" s="101" t="s">
        <v>131</v>
      </c>
      <c r="B564" s="529"/>
      <c r="C564" s="531"/>
      <c r="D564" s="524"/>
      <c r="E564" s="527"/>
      <c r="F564" s="62"/>
      <c r="G564" s="63"/>
      <c r="H564" s="165"/>
      <c r="I564" s="101" t="s">
        <v>131</v>
      </c>
    </row>
    <row r="565" spans="1:9" ht="15.75" thickBot="1" x14ac:dyDescent="0.3">
      <c r="A565" s="101" t="s">
        <v>131</v>
      </c>
      <c r="B565" s="518">
        <v>2</v>
      </c>
      <c r="C565" s="506" t="s">
        <v>155</v>
      </c>
      <c r="D565" s="170" t="s">
        <v>125</v>
      </c>
      <c r="E565" s="171">
        <v>0.25</v>
      </c>
      <c r="F565" s="93">
        <v>1</v>
      </c>
      <c r="G565" s="57" t="s">
        <v>156</v>
      </c>
      <c r="H565" s="58">
        <v>115</v>
      </c>
      <c r="I565" s="101" t="s">
        <v>131</v>
      </c>
    </row>
    <row r="566" spans="1:9" ht="15.75" customHeight="1" x14ac:dyDescent="0.25">
      <c r="A566" s="101" t="s">
        <v>131</v>
      </c>
      <c r="B566" s="504"/>
      <c r="C566" s="507"/>
      <c r="D566" s="509">
        <v>1</v>
      </c>
      <c r="E566" s="512">
        <f>IF(D566=0,0,VLOOKUP($D566,$F565:$H573,3,FALSE)*$E565)</f>
        <v>28.75</v>
      </c>
      <c r="F566" s="59">
        <v>2</v>
      </c>
      <c r="G566" s="60" t="s">
        <v>157</v>
      </c>
      <c r="H566" s="61">
        <v>0</v>
      </c>
      <c r="I566" s="101" t="s">
        <v>131</v>
      </c>
    </row>
    <row r="567" spans="1:9" x14ac:dyDescent="0.25">
      <c r="A567" s="101" t="s">
        <v>131</v>
      </c>
      <c r="B567" s="504"/>
      <c r="C567" s="507"/>
      <c r="D567" s="510"/>
      <c r="E567" s="513"/>
      <c r="F567" s="59"/>
      <c r="G567" s="60"/>
      <c r="H567" s="61"/>
      <c r="I567" s="101" t="s">
        <v>131</v>
      </c>
    </row>
    <row r="568" spans="1:9" x14ac:dyDescent="0.25">
      <c r="A568" s="101" t="s">
        <v>131</v>
      </c>
      <c r="B568" s="504"/>
      <c r="C568" s="507"/>
      <c r="D568" s="510"/>
      <c r="E568" s="513"/>
      <c r="F568" s="59"/>
      <c r="G568" s="60"/>
      <c r="H568" s="61"/>
      <c r="I568" s="101" t="s">
        <v>131</v>
      </c>
    </row>
    <row r="569" spans="1:9" x14ac:dyDescent="0.25">
      <c r="A569" s="101" t="s">
        <v>131</v>
      </c>
      <c r="B569" s="504"/>
      <c r="C569" s="507"/>
      <c r="D569" s="510"/>
      <c r="E569" s="513"/>
      <c r="F569" s="59"/>
      <c r="G569" s="60"/>
      <c r="H569" s="61"/>
      <c r="I569" s="101" t="s">
        <v>131</v>
      </c>
    </row>
    <row r="570" spans="1:9" x14ac:dyDescent="0.25">
      <c r="A570" s="101" t="s">
        <v>131</v>
      </c>
      <c r="B570" s="504"/>
      <c r="C570" s="507"/>
      <c r="D570" s="510"/>
      <c r="E570" s="513"/>
      <c r="F570" s="59"/>
      <c r="G570" s="60"/>
      <c r="H570" s="61"/>
      <c r="I570" s="101" t="s">
        <v>131</v>
      </c>
    </row>
    <row r="571" spans="1:9" ht="15.75" thickBot="1" x14ac:dyDescent="0.3">
      <c r="A571" s="101" t="s">
        <v>131</v>
      </c>
      <c r="B571" s="505"/>
      <c r="C571" s="508"/>
      <c r="D571" s="510"/>
      <c r="E571" s="513"/>
      <c r="F571" s="59"/>
      <c r="G571" s="60"/>
      <c r="H571" s="61"/>
      <c r="I571" s="101" t="s">
        <v>131</v>
      </c>
    </row>
    <row r="572" spans="1:9" x14ac:dyDescent="0.25">
      <c r="A572" s="101" t="s">
        <v>131</v>
      </c>
      <c r="B572" s="528" t="s">
        <v>128</v>
      </c>
      <c r="C572" s="541" t="s">
        <v>160</v>
      </c>
      <c r="D572" s="510"/>
      <c r="E572" s="513"/>
      <c r="F572" s="59"/>
      <c r="G572" s="60"/>
      <c r="H572" s="61"/>
      <c r="I572" s="101" t="s">
        <v>131</v>
      </c>
    </row>
    <row r="573" spans="1:9" ht="15" customHeight="1" thickBot="1" x14ac:dyDescent="0.3">
      <c r="A573" s="101" t="s">
        <v>131</v>
      </c>
      <c r="B573" s="529"/>
      <c r="C573" s="543"/>
      <c r="D573" s="511"/>
      <c r="E573" s="514"/>
      <c r="F573" s="62"/>
      <c r="G573" s="63"/>
      <c r="H573" s="165"/>
      <c r="I573" s="101" t="s">
        <v>131</v>
      </c>
    </row>
    <row r="574" spans="1:9" ht="15.75" thickBot="1" x14ac:dyDescent="0.3">
      <c r="A574" s="101" t="s">
        <v>131</v>
      </c>
      <c r="B574" s="518">
        <v>3</v>
      </c>
      <c r="C574" s="506" t="s">
        <v>144</v>
      </c>
      <c r="D574" s="170" t="s">
        <v>125</v>
      </c>
      <c r="E574" s="171">
        <v>0.25</v>
      </c>
      <c r="F574" s="93">
        <v>1</v>
      </c>
      <c r="G574" s="57" t="s">
        <v>145</v>
      </c>
      <c r="H574" s="58">
        <v>115</v>
      </c>
      <c r="I574" s="101" t="s">
        <v>131</v>
      </c>
    </row>
    <row r="575" spans="1:9" ht="15.75" customHeight="1" x14ac:dyDescent="0.25">
      <c r="A575" s="101" t="s">
        <v>131</v>
      </c>
      <c r="B575" s="504"/>
      <c r="C575" s="507"/>
      <c r="D575" s="565">
        <v>1</v>
      </c>
      <c r="E575" s="525">
        <f>IF(D575=0,0,VLOOKUP($D575,$F574:$H582,3,FALSE)*$E574)</f>
        <v>28.75</v>
      </c>
      <c r="F575" s="59">
        <v>2</v>
      </c>
      <c r="G575" s="60" t="s">
        <v>146</v>
      </c>
      <c r="H575" s="61">
        <v>100</v>
      </c>
      <c r="I575" s="101" t="s">
        <v>131</v>
      </c>
    </row>
    <row r="576" spans="1:9" ht="15" customHeight="1" x14ac:dyDescent="0.25">
      <c r="A576" s="101" t="s">
        <v>131</v>
      </c>
      <c r="B576" s="504"/>
      <c r="C576" s="507"/>
      <c r="D576" s="566"/>
      <c r="E576" s="526"/>
      <c r="F576" s="59">
        <v>3</v>
      </c>
      <c r="G576" s="60" t="s">
        <v>147</v>
      </c>
      <c r="H576" s="61">
        <v>90</v>
      </c>
      <c r="I576" s="101" t="s">
        <v>131</v>
      </c>
    </row>
    <row r="577" spans="1:9" ht="15" customHeight="1" x14ac:dyDescent="0.25">
      <c r="A577" s="101" t="s">
        <v>131</v>
      </c>
      <c r="B577" s="504"/>
      <c r="C577" s="507"/>
      <c r="D577" s="566"/>
      <c r="E577" s="526"/>
      <c r="F577" s="59">
        <v>4</v>
      </c>
      <c r="G577" s="60" t="s">
        <v>148</v>
      </c>
      <c r="H577" s="61">
        <v>80</v>
      </c>
      <c r="I577" s="101" t="s">
        <v>131</v>
      </c>
    </row>
    <row r="578" spans="1:9" ht="15" customHeight="1" x14ac:dyDescent="0.25">
      <c r="A578" s="101" t="s">
        <v>131</v>
      </c>
      <c r="B578" s="504"/>
      <c r="C578" s="507"/>
      <c r="D578" s="566"/>
      <c r="E578" s="526"/>
      <c r="F578" s="59">
        <v>5</v>
      </c>
      <c r="G578" s="60" t="s">
        <v>149</v>
      </c>
      <c r="H578" s="61">
        <v>0</v>
      </c>
      <c r="I578" s="101" t="s">
        <v>131</v>
      </c>
    </row>
    <row r="579" spans="1:9" ht="15" customHeight="1" x14ac:dyDescent="0.25">
      <c r="A579" s="101" t="s">
        <v>131</v>
      </c>
      <c r="B579" s="504"/>
      <c r="C579" s="507"/>
      <c r="D579" s="566"/>
      <c r="E579" s="526"/>
      <c r="F579" s="59"/>
      <c r="G579" s="60"/>
      <c r="H579" s="61"/>
      <c r="I579" s="101" t="s">
        <v>131</v>
      </c>
    </row>
    <row r="580" spans="1:9" ht="15" customHeight="1" thickBot="1" x14ac:dyDescent="0.3">
      <c r="A580" s="101" t="s">
        <v>131</v>
      </c>
      <c r="B580" s="505"/>
      <c r="C580" s="508"/>
      <c r="D580" s="566"/>
      <c r="E580" s="526"/>
      <c r="F580" s="59"/>
      <c r="G580" s="60"/>
      <c r="H580" s="61"/>
      <c r="I580" s="101" t="s">
        <v>131</v>
      </c>
    </row>
    <row r="581" spans="1:9" ht="15.75" customHeight="1" x14ac:dyDescent="0.25">
      <c r="A581" s="101" t="s">
        <v>131</v>
      </c>
      <c r="B581" s="528" t="s">
        <v>128</v>
      </c>
      <c r="C581" s="317" t="s">
        <v>145</v>
      </c>
      <c r="D581" s="566"/>
      <c r="E581" s="526"/>
      <c r="F581" s="59"/>
      <c r="G581" s="60"/>
      <c r="H581" s="61"/>
      <c r="I581" s="101" t="s">
        <v>131</v>
      </c>
    </row>
    <row r="582" spans="1:9" ht="15" customHeight="1" thickBot="1" x14ac:dyDescent="0.3">
      <c r="A582" s="101" t="s">
        <v>131</v>
      </c>
      <c r="B582" s="529"/>
      <c r="C582" s="318"/>
      <c r="D582" s="567"/>
      <c r="E582" s="527"/>
      <c r="F582" s="62"/>
      <c r="G582" s="63"/>
      <c r="H582" s="165"/>
      <c r="I582" s="101" t="s">
        <v>131</v>
      </c>
    </row>
    <row r="583" spans="1:9" ht="15.75" customHeight="1" thickBot="1" x14ac:dyDescent="0.3">
      <c r="A583" s="101" t="s">
        <v>131</v>
      </c>
      <c r="B583" s="518">
        <v>4</v>
      </c>
      <c r="C583" s="506" t="s">
        <v>150</v>
      </c>
      <c r="D583" s="170" t="s">
        <v>125</v>
      </c>
      <c r="E583" s="171">
        <v>0.25</v>
      </c>
      <c r="F583" s="93">
        <v>1</v>
      </c>
      <c r="G583" s="57" t="s">
        <v>145</v>
      </c>
      <c r="H583" s="58">
        <v>115</v>
      </c>
      <c r="I583" s="101" t="s">
        <v>131</v>
      </c>
    </row>
    <row r="584" spans="1:9" ht="15.75" customHeight="1" x14ac:dyDescent="0.25">
      <c r="A584" s="101" t="s">
        <v>131</v>
      </c>
      <c r="B584" s="504"/>
      <c r="C584" s="507"/>
      <c r="D584" s="565">
        <v>1</v>
      </c>
      <c r="E584" s="525">
        <f>IF(D584=0,0,VLOOKUP($D584,$F583:$H592,3,FALSE)*$E583)</f>
        <v>28.75</v>
      </c>
      <c r="F584" s="59">
        <v>2</v>
      </c>
      <c r="G584" s="60" t="s">
        <v>146</v>
      </c>
      <c r="H584" s="61">
        <v>100</v>
      </c>
      <c r="I584" s="101" t="s">
        <v>131</v>
      </c>
    </row>
    <row r="585" spans="1:9" ht="15" customHeight="1" x14ac:dyDescent="0.25">
      <c r="A585" s="101" t="s">
        <v>131</v>
      </c>
      <c r="B585" s="504"/>
      <c r="C585" s="507"/>
      <c r="D585" s="566"/>
      <c r="E585" s="526"/>
      <c r="F585" s="59">
        <v>3</v>
      </c>
      <c r="G585" s="60" t="s">
        <v>147</v>
      </c>
      <c r="H585" s="61">
        <v>90</v>
      </c>
      <c r="I585" s="101" t="s">
        <v>131</v>
      </c>
    </row>
    <row r="586" spans="1:9" ht="15" customHeight="1" x14ac:dyDescent="0.25">
      <c r="A586" s="101" t="s">
        <v>131</v>
      </c>
      <c r="B586" s="504"/>
      <c r="C586" s="507"/>
      <c r="D586" s="566"/>
      <c r="E586" s="526"/>
      <c r="F586" s="59">
        <v>4</v>
      </c>
      <c r="G586" s="60" t="s">
        <v>148</v>
      </c>
      <c r="H586" s="61">
        <v>80</v>
      </c>
      <c r="I586" s="101" t="s">
        <v>131</v>
      </c>
    </row>
    <row r="587" spans="1:9" ht="15" customHeight="1" x14ac:dyDescent="0.25">
      <c r="A587" s="101" t="s">
        <v>131</v>
      </c>
      <c r="B587" s="504"/>
      <c r="C587" s="507"/>
      <c r="D587" s="566"/>
      <c r="E587" s="526"/>
      <c r="F587" s="59">
        <v>5</v>
      </c>
      <c r="G587" s="60" t="s">
        <v>149</v>
      </c>
      <c r="H587" s="61">
        <v>0</v>
      </c>
      <c r="I587" s="101" t="s">
        <v>131</v>
      </c>
    </row>
    <row r="588" spans="1:9" ht="15" customHeight="1" x14ac:dyDescent="0.25">
      <c r="A588" s="101" t="s">
        <v>131</v>
      </c>
      <c r="B588" s="504"/>
      <c r="C588" s="507"/>
      <c r="D588" s="566"/>
      <c r="E588" s="526"/>
      <c r="F588" s="218"/>
      <c r="G588" s="60"/>
      <c r="H588" s="61"/>
      <c r="I588" s="101" t="s">
        <v>131</v>
      </c>
    </row>
    <row r="589" spans="1:9" ht="15" customHeight="1" x14ac:dyDescent="0.25">
      <c r="A589" s="101" t="s">
        <v>131</v>
      </c>
      <c r="B589" s="504"/>
      <c r="C589" s="507"/>
      <c r="D589" s="566"/>
      <c r="E589" s="526"/>
      <c r="F589" s="218"/>
      <c r="G589" s="60"/>
      <c r="H589" s="61"/>
      <c r="I589" s="101" t="s">
        <v>131</v>
      </c>
    </row>
    <row r="590" spans="1:9" ht="15" customHeight="1" thickBot="1" x14ac:dyDescent="0.3">
      <c r="A590" s="101" t="s">
        <v>131</v>
      </c>
      <c r="B590" s="505"/>
      <c r="C590" s="508"/>
      <c r="D590" s="566"/>
      <c r="E590" s="526"/>
      <c r="F590" s="218"/>
      <c r="G590" s="60"/>
      <c r="H590" s="61"/>
      <c r="I590" s="101" t="s">
        <v>131</v>
      </c>
    </row>
    <row r="591" spans="1:9" ht="15.75" customHeight="1" x14ac:dyDescent="0.25">
      <c r="A591" s="101" t="s">
        <v>131</v>
      </c>
      <c r="B591" s="528" t="s">
        <v>128</v>
      </c>
      <c r="C591" s="317" t="s">
        <v>309</v>
      </c>
      <c r="D591" s="566"/>
      <c r="E591" s="526"/>
      <c r="F591" s="218"/>
      <c r="G591" s="60"/>
      <c r="H591" s="61"/>
      <c r="I591" s="101" t="s">
        <v>131</v>
      </c>
    </row>
    <row r="592" spans="1:9" ht="15" customHeight="1" thickBot="1" x14ac:dyDescent="0.3">
      <c r="A592" s="101" t="s">
        <v>131</v>
      </c>
      <c r="B592" s="529"/>
      <c r="C592" s="318"/>
      <c r="D592" s="567"/>
      <c r="E592" s="527"/>
      <c r="F592" s="219"/>
      <c r="G592" s="63"/>
      <c r="H592" s="165"/>
      <c r="I592" s="101" t="s">
        <v>131</v>
      </c>
    </row>
    <row r="593" spans="1:9" ht="15.75" hidden="1" customHeight="1" thickBot="1" x14ac:dyDescent="0.3">
      <c r="A593" s="101" t="s">
        <v>131</v>
      </c>
      <c r="B593" s="503">
        <v>5</v>
      </c>
      <c r="C593" s="506"/>
      <c r="D593" s="169" t="s">
        <v>125</v>
      </c>
      <c r="E593" s="107"/>
      <c r="F593" s="93">
        <v>1</v>
      </c>
      <c r="G593" s="134" t="s">
        <v>126</v>
      </c>
      <c r="H593" s="135">
        <v>115</v>
      </c>
      <c r="I593" s="101" t="s">
        <v>131</v>
      </c>
    </row>
    <row r="594" spans="1:9" ht="15.75" hidden="1" customHeight="1" x14ac:dyDescent="0.25">
      <c r="A594" s="101" t="s">
        <v>131</v>
      </c>
      <c r="B594" s="504"/>
      <c r="C594" s="507"/>
      <c r="D594" s="509"/>
      <c r="E594" s="512">
        <f>IF(D594=0,0,VLOOKUP($D594,$F593:$H602,3,FALSE)*$E593)</f>
        <v>0</v>
      </c>
      <c r="F594" s="59">
        <v>2</v>
      </c>
      <c r="G594" s="94" t="s">
        <v>126</v>
      </c>
      <c r="H594" s="124">
        <f>H593-5</f>
        <v>110</v>
      </c>
      <c r="I594" s="101" t="s">
        <v>131</v>
      </c>
    </row>
    <row r="595" spans="1:9" ht="15" hidden="1" customHeight="1" x14ac:dyDescent="0.25">
      <c r="A595" s="101" t="s">
        <v>131</v>
      </c>
      <c r="B595" s="504"/>
      <c r="C595" s="507"/>
      <c r="D595" s="510"/>
      <c r="E595" s="513"/>
      <c r="F595" s="59">
        <v>3</v>
      </c>
      <c r="G595" s="94" t="s">
        <v>126</v>
      </c>
      <c r="H595" s="124">
        <f t="shared" ref="H595:H602" si="16">H594-5</f>
        <v>105</v>
      </c>
      <c r="I595" s="101" t="s">
        <v>131</v>
      </c>
    </row>
    <row r="596" spans="1:9" ht="15" hidden="1" customHeight="1" x14ac:dyDescent="0.25">
      <c r="A596" s="101" t="s">
        <v>131</v>
      </c>
      <c r="B596" s="504"/>
      <c r="C596" s="507"/>
      <c r="D596" s="510"/>
      <c r="E596" s="513"/>
      <c r="F596" s="59">
        <v>4</v>
      </c>
      <c r="G596" s="94" t="s">
        <v>126</v>
      </c>
      <c r="H596" s="124">
        <f t="shared" si="16"/>
        <v>100</v>
      </c>
      <c r="I596" s="101" t="s">
        <v>131</v>
      </c>
    </row>
    <row r="597" spans="1:9" ht="15" hidden="1" customHeight="1" x14ac:dyDescent="0.25">
      <c r="A597" s="101" t="s">
        <v>131</v>
      </c>
      <c r="B597" s="504"/>
      <c r="C597" s="507"/>
      <c r="D597" s="510"/>
      <c r="E597" s="513"/>
      <c r="F597" s="59">
        <v>5</v>
      </c>
      <c r="G597" s="94" t="s">
        <v>126</v>
      </c>
      <c r="H597" s="124">
        <f t="shared" si="16"/>
        <v>95</v>
      </c>
      <c r="I597" s="101" t="s">
        <v>131</v>
      </c>
    </row>
    <row r="598" spans="1:9" ht="15" hidden="1" customHeight="1" x14ac:dyDescent="0.25">
      <c r="A598" s="101" t="s">
        <v>131</v>
      </c>
      <c r="B598" s="504"/>
      <c r="C598" s="507"/>
      <c r="D598" s="510"/>
      <c r="E598" s="513"/>
      <c r="F598" s="59">
        <v>6</v>
      </c>
      <c r="G598" s="94" t="s">
        <v>126</v>
      </c>
      <c r="H598" s="124">
        <f t="shared" si="16"/>
        <v>90</v>
      </c>
      <c r="I598" s="101" t="s">
        <v>131</v>
      </c>
    </row>
    <row r="599" spans="1:9" ht="15" hidden="1" customHeight="1" x14ac:dyDescent="0.25">
      <c r="A599" s="101" t="s">
        <v>131</v>
      </c>
      <c r="B599" s="504"/>
      <c r="C599" s="507"/>
      <c r="D599" s="510"/>
      <c r="E599" s="513"/>
      <c r="F599" s="59">
        <v>7</v>
      </c>
      <c r="G599" s="94" t="s">
        <v>126</v>
      </c>
      <c r="H599" s="124">
        <f t="shared" si="16"/>
        <v>85</v>
      </c>
      <c r="I599" s="101" t="s">
        <v>131</v>
      </c>
    </row>
    <row r="600" spans="1:9" ht="15" hidden="1" customHeight="1" thickBot="1" x14ac:dyDescent="0.3">
      <c r="A600" s="101" t="s">
        <v>131</v>
      </c>
      <c r="B600" s="505"/>
      <c r="C600" s="508"/>
      <c r="D600" s="510"/>
      <c r="E600" s="513"/>
      <c r="F600" s="59">
        <v>8</v>
      </c>
      <c r="G600" s="94" t="s">
        <v>126</v>
      </c>
      <c r="H600" s="124">
        <f t="shared" si="16"/>
        <v>80</v>
      </c>
      <c r="I600" s="101" t="s">
        <v>131</v>
      </c>
    </row>
    <row r="601" spans="1:9" ht="15.75" hidden="1" customHeight="1" x14ac:dyDescent="0.25">
      <c r="A601" s="101" t="s">
        <v>131</v>
      </c>
      <c r="B601" s="496" t="s">
        <v>128</v>
      </c>
      <c r="C601" s="506"/>
      <c r="D601" s="510"/>
      <c r="E601" s="513"/>
      <c r="F601" s="59">
        <v>9</v>
      </c>
      <c r="G601" s="94" t="s">
        <v>126</v>
      </c>
      <c r="H601" s="124">
        <f t="shared" si="16"/>
        <v>75</v>
      </c>
      <c r="I601" s="101" t="s">
        <v>131</v>
      </c>
    </row>
    <row r="602" spans="1:9" ht="15" hidden="1" customHeight="1" thickBot="1" x14ac:dyDescent="0.3">
      <c r="A602" s="101" t="s">
        <v>131</v>
      </c>
      <c r="B602" s="497"/>
      <c r="C602" s="508"/>
      <c r="D602" s="511"/>
      <c r="E602" s="514"/>
      <c r="F602" s="62">
        <v>10</v>
      </c>
      <c r="G602" s="92" t="s">
        <v>126</v>
      </c>
      <c r="H602" s="91">
        <f t="shared" si="16"/>
        <v>70</v>
      </c>
      <c r="I602" s="101" t="s">
        <v>131</v>
      </c>
    </row>
    <row r="603" spans="1:9" ht="15.75" hidden="1" customHeight="1" thickBot="1" x14ac:dyDescent="0.3">
      <c r="A603" s="101" t="s">
        <v>131</v>
      </c>
      <c r="B603" s="518">
        <v>6</v>
      </c>
      <c r="C603" s="506"/>
      <c r="D603" s="169" t="s">
        <v>125</v>
      </c>
      <c r="E603" s="107"/>
      <c r="F603" s="93">
        <v>1</v>
      </c>
      <c r="G603" s="128" t="s">
        <v>126</v>
      </c>
      <c r="H603" s="119">
        <v>115</v>
      </c>
      <c r="I603" s="101" t="s">
        <v>131</v>
      </c>
    </row>
    <row r="604" spans="1:9" ht="15.75" hidden="1" customHeight="1" x14ac:dyDescent="0.25">
      <c r="A604" s="101" t="s">
        <v>131</v>
      </c>
      <c r="B604" s="504"/>
      <c r="C604" s="507"/>
      <c r="D604" s="509"/>
      <c r="E604" s="512">
        <f>IF(D604=0,0,VLOOKUP($D604,$F603:$H612,3,FALSE)*$E603)</f>
        <v>0</v>
      </c>
      <c r="F604" s="59">
        <v>2</v>
      </c>
      <c r="G604" s="94" t="s">
        <v>126</v>
      </c>
      <c r="H604" s="124">
        <f>H603-5</f>
        <v>110</v>
      </c>
      <c r="I604" s="101" t="s">
        <v>131</v>
      </c>
    </row>
    <row r="605" spans="1:9" ht="15" hidden="1" customHeight="1" x14ac:dyDescent="0.25">
      <c r="A605" s="101" t="s">
        <v>131</v>
      </c>
      <c r="B605" s="504"/>
      <c r="C605" s="507"/>
      <c r="D605" s="510"/>
      <c r="E605" s="513"/>
      <c r="F605" s="59">
        <v>3</v>
      </c>
      <c r="G605" s="94" t="s">
        <v>126</v>
      </c>
      <c r="H605" s="124">
        <f t="shared" ref="H605:H612" si="17">H604-5</f>
        <v>105</v>
      </c>
      <c r="I605" s="101" t="s">
        <v>131</v>
      </c>
    </row>
    <row r="606" spans="1:9" ht="15" hidden="1" customHeight="1" x14ac:dyDescent="0.25">
      <c r="A606" s="101" t="s">
        <v>131</v>
      </c>
      <c r="B606" s="504"/>
      <c r="C606" s="507"/>
      <c r="D606" s="510"/>
      <c r="E606" s="513"/>
      <c r="F606" s="59">
        <v>4</v>
      </c>
      <c r="G606" s="94" t="s">
        <v>126</v>
      </c>
      <c r="H606" s="124">
        <f t="shared" si="17"/>
        <v>100</v>
      </c>
      <c r="I606" s="101" t="s">
        <v>131</v>
      </c>
    </row>
    <row r="607" spans="1:9" ht="15" hidden="1" customHeight="1" x14ac:dyDescent="0.25">
      <c r="A607" s="101" t="s">
        <v>131</v>
      </c>
      <c r="B607" s="504"/>
      <c r="C607" s="507"/>
      <c r="D607" s="510"/>
      <c r="E607" s="513"/>
      <c r="F607" s="59">
        <v>5</v>
      </c>
      <c r="G607" s="94" t="s">
        <v>126</v>
      </c>
      <c r="H607" s="124">
        <f t="shared" si="17"/>
        <v>95</v>
      </c>
      <c r="I607" s="101" t="s">
        <v>131</v>
      </c>
    </row>
    <row r="608" spans="1:9" ht="15" hidden="1" customHeight="1" x14ac:dyDescent="0.25">
      <c r="A608" s="101" t="s">
        <v>131</v>
      </c>
      <c r="B608" s="504"/>
      <c r="C608" s="507"/>
      <c r="D608" s="510"/>
      <c r="E608" s="513"/>
      <c r="F608" s="59">
        <v>6</v>
      </c>
      <c r="G608" s="94" t="s">
        <v>126</v>
      </c>
      <c r="H608" s="124">
        <f t="shared" si="17"/>
        <v>90</v>
      </c>
      <c r="I608" s="101" t="s">
        <v>131</v>
      </c>
    </row>
    <row r="609" spans="1:9" ht="15" hidden="1" customHeight="1" x14ac:dyDescent="0.25">
      <c r="A609" s="101" t="s">
        <v>131</v>
      </c>
      <c r="B609" s="504"/>
      <c r="C609" s="507"/>
      <c r="D609" s="510"/>
      <c r="E609" s="513"/>
      <c r="F609" s="59">
        <v>7</v>
      </c>
      <c r="G609" s="94" t="s">
        <v>126</v>
      </c>
      <c r="H609" s="124">
        <f t="shared" si="17"/>
        <v>85</v>
      </c>
      <c r="I609" s="101" t="s">
        <v>131</v>
      </c>
    </row>
    <row r="610" spans="1:9" ht="15" hidden="1" customHeight="1" thickBot="1" x14ac:dyDescent="0.3">
      <c r="A610" s="101" t="s">
        <v>131</v>
      </c>
      <c r="B610" s="505"/>
      <c r="C610" s="508"/>
      <c r="D610" s="510"/>
      <c r="E610" s="513"/>
      <c r="F610" s="59">
        <v>8</v>
      </c>
      <c r="G610" s="94" t="s">
        <v>126</v>
      </c>
      <c r="H610" s="124">
        <f t="shared" si="17"/>
        <v>80</v>
      </c>
      <c r="I610" s="101" t="s">
        <v>131</v>
      </c>
    </row>
    <row r="611" spans="1:9" ht="15.75" hidden="1" customHeight="1" x14ac:dyDescent="0.25">
      <c r="A611" s="101" t="s">
        <v>131</v>
      </c>
      <c r="B611" s="496" t="s">
        <v>128</v>
      </c>
      <c r="C611" s="506"/>
      <c r="D611" s="510"/>
      <c r="E611" s="513"/>
      <c r="F611" s="59">
        <v>9</v>
      </c>
      <c r="G611" s="94" t="s">
        <v>126</v>
      </c>
      <c r="H611" s="124">
        <f t="shared" si="17"/>
        <v>75</v>
      </c>
      <c r="I611" s="101" t="s">
        <v>131</v>
      </c>
    </row>
    <row r="612" spans="1:9" ht="15" hidden="1" customHeight="1" thickBot="1" x14ac:dyDescent="0.3">
      <c r="A612" s="101" t="s">
        <v>131</v>
      </c>
      <c r="B612" s="497"/>
      <c r="C612" s="508"/>
      <c r="D612" s="511"/>
      <c r="E612" s="514"/>
      <c r="F612" s="62">
        <v>10</v>
      </c>
      <c r="G612" s="92" t="s">
        <v>126</v>
      </c>
      <c r="H612" s="91">
        <f t="shared" si="17"/>
        <v>70</v>
      </c>
      <c r="I612" s="101" t="s">
        <v>131</v>
      </c>
    </row>
    <row r="613" spans="1:9" ht="15.75" hidden="1" customHeight="1" thickBot="1" x14ac:dyDescent="0.3">
      <c r="A613" s="101" t="s">
        <v>131</v>
      </c>
      <c r="B613" s="518">
        <v>7</v>
      </c>
      <c r="C613" s="506"/>
      <c r="D613" s="169" t="s">
        <v>125</v>
      </c>
      <c r="E613" s="107"/>
      <c r="F613" s="93">
        <v>1</v>
      </c>
      <c r="G613" s="128" t="s">
        <v>126</v>
      </c>
      <c r="H613" s="119">
        <v>115</v>
      </c>
      <c r="I613" s="101" t="s">
        <v>131</v>
      </c>
    </row>
    <row r="614" spans="1:9" ht="15.75" hidden="1" customHeight="1" x14ac:dyDescent="0.25">
      <c r="A614" s="101" t="s">
        <v>131</v>
      </c>
      <c r="B614" s="504"/>
      <c r="C614" s="507"/>
      <c r="D614" s="509"/>
      <c r="E614" s="512">
        <f>IF(D614=0,0,VLOOKUP($D614,$F613:$H622,3,FALSE)*$E613)</f>
        <v>0</v>
      </c>
      <c r="F614" s="59">
        <v>2</v>
      </c>
      <c r="G614" s="94" t="s">
        <v>126</v>
      </c>
      <c r="H614" s="124">
        <f>H613-5</f>
        <v>110</v>
      </c>
      <c r="I614" s="101" t="s">
        <v>131</v>
      </c>
    </row>
    <row r="615" spans="1:9" ht="15" hidden="1" customHeight="1" x14ac:dyDescent="0.25">
      <c r="A615" s="101" t="s">
        <v>131</v>
      </c>
      <c r="B615" s="504"/>
      <c r="C615" s="507"/>
      <c r="D615" s="510"/>
      <c r="E615" s="513"/>
      <c r="F615" s="59">
        <v>3</v>
      </c>
      <c r="G615" s="94" t="s">
        <v>126</v>
      </c>
      <c r="H615" s="124">
        <f t="shared" ref="H615:H622" si="18">H614-5</f>
        <v>105</v>
      </c>
      <c r="I615" s="101" t="s">
        <v>131</v>
      </c>
    </row>
    <row r="616" spans="1:9" ht="15" hidden="1" customHeight="1" x14ac:dyDescent="0.25">
      <c r="A616" s="101" t="s">
        <v>131</v>
      </c>
      <c r="B616" s="504"/>
      <c r="C616" s="507"/>
      <c r="D616" s="510"/>
      <c r="E616" s="513"/>
      <c r="F616" s="59">
        <v>4</v>
      </c>
      <c r="G616" s="94" t="s">
        <v>126</v>
      </c>
      <c r="H616" s="124">
        <f t="shared" si="18"/>
        <v>100</v>
      </c>
      <c r="I616" s="101" t="s">
        <v>131</v>
      </c>
    </row>
    <row r="617" spans="1:9" ht="15" hidden="1" customHeight="1" x14ac:dyDescent="0.25">
      <c r="A617" s="101" t="s">
        <v>131</v>
      </c>
      <c r="B617" s="504"/>
      <c r="C617" s="507"/>
      <c r="D617" s="510"/>
      <c r="E617" s="513"/>
      <c r="F617" s="59">
        <v>5</v>
      </c>
      <c r="G617" s="94" t="s">
        <v>126</v>
      </c>
      <c r="H617" s="124">
        <f t="shared" si="18"/>
        <v>95</v>
      </c>
      <c r="I617" s="101" t="s">
        <v>131</v>
      </c>
    </row>
    <row r="618" spans="1:9" ht="15" hidden="1" customHeight="1" x14ac:dyDescent="0.25">
      <c r="A618" s="101" t="s">
        <v>131</v>
      </c>
      <c r="B618" s="504"/>
      <c r="C618" s="507"/>
      <c r="D618" s="510"/>
      <c r="E618" s="513"/>
      <c r="F618" s="59">
        <v>6</v>
      </c>
      <c r="G618" s="94" t="s">
        <v>126</v>
      </c>
      <c r="H618" s="124">
        <f t="shared" si="18"/>
        <v>90</v>
      </c>
      <c r="I618" s="101" t="s">
        <v>131</v>
      </c>
    </row>
    <row r="619" spans="1:9" ht="15" hidden="1" customHeight="1" x14ac:dyDescent="0.25">
      <c r="A619" s="101" t="s">
        <v>131</v>
      </c>
      <c r="B619" s="504"/>
      <c r="C619" s="507"/>
      <c r="D619" s="510"/>
      <c r="E619" s="513"/>
      <c r="F619" s="59">
        <v>7</v>
      </c>
      <c r="G619" s="94" t="s">
        <v>126</v>
      </c>
      <c r="H619" s="124">
        <f t="shared" si="18"/>
        <v>85</v>
      </c>
      <c r="I619" s="101" t="s">
        <v>131</v>
      </c>
    </row>
    <row r="620" spans="1:9" ht="15" hidden="1" customHeight="1" thickBot="1" x14ac:dyDescent="0.3">
      <c r="A620" s="101" t="s">
        <v>131</v>
      </c>
      <c r="B620" s="505"/>
      <c r="C620" s="508"/>
      <c r="D620" s="510"/>
      <c r="E620" s="513"/>
      <c r="F620" s="59">
        <v>8</v>
      </c>
      <c r="G620" s="94" t="s">
        <v>126</v>
      </c>
      <c r="H620" s="124">
        <f t="shared" si="18"/>
        <v>80</v>
      </c>
      <c r="I620" s="101" t="s">
        <v>131</v>
      </c>
    </row>
    <row r="621" spans="1:9" ht="15.75" hidden="1" customHeight="1" x14ac:dyDescent="0.25">
      <c r="A621" s="101" t="s">
        <v>131</v>
      </c>
      <c r="B621" s="496" t="s">
        <v>128</v>
      </c>
      <c r="C621" s="506"/>
      <c r="D621" s="510"/>
      <c r="E621" s="513"/>
      <c r="F621" s="59">
        <v>9</v>
      </c>
      <c r="G621" s="94" t="s">
        <v>126</v>
      </c>
      <c r="H621" s="124">
        <f t="shared" si="18"/>
        <v>75</v>
      </c>
      <c r="I621" s="101" t="s">
        <v>131</v>
      </c>
    </row>
    <row r="622" spans="1:9" ht="15" hidden="1" customHeight="1" thickBot="1" x14ac:dyDescent="0.3">
      <c r="A622" s="101" t="s">
        <v>131</v>
      </c>
      <c r="B622" s="497"/>
      <c r="C622" s="508"/>
      <c r="D622" s="511"/>
      <c r="E622" s="514"/>
      <c r="F622" s="62">
        <v>10</v>
      </c>
      <c r="G622" s="92" t="s">
        <v>126</v>
      </c>
      <c r="H622" s="91">
        <f t="shared" si="18"/>
        <v>70</v>
      </c>
      <c r="I622" s="101" t="s">
        <v>131</v>
      </c>
    </row>
    <row r="623" spans="1:9" ht="15.75" hidden="1" customHeight="1" thickBot="1" x14ac:dyDescent="0.3">
      <c r="A623" s="101" t="s">
        <v>131</v>
      </c>
      <c r="B623" s="518">
        <v>8</v>
      </c>
      <c r="C623" s="506"/>
      <c r="D623" s="169" t="s">
        <v>125</v>
      </c>
      <c r="E623" s="107">
        <v>0.6</v>
      </c>
      <c r="F623" s="93">
        <v>10</v>
      </c>
      <c r="G623" s="128" t="s">
        <v>126</v>
      </c>
      <c r="H623" s="119">
        <v>115</v>
      </c>
      <c r="I623" s="101" t="s">
        <v>131</v>
      </c>
    </row>
    <row r="624" spans="1:9" ht="15.75" hidden="1" customHeight="1" x14ac:dyDescent="0.25">
      <c r="A624" s="101" t="s">
        <v>131</v>
      </c>
      <c r="B624" s="504"/>
      <c r="C624" s="507"/>
      <c r="D624" s="509"/>
      <c r="E624" s="512">
        <f>IF(D624=0,0,VLOOKUP($D624,$F623:$H632,3,FALSE)*$E623)</f>
        <v>0</v>
      </c>
      <c r="F624" s="59">
        <v>9</v>
      </c>
      <c r="G624" s="94" t="s">
        <v>126</v>
      </c>
      <c r="H624" s="124">
        <f>H623-5</f>
        <v>110</v>
      </c>
      <c r="I624" s="101" t="s">
        <v>131</v>
      </c>
    </row>
    <row r="625" spans="1:9" ht="15" hidden="1" customHeight="1" x14ac:dyDescent="0.25">
      <c r="A625" s="101" t="s">
        <v>131</v>
      </c>
      <c r="B625" s="504"/>
      <c r="C625" s="507"/>
      <c r="D625" s="510"/>
      <c r="E625" s="513"/>
      <c r="F625" s="59">
        <v>8</v>
      </c>
      <c r="G625" s="94" t="s">
        <v>126</v>
      </c>
      <c r="H625" s="124">
        <f t="shared" ref="H625:H632" si="19">H624-5</f>
        <v>105</v>
      </c>
      <c r="I625" s="101" t="s">
        <v>131</v>
      </c>
    </row>
    <row r="626" spans="1:9" ht="15" hidden="1" customHeight="1" x14ac:dyDescent="0.25">
      <c r="A626" s="101" t="s">
        <v>131</v>
      </c>
      <c r="B626" s="504"/>
      <c r="C626" s="507"/>
      <c r="D626" s="510"/>
      <c r="E626" s="513"/>
      <c r="F626" s="59">
        <v>7</v>
      </c>
      <c r="G626" s="94" t="s">
        <v>126</v>
      </c>
      <c r="H626" s="124">
        <f t="shared" si="19"/>
        <v>100</v>
      </c>
      <c r="I626" s="101" t="s">
        <v>131</v>
      </c>
    </row>
    <row r="627" spans="1:9" ht="15" hidden="1" customHeight="1" x14ac:dyDescent="0.25">
      <c r="A627" s="101" t="s">
        <v>131</v>
      </c>
      <c r="B627" s="504"/>
      <c r="C627" s="507"/>
      <c r="D627" s="510"/>
      <c r="E627" s="513"/>
      <c r="F627" s="59">
        <v>6</v>
      </c>
      <c r="G627" s="94" t="s">
        <v>126</v>
      </c>
      <c r="H627" s="124">
        <f t="shared" si="19"/>
        <v>95</v>
      </c>
      <c r="I627" s="101" t="s">
        <v>131</v>
      </c>
    </row>
    <row r="628" spans="1:9" ht="15" hidden="1" customHeight="1" x14ac:dyDescent="0.25">
      <c r="A628" s="101" t="s">
        <v>131</v>
      </c>
      <c r="B628" s="504"/>
      <c r="C628" s="507"/>
      <c r="D628" s="510"/>
      <c r="E628" s="513"/>
      <c r="F628" s="59">
        <v>5</v>
      </c>
      <c r="G628" s="94" t="s">
        <v>126</v>
      </c>
      <c r="H628" s="124">
        <f t="shared" si="19"/>
        <v>90</v>
      </c>
      <c r="I628" s="101" t="s">
        <v>131</v>
      </c>
    </row>
    <row r="629" spans="1:9" ht="15" hidden="1" customHeight="1" x14ac:dyDescent="0.25">
      <c r="A629" s="101" t="s">
        <v>131</v>
      </c>
      <c r="B629" s="504"/>
      <c r="C629" s="507"/>
      <c r="D629" s="510"/>
      <c r="E629" s="513"/>
      <c r="F629" s="59">
        <v>4</v>
      </c>
      <c r="G629" s="94" t="s">
        <v>126</v>
      </c>
      <c r="H629" s="124">
        <f t="shared" si="19"/>
        <v>85</v>
      </c>
      <c r="I629" s="101" t="s">
        <v>131</v>
      </c>
    </row>
    <row r="630" spans="1:9" ht="15" hidden="1" customHeight="1" thickBot="1" x14ac:dyDescent="0.3">
      <c r="A630" s="101" t="s">
        <v>131</v>
      </c>
      <c r="B630" s="505"/>
      <c r="C630" s="508"/>
      <c r="D630" s="510"/>
      <c r="E630" s="513"/>
      <c r="F630" s="59">
        <v>3</v>
      </c>
      <c r="G630" s="94" t="s">
        <v>126</v>
      </c>
      <c r="H630" s="124">
        <f t="shared" si="19"/>
        <v>80</v>
      </c>
      <c r="I630" s="101" t="s">
        <v>131</v>
      </c>
    </row>
    <row r="631" spans="1:9" ht="15.75" hidden="1" customHeight="1" x14ac:dyDescent="0.25">
      <c r="A631" s="101" t="s">
        <v>131</v>
      </c>
      <c r="B631" s="496" t="s">
        <v>128</v>
      </c>
      <c r="C631" s="506"/>
      <c r="D631" s="510"/>
      <c r="E631" s="513"/>
      <c r="F631" s="59">
        <v>2</v>
      </c>
      <c r="G631" s="94" t="s">
        <v>126</v>
      </c>
      <c r="H631" s="124">
        <f t="shared" si="19"/>
        <v>75</v>
      </c>
      <c r="I631" s="101" t="s">
        <v>131</v>
      </c>
    </row>
    <row r="632" spans="1:9" ht="15" hidden="1" customHeight="1" thickBot="1" x14ac:dyDescent="0.3">
      <c r="A632" s="101" t="s">
        <v>131</v>
      </c>
      <c r="B632" s="497"/>
      <c r="C632" s="508"/>
      <c r="D632" s="511"/>
      <c r="E632" s="514"/>
      <c r="F632" s="62">
        <v>1</v>
      </c>
      <c r="G632" s="92" t="s">
        <v>126</v>
      </c>
      <c r="H632" s="91">
        <f t="shared" si="19"/>
        <v>70</v>
      </c>
      <c r="I632" s="101" t="s">
        <v>131</v>
      </c>
    </row>
    <row r="633" spans="1:9" ht="15.75" hidden="1" customHeight="1" thickBot="1" x14ac:dyDescent="0.3">
      <c r="A633" s="101" t="s">
        <v>131</v>
      </c>
      <c r="B633" s="518">
        <v>9</v>
      </c>
      <c r="C633" s="506"/>
      <c r="D633" s="169" t="s">
        <v>125</v>
      </c>
      <c r="E633" s="107">
        <v>0.6</v>
      </c>
      <c r="F633" s="93">
        <v>10</v>
      </c>
      <c r="G633" s="128" t="s">
        <v>126</v>
      </c>
      <c r="H633" s="119">
        <v>115</v>
      </c>
      <c r="I633" s="101" t="s">
        <v>131</v>
      </c>
    </row>
    <row r="634" spans="1:9" ht="15.75" hidden="1" customHeight="1" x14ac:dyDescent="0.25">
      <c r="A634" s="101" t="s">
        <v>131</v>
      </c>
      <c r="B634" s="504"/>
      <c r="C634" s="507"/>
      <c r="D634" s="509"/>
      <c r="E634" s="512">
        <f>IF(D634=0,0,VLOOKUP($D634,$F633:$H642,3,FALSE)*$E633)</f>
        <v>0</v>
      </c>
      <c r="F634" s="59">
        <v>9</v>
      </c>
      <c r="G634" s="94" t="s">
        <v>126</v>
      </c>
      <c r="H634" s="124">
        <f>H633-5</f>
        <v>110</v>
      </c>
      <c r="I634" s="101" t="s">
        <v>131</v>
      </c>
    </row>
    <row r="635" spans="1:9" ht="15" hidden="1" customHeight="1" x14ac:dyDescent="0.25">
      <c r="A635" s="101" t="s">
        <v>131</v>
      </c>
      <c r="B635" s="504"/>
      <c r="C635" s="507"/>
      <c r="D635" s="510"/>
      <c r="E635" s="513"/>
      <c r="F635" s="59">
        <v>8</v>
      </c>
      <c r="G635" s="94" t="s">
        <v>126</v>
      </c>
      <c r="H635" s="124">
        <f t="shared" ref="H635:H642" si="20">H634-5</f>
        <v>105</v>
      </c>
      <c r="I635" s="101" t="s">
        <v>131</v>
      </c>
    </row>
    <row r="636" spans="1:9" ht="15" hidden="1" customHeight="1" x14ac:dyDescent="0.25">
      <c r="A636" s="101" t="s">
        <v>131</v>
      </c>
      <c r="B636" s="504"/>
      <c r="C636" s="507"/>
      <c r="D636" s="510"/>
      <c r="E636" s="513"/>
      <c r="F636" s="59">
        <v>7</v>
      </c>
      <c r="G636" s="94" t="s">
        <v>126</v>
      </c>
      <c r="H636" s="124">
        <f t="shared" si="20"/>
        <v>100</v>
      </c>
      <c r="I636" s="101" t="s">
        <v>131</v>
      </c>
    </row>
    <row r="637" spans="1:9" ht="15" hidden="1" customHeight="1" x14ac:dyDescent="0.25">
      <c r="A637" s="101" t="s">
        <v>131</v>
      </c>
      <c r="B637" s="504"/>
      <c r="C637" s="507"/>
      <c r="D637" s="510"/>
      <c r="E637" s="513"/>
      <c r="F637" s="59">
        <v>6</v>
      </c>
      <c r="G637" s="94" t="s">
        <v>126</v>
      </c>
      <c r="H637" s="124">
        <f t="shared" si="20"/>
        <v>95</v>
      </c>
      <c r="I637" s="101" t="s">
        <v>131</v>
      </c>
    </row>
    <row r="638" spans="1:9" ht="15" hidden="1" customHeight="1" x14ac:dyDescent="0.25">
      <c r="A638" s="101" t="s">
        <v>131</v>
      </c>
      <c r="B638" s="504"/>
      <c r="C638" s="507"/>
      <c r="D638" s="510"/>
      <c r="E638" s="513"/>
      <c r="F638" s="59">
        <v>5</v>
      </c>
      <c r="G638" s="94" t="s">
        <v>126</v>
      </c>
      <c r="H638" s="124">
        <f t="shared" si="20"/>
        <v>90</v>
      </c>
      <c r="I638" s="101" t="s">
        <v>131</v>
      </c>
    </row>
    <row r="639" spans="1:9" ht="15" hidden="1" customHeight="1" x14ac:dyDescent="0.25">
      <c r="A639" s="101" t="s">
        <v>131</v>
      </c>
      <c r="B639" s="504"/>
      <c r="C639" s="507"/>
      <c r="D639" s="510"/>
      <c r="E639" s="513"/>
      <c r="F639" s="59">
        <v>4</v>
      </c>
      <c r="G639" s="94" t="s">
        <v>126</v>
      </c>
      <c r="H639" s="124">
        <f t="shared" si="20"/>
        <v>85</v>
      </c>
      <c r="I639" s="101" t="s">
        <v>131</v>
      </c>
    </row>
    <row r="640" spans="1:9" ht="15" hidden="1" customHeight="1" thickBot="1" x14ac:dyDescent="0.3">
      <c r="A640" s="101" t="s">
        <v>131</v>
      </c>
      <c r="B640" s="505"/>
      <c r="C640" s="508"/>
      <c r="D640" s="510"/>
      <c r="E640" s="513"/>
      <c r="F640" s="59">
        <v>3</v>
      </c>
      <c r="G640" s="94" t="s">
        <v>126</v>
      </c>
      <c r="H640" s="124">
        <f t="shared" si="20"/>
        <v>80</v>
      </c>
      <c r="I640" s="101" t="s">
        <v>131</v>
      </c>
    </row>
    <row r="641" spans="1:15" ht="15.75" hidden="1" customHeight="1" x14ac:dyDescent="0.25">
      <c r="A641" s="101" t="s">
        <v>131</v>
      </c>
      <c r="B641" s="496" t="s">
        <v>128</v>
      </c>
      <c r="C641" s="506"/>
      <c r="D641" s="510"/>
      <c r="E641" s="513"/>
      <c r="F641" s="59">
        <v>2</v>
      </c>
      <c r="G641" s="94" t="s">
        <v>126</v>
      </c>
      <c r="H641" s="124">
        <f t="shared" si="20"/>
        <v>75</v>
      </c>
      <c r="I641" s="101" t="s">
        <v>131</v>
      </c>
    </row>
    <row r="642" spans="1:15" ht="15" hidden="1" customHeight="1" thickBot="1" x14ac:dyDescent="0.3">
      <c r="A642" s="101" t="s">
        <v>131</v>
      </c>
      <c r="B642" s="497"/>
      <c r="C642" s="508"/>
      <c r="D642" s="511"/>
      <c r="E642" s="514"/>
      <c r="F642" s="62">
        <v>1</v>
      </c>
      <c r="G642" s="92" t="s">
        <v>126</v>
      </c>
      <c r="H642" s="91">
        <f t="shared" si="20"/>
        <v>70</v>
      </c>
      <c r="I642" s="101" t="s">
        <v>131</v>
      </c>
    </row>
    <row r="643" spans="1:15" ht="15.75" hidden="1" customHeight="1" thickBot="1" x14ac:dyDescent="0.3">
      <c r="A643" s="101" t="s">
        <v>131</v>
      </c>
      <c r="B643" s="503">
        <v>10</v>
      </c>
      <c r="C643" s="506"/>
      <c r="D643" s="169" t="s">
        <v>125</v>
      </c>
      <c r="E643" s="107">
        <v>0.6</v>
      </c>
      <c r="F643" s="64">
        <v>10</v>
      </c>
      <c r="G643" s="134" t="s">
        <v>126</v>
      </c>
      <c r="H643" s="135">
        <v>115</v>
      </c>
      <c r="I643" s="101" t="s">
        <v>131</v>
      </c>
    </row>
    <row r="644" spans="1:15" ht="15.75" hidden="1" customHeight="1" x14ac:dyDescent="0.25">
      <c r="A644" s="101" t="s">
        <v>131</v>
      </c>
      <c r="B644" s="504"/>
      <c r="C644" s="507"/>
      <c r="D644" s="509"/>
      <c r="E644" s="512">
        <f>IF(D644=0,0,VLOOKUP($D644,$F643:$H652,3,FALSE)*$E643)</f>
        <v>0</v>
      </c>
      <c r="F644" s="59">
        <v>9</v>
      </c>
      <c r="G644" s="94" t="s">
        <v>126</v>
      </c>
      <c r="H644" s="124">
        <f>H643-5</f>
        <v>110</v>
      </c>
      <c r="I644" s="101" t="s">
        <v>131</v>
      </c>
    </row>
    <row r="645" spans="1:15" ht="15" hidden="1" customHeight="1" x14ac:dyDescent="0.25">
      <c r="A645" s="101" t="s">
        <v>131</v>
      </c>
      <c r="B645" s="504"/>
      <c r="C645" s="507"/>
      <c r="D645" s="510"/>
      <c r="E645" s="513"/>
      <c r="F645" s="59">
        <v>8</v>
      </c>
      <c r="G645" s="94" t="s">
        <v>126</v>
      </c>
      <c r="H645" s="124">
        <f t="shared" ref="H645:H652" si="21">H644-5</f>
        <v>105</v>
      </c>
      <c r="I645" s="101" t="s">
        <v>131</v>
      </c>
    </row>
    <row r="646" spans="1:15" ht="15" hidden="1" customHeight="1" x14ac:dyDescent="0.25">
      <c r="A646" s="101" t="s">
        <v>131</v>
      </c>
      <c r="B646" s="504"/>
      <c r="C646" s="507"/>
      <c r="D646" s="510"/>
      <c r="E646" s="513"/>
      <c r="F646" s="59">
        <v>7</v>
      </c>
      <c r="G646" s="94" t="s">
        <v>126</v>
      </c>
      <c r="H646" s="124">
        <f t="shared" si="21"/>
        <v>100</v>
      </c>
      <c r="I646" s="101" t="s">
        <v>131</v>
      </c>
    </row>
    <row r="647" spans="1:15" ht="15" hidden="1" customHeight="1" x14ac:dyDescent="0.25">
      <c r="A647" s="101" t="s">
        <v>131</v>
      </c>
      <c r="B647" s="504"/>
      <c r="C647" s="507"/>
      <c r="D647" s="510"/>
      <c r="E647" s="513"/>
      <c r="F647" s="59">
        <v>6</v>
      </c>
      <c r="G647" s="94" t="s">
        <v>126</v>
      </c>
      <c r="H647" s="124">
        <f t="shared" si="21"/>
        <v>95</v>
      </c>
      <c r="I647" s="101" t="s">
        <v>131</v>
      </c>
    </row>
    <row r="648" spans="1:15" ht="15" hidden="1" customHeight="1" x14ac:dyDescent="0.25">
      <c r="A648" s="101" t="s">
        <v>131</v>
      </c>
      <c r="B648" s="504"/>
      <c r="C648" s="507"/>
      <c r="D648" s="510"/>
      <c r="E648" s="513"/>
      <c r="F648" s="59">
        <v>5</v>
      </c>
      <c r="G648" s="94" t="s">
        <v>126</v>
      </c>
      <c r="H648" s="124">
        <f t="shared" si="21"/>
        <v>90</v>
      </c>
      <c r="I648" s="101" t="s">
        <v>131</v>
      </c>
    </row>
    <row r="649" spans="1:15" ht="15" hidden="1" customHeight="1" x14ac:dyDescent="0.25">
      <c r="A649" s="101" t="s">
        <v>131</v>
      </c>
      <c r="B649" s="504"/>
      <c r="C649" s="507"/>
      <c r="D649" s="510"/>
      <c r="E649" s="513"/>
      <c r="F649" s="59">
        <v>4</v>
      </c>
      <c r="G649" s="94" t="s">
        <v>126</v>
      </c>
      <c r="H649" s="124">
        <f t="shared" si="21"/>
        <v>85</v>
      </c>
      <c r="I649" s="101" t="s">
        <v>131</v>
      </c>
    </row>
    <row r="650" spans="1:15" ht="15" hidden="1" customHeight="1" thickBot="1" x14ac:dyDescent="0.3">
      <c r="A650" s="101" t="s">
        <v>131</v>
      </c>
      <c r="B650" s="505"/>
      <c r="C650" s="508"/>
      <c r="D650" s="510"/>
      <c r="E650" s="513"/>
      <c r="F650" s="59">
        <v>3</v>
      </c>
      <c r="G650" s="94" t="s">
        <v>126</v>
      </c>
      <c r="H650" s="124">
        <f t="shared" si="21"/>
        <v>80</v>
      </c>
      <c r="I650" s="101" t="s">
        <v>131</v>
      </c>
    </row>
    <row r="651" spans="1:15" ht="15.75" hidden="1" customHeight="1" x14ac:dyDescent="0.25">
      <c r="A651" s="101" t="s">
        <v>131</v>
      </c>
      <c r="B651" s="496" t="s">
        <v>128</v>
      </c>
      <c r="C651" s="506"/>
      <c r="D651" s="510"/>
      <c r="E651" s="513"/>
      <c r="F651" s="59">
        <v>2</v>
      </c>
      <c r="G651" s="94" t="s">
        <v>126</v>
      </c>
      <c r="H651" s="124">
        <f t="shared" si="21"/>
        <v>75</v>
      </c>
      <c r="I651" s="101" t="s">
        <v>131</v>
      </c>
    </row>
    <row r="652" spans="1:15" ht="15" hidden="1" customHeight="1" thickBot="1" x14ac:dyDescent="0.3">
      <c r="A652" s="101" t="s">
        <v>131</v>
      </c>
      <c r="B652" s="497"/>
      <c r="C652" s="508"/>
      <c r="D652" s="511"/>
      <c r="E652" s="514"/>
      <c r="F652" s="62">
        <v>1</v>
      </c>
      <c r="G652" s="92" t="s">
        <v>126</v>
      </c>
      <c r="H652" s="91">
        <f t="shared" si="21"/>
        <v>70</v>
      </c>
      <c r="I652" s="101" t="s">
        <v>131</v>
      </c>
    </row>
    <row r="653" spans="1:15" ht="15.75" customHeight="1" x14ac:dyDescent="0.25">
      <c r="A653" s="101" t="s">
        <v>131</v>
      </c>
      <c r="B653" s="101" t="s">
        <v>131</v>
      </c>
      <c r="C653" s="101" t="s">
        <v>131</v>
      </c>
      <c r="D653" s="111" t="s">
        <v>131</v>
      </c>
      <c r="E653" s="111" t="s">
        <v>131</v>
      </c>
      <c r="F653" s="101" t="s">
        <v>131</v>
      </c>
      <c r="G653" s="101" t="s">
        <v>131</v>
      </c>
      <c r="H653" s="101" t="s">
        <v>131</v>
      </c>
      <c r="I653" s="101" t="s">
        <v>131</v>
      </c>
    </row>
    <row r="654" spans="1:15" x14ac:dyDescent="0.25">
      <c r="A654" s="101" t="s">
        <v>131</v>
      </c>
      <c r="B654" s="101" t="s">
        <v>131</v>
      </c>
      <c r="C654" s="101" t="s">
        <v>131</v>
      </c>
      <c r="D654" s="111" t="s">
        <v>131</v>
      </c>
      <c r="E654" s="111" t="s">
        <v>131</v>
      </c>
      <c r="F654" s="101" t="s">
        <v>131</v>
      </c>
      <c r="G654" s="101" t="s">
        <v>131</v>
      </c>
      <c r="H654" s="101" t="s">
        <v>131</v>
      </c>
      <c r="I654" s="101" t="s">
        <v>131</v>
      </c>
    </row>
    <row r="655" spans="1:15" ht="46.5" hidden="1" customHeight="1" thickBot="1" x14ac:dyDescent="0.3"/>
    <row r="656" spans="1:15" hidden="1" x14ac:dyDescent="0.25">
      <c r="B656" s="116" t="s">
        <v>123</v>
      </c>
      <c r="C656" s="95"/>
      <c r="D656" s="104"/>
      <c r="E656" s="104"/>
      <c r="F656" s="95"/>
      <c r="G656" s="560" t="s">
        <v>17</v>
      </c>
      <c r="H656" s="560"/>
      <c r="I656" s="561"/>
      <c r="O656" s="144">
        <v>4</v>
      </c>
    </row>
    <row r="657" spans="1:13" ht="15.75" hidden="1" thickBot="1" x14ac:dyDescent="0.3">
      <c r="B657" s="117"/>
      <c r="C657" s="96"/>
      <c r="D657" s="105"/>
      <c r="E657" s="105"/>
      <c r="F657" s="96"/>
      <c r="G657" s="562"/>
      <c r="H657" s="563"/>
      <c r="I657" s="564"/>
    </row>
    <row r="658" spans="1:13" ht="15.75" hidden="1" thickBot="1" x14ac:dyDescent="0.3">
      <c r="A658" s="115" t="s">
        <v>131</v>
      </c>
      <c r="B658" s="97"/>
      <c r="C658" s="97"/>
      <c r="D658" s="106"/>
      <c r="E658" s="106"/>
      <c r="F658" s="97"/>
      <c r="G658" s="97"/>
      <c r="H658" s="97"/>
      <c r="I658" s="98" t="s">
        <v>131</v>
      </c>
    </row>
    <row r="659" spans="1:13" ht="15.75" hidden="1" thickBot="1" x14ac:dyDescent="0.3">
      <c r="A659" s="98" t="s">
        <v>131</v>
      </c>
      <c r="B659" s="55" t="s">
        <v>119</v>
      </c>
      <c r="C659" s="55" t="s">
        <v>118</v>
      </c>
      <c r="D659" s="498" t="s">
        <v>124</v>
      </c>
      <c r="E659" s="499"/>
      <c r="F659" s="500" t="s">
        <v>127</v>
      </c>
      <c r="G659" s="501"/>
      <c r="H659" s="502"/>
      <c r="I659" s="98" t="s">
        <v>131</v>
      </c>
      <c r="K659" s="544" t="s">
        <v>129</v>
      </c>
      <c r="L659" s="545"/>
      <c r="M659" s="546"/>
    </row>
    <row r="660" spans="1:13" ht="15.75" hidden="1" thickBot="1" x14ac:dyDescent="0.3">
      <c r="A660" s="98" t="s">
        <v>131</v>
      </c>
      <c r="B660" s="518">
        <v>1</v>
      </c>
      <c r="C660" s="506"/>
      <c r="D660" s="114" t="s">
        <v>125</v>
      </c>
      <c r="E660" s="107"/>
      <c r="F660" s="93">
        <v>1</v>
      </c>
      <c r="G660" s="128" t="s">
        <v>126</v>
      </c>
      <c r="H660" s="119"/>
      <c r="I660" s="98" t="s">
        <v>131</v>
      </c>
      <c r="K660" s="120" t="s">
        <v>118</v>
      </c>
      <c r="L660" s="121" t="s">
        <v>124</v>
      </c>
      <c r="M660" s="122" t="s">
        <v>128</v>
      </c>
    </row>
    <row r="661" spans="1:13" hidden="1" x14ac:dyDescent="0.25">
      <c r="A661" s="98" t="s">
        <v>131</v>
      </c>
      <c r="B661" s="504"/>
      <c r="C661" s="507"/>
      <c r="D661" s="509"/>
      <c r="E661" s="512">
        <f>IF(D661=0,0,VLOOKUP($D661,$F660:$H669,3,FALSE)*$E660)</f>
        <v>0</v>
      </c>
      <c r="F661" s="59">
        <v>2</v>
      </c>
      <c r="G661" s="94" t="s">
        <v>126</v>
      </c>
      <c r="H661" s="124"/>
      <c r="I661" s="98" t="s">
        <v>131</v>
      </c>
      <c r="K661" s="70">
        <v>1</v>
      </c>
      <c r="L661" s="125">
        <f>E661</f>
        <v>0</v>
      </c>
      <c r="M661" s="547">
        <f>SUM(L661:L665)</f>
        <v>0</v>
      </c>
    </row>
    <row r="662" spans="1:13" hidden="1" x14ac:dyDescent="0.25">
      <c r="A662" s="98" t="s">
        <v>131</v>
      </c>
      <c r="B662" s="504"/>
      <c r="C662" s="507"/>
      <c r="D662" s="510"/>
      <c r="E662" s="513"/>
      <c r="F662" s="59">
        <v>3</v>
      </c>
      <c r="G662" s="94" t="s">
        <v>126</v>
      </c>
      <c r="H662" s="124"/>
      <c r="I662" s="98" t="s">
        <v>131</v>
      </c>
      <c r="K662" s="71">
        <v>2</v>
      </c>
      <c r="L662" s="126">
        <f>E671</f>
        <v>0</v>
      </c>
      <c r="M662" s="547"/>
    </row>
    <row r="663" spans="1:13" hidden="1" x14ac:dyDescent="0.25">
      <c r="A663" s="98" t="s">
        <v>131</v>
      </c>
      <c r="B663" s="504"/>
      <c r="C663" s="507"/>
      <c r="D663" s="510"/>
      <c r="E663" s="513"/>
      <c r="F663" s="59">
        <v>4</v>
      </c>
      <c r="G663" s="94" t="s">
        <v>126</v>
      </c>
      <c r="H663" s="124"/>
      <c r="I663" s="98" t="s">
        <v>131</v>
      </c>
      <c r="K663" s="71">
        <v>3</v>
      </c>
      <c r="L663" s="126">
        <f>E681</f>
        <v>0</v>
      </c>
      <c r="M663" s="547"/>
    </row>
    <row r="664" spans="1:13" hidden="1" x14ac:dyDescent="0.25">
      <c r="A664" s="98" t="s">
        <v>131</v>
      </c>
      <c r="B664" s="504"/>
      <c r="C664" s="507"/>
      <c r="D664" s="510"/>
      <c r="E664" s="513"/>
      <c r="F664" s="59">
        <v>5</v>
      </c>
      <c r="G664" s="94" t="s">
        <v>126</v>
      </c>
      <c r="H664" s="124"/>
      <c r="I664" s="98" t="s">
        <v>131</v>
      </c>
      <c r="K664" s="71">
        <v>4</v>
      </c>
      <c r="L664" s="126">
        <f>E691</f>
        <v>0</v>
      </c>
      <c r="M664" s="547"/>
    </row>
    <row r="665" spans="1:13" ht="15.75" hidden="1" thickBot="1" x14ac:dyDescent="0.3">
      <c r="A665" s="98" t="s">
        <v>131</v>
      </c>
      <c r="B665" s="504"/>
      <c r="C665" s="507"/>
      <c r="D665" s="510"/>
      <c r="E665" s="513"/>
      <c r="F665" s="59">
        <v>6</v>
      </c>
      <c r="G665" s="94" t="s">
        <v>126</v>
      </c>
      <c r="H665" s="124"/>
      <c r="I665" s="98" t="s">
        <v>131</v>
      </c>
      <c r="K665" s="72">
        <v>5</v>
      </c>
      <c r="L665" s="127">
        <f>E701</f>
        <v>0</v>
      </c>
      <c r="M665" s="548"/>
    </row>
    <row r="666" spans="1:13" ht="15.75" hidden="1" thickBot="1" x14ac:dyDescent="0.3">
      <c r="A666" s="98" t="s">
        <v>131</v>
      </c>
      <c r="B666" s="504"/>
      <c r="C666" s="507"/>
      <c r="D666" s="510"/>
      <c r="E666" s="513"/>
      <c r="F666" s="59">
        <v>7</v>
      </c>
      <c r="G666" s="94" t="s">
        <v>126</v>
      </c>
      <c r="H666" s="124"/>
      <c r="I666" s="98" t="s">
        <v>131</v>
      </c>
    </row>
    <row r="667" spans="1:13" ht="15.75" hidden="1" thickBot="1" x14ac:dyDescent="0.3">
      <c r="A667" s="98" t="s">
        <v>131</v>
      </c>
      <c r="B667" s="505"/>
      <c r="C667" s="508"/>
      <c r="D667" s="510"/>
      <c r="E667" s="513"/>
      <c r="F667" s="59">
        <v>8</v>
      </c>
      <c r="G667" s="94" t="s">
        <v>126</v>
      </c>
      <c r="H667" s="124"/>
      <c r="I667" s="98" t="s">
        <v>131</v>
      </c>
      <c r="K667" s="549" t="s">
        <v>62</v>
      </c>
      <c r="L667" s="550"/>
      <c r="M667" s="551"/>
    </row>
    <row r="668" spans="1:13" ht="15.75" hidden="1" thickBot="1" x14ac:dyDescent="0.3">
      <c r="A668" s="98" t="s">
        <v>131</v>
      </c>
      <c r="B668" s="496" t="s">
        <v>128</v>
      </c>
      <c r="C668" s="506"/>
      <c r="D668" s="510"/>
      <c r="E668" s="513"/>
      <c r="F668" s="59">
        <v>9</v>
      </c>
      <c r="G668" s="94" t="s">
        <v>126</v>
      </c>
      <c r="H668" s="124"/>
      <c r="I668" s="98" t="s">
        <v>131</v>
      </c>
      <c r="K668" s="129" t="s">
        <v>36</v>
      </c>
      <c r="L668" s="130" t="s">
        <v>124</v>
      </c>
      <c r="M668" s="131" t="s">
        <v>128</v>
      </c>
    </row>
    <row r="669" spans="1:13" ht="15.75" hidden="1" thickBot="1" x14ac:dyDescent="0.3">
      <c r="A669" s="98" t="s">
        <v>131</v>
      </c>
      <c r="B669" s="497"/>
      <c r="C669" s="508"/>
      <c r="D669" s="511"/>
      <c r="E669" s="514"/>
      <c r="F669" s="62">
        <v>10</v>
      </c>
      <c r="G669" s="92" t="s">
        <v>126</v>
      </c>
      <c r="H669" s="91"/>
      <c r="I669" s="98" t="s">
        <v>131</v>
      </c>
      <c r="K669" s="70">
        <v>1</v>
      </c>
      <c r="L669" s="125">
        <f>E715</f>
        <v>0</v>
      </c>
      <c r="M669" s="552">
        <f>SUM(L669:L678)</f>
        <v>0</v>
      </c>
    </row>
    <row r="670" spans="1:13" ht="15.75" hidden="1" thickBot="1" x14ac:dyDescent="0.3">
      <c r="A670" s="98" t="s">
        <v>131</v>
      </c>
      <c r="B670" s="518">
        <v>2</v>
      </c>
      <c r="C670" s="506"/>
      <c r="D670" s="114" t="s">
        <v>125</v>
      </c>
      <c r="E670" s="107"/>
      <c r="F670" s="93">
        <v>1</v>
      </c>
      <c r="G670" s="128" t="s">
        <v>126</v>
      </c>
      <c r="H670" s="119"/>
      <c r="I670" s="98" t="s">
        <v>131</v>
      </c>
      <c r="K670" s="71">
        <v>2</v>
      </c>
      <c r="L670" s="126">
        <f>E725</f>
        <v>0</v>
      </c>
      <c r="M670" s="547"/>
    </row>
    <row r="671" spans="1:13" hidden="1" x14ac:dyDescent="0.25">
      <c r="A671" s="98" t="s">
        <v>131</v>
      </c>
      <c r="B671" s="504"/>
      <c r="C671" s="507"/>
      <c r="D671" s="509"/>
      <c r="E671" s="512">
        <f>IF(D671=0,0,VLOOKUP($D671,$F670:$H679,3,FALSE)*$E670)</f>
        <v>0</v>
      </c>
      <c r="F671" s="59">
        <v>2</v>
      </c>
      <c r="G671" s="94" t="s">
        <v>126</v>
      </c>
      <c r="H671" s="124"/>
      <c r="I671" s="98" t="s">
        <v>131</v>
      </c>
      <c r="K671" s="71">
        <v>3</v>
      </c>
      <c r="L671" s="126">
        <f>E735</f>
        <v>0</v>
      </c>
      <c r="M671" s="547"/>
    </row>
    <row r="672" spans="1:13" hidden="1" x14ac:dyDescent="0.25">
      <c r="A672" s="98" t="s">
        <v>131</v>
      </c>
      <c r="B672" s="504"/>
      <c r="C672" s="507"/>
      <c r="D672" s="510"/>
      <c r="E672" s="513"/>
      <c r="F672" s="59">
        <v>3</v>
      </c>
      <c r="G672" s="94" t="s">
        <v>126</v>
      </c>
      <c r="H672" s="124"/>
      <c r="I672" s="98" t="s">
        <v>131</v>
      </c>
      <c r="K672" s="71">
        <v>4</v>
      </c>
      <c r="L672" s="126">
        <f>E745</f>
        <v>0</v>
      </c>
      <c r="M672" s="547"/>
    </row>
    <row r="673" spans="1:13" hidden="1" x14ac:dyDescent="0.25">
      <c r="A673" s="98" t="s">
        <v>131</v>
      </c>
      <c r="B673" s="504"/>
      <c r="C673" s="507"/>
      <c r="D673" s="510"/>
      <c r="E673" s="513"/>
      <c r="F673" s="59">
        <v>4</v>
      </c>
      <c r="G673" s="94" t="s">
        <v>126</v>
      </c>
      <c r="H673" s="124"/>
      <c r="I673" s="98" t="s">
        <v>131</v>
      </c>
      <c r="K673" s="71">
        <v>5</v>
      </c>
      <c r="L673" s="126">
        <f>E755</f>
        <v>0</v>
      </c>
      <c r="M673" s="547"/>
    </row>
    <row r="674" spans="1:13" hidden="1" x14ac:dyDescent="0.25">
      <c r="A674" s="98" t="s">
        <v>131</v>
      </c>
      <c r="B674" s="504"/>
      <c r="C674" s="507"/>
      <c r="D674" s="510"/>
      <c r="E674" s="513"/>
      <c r="F674" s="59">
        <v>5</v>
      </c>
      <c r="G674" s="94" t="s">
        <v>126</v>
      </c>
      <c r="H674" s="124"/>
      <c r="I674" s="98" t="s">
        <v>131</v>
      </c>
      <c r="K674" s="70">
        <v>6</v>
      </c>
      <c r="L674" s="126">
        <f>E765</f>
        <v>0</v>
      </c>
      <c r="M674" s="547"/>
    </row>
    <row r="675" spans="1:13" hidden="1" x14ac:dyDescent="0.25">
      <c r="A675" s="98" t="s">
        <v>131</v>
      </c>
      <c r="B675" s="504"/>
      <c r="C675" s="507"/>
      <c r="D675" s="510"/>
      <c r="E675" s="513"/>
      <c r="F675" s="59">
        <v>6</v>
      </c>
      <c r="G675" s="94" t="s">
        <v>126</v>
      </c>
      <c r="H675" s="124"/>
      <c r="I675" s="98" t="s">
        <v>131</v>
      </c>
      <c r="K675" s="71">
        <v>7</v>
      </c>
      <c r="L675" s="126">
        <f>E775</f>
        <v>0</v>
      </c>
      <c r="M675" s="547"/>
    </row>
    <row r="676" spans="1:13" hidden="1" x14ac:dyDescent="0.25">
      <c r="A676" s="98" t="s">
        <v>131</v>
      </c>
      <c r="B676" s="504"/>
      <c r="C676" s="507"/>
      <c r="D676" s="510"/>
      <c r="E676" s="513"/>
      <c r="F676" s="59">
        <v>7</v>
      </c>
      <c r="G676" s="94" t="s">
        <v>126</v>
      </c>
      <c r="H676" s="124"/>
      <c r="I676" s="98" t="s">
        <v>131</v>
      </c>
      <c r="K676" s="71">
        <v>8</v>
      </c>
      <c r="L676" s="126">
        <f>E785</f>
        <v>0</v>
      </c>
      <c r="M676" s="547"/>
    </row>
    <row r="677" spans="1:13" ht="15.75" hidden="1" thickBot="1" x14ac:dyDescent="0.3">
      <c r="A677" s="98" t="s">
        <v>131</v>
      </c>
      <c r="B677" s="505"/>
      <c r="C677" s="508"/>
      <c r="D677" s="510"/>
      <c r="E677" s="513"/>
      <c r="F677" s="59">
        <v>8</v>
      </c>
      <c r="G677" s="94" t="s">
        <v>126</v>
      </c>
      <c r="H677" s="124"/>
      <c r="I677" s="98" t="s">
        <v>131</v>
      </c>
      <c r="K677" s="71">
        <v>9</v>
      </c>
      <c r="L677" s="126">
        <f>E795</f>
        <v>0</v>
      </c>
      <c r="M677" s="547"/>
    </row>
    <row r="678" spans="1:13" ht="15.75" hidden="1" thickBot="1" x14ac:dyDescent="0.3">
      <c r="A678" s="98" t="s">
        <v>131</v>
      </c>
      <c r="B678" s="496" t="s">
        <v>128</v>
      </c>
      <c r="C678" s="506"/>
      <c r="D678" s="510"/>
      <c r="E678" s="513"/>
      <c r="F678" s="59">
        <v>9</v>
      </c>
      <c r="G678" s="94" t="s">
        <v>126</v>
      </c>
      <c r="H678" s="124"/>
      <c r="I678" s="98" t="s">
        <v>131</v>
      </c>
      <c r="K678" s="72">
        <v>10</v>
      </c>
      <c r="L678" s="127">
        <f>E805</f>
        <v>0</v>
      </c>
      <c r="M678" s="548"/>
    </row>
    <row r="679" spans="1:13" ht="15.75" hidden="1" thickBot="1" x14ac:dyDescent="0.3">
      <c r="A679" s="98" t="s">
        <v>131</v>
      </c>
      <c r="B679" s="497"/>
      <c r="C679" s="508"/>
      <c r="D679" s="511"/>
      <c r="E679" s="514"/>
      <c r="F679" s="62">
        <v>10</v>
      </c>
      <c r="G679" s="92" t="s">
        <v>126</v>
      </c>
      <c r="H679" s="91"/>
      <c r="I679" s="98" t="s">
        <v>131</v>
      </c>
    </row>
    <row r="680" spans="1:13" ht="15.75" hidden="1" customHeight="1" thickBot="1" x14ac:dyDescent="0.3">
      <c r="A680" s="98" t="s">
        <v>131</v>
      </c>
      <c r="B680" s="518">
        <v>3</v>
      </c>
      <c r="C680" s="506"/>
      <c r="D680" s="114" t="s">
        <v>125</v>
      </c>
      <c r="E680" s="107"/>
      <c r="F680" s="93">
        <v>1</v>
      </c>
      <c r="G680" s="128" t="s">
        <v>126</v>
      </c>
      <c r="H680" s="119"/>
      <c r="I680" s="98" t="s">
        <v>131</v>
      </c>
    </row>
    <row r="681" spans="1:13" ht="15" hidden="1" customHeight="1" x14ac:dyDescent="0.25">
      <c r="A681" s="98" t="s">
        <v>131</v>
      </c>
      <c r="B681" s="504"/>
      <c r="C681" s="507"/>
      <c r="D681" s="509"/>
      <c r="E681" s="512">
        <f>IF(D681=0,0,VLOOKUP($D681,$F680:$H689,3,FALSE)*$E680)</f>
        <v>0</v>
      </c>
      <c r="F681" s="59">
        <v>2</v>
      </c>
      <c r="G681" s="94" t="s">
        <v>126</v>
      </c>
      <c r="H681" s="124"/>
      <c r="I681" s="98" t="s">
        <v>131</v>
      </c>
    </row>
    <row r="682" spans="1:13" ht="15" hidden="1" customHeight="1" x14ac:dyDescent="0.25">
      <c r="A682" s="98" t="s">
        <v>131</v>
      </c>
      <c r="B682" s="504"/>
      <c r="C682" s="507"/>
      <c r="D682" s="510"/>
      <c r="E682" s="513"/>
      <c r="F682" s="59">
        <v>3</v>
      </c>
      <c r="G682" s="94" t="s">
        <v>126</v>
      </c>
      <c r="H682" s="124"/>
      <c r="I682" s="98" t="s">
        <v>131</v>
      </c>
    </row>
    <row r="683" spans="1:13" ht="15" hidden="1" customHeight="1" x14ac:dyDescent="0.25">
      <c r="A683" s="98" t="s">
        <v>131</v>
      </c>
      <c r="B683" s="504"/>
      <c r="C683" s="507"/>
      <c r="D683" s="510"/>
      <c r="E683" s="513"/>
      <c r="F683" s="59">
        <v>4</v>
      </c>
      <c r="G683" s="94" t="s">
        <v>126</v>
      </c>
      <c r="H683" s="124"/>
      <c r="I683" s="98" t="s">
        <v>131</v>
      </c>
    </row>
    <row r="684" spans="1:13" ht="15" hidden="1" customHeight="1" x14ac:dyDescent="0.25">
      <c r="A684" s="98" t="s">
        <v>131</v>
      </c>
      <c r="B684" s="504"/>
      <c r="C684" s="507"/>
      <c r="D684" s="510"/>
      <c r="E684" s="513"/>
      <c r="F684" s="59">
        <v>5</v>
      </c>
      <c r="G684" s="94" t="s">
        <v>126</v>
      </c>
      <c r="H684" s="124"/>
      <c r="I684" s="98" t="s">
        <v>131</v>
      </c>
    </row>
    <row r="685" spans="1:13" ht="15" hidden="1" customHeight="1" x14ac:dyDescent="0.25">
      <c r="A685" s="98" t="s">
        <v>131</v>
      </c>
      <c r="B685" s="504"/>
      <c r="C685" s="507"/>
      <c r="D685" s="510"/>
      <c r="E685" s="513"/>
      <c r="F685" s="59">
        <v>6</v>
      </c>
      <c r="G685" s="94" t="s">
        <v>126</v>
      </c>
      <c r="H685" s="124"/>
      <c r="I685" s="98" t="s">
        <v>131</v>
      </c>
    </row>
    <row r="686" spans="1:13" ht="15" hidden="1" customHeight="1" x14ac:dyDescent="0.25">
      <c r="A686" s="98" t="s">
        <v>131</v>
      </c>
      <c r="B686" s="504"/>
      <c r="C686" s="507"/>
      <c r="D686" s="510"/>
      <c r="E686" s="513"/>
      <c r="F686" s="59">
        <v>7</v>
      </c>
      <c r="G686" s="94" t="s">
        <v>126</v>
      </c>
      <c r="H686" s="124"/>
      <c r="I686" s="98" t="s">
        <v>131</v>
      </c>
    </row>
    <row r="687" spans="1:13" ht="15.75" hidden="1" customHeight="1" thickBot="1" x14ac:dyDescent="0.3">
      <c r="A687" s="98" t="s">
        <v>131</v>
      </c>
      <c r="B687" s="505"/>
      <c r="C687" s="508"/>
      <c r="D687" s="510"/>
      <c r="E687" s="513"/>
      <c r="F687" s="59">
        <v>8</v>
      </c>
      <c r="G687" s="94" t="s">
        <v>126</v>
      </c>
      <c r="H687" s="124"/>
      <c r="I687" s="98" t="s">
        <v>131</v>
      </c>
    </row>
    <row r="688" spans="1:13" ht="51" hidden="1" customHeight="1" x14ac:dyDescent="0.25">
      <c r="A688" s="98" t="s">
        <v>131</v>
      </c>
      <c r="B688" s="496" t="s">
        <v>128</v>
      </c>
      <c r="C688" s="506"/>
      <c r="D688" s="510"/>
      <c r="E688" s="513"/>
      <c r="F688" s="59">
        <v>9</v>
      </c>
      <c r="G688" s="94" t="s">
        <v>126</v>
      </c>
      <c r="H688" s="124"/>
      <c r="I688" s="98" t="s">
        <v>131</v>
      </c>
    </row>
    <row r="689" spans="1:9" ht="51" hidden="1" customHeight="1" thickBot="1" x14ac:dyDescent="0.3">
      <c r="A689" s="98" t="s">
        <v>131</v>
      </c>
      <c r="B689" s="497"/>
      <c r="C689" s="508"/>
      <c r="D689" s="511"/>
      <c r="E689" s="514"/>
      <c r="F689" s="62">
        <v>10</v>
      </c>
      <c r="G689" s="92" t="s">
        <v>126</v>
      </c>
      <c r="H689" s="91"/>
      <c r="I689" s="98" t="s">
        <v>131</v>
      </c>
    </row>
    <row r="690" spans="1:9" ht="15.75" hidden="1" customHeight="1" thickBot="1" x14ac:dyDescent="0.3">
      <c r="A690" s="98" t="s">
        <v>131</v>
      </c>
      <c r="B690" s="518">
        <v>4</v>
      </c>
      <c r="C690" s="506"/>
      <c r="D690" s="114" t="s">
        <v>125</v>
      </c>
      <c r="E690" s="107"/>
      <c r="F690" s="93">
        <v>1</v>
      </c>
      <c r="G690" s="128" t="s">
        <v>126</v>
      </c>
      <c r="H690" s="119"/>
      <c r="I690" s="98" t="s">
        <v>131</v>
      </c>
    </row>
    <row r="691" spans="1:9" ht="15" hidden="1" customHeight="1" x14ac:dyDescent="0.25">
      <c r="A691" s="98" t="s">
        <v>131</v>
      </c>
      <c r="B691" s="504"/>
      <c r="C691" s="507"/>
      <c r="D691" s="509"/>
      <c r="E691" s="512">
        <f>IF(D691=0,0,VLOOKUP($D691,$F690:$H699,3,FALSE)*$E690)</f>
        <v>0</v>
      </c>
      <c r="F691" s="59">
        <v>2</v>
      </c>
      <c r="G691" s="94" t="s">
        <v>126</v>
      </c>
      <c r="H691" s="124"/>
      <c r="I691" s="98" t="s">
        <v>131</v>
      </c>
    </row>
    <row r="692" spans="1:9" ht="15" hidden="1" customHeight="1" x14ac:dyDescent="0.25">
      <c r="A692" s="98" t="s">
        <v>131</v>
      </c>
      <c r="B692" s="504"/>
      <c r="C692" s="507"/>
      <c r="D692" s="510"/>
      <c r="E692" s="513"/>
      <c r="F692" s="59">
        <v>3</v>
      </c>
      <c r="G692" s="94" t="s">
        <v>126</v>
      </c>
      <c r="H692" s="124"/>
      <c r="I692" s="98" t="s">
        <v>131</v>
      </c>
    </row>
    <row r="693" spans="1:9" ht="15" hidden="1" customHeight="1" x14ac:dyDescent="0.25">
      <c r="A693" s="98" t="s">
        <v>131</v>
      </c>
      <c r="B693" s="504"/>
      <c r="C693" s="507"/>
      <c r="D693" s="510"/>
      <c r="E693" s="513"/>
      <c r="F693" s="59">
        <v>4</v>
      </c>
      <c r="G693" s="94" t="s">
        <v>126</v>
      </c>
      <c r="H693" s="124"/>
      <c r="I693" s="98" t="s">
        <v>131</v>
      </c>
    </row>
    <row r="694" spans="1:9" ht="15" hidden="1" customHeight="1" x14ac:dyDescent="0.25">
      <c r="A694" s="98" t="s">
        <v>131</v>
      </c>
      <c r="B694" s="504"/>
      <c r="C694" s="507"/>
      <c r="D694" s="510"/>
      <c r="E694" s="513"/>
      <c r="F694" s="59">
        <v>5</v>
      </c>
      <c r="G694" s="94" t="s">
        <v>126</v>
      </c>
      <c r="H694" s="124"/>
      <c r="I694" s="98" t="s">
        <v>131</v>
      </c>
    </row>
    <row r="695" spans="1:9" ht="15" hidden="1" customHeight="1" x14ac:dyDescent="0.25">
      <c r="A695" s="98" t="s">
        <v>131</v>
      </c>
      <c r="B695" s="504"/>
      <c r="C695" s="507"/>
      <c r="D695" s="510"/>
      <c r="E695" s="513"/>
      <c r="F695" s="59">
        <v>6</v>
      </c>
      <c r="G695" s="94" t="s">
        <v>126</v>
      </c>
      <c r="H695" s="124"/>
      <c r="I695" s="98" t="s">
        <v>131</v>
      </c>
    </row>
    <row r="696" spans="1:9" ht="15" hidden="1" customHeight="1" x14ac:dyDescent="0.25">
      <c r="A696" s="98" t="s">
        <v>131</v>
      </c>
      <c r="B696" s="504"/>
      <c r="C696" s="507"/>
      <c r="D696" s="510"/>
      <c r="E696" s="513"/>
      <c r="F696" s="59">
        <v>7</v>
      </c>
      <c r="G696" s="94" t="s">
        <v>126</v>
      </c>
      <c r="H696" s="124"/>
      <c r="I696" s="98" t="s">
        <v>131</v>
      </c>
    </row>
    <row r="697" spans="1:9" ht="15.75" hidden="1" customHeight="1" thickBot="1" x14ac:dyDescent="0.3">
      <c r="A697" s="98" t="s">
        <v>131</v>
      </c>
      <c r="B697" s="505"/>
      <c r="C697" s="508"/>
      <c r="D697" s="510"/>
      <c r="E697" s="513"/>
      <c r="F697" s="59">
        <v>8</v>
      </c>
      <c r="G697" s="94" t="s">
        <v>126</v>
      </c>
      <c r="H697" s="124"/>
      <c r="I697" s="98" t="s">
        <v>131</v>
      </c>
    </row>
    <row r="698" spans="1:9" ht="15" hidden="1" customHeight="1" x14ac:dyDescent="0.25">
      <c r="A698" s="98" t="s">
        <v>131</v>
      </c>
      <c r="B698" s="496" t="s">
        <v>128</v>
      </c>
      <c r="C698" s="506"/>
      <c r="D698" s="510"/>
      <c r="E698" s="513"/>
      <c r="F698" s="59">
        <v>9</v>
      </c>
      <c r="G698" s="94" t="s">
        <v>126</v>
      </c>
      <c r="H698" s="124"/>
      <c r="I698" s="98" t="s">
        <v>131</v>
      </c>
    </row>
    <row r="699" spans="1:9" ht="15.75" hidden="1" customHeight="1" thickBot="1" x14ac:dyDescent="0.3">
      <c r="A699" s="98" t="s">
        <v>131</v>
      </c>
      <c r="B699" s="497"/>
      <c r="C699" s="508"/>
      <c r="D699" s="511"/>
      <c r="E699" s="514"/>
      <c r="F699" s="62">
        <v>10</v>
      </c>
      <c r="G699" s="92" t="s">
        <v>126</v>
      </c>
      <c r="H699" s="91"/>
      <c r="I699" s="98" t="s">
        <v>131</v>
      </c>
    </row>
    <row r="700" spans="1:9" ht="15.75" hidden="1" customHeight="1" thickBot="1" x14ac:dyDescent="0.3">
      <c r="A700" s="98" t="s">
        <v>131</v>
      </c>
      <c r="B700" s="503">
        <v>5</v>
      </c>
      <c r="C700" s="506"/>
      <c r="D700" s="114" t="s">
        <v>125</v>
      </c>
      <c r="E700" s="107">
        <v>0.6</v>
      </c>
      <c r="F700" s="93">
        <v>1</v>
      </c>
      <c r="G700" s="128" t="s">
        <v>126</v>
      </c>
      <c r="H700" s="119"/>
      <c r="I700" s="98" t="s">
        <v>131</v>
      </c>
    </row>
    <row r="701" spans="1:9" ht="15" hidden="1" customHeight="1" x14ac:dyDescent="0.25">
      <c r="A701" s="98" t="s">
        <v>131</v>
      </c>
      <c r="B701" s="504"/>
      <c r="C701" s="507"/>
      <c r="D701" s="509"/>
      <c r="E701" s="512">
        <f>IF(D701=0,0,VLOOKUP($D701,$F700:$H709,3,FALSE)*$E700)</f>
        <v>0</v>
      </c>
      <c r="F701" s="59">
        <v>2</v>
      </c>
      <c r="G701" s="94" t="s">
        <v>126</v>
      </c>
      <c r="H701" s="124"/>
      <c r="I701" s="98" t="s">
        <v>131</v>
      </c>
    </row>
    <row r="702" spans="1:9" ht="15" hidden="1" customHeight="1" x14ac:dyDescent="0.25">
      <c r="A702" s="98" t="s">
        <v>131</v>
      </c>
      <c r="B702" s="504"/>
      <c r="C702" s="507"/>
      <c r="D702" s="510"/>
      <c r="E702" s="513"/>
      <c r="F702" s="59">
        <v>3</v>
      </c>
      <c r="G702" s="94" t="s">
        <v>126</v>
      </c>
      <c r="H702" s="124"/>
      <c r="I702" s="98" t="s">
        <v>131</v>
      </c>
    </row>
    <row r="703" spans="1:9" ht="15" hidden="1" customHeight="1" x14ac:dyDescent="0.25">
      <c r="A703" s="98" t="s">
        <v>131</v>
      </c>
      <c r="B703" s="504"/>
      <c r="C703" s="507"/>
      <c r="D703" s="510"/>
      <c r="E703" s="513"/>
      <c r="F703" s="59">
        <v>4</v>
      </c>
      <c r="G703" s="94" t="s">
        <v>126</v>
      </c>
      <c r="H703" s="124"/>
      <c r="I703" s="98" t="s">
        <v>131</v>
      </c>
    </row>
    <row r="704" spans="1:9" ht="15" hidden="1" customHeight="1" x14ac:dyDescent="0.25">
      <c r="A704" s="98" t="s">
        <v>131</v>
      </c>
      <c r="B704" s="504"/>
      <c r="C704" s="507"/>
      <c r="D704" s="510"/>
      <c r="E704" s="513"/>
      <c r="F704" s="59">
        <v>5</v>
      </c>
      <c r="G704" s="94" t="s">
        <v>126</v>
      </c>
      <c r="H704" s="124"/>
      <c r="I704" s="98" t="s">
        <v>131</v>
      </c>
    </row>
    <row r="705" spans="1:9" ht="15" hidden="1" customHeight="1" x14ac:dyDescent="0.25">
      <c r="A705" s="98" t="s">
        <v>131</v>
      </c>
      <c r="B705" s="504"/>
      <c r="C705" s="507"/>
      <c r="D705" s="510"/>
      <c r="E705" s="513"/>
      <c r="F705" s="59">
        <v>6</v>
      </c>
      <c r="G705" s="94" t="s">
        <v>126</v>
      </c>
      <c r="H705" s="124"/>
      <c r="I705" s="98" t="s">
        <v>131</v>
      </c>
    </row>
    <row r="706" spans="1:9" ht="15" hidden="1" customHeight="1" x14ac:dyDescent="0.25">
      <c r="A706" s="98" t="s">
        <v>131</v>
      </c>
      <c r="B706" s="504"/>
      <c r="C706" s="507"/>
      <c r="D706" s="510"/>
      <c r="E706" s="513"/>
      <c r="F706" s="59">
        <v>7</v>
      </c>
      <c r="G706" s="94" t="s">
        <v>126</v>
      </c>
      <c r="H706" s="124"/>
      <c r="I706" s="98" t="s">
        <v>131</v>
      </c>
    </row>
    <row r="707" spans="1:9" ht="15.75" hidden="1" customHeight="1" thickBot="1" x14ac:dyDescent="0.3">
      <c r="A707" s="98" t="s">
        <v>131</v>
      </c>
      <c r="B707" s="505"/>
      <c r="C707" s="508"/>
      <c r="D707" s="510"/>
      <c r="E707" s="513"/>
      <c r="F707" s="59">
        <v>8</v>
      </c>
      <c r="G707" s="94" t="s">
        <v>126</v>
      </c>
      <c r="H707" s="124"/>
      <c r="I707" s="98" t="s">
        <v>131</v>
      </c>
    </row>
    <row r="708" spans="1:9" ht="15" hidden="1" customHeight="1" x14ac:dyDescent="0.25">
      <c r="A708" s="98" t="s">
        <v>131</v>
      </c>
      <c r="B708" s="496" t="s">
        <v>128</v>
      </c>
      <c r="C708" s="506"/>
      <c r="D708" s="510"/>
      <c r="E708" s="513"/>
      <c r="F708" s="59">
        <v>9</v>
      </c>
      <c r="G708" s="94" t="s">
        <v>126</v>
      </c>
      <c r="H708" s="124"/>
      <c r="I708" s="98" t="s">
        <v>131</v>
      </c>
    </row>
    <row r="709" spans="1:9" ht="15.75" hidden="1" customHeight="1" thickBot="1" x14ac:dyDescent="0.3">
      <c r="A709" s="98" t="s">
        <v>131</v>
      </c>
      <c r="B709" s="497"/>
      <c r="C709" s="508"/>
      <c r="D709" s="511"/>
      <c r="E709" s="514"/>
      <c r="F709" s="62">
        <v>10</v>
      </c>
      <c r="G709" s="92" t="s">
        <v>126</v>
      </c>
      <c r="H709" s="91"/>
      <c r="I709" s="98" t="s">
        <v>131</v>
      </c>
    </row>
    <row r="710" spans="1:9" ht="15.75" hidden="1" thickBot="1" x14ac:dyDescent="0.3">
      <c r="A710" s="98" t="s">
        <v>131</v>
      </c>
      <c r="B710" s="98" t="s">
        <v>131</v>
      </c>
      <c r="C710" s="98"/>
      <c r="D710" s="108" t="s">
        <v>131</v>
      </c>
      <c r="E710" s="108" t="s">
        <v>131</v>
      </c>
      <c r="F710" s="98" t="s">
        <v>131</v>
      </c>
      <c r="G710" s="98" t="s">
        <v>131</v>
      </c>
      <c r="H710" s="98" t="s">
        <v>131</v>
      </c>
      <c r="I710" s="98" t="s">
        <v>131</v>
      </c>
    </row>
    <row r="711" spans="1:9" hidden="1" x14ac:dyDescent="0.25">
      <c r="A711" s="101" t="s">
        <v>131</v>
      </c>
      <c r="B711" s="139" t="s">
        <v>136</v>
      </c>
      <c r="C711" s="99"/>
      <c r="D711" s="109"/>
      <c r="E711" s="109"/>
      <c r="F711" s="99"/>
      <c r="G711" s="493" t="s">
        <v>17</v>
      </c>
      <c r="H711" s="494"/>
      <c r="I711" s="495"/>
    </row>
    <row r="712" spans="1:9" ht="15.75" hidden="1" thickBot="1" x14ac:dyDescent="0.3">
      <c r="A712" s="101" t="s">
        <v>131</v>
      </c>
      <c r="B712" s="140"/>
      <c r="C712" s="100"/>
      <c r="D712" s="110"/>
      <c r="E712" s="110"/>
      <c r="F712" s="100"/>
      <c r="G712" s="515"/>
      <c r="H712" s="516"/>
      <c r="I712" s="517"/>
    </row>
    <row r="713" spans="1:9" ht="15.75" hidden="1" thickBot="1" x14ac:dyDescent="0.3">
      <c r="A713" s="101" t="s">
        <v>131</v>
      </c>
      <c r="B713" s="55" t="s">
        <v>119</v>
      </c>
      <c r="C713" s="55"/>
      <c r="D713" s="498" t="s">
        <v>124</v>
      </c>
      <c r="E713" s="499"/>
      <c r="F713" s="500" t="s">
        <v>130</v>
      </c>
      <c r="G713" s="501"/>
      <c r="H713" s="502"/>
      <c r="I713" s="101" t="s">
        <v>131</v>
      </c>
    </row>
    <row r="714" spans="1:9" ht="15.75" hidden="1" thickBot="1" x14ac:dyDescent="0.3">
      <c r="A714" s="101" t="s">
        <v>131</v>
      </c>
      <c r="B714" s="518">
        <v>1</v>
      </c>
      <c r="C714" s="506"/>
      <c r="D714" s="114" t="s">
        <v>125</v>
      </c>
      <c r="E714" s="107"/>
      <c r="F714" s="93">
        <v>1</v>
      </c>
      <c r="G714" s="128" t="s">
        <v>126</v>
      </c>
      <c r="H714" s="119">
        <v>115</v>
      </c>
      <c r="I714" s="101" t="s">
        <v>131</v>
      </c>
    </row>
    <row r="715" spans="1:9" hidden="1" x14ac:dyDescent="0.25">
      <c r="A715" s="101" t="s">
        <v>131</v>
      </c>
      <c r="B715" s="504"/>
      <c r="C715" s="507"/>
      <c r="D715" s="509"/>
      <c r="E715" s="512">
        <f>IF(D715=0,0,VLOOKUP($D715,$F714:$H723,3,FALSE)*$E714)</f>
        <v>0</v>
      </c>
      <c r="F715" s="59">
        <v>2</v>
      </c>
      <c r="G715" s="94" t="s">
        <v>126</v>
      </c>
      <c r="H715" s="124">
        <f>H714-5</f>
        <v>110</v>
      </c>
      <c r="I715" s="101" t="s">
        <v>131</v>
      </c>
    </row>
    <row r="716" spans="1:9" hidden="1" x14ac:dyDescent="0.25">
      <c r="A716" s="101" t="s">
        <v>131</v>
      </c>
      <c r="B716" s="504"/>
      <c r="C716" s="507"/>
      <c r="D716" s="510"/>
      <c r="E716" s="513"/>
      <c r="F716" s="59">
        <v>3</v>
      </c>
      <c r="G716" s="94" t="s">
        <v>126</v>
      </c>
      <c r="H716" s="124">
        <f t="shared" ref="H716:H723" si="22">H715-5</f>
        <v>105</v>
      </c>
      <c r="I716" s="101" t="s">
        <v>131</v>
      </c>
    </row>
    <row r="717" spans="1:9" hidden="1" x14ac:dyDescent="0.25">
      <c r="A717" s="101" t="s">
        <v>131</v>
      </c>
      <c r="B717" s="504"/>
      <c r="C717" s="507"/>
      <c r="D717" s="510"/>
      <c r="E717" s="513"/>
      <c r="F717" s="59">
        <v>4</v>
      </c>
      <c r="G717" s="94" t="s">
        <v>126</v>
      </c>
      <c r="H717" s="124">
        <f t="shared" si="22"/>
        <v>100</v>
      </c>
      <c r="I717" s="101" t="s">
        <v>131</v>
      </c>
    </row>
    <row r="718" spans="1:9" hidden="1" x14ac:dyDescent="0.25">
      <c r="A718" s="101" t="s">
        <v>131</v>
      </c>
      <c r="B718" s="504"/>
      <c r="C718" s="507"/>
      <c r="D718" s="510"/>
      <c r="E718" s="513"/>
      <c r="F718" s="59">
        <v>5</v>
      </c>
      <c r="G718" s="94" t="s">
        <v>126</v>
      </c>
      <c r="H718" s="124">
        <f t="shared" si="22"/>
        <v>95</v>
      </c>
      <c r="I718" s="101" t="s">
        <v>131</v>
      </c>
    </row>
    <row r="719" spans="1:9" hidden="1" x14ac:dyDescent="0.25">
      <c r="A719" s="101" t="s">
        <v>131</v>
      </c>
      <c r="B719" s="504"/>
      <c r="C719" s="507"/>
      <c r="D719" s="510"/>
      <c r="E719" s="513"/>
      <c r="F719" s="59">
        <v>6</v>
      </c>
      <c r="G719" s="94" t="s">
        <v>126</v>
      </c>
      <c r="H719" s="124">
        <f t="shared" si="22"/>
        <v>90</v>
      </c>
      <c r="I719" s="101" t="s">
        <v>131</v>
      </c>
    </row>
    <row r="720" spans="1:9" hidden="1" x14ac:dyDescent="0.25">
      <c r="A720" s="101" t="s">
        <v>131</v>
      </c>
      <c r="B720" s="504"/>
      <c r="C720" s="507"/>
      <c r="D720" s="510"/>
      <c r="E720" s="513"/>
      <c r="F720" s="59">
        <v>7</v>
      </c>
      <c r="G720" s="94" t="s">
        <v>126</v>
      </c>
      <c r="H720" s="124">
        <f t="shared" si="22"/>
        <v>85</v>
      </c>
      <c r="I720" s="101" t="s">
        <v>131</v>
      </c>
    </row>
    <row r="721" spans="1:9" ht="15.75" hidden="1" thickBot="1" x14ac:dyDescent="0.3">
      <c r="A721" s="101" t="s">
        <v>131</v>
      </c>
      <c r="B721" s="505"/>
      <c r="C721" s="508"/>
      <c r="D721" s="510"/>
      <c r="E721" s="513"/>
      <c r="F721" s="59">
        <v>8</v>
      </c>
      <c r="G721" s="94" t="s">
        <v>126</v>
      </c>
      <c r="H721" s="124">
        <f t="shared" si="22"/>
        <v>80</v>
      </c>
      <c r="I721" s="101" t="s">
        <v>131</v>
      </c>
    </row>
    <row r="722" spans="1:9" hidden="1" x14ac:dyDescent="0.25">
      <c r="A722" s="101" t="s">
        <v>131</v>
      </c>
      <c r="B722" s="496" t="s">
        <v>128</v>
      </c>
      <c r="C722" s="506"/>
      <c r="D722" s="510"/>
      <c r="E722" s="513"/>
      <c r="F722" s="59">
        <v>9</v>
      </c>
      <c r="G722" s="94" t="s">
        <v>126</v>
      </c>
      <c r="H722" s="124">
        <f t="shared" si="22"/>
        <v>75</v>
      </c>
      <c r="I722" s="101" t="s">
        <v>131</v>
      </c>
    </row>
    <row r="723" spans="1:9" ht="15.75" hidden="1" thickBot="1" x14ac:dyDescent="0.3">
      <c r="A723" s="101" t="s">
        <v>131</v>
      </c>
      <c r="B723" s="497"/>
      <c r="C723" s="508"/>
      <c r="D723" s="511"/>
      <c r="E723" s="514"/>
      <c r="F723" s="62">
        <v>10</v>
      </c>
      <c r="G723" s="92" t="s">
        <v>126</v>
      </c>
      <c r="H723" s="91">
        <f t="shared" si="22"/>
        <v>70</v>
      </c>
      <c r="I723" s="101" t="s">
        <v>131</v>
      </c>
    </row>
    <row r="724" spans="1:9" ht="15.75" hidden="1" customHeight="1" thickBot="1" x14ac:dyDescent="0.3">
      <c r="A724" s="101" t="s">
        <v>131</v>
      </c>
      <c r="B724" s="518">
        <v>2</v>
      </c>
      <c r="C724" s="506"/>
      <c r="D724" s="114" t="s">
        <v>125</v>
      </c>
      <c r="E724" s="107"/>
      <c r="F724" s="93">
        <v>1</v>
      </c>
      <c r="G724" s="128" t="s">
        <v>126</v>
      </c>
      <c r="H724" s="119">
        <v>115</v>
      </c>
      <c r="I724" s="101" t="s">
        <v>131</v>
      </c>
    </row>
    <row r="725" spans="1:9" hidden="1" x14ac:dyDescent="0.25">
      <c r="A725" s="101" t="s">
        <v>131</v>
      </c>
      <c r="B725" s="504"/>
      <c r="C725" s="507"/>
      <c r="D725" s="509"/>
      <c r="E725" s="512">
        <f>IF(D725=0,0,VLOOKUP($D725,$F724:$H733,3,FALSE)*$E724)</f>
        <v>0</v>
      </c>
      <c r="F725" s="59">
        <v>2</v>
      </c>
      <c r="G725" s="94" t="s">
        <v>126</v>
      </c>
      <c r="H725" s="124">
        <f>H724-5</f>
        <v>110</v>
      </c>
      <c r="I725" s="101" t="s">
        <v>131</v>
      </c>
    </row>
    <row r="726" spans="1:9" hidden="1" x14ac:dyDescent="0.25">
      <c r="A726" s="101" t="s">
        <v>131</v>
      </c>
      <c r="B726" s="504"/>
      <c r="C726" s="507"/>
      <c r="D726" s="510"/>
      <c r="E726" s="513"/>
      <c r="F726" s="59">
        <v>3</v>
      </c>
      <c r="G726" s="94" t="s">
        <v>126</v>
      </c>
      <c r="H726" s="124">
        <f t="shared" ref="H726:H733" si="23">H725-5</f>
        <v>105</v>
      </c>
      <c r="I726" s="101" t="s">
        <v>131</v>
      </c>
    </row>
    <row r="727" spans="1:9" hidden="1" x14ac:dyDescent="0.25">
      <c r="A727" s="101" t="s">
        <v>131</v>
      </c>
      <c r="B727" s="504"/>
      <c r="C727" s="507"/>
      <c r="D727" s="510"/>
      <c r="E727" s="513"/>
      <c r="F727" s="59">
        <v>4</v>
      </c>
      <c r="G727" s="94" t="s">
        <v>126</v>
      </c>
      <c r="H727" s="124">
        <f t="shared" si="23"/>
        <v>100</v>
      </c>
      <c r="I727" s="101" t="s">
        <v>131</v>
      </c>
    </row>
    <row r="728" spans="1:9" hidden="1" x14ac:dyDescent="0.25">
      <c r="A728" s="101" t="s">
        <v>131</v>
      </c>
      <c r="B728" s="504"/>
      <c r="C728" s="507"/>
      <c r="D728" s="510"/>
      <c r="E728" s="513"/>
      <c r="F728" s="59">
        <v>5</v>
      </c>
      <c r="G728" s="94" t="s">
        <v>126</v>
      </c>
      <c r="H728" s="124">
        <f t="shared" si="23"/>
        <v>95</v>
      </c>
      <c r="I728" s="101" t="s">
        <v>131</v>
      </c>
    </row>
    <row r="729" spans="1:9" hidden="1" x14ac:dyDescent="0.25">
      <c r="A729" s="101" t="s">
        <v>131</v>
      </c>
      <c r="B729" s="504"/>
      <c r="C729" s="507"/>
      <c r="D729" s="510"/>
      <c r="E729" s="513"/>
      <c r="F729" s="59">
        <v>6</v>
      </c>
      <c r="G729" s="94" t="s">
        <v>126</v>
      </c>
      <c r="H729" s="124">
        <f t="shared" si="23"/>
        <v>90</v>
      </c>
      <c r="I729" s="101" t="s">
        <v>131</v>
      </c>
    </row>
    <row r="730" spans="1:9" hidden="1" x14ac:dyDescent="0.25">
      <c r="A730" s="101" t="s">
        <v>131</v>
      </c>
      <c r="B730" s="504"/>
      <c r="C730" s="507"/>
      <c r="D730" s="510"/>
      <c r="E730" s="513"/>
      <c r="F730" s="59">
        <v>7</v>
      </c>
      <c r="G730" s="94" t="s">
        <v>126</v>
      </c>
      <c r="H730" s="124">
        <f t="shared" si="23"/>
        <v>85</v>
      </c>
      <c r="I730" s="101" t="s">
        <v>131</v>
      </c>
    </row>
    <row r="731" spans="1:9" ht="15.75" hidden="1" thickBot="1" x14ac:dyDescent="0.3">
      <c r="A731" s="101" t="s">
        <v>131</v>
      </c>
      <c r="B731" s="505"/>
      <c r="C731" s="508"/>
      <c r="D731" s="510"/>
      <c r="E731" s="513"/>
      <c r="F731" s="59">
        <v>8</v>
      </c>
      <c r="G731" s="94" t="s">
        <v>126</v>
      </c>
      <c r="H731" s="124">
        <f t="shared" si="23"/>
        <v>80</v>
      </c>
      <c r="I731" s="101" t="s">
        <v>131</v>
      </c>
    </row>
    <row r="732" spans="1:9" hidden="1" x14ac:dyDescent="0.25">
      <c r="A732" s="101" t="s">
        <v>131</v>
      </c>
      <c r="B732" s="496" t="s">
        <v>128</v>
      </c>
      <c r="C732" s="506"/>
      <c r="D732" s="510"/>
      <c r="E732" s="513"/>
      <c r="F732" s="59">
        <v>9</v>
      </c>
      <c r="G732" s="94" t="s">
        <v>126</v>
      </c>
      <c r="H732" s="124">
        <f t="shared" si="23"/>
        <v>75</v>
      </c>
      <c r="I732" s="101" t="s">
        <v>131</v>
      </c>
    </row>
    <row r="733" spans="1:9" ht="15.75" hidden="1" thickBot="1" x14ac:dyDescent="0.3">
      <c r="A733" s="101" t="s">
        <v>131</v>
      </c>
      <c r="B733" s="497"/>
      <c r="C733" s="508"/>
      <c r="D733" s="511"/>
      <c r="E733" s="514"/>
      <c r="F733" s="62">
        <v>10</v>
      </c>
      <c r="G733" s="92" t="s">
        <v>126</v>
      </c>
      <c r="H733" s="91">
        <f t="shared" si="23"/>
        <v>70</v>
      </c>
      <c r="I733" s="101" t="s">
        <v>131</v>
      </c>
    </row>
    <row r="734" spans="1:9" ht="15.75" hidden="1" customHeight="1" thickBot="1" x14ac:dyDescent="0.3">
      <c r="A734" s="101" t="s">
        <v>131</v>
      </c>
      <c r="B734" s="518">
        <v>3</v>
      </c>
      <c r="C734" s="506"/>
      <c r="D734" s="114" t="s">
        <v>125</v>
      </c>
      <c r="E734" s="107"/>
      <c r="F734" s="93">
        <v>1</v>
      </c>
      <c r="G734" s="128" t="s">
        <v>126</v>
      </c>
      <c r="H734" s="119">
        <v>115</v>
      </c>
      <c r="I734" s="101" t="s">
        <v>131</v>
      </c>
    </row>
    <row r="735" spans="1:9" ht="15" hidden="1" customHeight="1" x14ac:dyDescent="0.25">
      <c r="A735" s="101" t="s">
        <v>131</v>
      </c>
      <c r="B735" s="504"/>
      <c r="C735" s="507"/>
      <c r="D735" s="509"/>
      <c r="E735" s="512">
        <f>IF(D735=0,0,VLOOKUP($D735,$F734:$H743,3,FALSE)*$E734)</f>
        <v>0</v>
      </c>
      <c r="F735" s="59">
        <v>2</v>
      </c>
      <c r="G735" s="94" t="s">
        <v>126</v>
      </c>
      <c r="H735" s="124">
        <f>H734-5</f>
        <v>110</v>
      </c>
      <c r="I735" s="101" t="s">
        <v>131</v>
      </c>
    </row>
    <row r="736" spans="1:9" ht="15" hidden="1" customHeight="1" x14ac:dyDescent="0.25">
      <c r="A736" s="101" t="s">
        <v>131</v>
      </c>
      <c r="B736" s="504"/>
      <c r="C736" s="507"/>
      <c r="D736" s="510"/>
      <c r="E736" s="513"/>
      <c r="F736" s="59">
        <v>3</v>
      </c>
      <c r="G736" s="94" t="s">
        <v>126</v>
      </c>
      <c r="H736" s="124">
        <f t="shared" ref="H736:H743" si="24">H735-5</f>
        <v>105</v>
      </c>
      <c r="I736" s="101" t="s">
        <v>131</v>
      </c>
    </row>
    <row r="737" spans="1:9" ht="15" hidden="1" customHeight="1" x14ac:dyDescent="0.25">
      <c r="A737" s="101" t="s">
        <v>131</v>
      </c>
      <c r="B737" s="504"/>
      <c r="C737" s="507"/>
      <c r="D737" s="510"/>
      <c r="E737" s="513"/>
      <c r="F737" s="59">
        <v>4</v>
      </c>
      <c r="G737" s="94" t="s">
        <v>126</v>
      </c>
      <c r="H737" s="124">
        <f t="shared" si="24"/>
        <v>100</v>
      </c>
      <c r="I737" s="101" t="s">
        <v>131</v>
      </c>
    </row>
    <row r="738" spans="1:9" ht="15" hidden="1" customHeight="1" x14ac:dyDescent="0.25">
      <c r="A738" s="101" t="s">
        <v>131</v>
      </c>
      <c r="B738" s="504"/>
      <c r="C738" s="507"/>
      <c r="D738" s="510"/>
      <c r="E738" s="513"/>
      <c r="F738" s="59">
        <v>5</v>
      </c>
      <c r="G738" s="94" t="s">
        <v>126</v>
      </c>
      <c r="H738" s="124">
        <f t="shared" si="24"/>
        <v>95</v>
      </c>
      <c r="I738" s="101" t="s">
        <v>131</v>
      </c>
    </row>
    <row r="739" spans="1:9" ht="15" hidden="1" customHeight="1" x14ac:dyDescent="0.25">
      <c r="A739" s="101" t="s">
        <v>131</v>
      </c>
      <c r="B739" s="504"/>
      <c r="C739" s="507"/>
      <c r="D739" s="510"/>
      <c r="E739" s="513"/>
      <c r="F739" s="59">
        <v>6</v>
      </c>
      <c r="G739" s="94" t="s">
        <v>126</v>
      </c>
      <c r="H739" s="124">
        <f t="shared" si="24"/>
        <v>90</v>
      </c>
      <c r="I739" s="101" t="s">
        <v>131</v>
      </c>
    </row>
    <row r="740" spans="1:9" ht="15" hidden="1" customHeight="1" x14ac:dyDescent="0.25">
      <c r="A740" s="101" t="s">
        <v>131</v>
      </c>
      <c r="B740" s="504"/>
      <c r="C740" s="507"/>
      <c r="D740" s="510"/>
      <c r="E740" s="513"/>
      <c r="F740" s="59">
        <v>7</v>
      </c>
      <c r="G740" s="94" t="s">
        <v>126</v>
      </c>
      <c r="H740" s="124">
        <f t="shared" si="24"/>
        <v>85</v>
      </c>
      <c r="I740" s="101" t="s">
        <v>131</v>
      </c>
    </row>
    <row r="741" spans="1:9" ht="15.75" hidden="1" customHeight="1" thickBot="1" x14ac:dyDescent="0.3">
      <c r="A741" s="101" t="s">
        <v>131</v>
      </c>
      <c r="B741" s="505"/>
      <c r="C741" s="508"/>
      <c r="D741" s="510"/>
      <c r="E741" s="513"/>
      <c r="F741" s="59">
        <v>8</v>
      </c>
      <c r="G741" s="94" t="s">
        <v>126</v>
      </c>
      <c r="H741" s="124">
        <f t="shared" si="24"/>
        <v>80</v>
      </c>
      <c r="I741" s="101" t="s">
        <v>131</v>
      </c>
    </row>
    <row r="742" spans="1:9" ht="15" hidden="1" customHeight="1" x14ac:dyDescent="0.25">
      <c r="A742" s="101" t="s">
        <v>131</v>
      </c>
      <c r="B742" s="496" t="s">
        <v>128</v>
      </c>
      <c r="C742" s="506"/>
      <c r="D742" s="510"/>
      <c r="E742" s="513"/>
      <c r="F742" s="59">
        <v>9</v>
      </c>
      <c r="G742" s="94" t="s">
        <v>126</v>
      </c>
      <c r="H742" s="124">
        <f t="shared" si="24"/>
        <v>75</v>
      </c>
      <c r="I742" s="101" t="s">
        <v>131</v>
      </c>
    </row>
    <row r="743" spans="1:9" ht="15.75" hidden="1" customHeight="1" thickBot="1" x14ac:dyDescent="0.3">
      <c r="A743" s="101" t="s">
        <v>131</v>
      </c>
      <c r="B743" s="497"/>
      <c r="C743" s="508"/>
      <c r="D743" s="511"/>
      <c r="E743" s="514"/>
      <c r="F743" s="62">
        <v>10</v>
      </c>
      <c r="G743" s="92" t="s">
        <v>126</v>
      </c>
      <c r="H743" s="91">
        <f t="shared" si="24"/>
        <v>70</v>
      </c>
      <c r="I743" s="101" t="s">
        <v>131</v>
      </c>
    </row>
    <row r="744" spans="1:9" ht="15.75" hidden="1" customHeight="1" thickBot="1" x14ac:dyDescent="0.3">
      <c r="A744" s="101" t="s">
        <v>131</v>
      </c>
      <c r="B744" s="518">
        <v>4</v>
      </c>
      <c r="C744" s="506"/>
      <c r="D744" s="114" t="s">
        <v>125</v>
      </c>
      <c r="E744" s="107">
        <v>0.6</v>
      </c>
      <c r="F744" s="93">
        <v>1</v>
      </c>
      <c r="G744" s="128" t="s">
        <v>126</v>
      </c>
      <c r="H744" s="119">
        <v>115</v>
      </c>
      <c r="I744" s="101" t="s">
        <v>131</v>
      </c>
    </row>
    <row r="745" spans="1:9" ht="15" hidden="1" customHeight="1" x14ac:dyDescent="0.25">
      <c r="A745" s="101" t="s">
        <v>131</v>
      </c>
      <c r="B745" s="504"/>
      <c r="C745" s="507"/>
      <c r="D745" s="509"/>
      <c r="E745" s="512">
        <f>IF(D745=0,0,VLOOKUP($D745,$F744:$H753,3,FALSE)*$E744)</f>
        <v>0</v>
      </c>
      <c r="F745" s="59">
        <v>2</v>
      </c>
      <c r="G745" s="94" t="s">
        <v>126</v>
      </c>
      <c r="H745" s="124">
        <f>H744-5</f>
        <v>110</v>
      </c>
      <c r="I745" s="101" t="s">
        <v>131</v>
      </c>
    </row>
    <row r="746" spans="1:9" ht="15" hidden="1" customHeight="1" x14ac:dyDescent="0.25">
      <c r="A746" s="101" t="s">
        <v>131</v>
      </c>
      <c r="B746" s="504"/>
      <c r="C746" s="507"/>
      <c r="D746" s="510"/>
      <c r="E746" s="513"/>
      <c r="F746" s="59">
        <v>3</v>
      </c>
      <c r="G746" s="94" t="s">
        <v>126</v>
      </c>
      <c r="H746" s="124">
        <f t="shared" ref="H746:H753" si="25">H745-5</f>
        <v>105</v>
      </c>
      <c r="I746" s="101" t="s">
        <v>131</v>
      </c>
    </row>
    <row r="747" spans="1:9" ht="15" hidden="1" customHeight="1" x14ac:dyDescent="0.25">
      <c r="A747" s="101" t="s">
        <v>131</v>
      </c>
      <c r="B747" s="504"/>
      <c r="C747" s="507"/>
      <c r="D747" s="510"/>
      <c r="E747" s="513"/>
      <c r="F747" s="59">
        <v>4</v>
      </c>
      <c r="G747" s="94" t="s">
        <v>126</v>
      </c>
      <c r="H747" s="124">
        <f t="shared" si="25"/>
        <v>100</v>
      </c>
      <c r="I747" s="101" t="s">
        <v>131</v>
      </c>
    </row>
    <row r="748" spans="1:9" ht="15" hidden="1" customHeight="1" x14ac:dyDescent="0.25">
      <c r="A748" s="101" t="s">
        <v>131</v>
      </c>
      <c r="B748" s="504"/>
      <c r="C748" s="507"/>
      <c r="D748" s="510"/>
      <c r="E748" s="513"/>
      <c r="F748" s="59">
        <v>5</v>
      </c>
      <c r="G748" s="94" t="s">
        <v>126</v>
      </c>
      <c r="H748" s="124">
        <f t="shared" si="25"/>
        <v>95</v>
      </c>
      <c r="I748" s="101" t="s">
        <v>131</v>
      </c>
    </row>
    <row r="749" spans="1:9" ht="15" hidden="1" customHeight="1" x14ac:dyDescent="0.25">
      <c r="A749" s="101" t="s">
        <v>131</v>
      </c>
      <c r="B749" s="504"/>
      <c r="C749" s="507"/>
      <c r="D749" s="510"/>
      <c r="E749" s="513"/>
      <c r="F749" s="59">
        <v>6</v>
      </c>
      <c r="G749" s="94" t="s">
        <v>126</v>
      </c>
      <c r="H749" s="124">
        <f t="shared" si="25"/>
        <v>90</v>
      </c>
      <c r="I749" s="101" t="s">
        <v>131</v>
      </c>
    </row>
    <row r="750" spans="1:9" ht="15" hidden="1" customHeight="1" x14ac:dyDescent="0.25">
      <c r="A750" s="101" t="s">
        <v>131</v>
      </c>
      <c r="B750" s="504"/>
      <c r="C750" s="507"/>
      <c r="D750" s="510"/>
      <c r="E750" s="513"/>
      <c r="F750" s="59">
        <v>7</v>
      </c>
      <c r="G750" s="94" t="s">
        <v>126</v>
      </c>
      <c r="H750" s="124">
        <f t="shared" si="25"/>
        <v>85</v>
      </c>
      <c r="I750" s="101" t="s">
        <v>131</v>
      </c>
    </row>
    <row r="751" spans="1:9" ht="15.75" hidden="1" customHeight="1" thickBot="1" x14ac:dyDescent="0.3">
      <c r="A751" s="101" t="s">
        <v>131</v>
      </c>
      <c r="B751" s="505"/>
      <c r="C751" s="508"/>
      <c r="D751" s="510"/>
      <c r="E751" s="513"/>
      <c r="F751" s="59">
        <v>8</v>
      </c>
      <c r="G751" s="94" t="s">
        <v>126</v>
      </c>
      <c r="H751" s="124">
        <f t="shared" si="25"/>
        <v>80</v>
      </c>
      <c r="I751" s="101" t="s">
        <v>131</v>
      </c>
    </row>
    <row r="752" spans="1:9" ht="15" hidden="1" customHeight="1" x14ac:dyDescent="0.25">
      <c r="A752" s="101" t="s">
        <v>131</v>
      </c>
      <c r="B752" s="496" t="s">
        <v>128</v>
      </c>
      <c r="C752" s="506"/>
      <c r="D752" s="510"/>
      <c r="E752" s="513"/>
      <c r="F752" s="59">
        <v>9</v>
      </c>
      <c r="G752" s="94" t="s">
        <v>126</v>
      </c>
      <c r="H752" s="124">
        <f t="shared" si="25"/>
        <v>75</v>
      </c>
      <c r="I752" s="101" t="s">
        <v>131</v>
      </c>
    </row>
    <row r="753" spans="1:9" ht="15.75" hidden="1" customHeight="1" thickBot="1" x14ac:dyDescent="0.3">
      <c r="A753" s="101" t="s">
        <v>131</v>
      </c>
      <c r="B753" s="497"/>
      <c r="C753" s="508"/>
      <c r="D753" s="511"/>
      <c r="E753" s="514"/>
      <c r="F753" s="62">
        <v>10</v>
      </c>
      <c r="G753" s="92" t="s">
        <v>126</v>
      </c>
      <c r="H753" s="91">
        <f t="shared" si="25"/>
        <v>70</v>
      </c>
      <c r="I753" s="101" t="s">
        <v>131</v>
      </c>
    </row>
    <row r="754" spans="1:9" ht="15.75" hidden="1" customHeight="1" thickBot="1" x14ac:dyDescent="0.3">
      <c r="A754" s="101" t="s">
        <v>131</v>
      </c>
      <c r="B754" s="503">
        <v>5</v>
      </c>
      <c r="C754" s="506"/>
      <c r="D754" s="114" t="s">
        <v>125</v>
      </c>
      <c r="E754" s="107"/>
      <c r="F754" s="93">
        <v>1</v>
      </c>
      <c r="G754" s="128" t="s">
        <v>126</v>
      </c>
      <c r="H754" s="119">
        <v>115</v>
      </c>
      <c r="I754" s="101" t="s">
        <v>131</v>
      </c>
    </row>
    <row r="755" spans="1:9" ht="15" hidden="1" customHeight="1" x14ac:dyDescent="0.25">
      <c r="A755" s="101" t="s">
        <v>131</v>
      </c>
      <c r="B755" s="504"/>
      <c r="C755" s="507"/>
      <c r="D755" s="509"/>
      <c r="E755" s="512">
        <f>IF(D755=0,0,VLOOKUP($D755,$F754:$H763,3,FALSE)*$E754)</f>
        <v>0</v>
      </c>
      <c r="F755" s="59">
        <v>2</v>
      </c>
      <c r="G755" s="94" t="s">
        <v>126</v>
      </c>
      <c r="H755" s="124">
        <f>H754-5</f>
        <v>110</v>
      </c>
      <c r="I755" s="101" t="s">
        <v>131</v>
      </c>
    </row>
    <row r="756" spans="1:9" ht="15" hidden="1" customHeight="1" x14ac:dyDescent="0.25">
      <c r="A756" s="101" t="s">
        <v>131</v>
      </c>
      <c r="B756" s="504"/>
      <c r="C756" s="507"/>
      <c r="D756" s="510"/>
      <c r="E756" s="513"/>
      <c r="F756" s="59">
        <v>3</v>
      </c>
      <c r="G756" s="94" t="s">
        <v>126</v>
      </c>
      <c r="H756" s="124">
        <f t="shared" ref="H756:H763" si="26">H755-5</f>
        <v>105</v>
      </c>
      <c r="I756" s="101" t="s">
        <v>131</v>
      </c>
    </row>
    <row r="757" spans="1:9" ht="15" hidden="1" customHeight="1" x14ac:dyDescent="0.25">
      <c r="A757" s="101" t="s">
        <v>131</v>
      </c>
      <c r="B757" s="504"/>
      <c r="C757" s="507"/>
      <c r="D757" s="510"/>
      <c r="E757" s="513"/>
      <c r="F757" s="59">
        <v>4</v>
      </c>
      <c r="G757" s="94" t="s">
        <v>126</v>
      </c>
      <c r="H757" s="124">
        <f t="shared" si="26"/>
        <v>100</v>
      </c>
      <c r="I757" s="101" t="s">
        <v>131</v>
      </c>
    </row>
    <row r="758" spans="1:9" ht="15" hidden="1" customHeight="1" x14ac:dyDescent="0.25">
      <c r="A758" s="101" t="s">
        <v>131</v>
      </c>
      <c r="B758" s="504"/>
      <c r="C758" s="507"/>
      <c r="D758" s="510"/>
      <c r="E758" s="513"/>
      <c r="F758" s="59">
        <v>5</v>
      </c>
      <c r="G758" s="94" t="s">
        <v>126</v>
      </c>
      <c r="H758" s="124">
        <f t="shared" si="26"/>
        <v>95</v>
      </c>
      <c r="I758" s="101" t="s">
        <v>131</v>
      </c>
    </row>
    <row r="759" spans="1:9" ht="15" hidden="1" customHeight="1" x14ac:dyDescent="0.25">
      <c r="A759" s="101" t="s">
        <v>131</v>
      </c>
      <c r="B759" s="504"/>
      <c r="C759" s="507"/>
      <c r="D759" s="510"/>
      <c r="E759" s="513"/>
      <c r="F759" s="59">
        <v>6</v>
      </c>
      <c r="G759" s="94" t="s">
        <v>126</v>
      </c>
      <c r="H759" s="124">
        <f t="shared" si="26"/>
        <v>90</v>
      </c>
      <c r="I759" s="101" t="s">
        <v>131</v>
      </c>
    </row>
    <row r="760" spans="1:9" ht="15" hidden="1" customHeight="1" x14ac:dyDescent="0.25">
      <c r="A760" s="101" t="s">
        <v>131</v>
      </c>
      <c r="B760" s="504"/>
      <c r="C760" s="507"/>
      <c r="D760" s="510"/>
      <c r="E760" s="513"/>
      <c r="F760" s="59">
        <v>7</v>
      </c>
      <c r="G760" s="94" t="s">
        <v>126</v>
      </c>
      <c r="H760" s="124">
        <f t="shared" si="26"/>
        <v>85</v>
      </c>
      <c r="I760" s="101" t="s">
        <v>131</v>
      </c>
    </row>
    <row r="761" spans="1:9" ht="15.75" hidden="1" customHeight="1" thickBot="1" x14ac:dyDescent="0.3">
      <c r="A761" s="101" t="s">
        <v>131</v>
      </c>
      <c r="B761" s="505"/>
      <c r="C761" s="508"/>
      <c r="D761" s="510"/>
      <c r="E761" s="513"/>
      <c r="F761" s="59">
        <v>8</v>
      </c>
      <c r="G761" s="94" t="s">
        <v>126</v>
      </c>
      <c r="H761" s="124">
        <f t="shared" si="26"/>
        <v>80</v>
      </c>
      <c r="I761" s="101" t="s">
        <v>131</v>
      </c>
    </row>
    <row r="762" spans="1:9" ht="15" hidden="1" customHeight="1" x14ac:dyDescent="0.25">
      <c r="A762" s="101" t="s">
        <v>131</v>
      </c>
      <c r="B762" s="496" t="s">
        <v>128</v>
      </c>
      <c r="C762" s="506"/>
      <c r="D762" s="510"/>
      <c r="E762" s="513"/>
      <c r="F762" s="59">
        <v>9</v>
      </c>
      <c r="G762" s="94" t="s">
        <v>126</v>
      </c>
      <c r="H762" s="124">
        <f t="shared" si="26"/>
        <v>75</v>
      </c>
      <c r="I762" s="101" t="s">
        <v>131</v>
      </c>
    </row>
    <row r="763" spans="1:9" ht="15.75" hidden="1" customHeight="1" thickBot="1" x14ac:dyDescent="0.3">
      <c r="A763" s="101" t="s">
        <v>131</v>
      </c>
      <c r="B763" s="497"/>
      <c r="C763" s="508"/>
      <c r="D763" s="511"/>
      <c r="E763" s="514"/>
      <c r="F763" s="62">
        <v>10</v>
      </c>
      <c r="G763" s="92" t="s">
        <v>126</v>
      </c>
      <c r="H763" s="91">
        <f t="shared" si="26"/>
        <v>70</v>
      </c>
      <c r="I763" s="101" t="s">
        <v>131</v>
      </c>
    </row>
    <row r="764" spans="1:9" ht="15.75" hidden="1" customHeight="1" thickBot="1" x14ac:dyDescent="0.3">
      <c r="A764" s="101" t="s">
        <v>131</v>
      </c>
      <c r="B764" s="518">
        <v>6</v>
      </c>
      <c r="C764" s="506"/>
      <c r="D764" s="114" t="s">
        <v>125</v>
      </c>
      <c r="E764" s="107">
        <v>0.6</v>
      </c>
      <c r="F764" s="93">
        <v>1</v>
      </c>
      <c r="G764" s="128" t="s">
        <v>126</v>
      </c>
      <c r="H764" s="119">
        <v>115</v>
      </c>
      <c r="I764" s="101" t="s">
        <v>131</v>
      </c>
    </row>
    <row r="765" spans="1:9" ht="15" hidden="1" customHeight="1" x14ac:dyDescent="0.25">
      <c r="A765" s="101" t="s">
        <v>131</v>
      </c>
      <c r="B765" s="504"/>
      <c r="C765" s="507"/>
      <c r="D765" s="509"/>
      <c r="E765" s="512">
        <f>IF(D765=0,0,VLOOKUP($D765,$F764:$H773,3,FALSE)*$E764)</f>
        <v>0</v>
      </c>
      <c r="F765" s="59">
        <v>2</v>
      </c>
      <c r="G765" s="94" t="s">
        <v>126</v>
      </c>
      <c r="H765" s="124">
        <f>H764-5</f>
        <v>110</v>
      </c>
      <c r="I765" s="101" t="s">
        <v>131</v>
      </c>
    </row>
    <row r="766" spans="1:9" ht="15" hidden="1" customHeight="1" x14ac:dyDescent="0.25">
      <c r="A766" s="101" t="s">
        <v>131</v>
      </c>
      <c r="B766" s="504"/>
      <c r="C766" s="507"/>
      <c r="D766" s="510"/>
      <c r="E766" s="513"/>
      <c r="F766" s="59">
        <v>3</v>
      </c>
      <c r="G766" s="94" t="s">
        <v>126</v>
      </c>
      <c r="H766" s="124">
        <f t="shared" ref="H766:H773" si="27">H765-5</f>
        <v>105</v>
      </c>
      <c r="I766" s="101" t="s">
        <v>131</v>
      </c>
    </row>
    <row r="767" spans="1:9" ht="15" hidden="1" customHeight="1" x14ac:dyDescent="0.25">
      <c r="A767" s="101" t="s">
        <v>131</v>
      </c>
      <c r="B767" s="504"/>
      <c r="C767" s="507"/>
      <c r="D767" s="510"/>
      <c r="E767" s="513"/>
      <c r="F767" s="59">
        <v>4</v>
      </c>
      <c r="G767" s="94" t="s">
        <v>126</v>
      </c>
      <c r="H767" s="124">
        <f t="shared" si="27"/>
        <v>100</v>
      </c>
      <c r="I767" s="101" t="s">
        <v>131</v>
      </c>
    </row>
    <row r="768" spans="1:9" ht="15" hidden="1" customHeight="1" x14ac:dyDescent="0.25">
      <c r="A768" s="101" t="s">
        <v>131</v>
      </c>
      <c r="B768" s="504"/>
      <c r="C768" s="507"/>
      <c r="D768" s="510"/>
      <c r="E768" s="513"/>
      <c r="F768" s="59">
        <v>5</v>
      </c>
      <c r="G768" s="94" t="s">
        <v>126</v>
      </c>
      <c r="H768" s="124">
        <f t="shared" si="27"/>
        <v>95</v>
      </c>
      <c r="I768" s="101" t="s">
        <v>131</v>
      </c>
    </row>
    <row r="769" spans="1:9" ht="15" hidden="1" customHeight="1" x14ac:dyDescent="0.25">
      <c r="A769" s="101" t="s">
        <v>131</v>
      </c>
      <c r="B769" s="504"/>
      <c r="C769" s="507"/>
      <c r="D769" s="510"/>
      <c r="E769" s="513"/>
      <c r="F769" s="59">
        <v>6</v>
      </c>
      <c r="G769" s="94" t="s">
        <v>126</v>
      </c>
      <c r="H769" s="124">
        <f t="shared" si="27"/>
        <v>90</v>
      </c>
      <c r="I769" s="101" t="s">
        <v>131</v>
      </c>
    </row>
    <row r="770" spans="1:9" ht="15" hidden="1" customHeight="1" x14ac:dyDescent="0.25">
      <c r="A770" s="101" t="s">
        <v>131</v>
      </c>
      <c r="B770" s="504"/>
      <c r="C770" s="507"/>
      <c r="D770" s="510"/>
      <c r="E770" s="513"/>
      <c r="F770" s="59">
        <v>7</v>
      </c>
      <c r="G770" s="94" t="s">
        <v>126</v>
      </c>
      <c r="H770" s="124">
        <f t="shared" si="27"/>
        <v>85</v>
      </c>
      <c r="I770" s="101" t="s">
        <v>131</v>
      </c>
    </row>
    <row r="771" spans="1:9" ht="15.75" hidden="1" customHeight="1" thickBot="1" x14ac:dyDescent="0.3">
      <c r="A771" s="101" t="s">
        <v>131</v>
      </c>
      <c r="B771" s="505"/>
      <c r="C771" s="508"/>
      <c r="D771" s="510"/>
      <c r="E771" s="513"/>
      <c r="F771" s="59">
        <v>8</v>
      </c>
      <c r="G771" s="94" t="s">
        <v>126</v>
      </c>
      <c r="H771" s="124">
        <f t="shared" si="27"/>
        <v>80</v>
      </c>
      <c r="I771" s="101" t="s">
        <v>131</v>
      </c>
    </row>
    <row r="772" spans="1:9" ht="15" hidden="1" customHeight="1" x14ac:dyDescent="0.25">
      <c r="A772" s="101" t="s">
        <v>131</v>
      </c>
      <c r="B772" s="496" t="s">
        <v>128</v>
      </c>
      <c r="C772" s="506"/>
      <c r="D772" s="510"/>
      <c r="E772" s="513"/>
      <c r="F772" s="59">
        <v>9</v>
      </c>
      <c r="G772" s="94" t="s">
        <v>126</v>
      </c>
      <c r="H772" s="124">
        <f t="shared" si="27"/>
        <v>75</v>
      </c>
      <c r="I772" s="101" t="s">
        <v>131</v>
      </c>
    </row>
    <row r="773" spans="1:9" ht="15.75" hidden="1" customHeight="1" thickBot="1" x14ac:dyDescent="0.3">
      <c r="A773" s="101" t="s">
        <v>131</v>
      </c>
      <c r="B773" s="497"/>
      <c r="C773" s="508"/>
      <c r="D773" s="511"/>
      <c r="E773" s="514"/>
      <c r="F773" s="62">
        <v>10</v>
      </c>
      <c r="G773" s="92" t="s">
        <v>126</v>
      </c>
      <c r="H773" s="91">
        <f t="shared" si="27"/>
        <v>70</v>
      </c>
      <c r="I773" s="101" t="s">
        <v>131</v>
      </c>
    </row>
    <row r="774" spans="1:9" ht="15.75" hidden="1" customHeight="1" thickBot="1" x14ac:dyDescent="0.3">
      <c r="A774" s="101" t="s">
        <v>131</v>
      </c>
      <c r="B774" s="518">
        <v>7</v>
      </c>
      <c r="C774" s="506"/>
      <c r="D774" s="114" t="s">
        <v>125</v>
      </c>
      <c r="E774" s="107"/>
      <c r="F774" s="93">
        <v>1</v>
      </c>
      <c r="G774" s="128" t="s">
        <v>126</v>
      </c>
      <c r="H774" s="119">
        <v>115</v>
      </c>
      <c r="I774" s="101" t="s">
        <v>131</v>
      </c>
    </row>
    <row r="775" spans="1:9" ht="15" hidden="1" customHeight="1" x14ac:dyDescent="0.25">
      <c r="A775" s="101" t="s">
        <v>131</v>
      </c>
      <c r="B775" s="504"/>
      <c r="C775" s="507"/>
      <c r="D775" s="509"/>
      <c r="E775" s="512">
        <f>IF(D775=0,0,VLOOKUP($D775,$F774:$H783,3,FALSE)*$E774)</f>
        <v>0</v>
      </c>
      <c r="F775" s="59">
        <v>2</v>
      </c>
      <c r="G775" s="94" t="s">
        <v>126</v>
      </c>
      <c r="H775" s="124">
        <f>H774-5</f>
        <v>110</v>
      </c>
      <c r="I775" s="101" t="s">
        <v>131</v>
      </c>
    </row>
    <row r="776" spans="1:9" ht="15" hidden="1" customHeight="1" x14ac:dyDescent="0.25">
      <c r="A776" s="101" t="s">
        <v>131</v>
      </c>
      <c r="B776" s="504"/>
      <c r="C776" s="507"/>
      <c r="D776" s="510"/>
      <c r="E776" s="513"/>
      <c r="F776" s="59">
        <v>3</v>
      </c>
      <c r="G776" s="94" t="s">
        <v>126</v>
      </c>
      <c r="H776" s="124">
        <f t="shared" ref="H776:H783" si="28">H775-5</f>
        <v>105</v>
      </c>
      <c r="I776" s="101" t="s">
        <v>131</v>
      </c>
    </row>
    <row r="777" spans="1:9" ht="15" hidden="1" customHeight="1" x14ac:dyDescent="0.25">
      <c r="A777" s="101" t="s">
        <v>131</v>
      </c>
      <c r="B777" s="504"/>
      <c r="C777" s="507"/>
      <c r="D777" s="510"/>
      <c r="E777" s="513"/>
      <c r="F777" s="59">
        <v>4</v>
      </c>
      <c r="G777" s="94" t="s">
        <v>126</v>
      </c>
      <c r="H777" s="124">
        <f t="shared" si="28"/>
        <v>100</v>
      </c>
      <c r="I777" s="101" t="s">
        <v>131</v>
      </c>
    </row>
    <row r="778" spans="1:9" ht="15" hidden="1" customHeight="1" x14ac:dyDescent="0.25">
      <c r="A778" s="101" t="s">
        <v>131</v>
      </c>
      <c r="B778" s="504"/>
      <c r="C778" s="507"/>
      <c r="D778" s="510"/>
      <c r="E778" s="513"/>
      <c r="F778" s="59">
        <v>5</v>
      </c>
      <c r="G778" s="94" t="s">
        <v>126</v>
      </c>
      <c r="H778" s="124">
        <f t="shared" si="28"/>
        <v>95</v>
      </c>
      <c r="I778" s="101" t="s">
        <v>131</v>
      </c>
    </row>
    <row r="779" spans="1:9" ht="15" hidden="1" customHeight="1" x14ac:dyDescent="0.25">
      <c r="A779" s="101" t="s">
        <v>131</v>
      </c>
      <c r="B779" s="504"/>
      <c r="C779" s="507"/>
      <c r="D779" s="510"/>
      <c r="E779" s="513"/>
      <c r="F779" s="59">
        <v>6</v>
      </c>
      <c r="G779" s="94" t="s">
        <v>126</v>
      </c>
      <c r="H779" s="124">
        <f t="shared" si="28"/>
        <v>90</v>
      </c>
      <c r="I779" s="101" t="s">
        <v>131</v>
      </c>
    </row>
    <row r="780" spans="1:9" ht="15" hidden="1" customHeight="1" x14ac:dyDescent="0.25">
      <c r="A780" s="101" t="s">
        <v>131</v>
      </c>
      <c r="B780" s="504"/>
      <c r="C780" s="507"/>
      <c r="D780" s="510"/>
      <c r="E780" s="513"/>
      <c r="F780" s="59">
        <v>7</v>
      </c>
      <c r="G780" s="94" t="s">
        <v>126</v>
      </c>
      <c r="H780" s="124">
        <f t="shared" si="28"/>
        <v>85</v>
      </c>
      <c r="I780" s="101" t="s">
        <v>131</v>
      </c>
    </row>
    <row r="781" spans="1:9" ht="15.75" hidden="1" customHeight="1" thickBot="1" x14ac:dyDescent="0.3">
      <c r="A781" s="101" t="s">
        <v>131</v>
      </c>
      <c r="B781" s="505"/>
      <c r="C781" s="508"/>
      <c r="D781" s="510"/>
      <c r="E781" s="513"/>
      <c r="F781" s="59">
        <v>8</v>
      </c>
      <c r="G781" s="94" t="s">
        <v>126</v>
      </c>
      <c r="H781" s="124">
        <f t="shared" si="28"/>
        <v>80</v>
      </c>
      <c r="I781" s="101" t="s">
        <v>131</v>
      </c>
    </row>
    <row r="782" spans="1:9" ht="15" hidden="1" customHeight="1" x14ac:dyDescent="0.25">
      <c r="A782" s="101" t="s">
        <v>131</v>
      </c>
      <c r="B782" s="496" t="s">
        <v>128</v>
      </c>
      <c r="C782" s="506"/>
      <c r="D782" s="510"/>
      <c r="E782" s="513"/>
      <c r="F782" s="59">
        <v>9</v>
      </c>
      <c r="G782" s="94" t="s">
        <v>126</v>
      </c>
      <c r="H782" s="124">
        <f t="shared" si="28"/>
        <v>75</v>
      </c>
      <c r="I782" s="101" t="s">
        <v>131</v>
      </c>
    </row>
    <row r="783" spans="1:9" ht="15.75" hidden="1" customHeight="1" thickBot="1" x14ac:dyDescent="0.3">
      <c r="A783" s="101" t="s">
        <v>131</v>
      </c>
      <c r="B783" s="497"/>
      <c r="C783" s="508"/>
      <c r="D783" s="511"/>
      <c r="E783" s="514"/>
      <c r="F783" s="62">
        <v>10</v>
      </c>
      <c r="G783" s="92" t="s">
        <v>126</v>
      </c>
      <c r="H783" s="91">
        <f t="shared" si="28"/>
        <v>70</v>
      </c>
      <c r="I783" s="101" t="s">
        <v>131</v>
      </c>
    </row>
    <row r="784" spans="1:9" ht="15.75" hidden="1" customHeight="1" thickBot="1" x14ac:dyDescent="0.3">
      <c r="A784" s="101" t="s">
        <v>131</v>
      </c>
      <c r="B784" s="518">
        <v>8</v>
      </c>
      <c r="C784" s="506"/>
      <c r="D784" s="114" t="s">
        <v>125</v>
      </c>
      <c r="E784" s="107"/>
      <c r="F784" s="93">
        <v>1</v>
      </c>
      <c r="G784" s="128" t="s">
        <v>126</v>
      </c>
      <c r="H784" s="119">
        <v>115</v>
      </c>
      <c r="I784" s="101" t="s">
        <v>131</v>
      </c>
    </row>
    <row r="785" spans="1:9" ht="15" hidden="1" customHeight="1" x14ac:dyDescent="0.25">
      <c r="A785" s="101" t="s">
        <v>131</v>
      </c>
      <c r="B785" s="504"/>
      <c r="C785" s="507"/>
      <c r="D785" s="509"/>
      <c r="E785" s="512">
        <f>IF(D785=0,0,VLOOKUP($D785,$F784:$H793,3,FALSE)*$E784)</f>
        <v>0</v>
      </c>
      <c r="F785" s="59">
        <v>2</v>
      </c>
      <c r="G785" s="94" t="s">
        <v>126</v>
      </c>
      <c r="H785" s="124">
        <f>H784-5</f>
        <v>110</v>
      </c>
      <c r="I785" s="101" t="s">
        <v>131</v>
      </c>
    </row>
    <row r="786" spans="1:9" ht="15" hidden="1" customHeight="1" x14ac:dyDescent="0.25">
      <c r="A786" s="101" t="s">
        <v>131</v>
      </c>
      <c r="B786" s="504"/>
      <c r="C786" s="507"/>
      <c r="D786" s="510"/>
      <c r="E786" s="513"/>
      <c r="F786" s="59">
        <v>3</v>
      </c>
      <c r="G786" s="94" t="s">
        <v>126</v>
      </c>
      <c r="H786" s="124">
        <f t="shared" ref="H786:H793" si="29">H785-5</f>
        <v>105</v>
      </c>
      <c r="I786" s="101" t="s">
        <v>131</v>
      </c>
    </row>
    <row r="787" spans="1:9" ht="15" hidden="1" customHeight="1" x14ac:dyDescent="0.25">
      <c r="A787" s="101" t="s">
        <v>131</v>
      </c>
      <c r="B787" s="504"/>
      <c r="C787" s="507"/>
      <c r="D787" s="510"/>
      <c r="E787" s="513"/>
      <c r="F787" s="59">
        <v>4</v>
      </c>
      <c r="G787" s="94" t="s">
        <v>126</v>
      </c>
      <c r="H787" s="124">
        <f t="shared" si="29"/>
        <v>100</v>
      </c>
      <c r="I787" s="101" t="s">
        <v>131</v>
      </c>
    </row>
    <row r="788" spans="1:9" ht="15" hidden="1" customHeight="1" x14ac:dyDescent="0.25">
      <c r="A788" s="101" t="s">
        <v>131</v>
      </c>
      <c r="B788" s="504"/>
      <c r="C788" s="507"/>
      <c r="D788" s="510"/>
      <c r="E788" s="513"/>
      <c r="F788" s="59">
        <v>5</v>
      </c>
      <c r="G788" s="94" t="s">
        <v>126</v>
      </c>
      <c r="H788" s="124">
        <f t="shared" si="29"/>
        <v>95</v>
      </c>
      <c r="I788" s="101" t="s">
        <v>131</v>
      </c>
    </row>
    <row r="789" spans="1:9" ht="15" hidden="1" customHeight="1" x14ac:dyDescent="0.25">
      <c r="A789" s="101" t="s">
        <v>131</v>
      </c>
      <c r="B789" s="504"/>
      <c r="C789" s="507"/>
      <c r="D789" s="510"/>
      <c r="E789" s="513"/>
      <c r="F789" s="59">
        <v>6</v>
      </c>
      <c r="G789" s="94" t="s">
        <v>126</v>
      </c>
      <c r="H789" s="124">
        <f t="shared" si="29"/>
        <v>90</v>
      </c>
      <c r="I789" s="101" t="s">
        <v>131</v>
      </c>
    </row>
    <row r="790" spans="1:9" ht="15" hidden="1" customHeight="1" x14ac:dyDescent="0.25">
      <c r="A790" s="101" t="s">
        <v>131</v>
      </c>
      <c r="B790" s="504"/>
      <c r="C790" s="507"/>
      <c r="D790" s="510"/>
      <c r="E790" s="513"/>
      <c r="F790" s="59">
        <v>7</v>
      </c>
      <c r="G790" s="94" t="s">
        <v>126</v>
      </c>
      <c r="H790" s="124">
        <f t="shared" si="29"/>
        <v>85</v>
      </c>
      <c r="I790" s="101" t="s">
        <v>131</v>
      </c>
    </row>
    <row r="791" spans="1:9" ht="15.75" hidden="1" customHeight="1" thickBot="1" x14ac:dyDescent="0.3">
      <c r="A791" s="101" t="s">
        <v>131</v>
      </c>
      <c r="B791" s="505"/>
      <c r="C791" s="508"/>
      <c r="D791" s="510"/>
      <c r="E791" s="513"/>
      <c r="F791" s="59">
        <v>8</v>
      </c>
      <c r="G791" s="94" t="s">
        <v>126</v>
      </c>
      <c r="H791" s="124">
        <f t="shared" si="29"/>
        <v>80</v>
      </c>
      <c r="I791" s="101" t="s">
        <v>131</v>
      </c>
    </row>
    <row r="792" spans="1:9" ht="15" hidden="1" customHeight="1" x14ac:dyDescent="0.25">
      <c r="A792" s="101" t="s">
        <v>131</v>
      </c>
      <c r="B792" s="496" t="s">
        <v>128</v>
      </c>
      <c r="C792" s="506"/>
      <c r="D792" s="510"/>
      <c r="E792" s="513"/>
      <c r="F792" s="59">
        <v>9</v>
      </c>
      <c r="G792" s="94" t="s">
        <v>126</v>
      </c>
      <c r="H792" s="124">
        <f t="shared" si="29"/>
        <v>75</v>
      </c>
      <c r="I792" s="101" t="s">
        <v>131</v>
      </c>
    </row>
    <row r="793" spans="1:9" ht="15.75" hidden="1" customHeight="1" thickBot="1" x14ac:dyDescent="0.3">
      <c r="A793" s="101" t="s">
        <v>131</v>
      </c>
      <c r="B793" s="497"/>
      <c r="C793" s="508"/>
      <c r="D793" s="511"/>
      <c r="E793" s="514"/>
      <c r="F793" s="62">
        <v>10</v>
      </c>
      <c r="G793" s="92" t="s">
        <v>126</v>
      </c>
      <c r="H793" s="91">
        <f t="shared" si="29"/>
        <v>70</v>
      </c>
      <c r="I793" s="101" t="s">
        <v>131</v>
      </c>
    </row>
    <row r="794" spans="1:9" ht="15.75" hidden="1" customHeight="1" thickBot="1" x14ac:dyDescent="0.3">
      <c r="A794" s="101" t="s">
        <v>131</v>
      </c>
      <c r="B794" s="518">
        <v>9</v>
      </c>
      <c r="C794" s="506"/>
      <c r="D794" s="114" t="s">
        <v>125</v>
      </c>
      <c r="E794" s="107"/>
      <c r="F794" s="93">
        <v>1</v>
      </c>
      <c r="G794" s="128" t="s">
        <v>126</v>
      </c>
      <c r="H794" s="119">
        <v>115</v>
      </c>
      <c r="I794" s="101" t="s">
        <v>131</v>
      </c>
    </row>
    <row r="795" spans="1:9" ht="15" hidden="1" customHeight="1" x14ac:dyDescent="0.25">
      <c r="A795" s="101" t="s">
        <v>131</v>
      </c>
      <c r="B795" s="504"/>
      <c r="C795" s="507"/>
      <c r="D795" s="509"/>
      <c r="E795" s="512">
        <f>IF(D795=0,0,VLOOKUP($D795,$F794:$H803,3,FALSE)*$E794)</f>
        <v>0</v>
      </c>
      <c r="F795" s="59">
        <v>2</v>
      </c>
      <c r="G795" s="94" t="s">
        <v>126</v>
      </c>
      <c r="H795" s="124">
        <f>H794-5</f>
        <v>110</v>
      </c>
      <c r="I795" s="101" t="s">
        <v>131</v>
      </c>
    </row>
    <row r="796" spans="1:9" ht="15" hidden="1" customHeight="1" x14ac:dyDescent="0.25">
      <c r="A796" s="101" t="s">
        <v>131</v>
      </c>
      <c r="B796" s="504"/>
      <c r="C796" s="507"/>
      <c r="D796" s="510"/>
      <c r="E796" s="513"/>
      <c r="F796" s="59">
        <v>3</v>
      </c>
      <c r="G796" s="94" t="s">
        <v>126</v>
      </c>
      <c r="H796" s="124">
        <f t="shared" ref="H796:H803" si="30">H795-5</f>
        <v>105</v>
      </c>
      <c r="I796" s="101" t="s">
        <v>131</v>
      </c>
    </row>
    <row r="797" spans="1:9" ht="15" hidden="1" customHeight="1" x14ac:dyDescent="0.25">
      <c r="A797" s="101" t="s">
        <v>131</v>
      </c>
      <c r="B797" s="504"/>
      <c r="C797" s="507"/>
      <c r="D797" s="510"/>
      <c r="E797" s="513"/>
      <c r="F797" s="59">
        <v>4</v>
      </c>
      <c r="G797" s="94" t="s">
        <v>126</v>
      </c>
      <c r="H797" s="124">
        <f t="shared" si="30"/>
        <v>100</v>
      </c>
      <c r="I797" s="101" t="s">
        <v>131</v>
      </c>
    </row>
    <row r="798" spans="1:9" ht="15" hidden="1" customHeight="1" x14ac:dyDescent="0.25">
      <c r="A798" s="101" t="s">
        <v>131</v>
      </c>
      <c r="B798" s="504"/>
      <c r="C798" s="507"/>
      <c r="D798" s="510"/>
      <c r="E798" s="513"/>
      <c r="F798" s="59">
        <v>5</v>
      </c>
      <c r="G798" s="94" t="s">
        <v>126</v>
      </c>
      <c r="H798" s="124">
        <f t="shared" si="30"/>
        <v>95</v>
      </c>
      <c r="I798" s="101" t="s">
        <v>131</v>
      </c>
    </row>
    <row r="799" spans="1:9" ht="15" hidden="1" customHeight="1" x14ac:dyDescent="0.25">
      <c r="A799" s="101" t="s">
        <v>131</v>
      </c>
      <c r="B799" s="504"/>
      <c r="C799" s="507"/>
      <c r="D799" s="510"/>
      <c r="E799" s="513"/>
      <c r="F799" s="59">
        <v>6</v>
      </c>
      <c r="G799" s="94" t="s">
        <v>126</v>
      </c>
      <c r="H799" s="124">
        <f t="shared" si="30"/>
        <v>90</v>
      </c>
      <c r="I799" s="101" t="s">
        <v>131</v>
      </c>
    </row>
    <row r="800" spans="1:9" ht="15" hidden="1" customHeight="1" x14ac:dyDescent="0.25">
      <c r="A800" s="101" t="s">
        <v>131</v>
      </c>
      <c r="B800" s="504"/>
      <c r="C800" s="507"/>
      <c r="D800" s="510"/>
      <c r="E800" s="513"/>
      <c r="F800" s="59">
        <v>7</v>
      </c>
      <c r="G800" s="94" t="s">
        <v>126</v>
      </c>
      <c r="H800" s="124">
        <f t="shared" si="30"/>
        <v>85</v>
      </c>
      <c r="I800" s="101" t="s">
        <v>131</v>
      </c>
    </row>
    <row r="801" spans="1:15" ht="15.75" hidden="1" customHeight="1" thickBot="1" x14ac:dyDescent="0.3">
      <c r="A801" s="101" t="s">
        <v>131</v>
      </c>
      <c r="B801" s="505"/>
      <c r="C801" s="508"/>
      <c r="D801" s="510"/>
      <c r="E801" s="513"/>
      <c r="F801" s="59">
        <v>8</v>
      </c>
      <c r="G801" s="94" t="s">
        <v>126</v>
      </c>
      <c r="H801" s="124">
        <f t="shared" si="30"/>
        <v>80</v>
      </c>
      <c r="I801" s="101" t="s">
        <v>131</v>
      </c>
    </row>
    <row r="802" spans="1:15" ht="15" hidden="1" customHeight="1" x14ac:dyDescent="0.25">
      <c r="A802" s="101" t="s">
        <v>131</v>
      </c>
      <c r="B802" s="496" t="s">
        <v>128</v>
      </c>
      <c r="C802" s="506"/>
      <c r="D802" s="510"/>
      <c r="E802" s="513"/>
      <c r="F802" s="59">
        <v>9</v>
      </c>
      <c r="G802" s="94" t="s">
        <v>126</v>
      </c>
      <c r="H802" s="124">
        <f t="shared" si="30"/>
        <v>75</v>
      </c>
      <c r="I802" s="101" t="s">
        <v>131</v>
      </c>
    </row>
    <row r="803" spans="1:15" ht="15.75" hidden="1" customHeight="1" thickBot="1" x14ac:dyDescent="0.3">
      <c r="A803" s="101" t="s">
        <v>131</v>
      </c>
      <c r="B803" s="497"/>
      <c r="C803" s="508"/>
      <c r="D803" s="511"/>
      <c r="E803" s="514"/>
      <c r="F803" s="62">
        <v>10</v>
      </c>
      <c r="G803" s="92" t="s">
        <v>126</v>
      </c>
      <c r="H803" s="91">
        <f t="shared" si="30"/>
        <v>70</v>
      </c>
      <c r="I803" s="101" t="s">
        <v>131</v>
      </c>
    </row>
    <row r="804" spans="1:15" ht="15.75" hidden="1" customHeight="1" thickBot="1" x14ac:dyDescent="0.3">
      <c r="A804" s="101" t="s">
        <v>131</v>
      </c>
      <c r="B804" s="503">
        <v>10</v>
      </c>
      <c r="C804" s="506"/>
      <c r="D804" s="114" t="s">
        <v>125</v>
      </c>
      <c r="E804" s="107"/>
      <c r="F804" s="93">
        <v>1</v>
      </c>
      <c r="G804" s="128" t="s">
        <v>126</v>
      </c>
      <c r="H804" s="119">
        <v>115</v>
      </c>
      <c r="I804" s="101" t="s">
        <v>131</v>
      </c>
    </row>
    <row r="805" spans="1:15" ht="15" hidden="1" customHeight="1" x14ac:dyDescent="0.25">
      <c r="A805" s="101" t="s">
        <v>131</v>
      </c>
      <c r="B805" s="504"/>
      <c r="C805" s="507"/>
      <c r="D805" s="509"/>
      <c r="E805" s="512">
        <f>IF(D805=0,0,VLOOKUP($D805,$F804:$H813,3,FALSE)*$E804)</f>
        <v>0</v>
      </c>
      <c r="F805" s="59">
        <v>2</v>
      </c>
      <c r="G805" s="94" t="s">
        <v>126</v>
      </c>
      <c r="H805" s="124">
        <f>H804-5</f>
        <v>110</v>
      </c>
      <c r="I805" s="101" t="s">
        <v>131</v>
      </c>
    </row>
    <row r="806" spans="1:15" ht="15" hidden="1" customHeight="1" x14ac:dyDescent="0.25">
      <c r="A806" s="101" t="s">
        <v>131</v>
      </c>
      <c r="B806" s="504"/>
      <c r="C806" s="507"/>
      <c r="D806" s="510"/>
      <c r="E806" s="513"/>
      <c r="F806" s="59">
        <v>3</v>
      </c>
      <c r="G806" s="94" t="s">
        <v>126</v>
      </c>
      <c r="H806" s="124">
        <f t="shared" ref="H806:H813" si="31">H805-5</f>
        <v>105</v>
      </c>
      <c r="I806" s="101" t="s">
        <v>131</v>
      </c>
    </row>
    <row r="807" spans="1:15" ht="15" hidden="1" customHeight="1" x14ac:dyDescent="0.25">
      <c r="A807" s="101" t="s">
        <v>131</v>
      </c>
      <c r="B807" s="504"/>
      <c r="C807" s="507"/>
      <c r="D807" s="510"/>
      <c r="E807" s="513"/>
      <c r="F807" s="59">
        <v>4</v>
      </c>
      <c r="G807" s="94" t="s">
        <v>126</v>
      </c>
      <c r="H807" s="124">
        <f t="shared" si="31"/>
        <v>100</v>
      </c>
      <c r="I807" s="101" t="s">
        <v>131</v>
      </c>
    </row>
    <row r="808" spans="1:15" ht="15" hidden="1" customHeight="1" x14ac:dyDescent="0.25">
      <c r="A808" s="101" t="s">
        <v>131</v>
      </c>
      <c r="B808" s="504"/>
      <c r="C808" s="507"/>
      <c r="D808" s="510"/>
      <c r="E808" s="513"/>
      <c r="F808" s="59">
        <v>5</v>
      </c>
      <c r="G808" s="94" t="s">
        <v>126</v>
      </c>
      <c r="H808" s="124">
        <f t="shared" si="31"/>
        <v>95</v>
      </c>
      <c r="I808" s="101" t="s">
        <v>131</v>
      </c>
    </row>
    <row r="809" spans="1:15" ht="15" hidden="1" customHeight="1" x14ac:dyDescent="0.25">
      <c r="A809" s="101" t="s">
        <v>131</v>
      </c>
      <c r="B809" s="504"/>
      <c r="C809" s="507"/>
      <c r="D809" s="510"/>
      <c r="E809" s="513"/>
      <c r="F809" s="59">
        <v>6</v>
      </c>
      <c r="G809" s="94" t="s">
        <v>126</v>
      </c>
      <c r="H809" s="124">
        <f t="shared" si="31"/>
        <v>90</v>
      </c>
      <c r="I809" s="101" t="s">
        <v>131</v>
      </c>
    </row>
    <row r="810" spans="1:15" ht="15" hidden="1" customHeight="1" x14ac:dyDescent="0.25">
      <c r="A810" s="101" t="s">
        <v>131</v>
      </c>
      <c r="B810" s="504"/>
      <c r="C810" s="507"/>
      <c r="D810" s="510"/>
      <c r="E810" s="513"/>
      <c r="F810" s="59">
        <v>7</v>
      </c>
      <c r="G810" s="94" t="s">
        <v>126</v>
      </c>
      <c r="H810" s="124">
        <f t="shared" si="31"/>
        <v>85</v>
      </c>
      <c r="I810" s="101" t="s">
        <v>131</v>
      </c>
    </row>
    <row r="811" spans="1:15" ht="15.75" hidden="1" customHeight="1" thickBot="1" x14ac:dyDescent="0.3">
      <c r="A811" s="101" t="s">
        <v>131</v>
      </c>
      <c r="B811" s="505"/>
      <c r="C811" s="508"/>
      <c r="D811" s="510"/>
      <c r="E811" s="513"/>
      <c r="F811" s="59">
        <v>8</v>
      </c>
      <c r="G811" s="94" t="s">
        <v>126</v>
      </c>
      <c r="H811" s="124">
        <f t="shared" si="31"/>
        <v>80</v>
      </c>
      <c r="I811" s="101" t="s">
        <v>131</v>
      </c>
    </row>
    <row r="812" spans="1:15" ht="15" hidden="1" customHeight="1" x14ac:dyDescent="0.25">
      <c r="A812" s="101" t="s">
        <v>131</v>
      </c>
      <c r="B812" s="496" t="s">
        <v>128</v>
      </c>
      <c r="C812" s="506"/>
      <c r="D812" s="510"/>
      <c r="E812" s="513"/>
      <c r="F812" s="59">
        <v>9</v>
      </c>
      <c r="G812" s="94" t="s">
        <v>126</v>
      </c>
      <c r="H812" s="124">
        <f t="shared" si="31"/>
        <v>75</v>
      </c>
      <c r="I812" s="101" t="s">
        <v>131</v>
      </c>
    </row>
    <row r="813" spans="1:15" ht="15.75" hidden="1" customHeight="1" thickBot="1" x14ac:dyDescent="0.3">
      <c r="A813" s="101" t="s">
        <v>131</v>
      </c>
      <c r="B813" s="497"/>
      <c r="C813" s="508"/>
      <c r="D813" s="511"/>
      <c r="E813" s="514"/>
      <c r="F813" s="62">
        <v>10</v>
      </c>
      <c r="G813" s="92" t="s">
        <v>126</v>
      </c>
      <c r="H813" s="91">
        <f t="shared" si="31"/>
        <v>70</v>
      </c>
      <c r="I813" s="101" t="s">
        <v>131</v>
      </c>
    </row>
    <row r="814" spans="1:15" hidden="1" x14ac:dyDescent="0.25">
      <c r="A814" s="101" t="s">
        <v>131</v>
      </c>
      <c r="B814" s="101" t="s">
        <v>131</v>
      </c>
      <c r="C814" s="101" t="s">
        <v>131</v>
      </c>
      <c r="D814" s="111" t="s">
        <v>131</v>
      </c>
      <c r="E814" s="111" t="s">
        <v>131</v>
      </c>
      <c r="F814" s="101" t="s">
        <v>131</v>
      </c>
      <c r="G814" s="101" t="s">
        <v>131</v>
      </c>
      <c r="H814" s="101" t="s">
        <v>131</v>
      </c>
      <c r="I814" s="101" t="s">
        <v>131</v>
      </c>
    </row>
    <row r="815" spans="1:15" ht="46.5" hidden="1" customHeight="1" thickBot="1" x14ac:dyDescent="0.3"/>
    <row r="816" spans="1:15" hidden="1" x14ac:dyDescent="0.25">
      <c r="B816" s="116" t="s">
        <v>158</v>
      </c>
      <c r="C816" s="95"/>
      <c r="D816" s="104"/>
      <c r="E816" s="104"/>
      <c r="F816" s="95"/>
      <c r="G816" s="560" t="s">
        <v>17</v>
      </c>
      <c r="H816" s="560"/>
      <c r="I816" s="561"/>
      <c r="O816" s="144">
        <v>5</v>
      </c>
    </row>
    <row r="817" spans="1:13" ht="15.75" hidden="1" thickBot="1" x14ac:dyDescent="0.3">
      <c r="B817" s="117"/>
      <c r="C817" s="96"/>
      <c r="D817" s="105"/>
      <c r="E817" s="105"/>
      <c r="F817" s="96"/>
      <c r="G817" s="562"/>
      <c r="H817" s="563"/>
      <c r="I817" s="564"/>
    </row>
    <row r="818" spans="1:13" ht="15.75" hidden="1" thickBot="1" x14ac:dyDescent="0.3">
      <c r="A818" s="115" t="s">
        <v>131</v>
      </c>
      <c r="B818" s="97"/>
      <c r="C818" s="97"/>
      <c r="D818" s="106"/>
      <c r="E818" s="106"/>
      <c r="F818" s="97"/>
      <c r="G818" s="97"/>
      <c r="H818" s="97"/>
      <c r="I818" s="98" t="s">
        <v>131</v>
      </c>
    </row>
    <row r="819" spans="1:13" ht="15.75" hidden="1" thickBot="1" x14ac:dyDescent="0.3">
      <c r="A819" s="98" t="s">
        <v>131</v>
      </c>
      <c r="B819" s="55" t="s">
        <v>119</v>
      </c>
      <c r="C819" s="55" t="s">
        <v>118</v>
      </c>
      <c r="D819" s="498" t="s">
        <v>124</v>
      </c>
      <c r="E819" s="499"/>
      <c r="F819" s="500" t="s">
        <v>127</v>
      </c>
      <c r="G819" s="501"/>
      <c r="H819" s="502"/>
      <c r="I819" s="98" t="s">
        <v>131</v>
      </c>
      <c r="K819" s="544" t="s">
        <v>129</v>
      </c>
      <c r="L819" s="545"/>
      <c r="M819" s="546"/>
    </row>
    <row r="820" spans="1:13" ht="15.75" hidden="1" thickBot="1" x14ac:dyDescent="0.3">
      <c r="A820" s="98" t="s">
        <v>131</v>
      </c>
      <c r="B820" s="518">
        <v>1</v>
      </c>
      <c r="C820" s="506"/>
      <c r="D820" s="114" t="s">
        <v>125</v>
      </c>
      <c r="E820" s="107"/>
      <c r="F820" s="93"/>
      <c r="G820" s="118"/>
      <c r="H820" s="119"/>
      <c r="I820" s="98" t="s">
        <v>131</v>
      </c>
      <c r="K820" s="120" t="s">
        <v>118</v>
      </c>
      <c r="L820" s="121" t="s">
        <v>124</v>
      </c>
      <c r="M820" s="122" t="s">
        <v>128</v>
      </c>
    </row>
    <row r="821" spans="1:13" hidden="1" x14ac:dyDescent="0.25">
      <c r="A821" s="98" t="s">
        <v>131</v>
      </c>
      <c r="B821" s="504"/>
      <c r="C821" s="507"/>
      <c r="D821" s="509"/>
      <c r="E821" s="512">
        <f>IF(D821=0,0,VLOOKUP($D821,$F820:$H829,3,FALSE)*$E820)</f>
        <v>0</v>
      </c>
      <c r="F821" s="59"/>
      <c r="G821" s="123"/>
      <c r="H821" s="124"/>
      <c r="I821" s="98" t="s">
        <v>131</v>
      </c>
      <c r="K821" s="70">
        <v>1</v>
      </c>
      <c r="L821" s="125">
        <f>E821</f>
        <v>0</v>
      </c>
      <c r="M821" s="547">
        <f>SUM(L821:L825)</f>
        <v>0</v>
      </c>
    </row>
    <row r="822" spans="1:13" hidden="1" x14ac:dyDescent="0.25">
      <c r="A822" s="98" t="s">
        <v>131</v>
      </c>
      <c r="B822" s="504"/>
      <c r="C822" s="507"/>
      <c r="D822" s="510"/>
      <c r="E822" s="513"/>
      <c r="F822" s="59"/>
      <c r="G822" s="123"/>
      <c r="H822" s="124"/>
      <c r="I822" s="98" t="s">
        <v>131</v>
      </c>
      <c r="K822" s="71">
        <v>2</v>
      </c>
      <c r="L822" s="126">
        <f>E831</f>
        <v>0</v>
      </c>
      <c r="M822" s="547"/>
    </row>
    <row r="823" spans="1:13" hidden="1" x14ac:dyDescent="0.25">
      <c r="A823" s="98" t="s">
        <v>131</v>
      </c>
      <c r="B823" s="504"/>
      <c r="C823" s="507"/>
      <c r="D823" s="510"/>
      <c r="E823" s="513"/>
      <c r="F823" s="59"/>
      <c r="G823" s="123"/>
      <c r="H823" s="124"/>
      <c r="I823" s="98" t="s">
        <v>131</v>
      </c>
      <c r="K823" s="71">
        <v>3</v>
      </c>
      <c r="L823" s="126">
        <f>E841</f>
        <v>0</v>
      </c>
      <c r="M823" s="547"/>
    </row>
    <row r="824" spans="1:13" hidden="1" x14ac:dyDescent="0.25">
      <c r="A824" s="98" t="s">
        <v>131</v>
      </c>
      <c r="B824" s="504"/>
      <c r="C824" s="507"/>
      <c r="D824" s="510"/>
      <c r="E824" s="513"/>
      <c r="F824" s="59"/>
      <c r="G824" s="123"/>
      <c r="H824" s="124"/>
      <c r="I824" s="98" t="s">
        <v>131</v>
      </c>
      <c r="K824" s="71">
        <v>4</v>
      </c>
      <c r="L824" s="126">
        <f>E851</f>
        <v>0</v>
      </c>
      <c r="M824" s="547"/>
    </row>
    <row r="825" spans="1:13" ht="15.75" hidden="1" thickBot="1" x14ac:dyDescent="0.3">
      <c r="A825" s="98" t="s">
        <v>131</v>
      </c>
      <c r="B825" s="504"/>
      <c r="C825" s="507"/>
      <c r="D825" s="510"/>
      <c r="E825" s="513"/>
      <c r="F825" s="59"/>
      <c r="G825" s="123"/>
      <c r="H825" s="124"/>
      <c r="I825" s="98" t="s">
        <v>131</v>
      </c>
      <c r="K825" s="72">
        <v>5</v>
      </c>
      <c r="L825" s="127">
        <f>E861</f>
        <v>0</v>
      </c>
      <c r="M825" s="548"/>
    </row>
    <row r="826" spans="1:13" ht="15.75" hidden="1" thickBot="1" x14ac:dyDescent="0.3">
      <c r="A826" s="98" t="s">
        <v>131</v>
      </c>
      <c r="B826" s="504"/>
      <c r="C826" s="507"/>
      <c r="D826" s="510"/>
      <c r="E826" s="513"/>
      <c r="F826" s="59"/>
      <c r="G826" s="94"/>
      <c r="H826" s="124"/>
      <c r="I826" s="98" t="s">
        <v>131</v>
      </c>
    </row>
    <row r="827" spans="1:13" ht="15.75" hidden="1" thickBot="1" x14ac:dyDescent="0.3">
      <c r="A827" s="98" t="s">
        <v>131</v>
      </c>
      <c r="B827" s="505"/>
      <c r="C827" s="508"/>
      <c r="D827" s="510"/>
      <c r="E827" s="513"/>
      <c r="F827" s="59"/>
      <c r="G827" s="94"/>
      <c r="H827" s="124"/>
      <c r="I827" s="98" t="s">
        <v>131</v>
      </c>
      <c r="K827" s="549" t="s">
        <v>62</v>
      </c>
      <c r="L827" s="550"/>
      <c r="M827" s="551"/>
    </row>
    <row r="828" spans="1:13" ht="15.75" hidden="1" thickBot="1" x14ac:dyDescent="0.3">
      <c r="A828" s="98" t="s">
        <v>131</v>
      </c>
      <c r="B828" s="496" t="s">
        <v>128</v>
      </c>
      <c r="C828" s="506"/>
      <c r="D828" s="510"/>
      <c r="E828" s="513"/>
      <c r="F828" s="59"/>
      <c r="G828" s="94"/>
      <c r="H828" s="124"/>
      <c r="I828" s="98" t="s">
        <v>131</v>
      </c>
      <c r="K828" s="129" t="s">
        <v>36</v>
      </c>
      <c r="L828" s="130" t="s">
        <v>124</v>
      </c>
      <c r="M828" s="131" t="s">
        <v>128</v>
      </c>
    </row>
    <row r="829" spans="1:13" ht="15.75" hidden="1" thickBot="1" x14ac:dyDescent="0.3">
      <c r="A829" s="98" t="s">
        <v>131</v>
      </c>
      <c r="B829" s="497"/>
      <c r="C829" s="508"/>
      <c r="D829" s="511"/>
      <c r="E829" s="514"/>
      <c r="F829" s="62"/>
      <c r="G829" s="92"/>
      <c r="H829" s="91"/>
      <c r="I829" s="98" t="s">
        <v>131</v>
      </c>
      <c r="K829" s="70">
        <v>1</v>
      </c>
      <c r="L829" s="125">
        <f>E875</f>
        <v>0</v>
      </c>
      <c r="M829" s="552">
        <f>SUM(L829:L838)</f>
        <v>0</v>
      </c>
    </row>
    <row r="830" spans="1:13" ht="15.75" hidden="1" customHeight="1" thickBot="1" x14ac:dyDescent="0.3">
      <c r="A830" s="98" t="s">
        <v>131</v>
      </c>
      <c r="B830" s="518"/>
      <c r="C830" s="506"/>
      <c r="D830" s="114"/>
      <c r="E830" s="107"/>
      <c r="F830" s="93"/>
      <c r="G830" s="128"/>
      <c r="H830" s="119"/>
      <c r="I830" s="98"/>
      <c r="K830" s="71">
        <v>2</v>
      </c>
      <c r="L830" s="126">
        <f>E885</f>
        <v>0</v>
      </c>
      <c r="M830" s="547"/>
    </row>
    <row r="831" spans="1:13" ht="15" hidden="1" customHeight="1" x14ac:dyDescent="0.25">
      <c r="A831" s="98" t="s">
        <v>131</v>
      </c>
      <c r="B831" s="504"/>
      <c r="C831" s="507"/>
      <c r="D831" s="509"/>
      <c r="E831" s="512"/>
      <c r="F831" s="59"/>
      <c r="G831" s="94"/>
      <c r="H831" s="124"/>
      <c r="I831" s="98"/>
      <c r="K831" s="71">
        <v>3</v>
      </c>
      <c r="L831" s="126">
        <f>E895</f>
        <v>0</v>
      </c>
      <c r="M831" s="547"/>
    </row>
    <row r="832" spans="1:13" ht="15" hidden="1" customHeight="1" x14ac:dyDescent="0.25">
      <c r="A832" s="98" t="s">
        <v>131</v>
      </c>
      <c r="B832" s="504"/>
      <c r="C832" s="507"/>
      <c r="D832" s="510"/>
      <c r="E832" s="513"/>
      <c r="F832" s="59"/>
      <c r="G832" s="94"/>
      <c r="H832" s="124"/>
      <c r="I832" s="98"/>
      <c r="K832" s="71">
        <v>4</v>
      </c>
      <c r="L832" s="126">
        <f>E905</f>
        <v>0</v>
      </c>
      <c r="M832" s="547"/>
    </row>
    <row r="833" spans="1:13" ht="15" hidden="1" customHeight="1" x14ac:dyDescent="0.25">
      <c r="A833" s="98" t="s">
        <v>131</v>
      </c>
      <c r="B833" s="504"/>
      <c r="C833" s="507"/>
      <c r="D833" s="510"/>
      <c r="E833" s="513"/>
      <c r="F833" s="59"/>
      <c r="G833" s="94"/>
      <c r="H833" s="124"/>
      <c r="I833" s="98"/>
      <c r="K833" s="71">
        <v>5</v>
      </c>
      <c r="L833" s="126">
        <f>E915</f>
        <v>0</v>
      </c>
      <c r="M833" s="547"/>
    </row>
    <row r="834" spans="1:13" ht="15" hidden="1" customHeight="1" x14ac:dyDescent="0.25">
      <c r="A834" s="98" t="s">
        <v>131</v>
      </c>
      <c r="B834" s="504"/>
      <c r="C834" s="507"/>
      <c r="D834" s="510"/>
      <c r="E834" s="513"/>
      <c r="F834" s="59"/>
      <c r="G834" s="94"/>
      <c r="H834" s="124"/>
      <c r="I834" s="98"/>
      <c r="K834" s="70">
        <v>6</v>
      </c>
      <c r="L834" s="126">
        <f>E925</f>
        <v>0</v>
      </c>
      <c r="M834" s="547"/>
    </row>
    <row r="835" spans="1:13" ht="15" hidden="1" customHeight="1" x14ac:dyDescent="0.25">
      <c r="A835" s="98" t="s">
        <v>131</v>
      </c>
      <c r="B835" s="504"/>
      <c r="C835" s="507"/>
      <c r="D835" s="510"/>
      <c r="E835" s="513"/>
      <c r="F835" s="59"/>
      <c r="G835" s="94"/>
      <c r="H835" s="124"/>
      <c r="I835" s="98"/>
      <c r="K835" s="71">
        <v>7</v>
      </c>
      <c r="L835" s="126">
        <f>E935</f>
        <v>0</v>
      </c>
      <c r="M835" s="547"/>
    </row>
    <row r="836" spans="1:13" ht="15" hidden="1" customHeight="1" x14ac:dyDescent="0.25">
      <c r="A836" s="98" t="s">
        <v>131</v>
      </c>
      <c r="B836" s="504"/>
      <c r="C836" s="507"/>
      <c r="D836" s="510"/>
      <c r="E836" s="513"/>
      <c r="F836" s="59"/>
      <c r="G836" s="94"/>
      <c r="H836" s="124"/>
      <c r="I836" s="98"/>
      <c r="K836" s="71">
        <v>8</v>
      </c>
      <c r="L836" s="126">
        <f>E945</f>
        <v>0</v>
      </c>
      <c r="M836" s="547"/>
    </row>
    <row r="837" spans="1:13" ht="15.75" hidden="1" customHeight="1" thickBot="1" x14ac:dyDescent="0.3">
      <c r="A837" s="98" t="s">
        <v>131</v>
      </c>
      <c r="B837" s="505"/>
      <c r="C837" s="508"/>
      <c r="D837" s="510"/>
      <c r="E837" s="513"/>
      <c r="F837" s="59"/>
      <c r="G837" s="94"/>
      <c r="H837" s="124"/>
      <c r="I837" s="98"/>
      <c r="K837" s="71">
        <v>9</v>
      </c>
      <c r="L837" s="126">
        <f>E955</f>
        <v>0</v>
      </c>
      <c r="M837" s="547"/>
    </row>
    <row r="838" spans="1:13" ht="15.75" hidden="1" customHeight="1" thickBot="1" x14ac:dyDescent="0.3">
      <c r="A838" s="98" t="s">
        <v>131</v>
      </c>
      <c r="B838" s="496"/>
      <c r="C838" s="506"/>
      <c r="D838" s="510"/>
      <c r="E838" s="513"/>
      <c r="F838" s="59"/>
      <c r="G838" s="94"/>
      <c r="H838" s="124"/>
      <c r="I838" s="98"/>
      <c r="K838" s="72">
        <v>10</v>
      </c>
      <c r="L838" s="127">
        <f>E965</f>
        <v>0</v>
      </c>
      <c r="M838" s="548"/>
    </row>
    <row r="839" spans="1:13" ht="15.75" hidden="1" customHeight="1" thickBot="1" x14ac:dyDescent="0.3">
      <c r="A839" s="98" t="s">
        <v>131</v>
      </c>
      <c r="B839" s="497"/>
      <c r="C839" s="508"/>
      <c r="D839" s="511"/>
      <c r="E839" s="514"/>
      <c r="F839" s="62"/>
      <c r="G839" s="92"/>
      <c r="H839" s="91"/>
      <c r="I839" s="98"/>
    </row>
    <row r="840" spans="1:13" ht="15.75" hidden="1" customHeight="1" thickBot="1" x14ac:dyDescent="0.3">
      <c r="A840" s="98" t="s">
        <v>131</v>
      </c>
      <c r="B840" s="518"/>
      <c r="C840" s="506"/>
      <c r="D840" s="114"/>
      <c r="E840" s="107"/>
      <c r="F840" s="93"/>
      <c r="G840" s="128"/>
      <c r="H840" s="119"/>
      <c r="I840" s="98"/>
    </row>
    <row r="841" spans="1:13" ht="15" hidden="1" customHeight="1" x14ac:dyDescent="0.25">
      <c r="A841" s="98" t="s">
        <v>131</v>
      </c>
      <c r="B841" s="504"/>
      <c r="C841" s="507"/>
      <c r="D841" s="509"/>
      <c r="E841" s="512"/>
      <c r="F841" s="59"/>
      <c r="G841" s="94"/>
      <c r="H841" s="124"/>
      <c r="I841" s="98"/>
    </row>
    <row r="842" spans="1:13" ht="15" hidden="1" customHeight="1" x14ac:dyDescent="0.25">
      <c r="A842" s="98" t="s">
        <v>131</v>
      </c>
      <c r="B842" s="504"/>
      <c r="C842" s="507"/>
      <c r="D842" s="510"/>
      <c r="E842" s="513"/>
      <c r="F842" s="59"/>
      <c r="G842" s="94"/>
      <c r="H842" s="124"/>
      <c r="I842" s="98"/>
    </row>
    <row r="843" spans="1:13" ht="15" hidden="1" customHeight="1" x14ac:dyDescent="0.25">
      <c r="A843" s="98" t="s">
        <v>131</v>
      </c>
      <c r="B843" s="504"/>
      <c r="C843" s="507"/>
      <c r="D843" s="510"/>
      <c r="E843" s="513"/>
      <c r="F843" s="59"/>
      <c r="G843" s="94"/>
      <c r="H843" s="124"/>
      <c r="I843" s="98"/>
    </row>
    <row r="844" spans="1:13" ht="15" hidden="1" customHeight="1" x14ac:dyDescent="0.25">
      <c r="A844" s="98" t="s">
        <v>131</v>
      </c>
      <c r="B844" s="504"/>
      <c r="C844" s="507"/>
      <c r="D844" s="510"/>
      <c r="E844" s="513"/>
      <c r="F844" s="59"/>
      <c r="G844" s="94"/>
      <c r="H844" s="124"/>
      <c r="I844" s="98"/>
    </row>
    <row r="845" spans="1:13" ht="15" hidden="1" customHeight="1" x14ac:dyDescent="0.25">
      <c r="A845" s="98" t="s">
        <v>131</v>
      </c>
      <c r="B845" s="504"/>
      <c r="C845" s="507"/>
      <c r="D845" s="510"/>
      <c r="E845" s="513"/>
      <c r="F845" s="59"/>
      <c r="G845" s="94"/>
      <c r="H845" s="124"/>
      <c r="I845" s="98"/>
    </row>
    <row r="846" spans="1:13" ht="15" hidden="1" customHeight="1" x14ac:dyDescent="0.25">
      <c r="A846" s="98" t="s">
        <v>131</v>
      </c>
      <c r="B846" s="504"/>
      <c r="C846" s="507"/>
      <c r="D846" s="510"/>
      <c r="E846" s="513"/>
      <c r="F846" s="59"/>
      <c r="G846" s="94"/>
      <c r="H846" s="124"/>
      <c r="I846" s="98"/>
    </row>
    <row r="847" spans="1:13" ht="15.75" hidden="1" customHeight="1" thickBot="1" x14ac:dyDescent="0.3">
      <c r="A847" s="98" t="s">
        <v>131</v>
      </c>
      <c r="B847" s="505"/>
      <c r="C847" s="508"/>
      <c r="D847" s="510"/>
      <c r="E847" s="513"/>
      <c r="F847" s="59"/>
      <c r="G847" s="94"/>
      <c r="H847" s="124"/>
      <c r="I847" s="98"/>
    </row>
    <row r="848" spans="1:13" ht="51" hidden="1" customHeight="1" x14ac:dyDescent="0.25">
      <c r="A848" s="98" t="s">
        <v>131</v>
      </c>
      <c r="B848" s="496"/>
      <c r="C848" s="506"/>
      <c r="D848" s="510"/>
      <c r="E848" s="513"/>
      <c r="F848" s="59"/>
      <c r="G848" s="94"/>
      <c r="H848" s="124"/>
      <c r="I848" s="98"/>
    </row>
    <row r="849" spans="1:9" ht="51" hidden="1" customHeight="1" thickBot="1" x14ac:dyDescent="0.3">
      <c r="A849" s="98" t="s">
        <v>131</v>
      </c>
      <c r="B849" s="497"/>
      <c r="C849" s="508"/>
      <c r="D849" s="511"/>
      <c r="E849" s="514"/>
      <c r="F849" s="62"/>
      <c r="G849" s="92"/>
      <c r="H849" s="91"/>
      <c r="I849" s="98"/>
    </row>
    <row r="850" spans="1:9" ht="15.75" hidden="1" customHeight="1" thickBot="1" x14ac:dyDescent="0.3">
      <c r="A850" s="98" t="s">
        <v>131</v>
      </c>
      <c r="B850" s="518"/>
      <c r="C850" s="506"/>
      <c r="D850" s="114"/>
      <c r="E850" s="107"/>
      <c r="F850" s="93"/>
      <c r="G850" s="128"/>
      <c r="H850" s="119"/>
      <c r="I850" s="98"/>
    </row>
    <row r="851" spans="1:9" ht="15" hidden="1" customHeight="1" x14ac:dyDescent="0.25">
      <c r="A851" s="98" t="s">
        <v>131</v>
      </c>
      <c r="B851" s="504"/>
      <c r="C851" s="507"/>
      <c r="D851" s="509"/>
      <c r="E851" s="512"/>
      <c r="F851" s="59"/>
      <c r="G851" s="94"/>
      <c r="H851" s="124"/>
      <c r="I851" s="98"/>
    </row>
    <row r="852" spans="1:9" ht="15" hidden="1" customHeight="1" x14ac:dyDescent="0.25">
      <c r="A852" s="98" t="s">
        <v>131</v>
      </c>
      <c r="B852" s="504"/>
      <c r="C852" s="507"/>
      <c r="D852" s="510"/>
      <c r="E852" s="513"/>
      <c r="F852" s="59"/>
      <c r="G852" s="94"/>
      <c r="H852" s="124"/>
      <c r="I852" s="98"/>
    </row>
    <row r="853" spans="1:9" ht="15" hidden="1" customHeight="1" x14ac:dyDescent="0.25">
      <c r="A853" s="98" t="s">
        <v>131</v>
      </c>
      <c r="B853" s="504"/>
      <c r="C853" s="507"/>
      <c r="D853" s="510"/>
      <c r="E853" s="513"/>
      <c r="F853" s="59"/>
      <c r="G853" s="94"/>
      <c r="H853" s="124"/>
      <c r="I853" s="98"/>
    </row>
    <row r="854" spans="1:9" ht="15" hidden="1" customHeight="1" x14ac:dyDescent="0.25">
      <c r="A854" s="98" t="s">
        <v>131</v>
      </c>
      <c r="B854" s="504"/>
      <c r="C854" s="507"/>
      <c r="D854" s="510"/>
      <c r="E854" s="513"/>
      <c r="F854" s="59"/>
      <c r="G854" s="94"/>
      <c r="H854" s="124"/>
      <c r="I854" s="98"/>
    </row>
    <row r="855" spans="1:9" ht="15" hidden="1" customHeight="1" x14ac:dyDescent="0.25">
      <c r="A855" s="98" t="s">
        <v>131</v>
      </c>
      <c r="B855" s="504"/>
      <c r="C855" s="507"/>
      <c r="D855" s="510"/>
      <c r="E855" s="513"/>
      <c r="F855" s="59"/>
      <c r="G855" s="94"/>
      <c r="H855" s="124"/>
      <c r="I855" s="98"/>
    </row>
    <row r="856" spans="1:9" ht="15" hidden="1" customHeight="1" x14ac:dyDescent="0.25">
      <c r="A856" s="98" t="s">
        <v>131</v>
      </c>
      <c r="B856" s="504"/>
      <c r="C856" s="507"/>
      <c r="D856" s="510"/>
      <c r="E856" s="513"/>
      <c r="F856" s="59"/>
      <c r="G856" s="94"/>
      <c r="H856" s="124"/>
      <c r="I856" s="98"/>
    </row>
    <row r="857" spans="1:9" ht="15.75" hidden="1" customHeight="1" thickBot="1" x14ac:dyDescent="0.3">
      <c r="A857" s="98" t="s">
        <v>131</v>
      </c>
      <c r="B857" s="505"/>
      <c r="C857" s="508"/>
      <c r="D857" s="510"/>
      <c r="E857" s="513"/>
      <c r="F857" s="59"/>
      <c r="G857" s="94"/>
      <c r="H857" s="124"/>
      <c r="I857" s="98"/>
    </row>
    <row r="858" spans="1:9" ht="15" hidden="1" customHeight="1" x14ac:dyDescent="0.25">
      <c r="A858" s="98" t="s">
        <v>131</v>
      </c>
      <c r="B858" s="496"/>
      <c r="C858" s="506"/>
      <c r="D858" s="510"/>
      <c r="E858" s="513"/>
      <c r="F858" s="59"/>
      <c r="G858" s="94"/>
      <c r="H858" s="124"/>
      <c r="I858" s="98"/>
    </row>
    <row r="859" spans="1:9" ht="15.75" hidden="1" customHeight="1" thickBot="1" x14ac:dyDescent="0.3">
      <c r="A859" s="98" t="s">
        <v>131</v>
      </c>
      <c r="B859" s="497"/>
      <c r="C859" s="508"/>
      <c r="D859" s="511"/>
      <c r="E859" s="514"/>
      <c r="F859" s="62"/>
      <c r="G859" s="92"/>
      <c r="H859" s="91"/>
      <c r="I859" s="98"/>
    </row>
    <row r="860" spans="1:9" ht="15.75" hidden="1" customHeight="1" thickBot="1" x14ac:dyDescent="0.3">
      <c r="A860" s="98" t="s">
        <v>131</v>
      </c>
      <c r="B860" s="503"/>
      <c r="C860" s="506"/>
      <c r="D860" s="114"/>
      <c r="E860" s="107"/>
      <c r="F860" s="64"/>
      <c r="G860" s="134"/>
      <c r="H860" s="135"/>
      <c r="I860" s="98"/>
    </row>
    <row r="861" spans="1:9" ht="15" hidden="1" customHeight="1" x14ac:dyDescent="0.25">
      <c r="A861" s="98" t="s">
        <v>131</v>
      </c>
      <c r="B861" s="504"/>
      <c r="C861" s="507"/>
      <c r="D861" s="509"/>
      <c r="E861" s="512"/>
      <c r="F861" s="59"/>
      <c r="G861" s="94"/>
      <c r="H861" s="124"/>
      <c r="I861" s="98"/>
    </row>
    <row r="862" spans="1:9" ht="15" hidden="1" customHeight="1" x14ac:dyDescent="0.25">
      <c r="A862" s="98" t="s">
        <v>131</v>
      </c>
      <c r="B862" s="504"/>
      <c r="C862" s="507"/>
      <c r="D862" s="510"/>
      <c r="E862" s="513"/>
      <c r="F862" s="59"/>
      <c r="G862" s="94"/>
      <c r="H862" s="124"/>
      <c r="I862" s="98"/>
    </row>
    <row r="863" spans="1:9" ht="15" hidden="1" customHeight="1" x14ac:dyDescent="0.25">
      <c r="A863" s="98" t="s">
        <v>131</v>
      </c>
      <c r="B863" s="504"/>
      <c r="C863" s="507"/>
      <c r="D863" s="510"/>
      <c r="E863" s="513"/>
      <c r="F863" s="59"/>
      <c r="G863" s="94"/>
      <c r="H863" s="124"/>
      <c r="I863" s="98"/>
    </row>
    <row r="864" spans="1:9" ht="15" hidden="1" customHeight="1" x14ac:dyDescent="0.25">
      <c r="A864" s="98" t="s">
        <v>131</v>
      </c>
      <c r="B864" s="504"/>
      <c r="C864" s="507"/>
      <c r="D864" s="510"/>
      <c r="E864" s="513"/>
      <c r="F864" s="59"/>
      <c r="G864" s="94"/>
      <c r="H864" s="124"/>
      <c r="I864" s="98"/>
    </row>
    <row r="865" spans="1:9" ht="15" hidden="1" customHeight="1" x14ac:dyDescent="0.25">
      <c r="A865" s="98" t="s">
        <v>131</v>
      </c>
      <c r="B865" s="504"/>
      <c r="C865" s="507"/>
      <c r="D865" s="510"/>
      <c r="E865" s="513"/>
      <c r="F865" s="59"/>
      <c r="G865" s="94"/>
      <c r="H865" s="124"/>
      <c r="I865" s="98"/>
    </row>
    <row r="866" spans="1:9" ht="15" hidden="1" customHeight="1" x14ac:dyDescent="0.25">
      <c r="A866" s="98" t="s">
        <v>131</v>
      </c>
      <c r="B866" s="504"/>
      <c r="C866" s="507"/>
      <c r="D866" s="510"/>
      <c r="E866" s="513"/>
      <c r="F866" s="59"/>
      <c r="G866" s="94"/>
      <c r="H866" s="124"/>
      <c r="I866" s="98"/>
    </row>
    <row r="867" spans="1:9" ht="15.75" hidden="1" customHeight="1" thickBot="1" x14ac:dyDescent="0.3">
      <c r="A867" s="98" t="s">
        <v>131</v>
      </c>
      <c r="B867" s="505"/>
      <c r="C867" s="508"/>
      <c r="D867" s="510"/>
      <c r="E867" s="513"/>
      <c r="F867" s="59"/>
      <c r="G867" s="94"/>
      <c r="H867" s="124"/>
      <c r="I867" s="98"/>
    </row>
    <row r="868" spans="1:9" ht="15" hidden="1" customHeight="1" x14ac:dyDescent="0.25">
      <c r="A868" s="98" t="s">
        <v>131</v>
      </c>
      <c r="B868" s="496"/>
      <c r="C868" s="506"/>
      <c r="D868" s="510"/>
      <c r="E868" s="513"/>
      <c r="F868" s="59"/>
      <c r="G868" s="94"/>
      <c r="H868" s="124"/>
      <c r="I868" s="98"/>
    </row>
    <row r="869" spans="1:9" ht="15.75" hidden="1" customHeight="1" thickBot="1" x14ac:dyDescent="0.3">
      <c r="A869" s="98" t="s">
        <v>131</v>
      </c>
      <c r="B869" s="497"/>
      <c r="C869" s="508"/>
      <c r="D869" s="511"/>
      <c r="E869" s="514"/>
      <c r="F869" s="62"/>
      <c r="G869" s="92"/>
      <c r="H869" s="91"/>
      <c r="I869" s="98"/>
    </row>
    <row r="870" spans="1:9" ht="15.75" hidden="1" thickBot="1" x14ac:dyDescent="0.3">
      <c r="A870" s="98" t="s">
        <v>131</v>
      </c>
      <c r="B870" s="98" t="s">
        <v>131</v>
      </c>
      <c r="C870" s="98" t="s">
        <v>131</v>
      </c>
      <c r="D870" s="108" t="s">
        <v>131</v>
      </c>
      <c r="E870" s="108" t="s">
        <v>131</v>
      </c>
      <c r="F870" s="98" t="s">
        <v>131</v>
      </c>
      <c r="G870" s="98" t="s">
        <v>131</v>
      </c>
      <c r="H870" s="98" t="s">
        <v>131</v>
      </c>
      <c r="I870" s="98" t="s">
        <v>131</v>
      </c>
    </row>
    <row r="871" spans="1:9" hidden="1" x14ac:dyDescent="0.25">
      <c r="A871" s="101" t="s">
        <v>131</v>
      </c>
      <c r="B871" s="139" t="s">
        <v>159</v>
      </c>
      <c r="C871" s="99"/>
      <c r="D871" s="109"/>
      <c r="E871" s="109"/>
      <c r="F871" s="99"/>
      <c r="G871" s="493" t="s">
        <v>17</v>
      </c>
      <c r="H871" s="494"/>
      <c r="I871" s="495"/>
    </row>
    <row r="872" spans="1:9" ht="15.75" hidden="1" thickBot="1" x14ac:dyDescent="0.3">
      <c r="A872" s="101" t="s">
        <v>131</v>
      </c>
      <c r="B872" s="140"/>
      <c r="C872" s="100"/>
      <c r="D872" s="110"/>
      <c r="E872" s="110"/>
      <c r="F872" s="100"/>
      <c r="G872" s="515"/>
      <c r="H872" s="516"/>
      <c r="I872" s="517"/>
    </row>
    <row r="873" spans="1:9" ht="15.75" hidden="1" thickBot="1" x14ac:dyDescent="0.3">
      <c r="A873" s="101" t="s">
        <v>131</v>
      </c>
      <c r="B873" s="55" t="s">
        <v>119</v>
      </c>
      <c r="C873" s="55" t="s">
        <v>36</v>
      </c>
      <c r="D873" s="498" t="s">
        <v>124</v>
      </c>
      <c r="E873" s="499"/>
      <c r="F873" s="500" t="s">
        <v>130</v>
      </c>
      <c r="G873" s="501"/>
      <c r="H873" s="502"/>
      <c r="I873" s="101" t="s">
        <v>131</v>
      </c>
    </row>
    <row r="874" spans="1:9" ht="15.75" hidden="1" thickBot="1" x14ac:dyDescent="0.3">
      <c r="A874" s="101" t="s">
        <v>131</v>
      </c>
      <c r="B874" s="518">
        <v>1</v>
      </c>
      <c r="C874" s="506"/>
      <c r="D874" s="114" t="s">
        <v>125</v>
      </c>
      <c r="E874" s="107"/>
      <c r="F874" s="93"/>
      <c r="G874" s="57"/>
      <c r="H874" s="58"/>
      <c r="I874" s="101" t="s">
        <v>131</v>
      </c>
    </row>
    <row r="875" spans="1:9" hidden="1" x14ac:dyDescent="0.25">
      <c r="A875" s="101" t="s">
        <v>131</v>
      </c>
      <c r="B875" s="504"/>
      <c r="C875" s="507"/>
      <c r="D875" s="509"/>
      <c r="E875" s="512">
        <f>IF(D875=0,0,VLOOKUP($D875,$F874:$H883,3,FALSE)*$E874)</f>
        <v>0</v>
      </c>
      <c r="F875" s="59"/>
      <c r="G875" s="60"/>
      <c r="H875" s="61"/>
      <c r="I875" s="101" t="s">
        <v>131</v>
      </c>
    </row>
    <row r="876" spans="1:9" hidden="1" x14ac:dyDescent="0.25">
      <c r="A876" s="101" t="s">
        <v>131</v>
      </c>
      <c r="B876" s="504"/>
      <c r="C876" s="507"/>
      <c r="D876" s="510"/>
      <c r="E876" s="513"/>
      <c r="F876" s="59"/>
      <c r="G876" s="60"/>
      <c r="H876" s="61"/>
      <c r="I876" s="101" t="s">
        <v>131</v>
      </c>
    </row>
    <row r="877" spans="1:9" hidden="1" x14ac:dyDescent="0.25">
      <c r="A877" s="101" t="s">
        <v>131</v>
      </c>
      <c r="B877" s="504"/>
      <c r="C877" s="507"/>
      <c r="D877" s="510"/>
      <c r="E877" s="513"/>
      <c r="F877" s="59"/>
      <c r="G877" s="60"/>
      <c r="H877" s="61"/>
      <c r="I877" s="101" t="s">
        <v>131</v>
      </c>
    </row>
    <row r="878" spans="1:9" hidden="1" x14ac:dyDescent="0.25">
      <c r="A878" s="101" t="s">
        <v>131</v>
      </c>
      <c r="B878" s="504"/>
      <c r="C878" s="507"/>
      <c r="D878" s="510"/>
      <c r="E878" s="513"/>
      <c r="F878" s="59"/>
      <c r="G878" s="94"/>
      <c r="H878" s="124"/>
      <c r="I878" s="101" t="s">
        <v>131</v>
      </c>
    </row>
    <row r="879" spans="1:9" hidden="1" x14ac:dyDescent="0.25">
      <c r="A879" s="101" t="s">
        <v>131</v>
      </c>
      <c r="B879" s="504"/>
      <c r="C879" s="507"/>
      <c r="D879" s="510"/>
      <c r="E879" s="513"/>
      <c r="F879" s="59"/>
      <c r="G879" s="94"/>
      <c r="H879" s="124"/>
      <c r="I879" s="101" t="s">
        <v>131</v>
      </c>
    </row>
    <row r="880" spans="1:9" hidden="1" x14ac:dyDescent="0.25">
      <c r="A880" s="101" t="s">
        <v>131</v>
      </c>
      <c r="B880" s="504"/>
      <c r="C880" s="507"/>
      <c r="D880" s="510"/>
      <c r="E880" s="513"/>
      <c r="F880" s="59"/>
      <c r="G880" s="94"/>
      <c r="H880" s="124"/>
      <c r="I880" s="101" t="s">
        <v>131</v>
      </c>
    </row>
    <row r="881" spans="1:9" ht="15.75" hidden="1" thickBot="1" x14ac:dyDescent="0.3">
      <c r="A881" s="101" t="s">
        <v>131</v>
      </c>
      <c r="B881" s="505"/>
      <c r="C881" s="508"/>
      <c r="D881" s="510"/>
      <c r="E881" s="513"/>
      <c r="F881" s="59"/>
      <c r="G881" s="94"/>
      <c r="H881" s="124"/>
      <c r="I881" s="101" t="s">
        <v>131</v>
      </c>
    </row>
    <row r="882" spans="1:9" hidden="1" x14ac:dyDescent="0.25">
      <c r="A882" s="101" t="s">
        <v>131</v>
      </c>
      <c r="B882" s="496" t="s">
        <v>128</v>
      </c>
      <c r="C882" s="506"/>
      <c r="D882" s="510"/>
      <c r="E882" s="513"/>
      <c r="F882" s="59"/>
      <c r="G882" s="94"/>
      <c r="H882" s="124"/>
      <c r="I882" s="101" t="s">
        <v>131</v>
      </c>
    </row>
    <row r="883" spans="1:9" ht="15.75" hidden="1" thickBot="1" x14ac:dyDescent="0.3">
      <c r="A883" s="101" t="s">
        <v>131</v>
      </c>
      <c r="B883" s="497"/>
      <c r="C883" s="508"/>
      <c r="D883" s="511"/>
      <c r="E883" s="514"/>
      <c r="F883" s="62"/>
      <c r="G883" s="92"/>
      <c r="H883" s="91"/>
      <c r="I883" s="101" t="s">
        <v>131</v>
      </c>
    </row>
    <row r="884" spans="1:9" ht="15.75" hidden="1" thickBot="1" x14ac:dyDescent="0.3">
      <c r="A884" s="101" t="s">
        <v>131</v>
      </c>
      <c r="B884" s="518">
        <v>2</v>
      </c>
      <c r="C884" s="506"/>
      <c r="D884" s="114" t="s">
        <v>125</v>
      </c>
      <c r="E884" s="107"/>
      <c r="F884" s="93"/>
      <c r="G884" s="57"/>
      <c r="H884" s="58"/>
      <c r="I884" s="101" t="s">
        <v>131</v>
      </c>
    </row>
    <row r="885" spans="1:9" hidden="1" x14ac:dyDescent="0.25">
      <c r="A885" s="101" t="s">
        <v>131</v>
      </c>
      <c r="B885" s="504"/>
      <c r="C885" s="507"/>
      <c r="D885" s="509"/>
      <c r="E885" s="512">
        <f>IF(D885=0,0,VLOOKUP($D885,$F884:$H893,3,FALSE)*$E884)</f>
        <v>0</v>
      </c>
      <c r="F885" s="59"/>
      <c r="G885" s="60"/>
      <c r="H885" s="61"/>
      <c r="I885" s="101" t="s">
        <v>131</v>
      </c>
    </row>
    <row r="886" spans="1:9" hidden="1" x14ac:dyDescent="0.25">
      <c r="A886" s="101" t="s">
        <v>131</v>
      </c>
      <c r="B886" s="504"/>
      <c r="C886" s="507"/>
      <c r="D886" s="510"/>
      <c r="E886" s="513"/>
      <c r="F886" s="59"/>
      <c r="G886" s="94"/>
      <c r="H886" s="124"/>
      <c r="I886" s="101" t="s">
        <v>131</v>
      </c>
    </row>
    <row r="887" spans="1:9" hidden="1" x14ac:dyDescent="0.25">
      <c r="A887" s="101" t="s">
        <v>131</v>
      </c>
      <c r="B887" s="504"/>
      <c r="C887" s="507"/>
      <c r="D887" s="510"/>
      <c r="E887" s="513"/>
      <c r="F887" s="59"/>
      <c r="G887" s="94"/>
      <c r="H887" s="124"/>
      <c r="I887" s="101" t="s">
        <v>131</v>
      </c>
    </row>
    <row r="888" spans="1:9" hidden="1" x14ac:dyDescent="0.25">
      <c r="A888" s="101" t="s">
        <v>131</v>
      </c>
      <c r="B888" s="504"/>
      <c r="C888" s="507"/>
      <c r="D888" s="510"/>
      <c r="E888" s="513"/>
      <c r="F888" s="59"/>
      <c r="G888" s="94"/>
      <c r="H888" s="124"/>
      <c r="I888" s="101" t="s">
        <v>131</v>
      </c>
    </row>
    <row r="889" spans="1:9" hidden="1" x14ac:dyDescent="0.25">
      <c r="A889" s="101" t="s">
        <v>131</v>
      </c>
      <c r="B889" s="504"/>
      <c r="C889" s="507"/>
      <c r="D889" s="510"/>
      <c r="E889" s="513"/>
      <c r="F889" s="59"/>
      <c r="G889" s="94"/>
      <c r="H889" s="124"/>
      <c r="I889" s="101" t="s">
        <v>131</v>
      </c>
    </row>
    <row r="890" spans="1:9" hidden="1" x14ac:dyDescent="0.25">
      <c r="A890" s="101" t="s">
        <v>131</v>
      </c>
      <c r="B890" s="504"/>
      <c r="C890" s="507"/>
      <c r="D890" s="510"/>
      <c r="E890" s="513"/>
      <c r="F890" s="59"/>
      <c r="G890" s="94"/>
      <c r="H890" s="124"/>
      <c r="I890" s="101" t="s">
        <v>131</v>
      </c>
    </row>
    <row r="891" spans="1:9" ht="15.75" hidden="1" thickBot="1" x14ac:dyDescent="0.3">
      <c r="A891" s="101" t="s">
        <v>131</v>
      </c>
      <c r="B891" s="505"/>
      <c r="C891" s="508"/>
      <c r="D891" s="510"/>
      <c r="E891" s="513"/>
      <c r="F891" s="59"/>
      <c r="G891" s="94"/>
      <c r="H891" s="124"/>
      <c r="I891" s="101" t="s">
        <v>131</v>
      </c>
    </row>
    <row r="892" spans="1:9" hidden="1" x14ac:dyDescent="0.25">
      <c r="A892" s="101" t="s">
        <v>131</v>
      </c>
      <c r="B892" s="496" t="s">
        <v>128</v>
      </c>
      <c r="C892" s="506"/>
      <c r="D892" s="510"/>
      <c r="E892" s="513"/>
      <c r="F892" s="59"/>
      <c r="G892" s="94"/>
      <c r="H892" s="124"/>
      <c r="I892" s="101" t="s">
        <v>131</v>
      </c>
    </row>
    <row r="893" spans="1:9" ht="15.75" hidden="1" thickBot="1" x14ac:dyDescent="0.3">
      <c r="A893" s="101" t="s">
        <v>131</v>
      </c>
      <c r="B893" s="497"/>
      <c r="C893" s="508"/>
      <c r="D893" s="511"/>
      <c r="E893" s="514"/>
      <c r="F893" s="62"/>
      <c r="G893" s="92"/>
      <c r="H893" s="91"/>
      <c r="I893" s="101" t="s">
        <v>131</v>
      </c>
    </row>
    <row r="894" spans="1:9" ht="15.75" hidden="1" thickBot="1" x14ac:dyDescent="0.3">
      <c r="A894" s="101" t="s">
        <v>131</v>
      </c>
      <c r="B894" s="518">
        <v>3</v>
      </c>
      <c r="C894" s="506"/>
      <c r="D894" s="114" t="s">
        <v>125</v>
      </c>
      <c r="E894" s="107">
        <v>0.25</v>
      </c>
      <c r="F894" s="93"/>
      <c r="G894" s="128"/>
      <c r="H894" s="119"/>
      <c r="I894" s="101" t="s">
        <v>131</v>
      </c>
    </row>
    <row r="895" spans="1:9" hidden="1" x14ac:dyDescent="0.25">
      <c r="A895" s="101" t="s">
        <v>131</v>
      </c>
      <c r="B895" s="504"/>
      <c r="C895" s="507"/>
      <c r="D895" s="557"/>
      <c r="E895" s="512">
        <f>IF(D895=0,0,VLOOKUP($D895,$F894:$H903,3,FALSE)*$E894)</f>
        <v>0</v>
      </c>
      <c r="F895" s="59"/>
      <c r="G895" s="94"/>
      <c r="H895" s="124"/>
      <c r="I895" s="101" t="s">
        <v>131</v>
      </c>
    </row>
    <row r="896" spans="1:9" hidden="1" x14ac:dyDescent="0.25">
      <c r="A896" s="101" t="s">
        <v>131</v>
      </c>
      <c r="B896" s="504"/>
      <c r="C896" s="507"/>
      <c r="D896" s="558"/>
      <c r="E896" s="513"/>
      <c r="F896" s="59"/>
      <c r="G896" s="94"/>
      <c r="H896" s="124"/>
      <c r="I896" s="101" t="s">
        <v>131</v>
      </c>
    </row>
    <row r="897" spans="1:9" hidden="1" x14ac:dyDescent="0.25">
      <c r="A897" s="101" t="s">
        <v>131</v>
      </c>
      <c r="B897" s="504"/>
      <c r="C897" s="507"/>
      <c r="D897" s="558"/>
      <c r="E897" s="513"/>
      <c r="F897" s="59"/>
      <c r="G897" s="94"/>
      <c r="H897" s="124"/>
      <c r="I897" s="101" t="s">
        <v>131</v>
      </c>
    </row>
    <row r="898" spans="1:9" hidden="1" x14ac:dyDescent="0.25">
      <c r="A898" s="101" t="s">
        <v>131</v>
      </c>
      <c r="B898" s="504"/>
      <c r="C898" s="507"/>
      <c r="D898" s="558"/>
      <c r="E898" s="513"/>
      <c r="F898" s="59"/>
      <c r="G898" s="94"/>
      <c r="H898" s="124"/>
      <c r="I898" s="101" t="s">
        <v>131</v>
      </c>
    </row>
    <row r="899" spans="1:9" hidden="1" x14ac:dyDescent="0.25">
      <c r="A899" s="101" t="s">
        <v>131</v>
      </c>
      <c r="B899" s="504"/>
      <c r="C899" s="507"/>
      <c r="D899" s="558"/>
      <c r="E899" s="513"/>
      <c r="F899" s="59"/>
      <c r="G899" s="94"/>
      <c r="H899" s="124"/>
      <c r="I899" s="101" t="s">
        <v>131</v>
      </c>
    </row>
    <row r="900" spans="1:9" hidden="1" x14ac:dyDescent="0.25">
      <c r="A900" s="101" t="s">
        <v>131</v>
      </c>
      <c r="B900" s="504"/>
      <c r="C900" s="507"/>
      <c r="D900" s="558"/>
      <c r="E900" s="513"/>
      <c r="F900" s="59"/>
      <c r="G900" s="94"/>
      <c r="H900" s="124"/>
      <c r="I900" s="101" t="s">
        <v>131</v>
      </c>
    </row>
    <row r="901" spans="1:9" ht="15.75" hidden="1" thickBot="1" x14ac:dyDescent="0.3">
      <c r="A901" s="101" t="s">
        <v>131</v>
      </c>
      <c r="B901" s="505"/>
      <c r="C901" s="508"/>
      <c r="D901" s="558"/>
      <c r="E901" s="513"/>
      <c r="F901" s="59"/>
      <c r="G901" s="94"/>
      <c r="H901" s="124"/>
      <c r="I901" s="101" t="s">
        <v>131</v>
      </c>
    </row>
    <row r="902" spans="1:9" hidden="1" x14ac:dyDescent="0.25">
      <c r="A902" s="101" t="s">
        <v>131</v>
      </c>
      <c r="B902" s="496" t="s">
        <v>128</v>
      </c>
      <c r="C902" s="506"/>
      <c r="D902" s="558"/>
      <c r="E902" s="513"/>
      <c r="F902" s="59"/>
      <c r="G902" s="94"/>
      <c r="H902" s="124"/>
      <c r="I902" s="101" t="s">
        <v>131</v>
      </c>
    </row>
    <row r="903" spans="1:9" ht="15.75" hidden="1" thickBot="1" x14ac:dyDescent="0.3">
      <c r="A903" s="101" t="s">
        <v>131</v>
      </c>
      <c r="B903" s="497"/>
      <c r="C903" s="508"/>
      <c r="D903" s="559"/>
      <c r="E903" s="514"/>
      <c r="F903" s="62"/>
      <c r="G903" s="92"/>
      <c r="H903" s="91"/>
      <c r="I903" s="101" t="s">
        <v>131</v>
      </c>
    </row>
    <row r="904" spans="1:9" ht="15.75" hidden="1" thickBot="1" x14ac:dyDescent="0.3">
      <c r="A904" s="101" t="s">
        <v>131</v>
      </c>
      <c r="B904" s="518">
        <v>4</v>
      </c>
      <c r="C904" s="506"/>
      <c r="D904" s="114" t="s">
        <v>125</v>
      </c>
      <c r="E904" s="107">
        <v>0.25</v>
      </c>
      <c r="F904" s="93"/>
      <c r="G904" s="128"/>
      <c r="H904" s="119"/>
      <c r="I904" s="101" t="s">
        <v>131</v>
      </c>
    </row>
    <row r="905" spans="1:9" hidden="1" x14ac:dyDescent="0.25">
      <c r="A905" s="101" t="s">
        <v>131</v>
      </c>
      <c r="B905" s="504"/>
      <c r="C905" s="507"/>
      <c r="D905" s="557"/>
      <c r="E905" s="512">
        <f>IF(D905=0,0,VLOOKUP($D905,$F904:$H913,3,FALSE)*$E904)</f>
        <v>0</v>
      </c>
      <c r="F905" s="59"/>
      <c r="G905" s="94"/>
      <c r="H905" s="124"/>
      <c r="I905" s="101" t="s">
        <v>131</v>
      </c>
    </row>
    <row r="906" spans="1:9" hidden="1" x14ac:dyDescent="0.25">
      <c r="A906" s="101" t="s">
        <v>131</v>
      </c>
      <c r="B906" s="504"/>
      <c r="C906" s="507"/>
      <c r="D906" s="558"/>
      <c r="E906" s="513"/>
      <c r="F906" s="59"/>
      <c r="G906" s="94"/>
      <c r="H906" s="124"/>
      <c r="I906" s="101" t="s">
        <v>131</v>
      </c>
    </row>
    <row r="907" spans="1:9" hidden="1" x14ac:dyDescent="0.25">
      <c r="A907" s="101" t="s">
        <v>131</v>
      </c>
      <c r="B907" s="504"/>
      <c r="C907" s="507"/>
      <c r="D907" s="558"/>
      <c r="E907" s="513"/>
      <c r="F907" s="59"/>
      <c r="G907" s="94"/>
      <c r="H907" s="124"/>
      <c r="I907" s="101" t="s">
        <v>131</v>
      </c>
    </row>
    <row r="908" spans="1:9" hidden="1" x14ac:dyDescent="0.25">
      <c r="A908" s="101" t="s">
        <v>131</v>
      </c>
      <c r="B908" s="504"/>
      <c r="C908" s="507"/>
      <c r="D908" s="558"/>
      <c r="E908" s="513"/>
      <c r="F908" s="59"/>
      <c r="G908" s="94"/>
      <c r="H908" s="124"/>
      <c r="I908" s="101" t="s">
        <v>131</v>
      </c>
    </row>
    <row r="909" spans="1:9" hidden="1" x14ac:dyDescent="0.25">
      <c r="A909" s="101" t="s">
        <v>131</v>
      </c>
      <c r="B909" s="504"/>
      <c r="C909" s="507"/>
      <c r="D909" s="558"/>
      <c r="E909" s="513"/>
      <c r="F909" s="59"/>
      <c r="G909" s="94"/>
      <c r="H909" s="124"/>
      <c r="I909" s="101" t="s">
        <v>131</v>
      </c>
    </row>
    <row r="910" spans="1:9" hidden="1" x14ac:dyDescent="0.25">
      <c r="A910" s="101" t="s">
        <v>131</v>
      </c>
      <c r="B910" s="504"/>
      <c r="C910" s="507"/>
      <c r="D910" s="558"/>
      <c r="E910" s="513"/>
      <c r="F910" s="59"/>
      <c r="G910" s="94"/>
      <c r="H910" s="124"/>
      <c r="I910" s="101" t="s">
        <v>131</v>
      </c>
    </row>
    <row r="911" spans="1:9" ht="15.75" hidden="1" thickBot="1" x14ac:dyDescent="0.3">
      <c r="A911" s="101" t="s">
        <v>131</v>
      </c>
      <c r="B911" s="505"/>
      <c r="C911" s="508"/>
      <c r="D911" s="558"/>
      <c r="E911" s="513"/>
      <c r="F911" s="59"/>
      <c r="G911" s="94"/>
      <c r="H911" s="124"/>
      <c r="I911" s="101" t="s">
        <v>131</v>
      </c>
    </row>
    <row r="912" spans="1:9" hidden="1" x14ac:dyDescent="0.25">
      <c r="A912" s="101" t="s">
        <v>131</v>
      </c>
      <c r="B912" s="496" t="s">
        <v>128</v>
      </c>
      <c r="C912" s="506"/>
      <c r="D912" s="558"/>
      <c r="E912" s="513"/>
      <c r="F912" s="59"/>
      <c r="G912" s="94"/>
      <c r="H912" s="124"/>
      <c r="I912" s="101" t="s">
        <v>131</v>
      </c>
    </row>
    <row r="913" spans="1:9" ht="15.75" hidden="1" thickBot="1" x14ac:dyDescent="0.3">
      <c r="A913" s="101" t="s">
        <v>131</v>
      </c>
      <c r="B913" s="497"/>
      <c r="C913" s="508"/>
      <c r="D913" s="559"/>
      <c r="E913" s="514"/>
      <c r="F913" s="62"/>
      <c r="G913" s="92"/>
      <c r="H913" s="91"/>
      <c r="I913" s="101" t="s">
        <v>131</v>
      </c>
    </row>
    <row r="914" spans="1:9" ht="15.75" hidden="1" customHeight="1" thickBot="1" x14ac:dyDescent="0.3">
      <c r="A914" s="101" t="s">
        <v>131</v>
      </c>
      <c r="B914" s="503"/>
      <c r="C914" s="506"/>
      <c r="D914" s="114"/>
      <c r="E914" s="107"/>
      <c r="F914" s="64"/>
      <c r="G914" s="134"/>
      <c r="H914" s="135"/>
      <c r="I914" s="101" t="s">
        <v>131</v>
      </c>
    </row>
    <row r="915" spans="1:9" ht="15" hidden="1" customHeight="1" x14ac:dyDescent="0.25">
      <c r="A915" s="101" t="s">
        <v>131</v>
      </c>
      <c r="B915" s="504"/>
      <c r="C915" s="507"/>
      <c r="D915" s="557"/>
      <c r="E915" s="512"/>
      <c r="F915" s="59"/>
      <c r="G915" s="94"/>
      <c r="H915" s="124"/>
      <c r="I915" s="101" t="s">
        <v>131</v>
      </c>
    </row>
    <row r="916" spans="1:9" ht="15" hidden="1" customHeight="1" x14ac:dyDescent="0.25">
      <c r="A916" s="101" t="s">
        <v>131</v>
      </c>
      <c r="B916" s="504"/>
      <c r="C916" s="507"/>
      <c r="D916" s="558"/>
      <c r="E916" s="513"/>
      <c r="F916" s="59"/>
      <c r="G916" s="94"/>
      <c r="H916" s="124"/>
      <c r="I916" s="101" t="s">
        <v>131</v>
      </c>
    </row>
    <row r="917" spans="1:9" ht="15" hidden="1" customHeight="1" x14ac:dyDescent="0.25">
      <c r="A917" s="101" t="s">
        <v>131</v>
      </c>
      <c r="B917" s="504"/>
      <c r="C917" s="507"/>
      <c r="D917" s="558"/>
      <c r="E917" s="513"/>
      <c r="F917" s="59"/>
      <c r="G917" s="94"/>
      <c r="H917" s="124"/>
      <c r="I917" s="101" t="s">
        <v>131</v>
      </c>
    </row>
    <row r="918" spans="1:9" ht="15" hidden="1" customHeight="1" x14ac:dyDescent="0.25">
      <c r="A918" s="101" t="s">
        <v>131</v>
      </c>
      <c r="B918" s="504"/>
      <c r="C918" s="507"/>
      <c r="D918" s="558"/>
      <c r="E918" s="513"/>
      <c r="F918" s="59"/>
      <c r="G918" s="94"/>
      <c r="H918" s="124"/>
      <c r="I918" s="101" t="s">
        <v>131</v>
      </c>
    </row>
    <row r="919" spans="1:9" ht="15" hidden="1" customHeight="1" x14ac:dyDescent="0.25">
      <c r="A919" s="101" t="s">
        <v>131</v>
      </c>
      <c r="B919" s="504"/>
      <c r="C919" s="507"/>
      <c r="D919" s="558"/>
      <c r="E919" s="513"/>
      <c r="F919" s="59"/>
      <c r="G919" s="94"/>
      <c r="H919" s="124"/>
      <c r="I919" s="101" t="s">
        <v>131</v>
      </c>
    </row>
    <row r="920" spans="1:9" ht="15" hidden="1" customHeight="1" x14ac:dyDescent="0.25">
      <c r="A920" s="101" t="s">
        <v>131</v>
      </c>
      <c r="B920" s="504"/>
      <c r="C920" s="507"/>
      <c r="D920" s="558"/>
      <c r="E920" s="513"/>
      <c r="F920" s="59"/>
      <c r="G920" s="94"/>
      <c r="H920" s="124"/>
      <c r="I920" s="101" t="s">
        <v>131</v>
      </c>
    </row>
    <row r="921" spans="1:9" ht="15.75" hidden="1" customHeight="1" thickBot="1" x14ac:dyDescent="0.3">
      <c r="A921" s="101" t="s">
        <v>131</v>
      </c>
      <c r="B921" s="505"/>
      <c r="C921" s="508"/>
      <c r="D921" s="558"/>
      <c r="E921" s="513"/>
      <c r="F921" s="59"/>
      <c r="G921" s="94"/>
      <c r="H921" s="124"/>
      <c r="I921" s="101" t="s">
        <v>131</v>
      </c>
    </row>
    <row r="922" spans="1:9" ht="15" hidden="1" customHeight="1" x14ac:dyDescent="0.25">
      <c r="A922" s="101" t="s">
        <v>131</v>
      </c>
      <c r="B922" s="496"/>
      <c r="C922" s="506"/>
      <c r="D922" s="558"/>
      <c r="E922" s="513"/>
      <c r="F922" s="59"/>
      <c r="G922" s="94"/>
      <c r="H922" s="124"/>
      <c r="I922" s="101" t="s">
        <v>131</v>
      </c>
    </row>
    <row r="923" spans="1:9" ht="15.75" hidden="1" customHeight="1" thickBot="1" x14ac:dyDescent="0.3">
      <c r="A923" s="101" t="s">
        <v>131</v>
      </c>
      <c r="B923" s="497"/>
      <c r="C923" s="508"/>
      <c r="D923" s="559"/>
      <c r="E923" s="514"/>
      <c r="F923" s="62"/>
      <c r="G923" s="92"/>
      <c r="H923" s="91"/>
      <c r="I923" s="101" t="s">
        <v>131</v>
      </c>
    </row>
    <row r="924" spans="1:9" ht="15.75" hidden="1" customHeight="1" thickBot="1" x14ac:dyDescent="0.3">
      <c r="A924" s="101" t="s">
        <v>131</v>
      </c>
      <c r="B924" s="518"/>
      <c r="C924" s="506"/>
      <c r="D924" s="114"/>
      <c r="E924" s="107"/>
      <c r="F924" s="93"/>
      <c r="G924" s="128"/>
      <c r="H924" s="119"/>
      <c r="I924" s="101" t="s">
        <v>131</v>
      </c>
    </row>
    <row r="925" spans="1:9" ht="15" hidden="1" customHeight="1" x14ac:dyDescent="0.25">
      <c r="A925" s="101" t="s">
        <v>131</v>
      </c>
      <c r="B925" s="504"/>
      <c r="C925" s="507"/>
      <c r="D925" s="557"/>
      <c r="E925" s="512"/>
      <c r="F925" s="59"/>
      <c r="G925" s="94"/>
      <c r="H925" s="124"/>
      <c r="I925" s="101" t="s">
        <v>131</v>
      </c>
    </row>
    <row r="926" spans="1:9" ht="15" hidden="1" customHeight="1" x14ac:dyDescent="0.25">
      <c r="A926" s="101" t="s">
        <v>131</v>
      </c>
      <c r="B926" s="504"/>
      <c r="C926" s="507"/>
      <c r="D926" s="558"/>
      <c r="E926" s="513"/>
      <c r="F926" s="59"/>
      <c r="G926" s="94"/>
      <c r="H926" s="124"/>
      <c r="I926" s="101" t="s">
        <v>131</v>
      </c>
    </row>
    <row r="927" spans="1:9" ht="15" hidden="1" customHeight="1" x14ac:dyDescent="0.25">
      <c r="A927" s="101" t="s">
        <v>131</v>
      </c>
      <c r="B927" s="504"/>
      <c r="C927" s="507"/>
      <c r="D927" s="558"/>
      <c r="E927" s="513"/>
      <c r="F927" s="59"/>
      <c r="G927" s="94"/>
      <c r="H927" s="124"/>
      <c r="I927" s="101" t="s">
        <v>131</v>
      </c>
    </row>
    <row r="928" spans="1:9" ht="15" hidden="1" customHeight="1" x14ac:dyDescent="0.25">
      <c r="A928" s="101" t="s">
        <v>131</v>
      </c>
      <c r="B928" s="504"/>
      <c r="C928" s="507"/>
      <c r="D928" s="558"/>
      <c r="E928" s="513"/>
      <c r="F928" s="59"/>
      <c r="G928" s="94"/>
      <c r="H928" s="124"/>
      <c r="I928" s="101" t="s">
        <v>131</v>
      </c>
    </row>
    <row r="929" spans="1:9" ht="15" hidden="1" customHeight="1" x14ac:dyDescent="0.25">
      <c r="A929" s="101" t="s">
        <v>131</v>
      </c>
      <c r="B929" s="504"/>
      <c r="C929" s="507"/>
      <c r="D929" s="558"/>
      <c r="E929" s="513"/>
      <c r="F929" s="59"/>
      <c r="G929" s="94"/>
      <c r="H929" s="124"/>
      <c r="I929" s="101" t="s">
        <v>131</v>
      </c>
    </row>
    <row r="930" spans="1:9" ht="15" hidden="1" customHeight="1" x14ac:dyDescent="0.25">
      <c r="A930" s="101" t="s">
        <v>131</v>
      </c>
      <c r="B930" s="504"/>
      <c r="C930" s="507"/>
      <c r="D930" s="558"/>
      <c r="E930" s="513"/>
      <c r="F930" s="59"/>
      <c r="G930" s="94"/>
      <c r="H930" s="124"/>
      <c r="I930" s="101" t="s">
        <v>131</v>
      </c>
    </row>
    <row r="931" spans="1:9" ht="15.75" hidden="1" customHeight="1" thickBot="1" x14ac:dyDescent="0.3">
      <c r="A931" s="101" t="s">
        <v>131</v>
      </c>
      <c r="B931" s="505"/>
      <c r="C931" s="508"/>
      <c r="D931" s="558"/>
      <c r="E931" s="513"/>
      <c r="F931" s="59"/>
      <c r="G931" s="94"/>
      <c r="H931" s="124"/>
      <c r="I931" s="101" t="s">
        <v>131</v>
      </c>
    </row>
    <row r="932" spans="1:9" ht="15" hidden="1" customHeight="1" x14ac:dyDescent="0.25">
      <c r="A932" s="101" t="s">
        <v>131</v>
      </c>
      <c r="B932" s="496"/>
      <c r="C932" s="506"/>
      <c r="D932" s="558"/>
      <c r="E932" s="513"/>
      <c r="F932" s="59"/>
      <c r="G932" s="94"/>
      <c r="H932" s="124"/>
      <c r="I932" s="101" t="s">
        <v>131</v>
      </c>
    </row>
    <row r="933" spans="1:9" ht="15.75" hidden="1" customHeight="1" thickBot="1" x14ac:dyDescent="0.3">
      <c r="A933" s="101" t="s">
        <v>131</v>
      </c>
      <c r="B933" s="497"/>
      <c r="C933" s="508"/>
      <c r="D933" s="559"/>
      <c r="E933" s="514"/>
      <c r="F933" s="62"/>
      <c r="G933" s="92"/>
      <c r="H933" s="91"/>
      <c r="I933" s="101" t="s">
        <v>131</v>
      </c>
    </row>
    <row r="934" spans="1:9" ht="15.75" hidden="1" customHeight="1" thickBot="1" x14ac:dyDescent="0.3">
      <c r="A934" s="101" t="s">
        <v>131</v>
      </c>
      <c r="B934" s="518"/>
      <c r="C934" s="506"/>
      <c r="D934" s="114"/>
      <c r="E934" s="107"/>
      <c r="F934" s="93"/>
      <c r="G934" s="128"/>
      <c r="H934" s="119"/>
      <c r="I934" s="101" t="s">
        <v>131</v>
      </c>
    </row>
    <row r="935" spans="1:9" ht="15" hidden="1" customHeight="1" x14ac:dyDescent="0.25">
      <c r="A935" s="101" t="s">
        <v>131</v>
      </c>
      <c r="B935" s="504"/>
      <c r="C935" s="507"/>
      <c r="D935" s="557"/>
      <c r="E935" s="512"/>
      <c r="F935" s="59"/>
      <c r="G935" s="94"/>
      <c r="H935" s="124"/>
      <c r="I935" s="101" t="s">
        <v>131</v>
      </c>
    </row>
    <row r="936" spans="1:9" ht="15" hidden="1" customHeight="1" x14ac:dyDescent="0.25">
      <c r="A936" s="101" t="s">
        <v>131</v>
      </c>
      <c r="B936" s="504"/>
      <c r="C936" s="507"/>
      <c r="D936" s="558"/>
      <c r="E936" s="513"/>
      <c r="F936" s="59"/>
      <c r="G936" s="94"/>
      <c r="H936" s="124"/>
      <c r="I936" s="101" t="s">
        <v>131</v>
      </c>
    </row>
    <row r="937" spans="1:9" ht="15" hidden="1" customHeight="1" x14ac:dyDescent="0.25">
      <c r="A937" s="101" t="s">
        <v>131</v>
      </c>
      <c r="B937" s="504"/>
      <c r="C937" s="507"/>
      <c r="D937" s="558"/>
      <c r="E937" s="513"/>
      <c r="F937" s="59"/>
      <c r="G937" s="94"/>
      <c r="H937" s="124"/>
      <c r="I937" s="101" t="s">
        <v>131</v>
      </c>
    </row>
    <row r="938" spans="1:9" ht="15" hidden="1" customHeight="1" x14ac:dyDescent="0.25">
      <c r="A938" s="101" t="s">
        <v>131</v>
      </c>
      <c r="B938" s="504"/>
      <c r="C938" s="507"/>
      <c r="D938" s="558"/>
      <c r="E938" s="513"/>
      <c r="F938" s="59"/>
      <c r="G938" s="94"/>
      <c r="H938" s="124"/>
      <c r="I938" s="101" t="s">
        <v>131</v>
      </c>
    </row>
    <row r="939" spans="1:9" ht="15" hidden="1" customHeight="1" x14ac:dyDescent="0.25">
      <c r="A939" s="101" t="s">
        <v>131</v>
      </c>
      <c r="B939" s="504"/>
      <c r="C939" s="507"/>
      <c r="D939" s="558"/>
      <c r="E939" s="513"/>
      <c r="F939" s="59"/>
      <c r="G939" s="94"/>
      <c r="H939" s="124"/>
      <c r="I939" s="101" t="s">
        <v>131</v>
      </c>
    </row>
    <row r="940" spans="1:9" ht="15" hidden="1" customHeight="1" x14ac:dyDescent="0.25">
      <c r="A940" s="101" t="s">
        <v>131</v>
      </c>
      <c r="B940" s="504"/>
      <c r="C940" s="507"/>
      <c r="D940" s="558"/>
      <c r="E940" s="513"/>
      <c r="F940" s="59"/>
      <c r="G940" s="94"/>
      <c r="H940" s="124"/>
      <c r="I940" s="101" t="s">
        <v>131</v>
      </c>
    </row>
    <row r="941" spans="1:9" ht="15.75" hidden="1" customHeight="1" thickBot="1" x14ac:dyDescent="0.3">
      <c r="A941" s="101" t="s">
        <v>131</v>
      </c>
      <c r="B941" s="505"/>
      <c r="C941" s="508"/>
      <c r="D941" s="558"/>
      <c r="E941" s="513"/>
      <c r="F941" s="59"/>
      <c r="G941" s="94"/>
      <c r="H941" s="124"/>
      <c r="I941" s="101" t="s">
        <v>131</v>
      </c>
    </row>
    <row r="942" spans="1:9" ht="15" hidden="1" customHeight="1" x14ac:dyDescent="0.25">
      <c r="A942" s="101" t="s">
        <v>131</v>
      </c>
      <c r="B942" s="496"/>
      <c r="C942" s="506"/>
      <c r="D942" s="558"/>
      <c r="E942" s="513"/>
      <c r="F942" s="59"/>
      <c r="G942" s="94"/>
      <c r="H942" s="124"/>
      <c r="I942" s="101" t="s">
        <v>131</v>
      </c>
    </row>
    <row r="943" spans="1:9" ht="15.75" hidden="1" customHeight="1" thickBot="1" x14ac:dyDescent="0.3">
      <c r="A943" s="101" t="s">
        <v>131</v>
      </c>
      <c r="B943" s="497"/>
      <c r="C943" s="508"/>
      <c r="D943" s="559"/>
      <c r="E943" s="514"/>
      <c r="F943" s="62"/>
      <c r="G943" s="92"/>
      <c r="H943" s="91"/>
      <c r="I943" s="101" t="s">
        <v>131</v>
      </c>
    </row>
    <row r="944" spans="1:9" ht="15.75" hidden="1" thickBot="1" x14ac:dyDescent="0.3">
      <c r="A944" s="101" t="s">
        <v>131</v>
      </c>
      <c r="B944" s="518"/>
      <c r="C944" s="506"/>
      <c r="D944" s="114"/>
      <c r="E944" s="107"/>
      <c r="F944" s="93"/>
      <c r="G944" s="128"/>
      <c r="H944" s="119"/>
      <c r="I944" s="101" t="s">
        <v>131</v>
      </c>
    </row>
    <row r="945" spans="1:9" hidden="1" x14ac:dyDescent="0.25">
      <c r="A945" s="101" t="s">
        <v>131</v>
      </c>
      <c r="B945" s="504"/>
      <c r="C945" s="507"/>
      <c r="D945" s="509"/>
      <c r="E945" s="512"/>
      <c r="F945" s="59"/>
      <c r="G945" s="94"/>
      <c r="H945" s="124"/>
      <c r="I945" s="101" t="s">
        <v>131</v>
      </c>
    </row>
    <row r="946" spans="1:9" hidden="1" x14ac:dyDescent="0.25">
      <c r="A946" s="101" t="s">
        <v>131</v>
      </c>
      <c r="B946" s="504"/>
      <c r="C946" s="507"/>
      <c r="D946" s="510"/>
      <c r="E946" s="513"/>
      <c r="F946" s="59"/>
      <c r="G946" s="94"/>
      <c r="H946" s="124"/>
      <c r="I946" s="101" t="s">
        <v>131</v>
      </c>
    </row>
    <row r="947" spans="1:9" hidden="1" x14ac:dyDescent="0.25">
      <c r="A947" s="101" t="s">
        <v>131</v>
      </c>
      <c r="B947" s="504"/>
      <c r="C947" s="507"/>
      <c r="D947" s="510"/>
      <c r="E947" s="513"/>
      <c r="F947" s="59"/>
      <c r="G947" s="94"/>
      <c r="H947" s="124"/>
      <c r="I947" s="101" t="s">
        <v>131</v>
      </c>
    </row>
    <row r="948" spans="1:9" hidden="1" x14ac:dyDescent="0.25">
      <c r="A948" s="101" t="s">
        <v>131</v>
      </c>
      <c r="B948" s="504"/>
      <c r="C948" s="507"/>
      <c r="D948" s="510"/>
      <c r="E948" s="513"/>
      <c r="F948" s="59"/>
      <c r="G948" s="94"/>
      <c r="H948" s="124"/>
      <c r="I948" s="101" t="s">
        <v>131</v>
      </c>
    </row>
    <row r="949" spans="1:9" hidden="1" x14ac:dyDescent="0.25">
      <c r="A949" s="101" t="s">
        <v>131</v>
      </c>
      <c r="B949" s="504"/>
      <c r="C949" s="507"/>
      <c r="D949" s="510"/>
      <c r="E949" s="513"/>
      <c r="F949" s="59"/>
      <c r="G949" s="94"/>
      <c r="H949" s="124"/>
      <c r="I949" s="101" t="s">
        <v>131</v>
      </c>
    </row>
    <row r="950" spans="1:9" hidden="1" x14ac:dyDescent="0.25">
      <c r="A950" s="101" t="s">
        <v>131</v>
      </c>
      <c r="B950" s="504"/>
      <c r="C950" s="507"/>
      <c r="D950" s="510"/>
      <c r="E950" s="513"/>
      <c r="F950" s="59"/>
      <c r="G950" s="94"/>
      <c r="H950" s="124"/>
      <c r="I950" s="101" t="s">
        <v>131</v>
      </c>
    </row>
    <row r="951" spans="1:9" ht="15.75" hidden="1" thickBot="1" x14ac:dyDescent="0.3">
      <c r="A951" s="101" t="s">
        <v>131</v>
      </c>
      <c r="B951" s="505"/>
      <c r="C951" s="508"/>
      <c r="D951" s="510"/>
      <c r="E951" s="513"/>
      <c r="F951" s="59"/>
      <c r="G951" s="94"/>
      <c r="H951" s="124"/>
      <c r="I951" s="101" t="s">
        <v>131</v>
      </c>
    </row>
    <row r="952" spans="1:9" hidden="1" x14ac:dyDescent="0.25">
      <c r="A952" s="101" t="s">
        <v>131</v>
      </c>
      <c r="B952" s="496"/>
      <c r="C952" s="506"/>
      <c r="D952" s="510"/>
      <c r="E952" s="513"/>
      <c r="F952" s="59"/>
      <c r="G952" s="94"/>
      <c r="H952" s="124"/>
      <c r="I952" s="101" t="s">
        <v>131</v>
      </c>
    </row>
    <row r="953" spans="1:9" ht="15.75" hidden="1" thickBot="1" x14ac:dyDescent="0.3">
      <c r="A953" s="101" t="s">
        <v>131</v>
      </c>
      <c r="B953" s="497"/>
      <c r="C953" s="508"/>
      <c r="D953" s="511"/>
      <c r="E953" s="514"/>
      <c r="F953" s="62"/>
      <c r="G953" s="92"/>
      <c r="H953" s="91"/>
      <c r="I953" s="101" t="s">
        <v>131</v>
      </c>
    </row>
    <row r="954" spans="1:9" ht="15.75" hidden="1" thickBot="1" x14ac:dyDescent="0.3">
      <c r="A954" s="101" t="s">
        <v>131</v>
      </c>
      <c r="B954" s="518"/>
      <c r="C954" s="506"/>
      <c r="D954" s="114"/>
      <c r="E954" s="107"/>
      <c r="F954" s="93"/>
      <c r="G954" s="128"/>
      <c r="H954" s="119"/>
      <c r="I954" s="101" t="s">
        <v>131</v>
      </c>
    </row>
    <row r="955" spans="1:9" hidden="1" x14ac:dyDescent="0.25">
      <c r="A955" s="101" t="s">
        <v>131</v>
      </c>
      <c r="B955" s="504"/>
      <c r="C955" s="507"/>
      <c r="D955" s="509"/>
      <c r="E955" s="512"/>
      <c r="F955" s="59"/>
      <c r="G955" s="94"/>
      <c r="H955" s="124"/>
      <c r="I955" s="101" t="s">
        <v>131</v>
      </c>
    </row>
    <row r="956" spans="1:9" hidden="1" x14ac:dyDescent="0.25">
      <c r="A956" s="101" t="s">
        <v>131</v>
      </c>
      <c r="B956" s="504"/>
      <c r="C956" s="507"/>
      <c r="D956" s="510"/>
      <c r="E956" s="513"/>
      <c r="F956" s="59"/>
      <c r="G956" s="94"/>
      <c r="H956" s="124"/>
      <c r="I956" s="101" t="s">
        <v>131</v>
      </c>
    </row>
    <row r="957" spans="1:9" hidden="1" x14ac:dyDescent="0.25">
      <c r="A957" s="101" t="s">
        <v>131</v>
      </c>
      <c r="B957" s="504"/>
      <c r="C957" s="507"/>
      <c r="D957" s="510"/>
      <c r="E957" s="513"/>
      <c r="F957" s="59"/>
      <c r="G957" s="94"/>
      <c r="H957" s="124"/>
      <c r="I957" s="101" t="s">
        <v>131</v>
      </c>
    </row>
    <row r="958" spans="1:9" hidden="1" x14ac:dyDescent="0.25">
      <c r="A958" s="101" t="s">
        <v>131</v>
      </c>
      <c r="B958" s="504"/>
      <c r="C958" s="507"/>
      <c r="D958" s="510"/>
      <c r="E958" s="513"/>
      <c r="F958" s="59"/>
      <c r="G958" s="94"/>
      <c r="H958" s="124"/>
      <c r="I958" s="101" t="s">
        <v>131</v>
      </c>
    </row>
    <row r="959" spans="1:9" hidden="1" x14ac:dyDescent="0.25">
      <c r="A959" s="101" t="s">
        <v>131</v>
      </c>
      <c r="B959" s="504"/>
      <c r="C959" s="507"/>
      <c r="D959" s="510"/>
      <c r="E959" s="513"/>
      <c r="F959" s="59"/>
      <c r="G959" s="94"/>
      <c r="H959" s="124"/>
      <c r="I959" s="101" t="s">
        <v>131</v>
      </c>
    </row>
    <row r="960" spans="1:9" hidden="1" x14ac:dyDescent="0.25">
      <c r="A960" s="101" t="s">
        <v>131</v>
      </c>
      <c r="B960" s="504"/>
      <c r="C960" s="507"/>
      <c r="D960" s="510"/>
      <c r="E960" s="513"/>
      <c r="F960" s="59"/>
      <c r="G960" s="94"/>
      <c r="H960" s="124"/>
      <c r="I960" s="101" t="s">
        <v>131</v>
      </c>
    </row>
    <row r="961" spans="1:12" ht="15.75" hidden="1" thickBot="1" x14ac:dyDescent="0.3">
      <c r="A961" s="101" t="s">
        <v>131</v>
      </c>
      <c r="B961" s="505"/>
      <c r="C961" s="508"/>
      <c r="D961" s="510"/>
      <c r="E961" s="513"/>
      <c r="F961" s="59"/>
      <c r="G961" s="94"/>
      <c r="H961" s="124"/>
      <c r="I961" s="101" t="s">
        <v>131</v>
      </c>
    </row>
    <row r="962" spans="1:12" hidden="1" x14ac:dyDescent="0.25">
      <c r="A962" s="101" t="s">
        <v>131</v>
      </c>
      <c r="B962" s="496"/>
      <c r="C962" s="506"/>
      <c r="D962" s="510"/>
      <c r="E962" s="513"/>
      <c r="F962" s="59"/>
      <c r="G962" s="94"/>
      <c r="H962" s="124"/>
      <c r="I962" s="101" t="s">
        <v>131</v>
      </c>
    </row>
    <row r="963" spans="1:12" ht="15.75" hidden="1" thickBot="1" x14ac:dyDescent="0.3">
      <c r="A963" s="101" t="s">
        <v>131</v>
      </c>
      <c r="B963" s="497"/>
      <c r="C963" s="508"/>
      <c r="D963" s="511"/>
      <c r="E963" s="514"/>
      <c r="F963" s="62"/>
      <c r="G963" s="92"/>
      <c r="H963" s="91"/>
      <c r="I963" s="101" t="s">
        <v>131</v>
      </c>
    </row>
    <row r="964" spans="1:12" ht="15.75" hidden="1" thickBot="1" x14ac:dyDescent="0.3">
      <c r="A964" s="101" t="s">
        <v>131</v>
      </c>
      <c r="B964" s="503"/>
      <c r="C964" s="506"/>
      <c r="D964" s="114"/>
      <c r="E964" s="107"/>
      <c r="F964" s="93"/>
      <c r="G964" s="134"/>
      <c r="H964" s="135"/>
      <c r="I964" s="101" t="s">
        <v>131</v>
      </c>
    </row>
    <row r="965" spans="1:12" hidden="1" x14ac:dyDescent="0.25">
      <c r="A965" s="101" t="s">
        <v>131</v>
      </c>
      <c r="B965" s="504"/>
      <c r="C965" s="507"/>
      <c r="D965" s="509"/>
      <c r="E965" s="512"/>
      <c r="F965" s="59"/>
      <c r="G965" s="94"/>
      <c r="H965" s="124"/>
      <c r="I965" s="101" t="s">
        <v>131</v>
      </c>
    </row>
    <row r="966" spans="1:12" hidden="1" x14ac:dyDescent="0.25">
      <c r="A966" s="101" t="s">
        <v>131</v>
      </c>
      <c r="B966" s="504"/>
      <c r="C966" s="507"/>
      <c r="D966" s="510"/>
      <c r="E966" s="513"/>
      <c r="F966" s="59"/>
      <c r="G966" s="94"/>
      <c r="H966" s="124"/>
      <c r="I966" s="101" t="s">
        <v>131</v>
      </c>
    </row>
    <row r="967" spans="1:12" hidden="1" x14ac:dyDescent="0.25">
      <c r="A967" s="101" t="s">
        <v>131</v>
      </c>
      <c r="B967" s="504"/>
      <c r="C967" s="507"/>
      <c r="D967" s="510"/>
      <c r="E967" s="513"/>
      <c r="F967" s="59"/>
      <c r="G967" s="94"/>
      <c r="H967" s="124"/>
      <c r="I967" s="101" t="s">
        <v>131</v>
      </c>
    </row>
    <row r="968" spans="1:12" hidden="1" x14ac:dyDescent="0.25">
      <c r="A968" s="101" t="s">
        <v>131</v>
      </c>
      <c r="B968" s="504"/>
      <c r="C968" s="507"/>
      <c r="D968" s="510"/>
      <c r="E968" s="513"/>
      <c r="F968" s="59"/>
      <c r="G968" s="94"/>
      <c r="H968" s="124"/>
      <c r="I968" s="101" t="s">
        <v>131</v>
      </c>
    </row>
    <row r="969" spans="1:12" hidden="1" x14ac:dyDescent="0.25">
      <c r="A969" s="101" t="s">
        <v>131</v>
      </c>
      <c r="B969" s="504"/>
      <c r="C969" s="507"/>
      <c r="D969" s="510"/>
      <c r="E969" s="513"/>
      <c r="F969" s="59"/>
      <c r="G969" s="94"/>
      <c r="H969" s="124"/>
      <c r="I969" s="101" t="s">
        <v>131</v>
      </c>
    </row>
    <row r="970" spans="1:12" hidden="1" x14ac:dyDescent="0.25">
      <c r="A970" s="101" t="s">
        <v>131</v>
      </c>
      <c r="B970" s="504"/>
      <c r="C970" s="507"/>
      <c r="D970" s="510"/>
      <c r="E970" s="513"/>
      <c r="F970" s="59"/>
      <c r="G970" s="94"/>
      <c r="H970" s="124"/>
      <c r="I970" s="101" t="s">
        <v>131</v>
      </c>
    </row>
    <row r="971" spans="1:12" ht="15.75" hidden="1" thickBot="1" x14ac:dyDescent="0.3">
      <c r="A971" s="101" t="s">
        <v>131</v>
      </c>
      <c r="B971" s="505"/>
      <c r="C971" s="508"/>
      <c r="D971" s="510"/>
      <c r="E971" s="513"/>
      <c r="F971" s="59"/>
      <c r="G971" s="94"/>
      <c r="H971" s="124"/>
      <c r="I971" s="101" t="s">
        <v>131</v>
      </c>
    </row>
    <row r="972" spans="1:12" hidden="1" x14ac:dyDescent="0.25">
      <c r="A972" s="101" t="s">
        <v>131</v>
      </c>
      <c r="B972" s="496"/>
      <c r="C972" s="506"/>
      <c r="D972" s="510"/>
      <c r="E972" s="513"/>
      <c r="F972" s="59"/>
      <c r="G972" s="94"/>
      <c r="H972" s="124"/>
      <c r="I972" s="101" t="s">
        <v>131</v>
      </c>
    </row>
    <row r="973" spans="1:12" ht="15.75" hidden="1" thickBot="1" x14ac:dyDescent="0.3">
      <c r="A973" s="101" t="s">
        <v>131</v>
      </c>
      <c r="B973" s="497"/>
      <c r="C973" s="508"/>
      <c r="D973" s="511"/>
      <c r="E973" s="514"/>
      <c r="F973" s="62"/>
      <c r="G973" s="92"/>
      <c r="H973" s="91"/>
      <c r="I973" s="101" t="s">
        <v>131</v>
      </c>
    </row>
    <row r="974" spans="1:12" x14ac:dyDescent="0.25">
      <c r="A974" s="101" t="s">
        <v>131</v>
      </c>
      <c r="B974" s="101" t="s">
        <v>131</v>
      </c>
      <c r="C974" s="101" t="s">
        <v>131</v>
      </c>
      <c r="D974" s="111" t="s">
        <v>131</v>
      </c>
      <c r="E974" s="111" t="s">
        <v>131</v>
      </c>
      <c r="F974" s="101" t="s">
        <v>131</v>
      </c>
      <c r="G974" s="101" t="s">
        <v>131</v>
      </c>
      <c r="H974" s="101" t="s">
        <v>131</v>
      </c>
      <c r="I974" s="101" t="s">
        <v>131</v>
      </c>
    </row>
    <row r="975" spans="1:12" ht="41.25" customHeight="1" x14ac:dyDescent="0.25">
      <c r="B975" s="556" t="s">
        <v>105</v>
      </c>
      <c r="C975" s="556"/>
      <c r="D975" s="556"/>
      <c r="E975" s="556"/>
      <c r="F975" s="556"/>
      <c r="G975" s="556"/>
      <c r="H975" s="556"/>
      <c r="I975" s="46"/>
      <c r="J975" s="46"/>
      <c r="K975" s="46"/>
      <c r="L975" s="46"/>
    </row>
    <row r="982" spans="2:23" ht="30.75" customHeight="1" x14ac:dyDescent="0.25">
      <c r="B982" s="556" t="s">
        <v>106</v>
      </c>
      <c r="C982" s="556"/>
      <c r="D982" s="556"/>
      <c r="E982" s="556"/>
      <c r="F982" s="556"/>
      <c r="G982" s="556"/>
      <c r="H982" s="556"/>
      <c r="I982" s="46"/>
      <c r="J982" s="46"/>
      <c r="K982" s="46"/>
      <c r="L982" s="46"/>
    </row>
    <row r="987" spans="2:23" x14ac:dyDescent="0.25">
      <c r="V987" s="144" t="s">
        <v>138</v>
      </c>
      <c r="W987" s="144" t="str">
        <f>$V$987&amp;$V$988</f>
        <v>Karyawan : IKA HERDIANA UTAMI</v>
      </c>
    </row>
    <row r="988" spans="2:23" x14ac:dyDescent="0.25">
      <c r="V988" s="144" t="str">
        <f>W21</f>
        <v>IKA HERDIANA UTAMI</v>
      </c>
    </row>
    <row r="989" spans="2:23" x14ac:dyDescent="0.25">
      <c r="V989" s="144" t="str">
        <f>$V$990&amp;$W$990</f>
        <v>Level Manager berikutnya : Vita Ari Puspita</v>
      </c>
    </row>
    <row r="990" spans="2:23" x14ac:dyDescent="0.25">
      <c r="B990" s="46" t="s">
        <v>107</v>
      </c>
      <c r="V990" s="144" t="s">
        <v>139</v>
      </c>
      <c r="W990" s="144" t="str">
        <f>D9</f>
        <v>Vita Ari Puspita</v>
      </c>
    </row>
    <row r="991" spans="2:23" x14ac:dyDescent="0.25">
      <c r="V991" s="144" t="str">
        <f>$V$992&amp;$W$991&amp;$V$993&amp;$W$991&amp;$W$992</f>
        <v>Atasan langsung : Ifa Istifarini</v>
      </c>
      <c r="W991" s="156" t="s">
        <v>89</v>
      </c>
    </row>
    <row r="992" spans="2:23" x14ac:dyDescent="0.25">
      <c r="B992" s="9" t="s">
        <v>108</v>
      </c>
      <c r="C992" s="85" t="s">
        <v>109</v>
      </c>
      <c r="D992" s="85" t="s">
        <v>110</v>
      </c>
      <c r="G992" s="112" t="s">
        <v>111</v>
      </c>
      <c r="V992" s="144" t="str">
        <f>B8</f>
        <v>Atasan langsung</v>
      </c>
      <c r="W992" s="144" t="str">
        <f>D8</f>
        <v>Ifa Istifarini</v>
      </c>
    </row>
    <row r="993" spans="2:22" x14ac:dyDescent="0.25">
      <c r="V993" s="144" t="s">
        <v>137</v>
      </c>
    </row>
    <row r="994" spans="2:22" x14ac:dyDescent="0.25">
      <c r="B994" s="9" t="s">
        <v>47</v>
      </c>
      <c r="C994" s="85" t="s">
        <v>109</v>
      </c>
      <c r="D994" s="85" t="s">
        <v>110</v>
      </c>
      <c r="G994" s="112" t="s">
        <v>111</v>
      </c>
    </row>
    <row r="996" spans="2:22" x14ac:dyDescent="0.25">
      <c r="B996" s="9" t="s">
        <v>112</v>
      </c>
    </row>
    <row r="997" spans="2:22" ht="28.5" customHeight="1" x14ac:dyDescent="0.25"/>
  </sheetData>
  <mergeCells count="608"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  <mergeCell ref="K17:M17"/>
    <mergeCell ref="B18:B25"/>
    <mergeCell ref="C18:C25"/>
    <mergeCell ref="D19:D27"/>
    <mergeCell ref="E19:E27"/>
    <mergeCell ref="M19:M23"/>
    <mergeCell ref="K25:M25"/>
    <mergeCell ref="B26:B27"/>
    <mergeCell ref="M27:M36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B83:B90"/>
    <mergeCell ref="C83:C90"/>
    <mergeCell ref="D84:D92"/>
    <mergeCell ref="E84:E92"/>
    <mergeCell ref="B91:B92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B103:B110"/>
    <mergeCell ref="C103:C110"/>
    <mergeCell ref="D104:D112"/>
    <mergeCell ref="E104:E112"/>
    <mergeCell ref="B111:B112"/>
    <mergeCell ref="B93:B100"/>
    <mergeCell ref="C93:C100"/>
    <mergeCell ref="D94:D102"/>
    <mergeCell ref="E94:E102"/>
    <mergeCell ref="B101:B102"/>
    <mergeCell ref="B135:B142"/>
    <mergeCell ref="C135:C142"/>
    <mergeCell ref="D136:D144"/>
    <mergeCell ref="E136:E144"/>
    <mergeCell ref="B143:B144"/>
    <mergeCell ref="C143:C144"/>
    <mergeCell ref="B133:B134"/>
    <mergeCell ref="C133:C134"/>
    <mergeCell ref="B113:B120"/>
    <mergeCell ref="C113:C120"/>
    <mergeCell ref="D114:D122"/>
    <mergeCell ref="E114:E122"/>
    <mergeCell ref="B121:B122"/>
    <mergeCell ref="B131:B132"/>
    <mergeCell ref="B123:B130"/>
    <mergeCell ref="C123:C130"/>
    <mergeCell ref="D124:D132"/>
    <mergeCell ref="E124:E132"/>
    <mergeCell ref="D155:E155"/>
    <mergeCell ref="F155:H155"/>
    <mergeCell ref="B156:B163"/>
    <mergeCell ref="C156:C163"/>
    <mergeCell ref="D157:D165"/>
    <mergeCell ref="E157:E165"/>
    <mergeCell ref="B164:B165"/>
    <mergeCell ref="C164:C165"/>
    <mergeCell ref="B145:B152"/>
    <mergeCell ref="C145:C152"/>
    <mergeCell ref="D146:D154"/>
    <mergeCell ref="E146:E154"/>
    <mergeCell ref="B153:B154"/>
    <mergeCell ref="C153:C154"/>
    <mergeCell ref="G340:I340"/>
    <mergeCell ref="G341:I341"/>
    <mergeCell ref="D343:E343"/>
    <mergeCell ref="F343:H343"/>
    <mergeCell ref="B344:B351"/>
    <mergeCell ref="C344:C351"/>
    <mergeCell ref="D166:E166"/>
    <mergeCell ref="F166:H166"/>
    <mergeCell ref="B167:B174"/>
    <mergeCell ref="C167:C174"/>
    <mergeCell ref="D168:D176"/>
    <mergeCell ref="E168:E176"/>
    <mergeCell ref="B175:B176"/>
    <mergeCell ref="C175:C176"/>
    <mergeCell ref="G179:I179"/>
    <mergeCell ref="G180:I180"/>
    <mergeCell ref="D182:E182"/>
    <mergeCell ref="F182:H182"/>
    <mergeCell ref="B203:B210"/>
    <mergeCell ref="C203:C210"/>
    <mergeCell ref="D204:D212"/>
    <mergeCell ref="E204:E212"/>
    <mergeCell ref="B211:B212"/>
    <mergeCell ref="C211:C212"/>
    <mergeCell ref="M344:M348"/>
    <mergeCell ref="D345:D353"/>
    <mergeCell ref="E345:E353"/>
    <mergeCell ref="K350:M350"/>
    <mergeCell ref="B352:B353"/>
    <mergeCell ref="M352:M361"/>
    <mergeCell ref="B354:B361"/>
    <mergeCell ref="C354:C361"/>
    <mergeCell ref="D355:D363"/>
    <mergeCell ref="E355:E363"/>
    <mergeCell ref="B362:B363"/>
    <mergeCell ref="C362:C363"/>
    <mergeCell ref="B364:B371"/>
    <mergeCell ref="C364:C371"/>
    <mergeCell ref="D365:D373"/>
    <mergeCell ref="E365:E373"/>
    <mergeCell ref="B372:B373"/>
    <mergeCell ref="C372:C373"/>
    <mergeCell ref="B384:B391"/>
    <mergeCell ref="C384:C391"/>
    <mergeCell ref="D385:D393"/>
    <mergeCell ref="E385:E393"/>
    <mergeCell ref="B392:B393"/>
    <mergeCell ref="C392:C393"/>
    <mergeCell ref="B374:B381"/>
    <mergeCell ref="C374:C381"/>
    <mergeCell ref="D375:D383"/>
    <mergeCell ref="E375:E383"/>
    <mergeCell ref="B382:B383"/>
    <mergeCell ref="C382:C383"/>
    <mergeCell ref="B407:B413"/>
    <mergeCell ref="C407:C413"/>
    <mergeCell ref="D408:D415"/>
    <mergeCell ref="E408:E415"/>
    <mergeCell ref="B414:B415"/>
    <mergeCell ref="G395:I395"/>
    <mergeCell ref="G396:I396"/>
    <mergeCell ref="D397:E397"/>
    <mergeCell ref="F397:H397"/>
    <mergeCell ref="B398:B404"/>
    <mergeCell ref="C398:C404"/>
    <mergeCell ref="D399:D406"/>
    <mergeCell ref="E399:E406"/>
    <mergeCell ref="B405:B406"/>
    <mergeCell ref="B426:B433"/>
    <mergeCell ref="C426:C433"/>
    <mergeCell ref="D427:D435"/>
    <mergeCell ref="E427:E435"/>
    <mergeCell ref="B434:B435"/>
    <mergeCell ref="B416:B423"/>
    <mergeCell ref="C416:C423"/>
    <mergeCell ref="D417:D425"/>
    <mergeCell ref="E417:E425"/>
    <mergeCell ref="B424:B425"/>
    <mergeCell ref="B446:B453"/>
    <mergeCell ref="C446:C453"/>
    <mergeCell ref="D447:D455"/>
    <mergeCell ref="E447:E455"/>
    <mergeCell ref="B454:B455"/>
    <mergeCell ref="C454:C455"/>
    <mergeCell ref="B436:B443"/>
    <mergeCell ref="C436:C443"/>
    <mergeCell ref="D437:D445"/>
    <mergeCell ref="E437:E445"/>
    <mergeCell ref="B444:B445"/>
    <mergeCell ref="B466:B473"/>
    <mergeCell ref="C466:C473"/>
    <mergeCell ref="D467:D475"/>
    <mergeCell ref="E467:E475"/>
    <mergeCell ref="B474:B475"/>
    <mergeCell ref="C474:C475"/>
    <mergeCell ref="B456:B463"/>
    <mergeCell ref="C456:C463"/>
    <mergeCell ref="D457:D465"/>
    <mergeCell ref="E457:E465"/>
    <mergeCell ref="B464:B465"/>
    <mergeCell ref="C464:C465"/>
    <mergeCell ref="B486:B493"/>
    <mergeCell ref="C486:C493"/>
    <mergeCell ref="D487:D495"/>
    <mergeCell ref="E487:E495"/>
    <mergeCell ref="B494:B495"/>
    <mergeCell ref="C494:C495"/>
    <mergeCell ref="B476:B483"/>
    <mergeCell ref="C476:C483"/>
    <mergeCell ref="D477:D485"/>
    <mergeCell ref="E477:E485"/>
    <mergeCell ref="B484:B485"/>
    <mergeCell ref="C484:C485"/>
    <mergeCell ref="G498:I498"/>
    <mergeCell ref="G499:I499"/>
    <mergeCell ref="D501:E501"/>
    <mergeCell ref="F501:H501"/>
    <mergeCell ref="K501:M501"/>
    <mergeCell ref="B502:B509"/>
    <mergeCell ref="C502:C509"/>
    <mergeCell ref="D503:D511"/>
    <mergeCell ref="E503:E511"/>
    <mergeCell ref="M503:M507"/>
    <mergeCell ref="K509:M509"/>
    <mergeCell ref="B510:B511"/>
    <mergeCell ref="C510:C511"/>
    <mergeCell ref="M511:M520"/>
    <mergeCell ref="B512:B519"/>
    <mergeCell ref="C512:C519"/>
    <mergeCell ref="D513:D521"/>
    <mergeCell ref="E513:E521"/>
    <mergeCell ref="B520:B521"/>
    <mergeCell ref="C520:C521"/>
    <mergeCell ref="B565:B571"/>
    <mergeCell ref="C565:C571"/>
    <mergeCell ref="D566:D573"/>
    <mergeCell ref="E566:E573"/>
    <mergeCell ref="B572:B573"/>
    <mergeCell ref="C572:C573"/>
    <mergeCell ref="B542:B549"/>
    <mergeCell ref="C542:C549"/>
    <mergeCell ref="D543:D551"/>
    <mergeCell ref="E543:E551"/>
    <mergeCell ref="B550:B551"/>
    <mergeCell ref="C550:C551"/>
    <mergeCell ref="B556:B562"/>
    <mergeCell ref="C556:C562"/>
    <mergeCell ref="D557:D564"/>
    <mergeCell ref="E557:E564"/>
    <mergeCell ref="B563:B564"/>
    <mergeCell ref="C563:C564"/>
    <mergeCell ref="D555:E555"/>
    <mergeCell ref="B574:B580"/>
    <mergeCell ref="C574:C580"/>
    <mergeCell ref="D575:D582"/>
    <mergeCell ref="E575:E582"/>
    <mergeCell ref="B581:B582"/>
    <mergeCell ref="B583:B590"/>
    <mergeCell ref="C583:C590"/>
    <mergeCell ref="D584:D592"/>
    <mergeCell ref="E584:E592"/>
    <mergeCell ref="B591:B592"/>
    <mergeCell ref="B593:B600"/>
    <mergeCell ref="C593:C600"/>
    <mergeCell ref="D594:D602"/>
    <mergeCell ref="E594:E602"/>
    <mergeCell ref="B601:B602"/>
    <mergeCell ref="C601:C602"/>
    <mergeCell ref="B603:B610"/>
    <mergeCell ref="C603:C610"/>
    <mergeCell ref="D604:D612"/>
    <mergeCell ref="E604:E612"/>
    <mergeCell ref="B611:B612"/>
    <mergeCell ref="C611:C612"/>
    <mergeCell ref="B613:B620"/>
    <mergeCell ref="C613:C620"/>
    <mergeCell ref="D614:D622"/>
    <mergeCell ref="E614:E622"/>
    <mergeCell ref="B621:B622"/>
    <mergeCell ref="C621:C622"/>
    <mergeCell ref="B623:B630"/>
    <mergeCell ref="C623:C630"/>
    <mergeCell ref="D624:D632"/>
    <mergeCell ref="E624:E632"/>
    <mergeCell ref="B631:B632"/>
    <mergeCell ref="C631:C632"/>
    <mergeCell ref="B633:B640"/>
    <mergeCell ref="C633:C640"/>
    <mergeCell ref="D634:D642"/>
    <mergeCell ref="E634:E642"/>
    <mergeCell ref="B641:B642"/>
    <mergeCell ref="C641:C642"/>
    <mergeCell ref="B643:B650"/>
    <mergeCell ref="C643:C650"/>
    <mergeCell ref="D644:D652"/>
    <mergeCell ref="E644:E652"/>
    <mergeCell ref="B651:B652"/>
    <mergeCell ref="C651:C652"/>
    <mergeCell ref="G656:I656"/>
    <mergeCell ref="G657:I657"/>
    <mergeCell ref="D659:E659"/>
    <mergeCell ref="F659:H659"/>
    <mergeCell ref="K659:M659"/>
    <mergeCell ref="B660:B667"/>
    <mergeCell ref="C660:C667"/>
    <mergeCell ref="D661:D669"/>
    <mergeCell ref="E661:E669"/>
    <mergeCell ref="M661:M665"/>
    <mergeCell ref="B680:B687"/>
    <mergeCell ref="C680:C687"/>
    <mergeCell ref="D681:D689"/>
    <mergeCell ref="E681:E689"/>
    <mergeCell ref="B688:B689"/>
    <mergeCell ref="C688:C689"/>
    <mergeCell ref="K667:M667"/>
    <mergeCell ref="B668:B669"/>
    <mergeCell ref="C668:C669"/>
    <mergeCell ref="M669:M678"/>
    <mergeCell ref="B670:B677"/>
    <mergeCell ref="C670:C677"/>
    <mergeCell ref="D671:D679"/>
    <mergeCell ref="E671:E679"/>
    <mergeCell ref="B678:B679"/>
    <mergeCell ref="C678:C679"/>
    <mergeCell ref="B700:B707"/>
    <mergeCell ref="C700:C707"/>
    <mergeCell ref="D701:D709"/>
    <mergeCell ref="E701:E709"/>
    <mergeCell ref="B708:B709"/>
    <mergeCell ref="C708:C709"/>
    <mergeCell ref="B690:B697"/>
    <mergeCell ref="C690:C697"/>
    <mergeCell ref="D691:D699"/>
    <mergeCell ref="E691:E699"/>
    <mergeCell ref="B698:B699"/>
    <mergeCell ref="C698:C699"/>
    <mergeCell ref="B724:B731"/>
    <mergeCell ref="C724:C731"/>
    <mergeCell ref="D725:D733"/>
    <mergeCell ref="E725:E733"/>
    <mergeCell ref="B732:B733"/>
    <mergeCell ref="C732:C733"/>
    <mergeCell ref="G711:I711"/>
    <mergeCell ref="G712:I712"/>
    <mergeCell ref="D713:E713"/>
    <mergeCell ref="F713:H713"/>
    <mergeCell ref="B714:B721"/>
    <mergeCell ref="C714:C721"/>
    <mergeCell ref="D715:D723"/>
    <mergeCell ref="E715:E723"/>
    <mergeCell ref="B722:B723"/>
    <mergeCell ref="C722:C723"/>
    <mergeCell ref="B744:B751"/>
    <mergeCell ref="C744:C751"/>
    <mergeCell ref="D745:D753"/>
    <mergeCell ref="E745:E753"/>
    <mergeCell ref="B752:B753"/>
    <mergeCell ref="C752:C753"/>
    <mergeCell ref="B734:B741"/>
    <mergeCell ref="C734:C741"/>
    <mergeCell ref="D735:D743"/>
    <mergeCell ref="E735:E743"/>
    <mergeCell ref="B742:B743"/>
    <mergeCell ref="C742:C743"/>
    <mergeCell ref="B764:B771"/>
    <mergeCell ref="C764:C771"/>
    <mergeCell ref="D765:D773"/>
    <mergeCell ref="E765:E773"/>
    <mergeCell ref="B772:B773"/>
    <mergeCell ref="C772:C773"/>
    <mergeCell ref="B754:B761"/>
    <mergeCell ref="C754:C761"/>
    <mergeCell ref="D755:D763"/>
    <mergeCell ref="E755:E763"/>
    <mergeCell ref="B762:B763"/>
    <mergeCell ref="C762:C763"/>
    <mergeCell ref="B784:B791"/>
    <mergeCell ref="C784:C791"/>
    <mergeCell ref="D785:D793"/>
    <mergeCell ref="E785:E793"/>
    <mergeCell ref="B792:B793"/>
    <mergeCell ref="C792:C793"/>
    <mergeCell ref="B774:B781"/>
    <mergeCell ref="C774:C781"/>
    <mergeCell ref="D775:D783"/>
    <mergeCell ref="E775:E783"/>
    <mergeCell ref="B782:B783"/>
    <mergeCell ref="C782:C783"/>
    <mergeCell ref="B804:B811"/>
    <mergeCell ref="C804:C811"/>
    <mergeCell ref="D805:D813"/>
    <mergeCell ref="E805:E813"/>
    <mergeCell ref="B812:B813"/>
    <mergeCell ref="C812:C813"/>
    <mergeCell ref="B794:B801"/>
    <mergeCell ref="C794:C801"/>
    <mergeCell ref="D795:D803"/>
    <mergeCell ref="E795:E803"/>
    <mergeCell ref="B802:B803"/>
    <mergeCell ref="C802:C803"/>
    <mergeCell ref="G816:I816"/>
    <mergeCell ref="G817:I817"/>
    <mergeCell ref="D819:E819"/>
    <mergeCell ref="F819:H819"/>
    <mergeCell ref="K819:M819"/>
    <mergeCell ref="B820:B827"/>
    <mergeCell ref="C820:C827"/>
    <mergeCell ref="D821:D829"/>
    <mergeCell ref="E821:E829"/>
    <mergeCell ref="M821:M825"/>
    <mergeCell ref="B840:B847"/>
    <mergeCell ref="C840:C847"/>
    <mergeCell ref="D841:D849"/>
    <mergeCell ref="E841:E849"/>
    <mergeCell ref="B848:B849"/>
    <mergeCell ref="C848:C849"/>
    <mergeCell ref="K827:M827"/>
    <mergeCell ref="B828:B829"/>
    <mergeCell ref="C828:C829"/>
    <mergeCell ref="M829:M838"/>
    <mergeCell ref="B830:B837"/>
    <mergeCell ref="C830:C837"/>
    <mergeCell ref="D831:D839"/>
    <mergeCell ref="E831:E839"/>
    <mergeCell ref="B838:B839"/>
    <mergeCell ref="C838:C839"/>
    <mergeCell ref="B860:B867"/>
    <mergeCell ref="C860:C867"/>
    <mergeCell ref="D861:D869"/>
    <mergeCell ref="E861:E869"/>
    <mergeCell ref="B868:B869"/>
    <mergeCell ref="C868:C869"/>
    <mergeCell ref="B850:B857"/>
    <mergeCell ref="C850:C857"/>
    <mergeCell ref="D851:D859"/>
    <mergeCell ref="E851:E859"/>
    <mergeCell ref="B858:B859"/>
    <mergeCell ref="C858:C859"/>
    <mergeCell ref="B884:B891"/>
    <mergeCell ref="C884:C891"/>
    <mergeCell ref="D885:D893"/>
    <mergeCell ref="E885:E893"/>
    <mergeCell ref="B892:B893"/>
    <mergeCell ref="C892:C893"/>
    <mergeCell ref="G871:I871"/>
    <mergeCell ref="G872:I872"/>
    <mergeCell ref="D873:E873"/>
    <mergeCell ref="F873:H873"/>
    <mergeCell ref="B874:B881"/>
    <mergeCell ref="C874:C881"/>
    <mergeCell ref="D875:D883"/>
    <mergeCell ref="E875:E883"/>
    <mergeCell ref="B882:B883"/>
    <mergeCell ref="C882:C883"/>
    <mergeCell ref="B904:B911"/>
    <mergeCell ref="C904:C911"/>
    <mergeCell ref="D905:D913"/>
    <mergeCell ref="E905:E913"/>
    <mergeCell ref="B912:B913"/>
    <mergeCell ref="C912:C913"/>
    <mergeCell ref="B894:B901"/>
    <mergeCell ref="C894:C901"/>
    <mergeCell ref="D895:D903"/>
    <mergeCell ref="E895:E903"/>
    <mergeCell ref="B902:B903"/>
    <mergeCell ref="C902:C903"/>
    <mergeCell ref="B924:B931"/>
    <mergeCell ref="C924:C931"/>
    <mergeCell ref="D925:D933"/>
    <mergeCell ref="E925:E933"/>
    <mergeCell ref="B932:B933"/>
    <mergeCell ref="C932:C933"/>
    <mergeCell ref="B914:B921"/>
    <mergeCell ref="C914:C921"/>
    <mergeCell ref="D915:D923"/>
    <mergeCell ref="E915:E923"/>
    <mergeCell ref="B922:B923"/>
    <mergeCell ref="C922:C923"/>
    <mergeCell ref="B944:B951"/>
    <mergeCell ref="C944:C951"/>
    <mergeCell ref="D945:D953"/>
    <mergeCell ref="E945:E953"/>
    <mergeCell ref="B952:B953"/>
    <mergeCell ref="C952:C953"/>
    <mergeCell ref="B934:B941"/>
    <mergeCell ref="C934:C941"/>
    <mergeCell ref="D935:D943"/>
    <mergeCell ref="E935:E943"/>
    <mergeCell ref="B942:B943"/>
    <mergeCell ref="C942:C943"/>
    <mergeCell ref="B975:H975"/>
    <mergeCell ref="B982:H982"/>
    <mergeCell ref="B964:B971"/>
    <mergeCell ref="C964:C971"/>
    <mergeCell ref="D965:D973"/>
    <mergeCell ref="E965:E973"/>
    <mergeCell ref="B972:B973"/>
    <mergeCell ref="C972:C973"/>
    <mergeCell ref="B954:B961"/>
    <mergeCell ref="C954:C961"/>
    <mergeCell ref="D955:D963"/>
    <mergeCell ref="E955:E963"/>
    <mergeCell ref="B962:B963"/>
    <mergeCell ref="C962:C963"/>
    <mergeCell ref="K182:M182"/>
    <mergeCell ref="B183:B190"/>
    <mergeCell ref="C183:C190"/>
    <mergeCell ref="D184:D192"/>
    <mergeCell ref="E184:E192"/>
    <mergeCell ref="M184:M188"/>
    <mergeCell ref="K190:M190"/>
    <mergeCell ref="B191:B192"/>
    <mergeCell ref="M192:M201"/>
    <mergeCell ref="B193:B200"/>
    <mergeCell ref="C193:C200"/>
    <mergeCell ref="D194:D202"/>
    <mergeCell ref="E194:E202"/>
    <mergeCell ref="B201:B202"/>
    <mergeCell ref="B213:B220"/>
    <mergeCell ref="C213:C220"/>
    <mergeCell ref="D214:D222"/>
    <mergeCell ref="E214:E222"/>
    <mergeCell ref="B221:B222"/>
    <mergeCell ref="C221:C222"/>
    <mergeCell ref="B223:B230"/>
    <mergeCell ref="C223:C230"/>
    <mergeCell ref="D224:D232"/>
    <mergeCell ref="E224:E232"/>
    <mergeCell ref="B231:B232"/>
    <mergeCell ref="C231:C232"/>
    <mergeCell ref="G235:I235"/>
    <mergeCell ref="G236:I236"/>
    <mergeCell ref="D237:E237"/>
    <mergeCell ref="F237:H237"/>
    <mergeCell ref="B238:B244"/>
    <mergeCell ref="C238:C244"/>
    <mergeCell ref="D239:D246"/>
    <mergeCell ref="E239:E246"/>
    <mergeCell ref="B245:B246"/>
    <mergeCell ref="C314:C315"/>
    <mergeCell ref="B247:B254"/>
    <mergeCell ref="C247:C254"/>
    <mergeCell ref="D248:D256"/>
    <mergeCell ref="E248:E256"/>
    <mergeCell ref="B255:B256"/>
    <mergeCell ref="B257:B264"/>
    <mergeCell ref="C257:C264"/>
    <mergeCell ref="D258:D266"/>
    <mergeCell ref="E258:E266"/>
    <mergeCell ref="B265:B266"/>
    <mergeCell ref="B267:B274"/>
    <mergeCell ref="C267:C274"/>
    <mergeCell ref="D268:D276"/>
    <mergeCell ref="B275:B276"/>
    <mergeCell ref="B277:B283"/>
    <mergeCell ref="C277:C283"/>
    <mergeCell ref="D278:D285"/>
    <mergeCell ref="E278:E285"/>
    <mergeCell ref="B284:B285"/>
    <mergeCell ref="E268:E276"/>
    <mergeCell ref="C540:C541"/>
    <mergeCell ref="F316:H316"/>
    <mergeCell ref="B317:B324"/>
    <mergeCell ref="C317:C324"/>
    <mergeCell ref="D318:D326"/>
    <mergeCell ref="E318:E326"/>
    <mergeCell ref="B325:B326"/>
    <mergeCell ref="C325:C326"/>
    <mergeCell ref="B286:B293"/>
    <mergeCell ref="C286:C293"/>
    <mergeCell ref="D287:D295"/>
    <mergeCell ref="E287:E295"/>
    <mergeCell ref="B294:B295"/>
    <mergeCell ref="C294:C295"/>
    <mergeCell ref="B296:B303"/>
    <mergeCell ref="C296:C303"/>
    <mergeCell ref="D297:D305"/>
    <mergeCell ref="E297:E305"/>
    <mergeCell ref="B304:B305"/>
    <mergeCell ref="C304:C305"/>
    <mergeCell ref="B306:B313"/>
    <mergeCell ref="C306:C313"/>
    <mergeCell ref="D307:D315"/>
    <mergeCell ref="E307:E315"/>
    <mergeCell ref="G553:I553"/>
    <mergeCell ref="B314:B315"/>
    <mergeCell ref="D316:E316"/>
    <mergeCell ref="F555:H555"/>
    <mergeCell ref="D327:E327"/>
    <mergeCell ref="F327:H327"/>
    <mergeCell ref="B328:B335"/>
    <mergeCell ref="C328:C335"/>
    <mergeCell ref="D329:D337"/>
    <mergeCell ref="E329:E337"/>
    <mergeCell ref="B336:B337"/>
    <mergeCell ref="C336:C337"/>
    <mergeCell ref="G554:I554"/>
    <mergeCell ref="B522:B529"/>
    <mergeCell ref="C522:C529"/>
    <mergeCell ref="D523:D531"/>
    <mergeCell ref="E523:E531"/>
    <mergeCell ref="B530:B531"/>
    <mergeCell ref="C530:C531"/>
    <mergeCell ref="B532:B539"/>
    <mergeCell ref="C532:C539"/>
    <mergeCell ref="D533:D541"/>
    <mergeCell ref="E533:E541"/>
    <mergeCell ref="B540:B541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4294967293" verticalDpi="72" r:id="rId1"/>
  <headerFooter>
    <oddHeader>&amp;L&amp;G&amp;R&amp;G</oddHeader>
    <oddFooter>&amp;L&amp;G</oddFooter>
  </headerFooter>
  <rowBreaks count="8" manualBreakCount="8">
    <brk id="394" max="8" man="1"/>
    <brk id="495" max="8" man="1"/>
    <brk id="552" max="8" man="1"/>
    <brk id="653" max="8" man="1"/>
    <brk id="709" max="8" man="1"/>
    <brk id="814" max="8" man="1"/>
    <brk id="869" max="8" man="1"/>
    <brk id="973" max="8" man="1"/>
  </rowBreaks>
  <colBreaks count="1" manualBreakCount="1">
    <brk id="14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36"/>
  <sheetViews>
    <sheetView zoomScale="90" zoomScaleNormal="90" workbookViewId="0">
      <selection activeCell="I10" sqref="I10"/>
    </sheetView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7.7109375" customWidth="1"/>
    <col min="5" max="5" width="0.42578125" customWidth="1"/>
    <col min="6" max="6" width="25.140625" customWidth="1"/>
    <col min="7" max="7" width="20.85546875" customWidth="1"/>
    <col min="8" max="8" width="0.42578125" customWidth="1"/>
    <col min="9" max="9" width="45.28515625" customWidth="1"/>
    <col min="10" max="10" width="8.42578125" customWidth="1"/>
    <col min="11" max="11" width="12.85546875" customWidth="1"/>
    <col min="12" max="12" width="9" bestFit="1" customWidth="1"/>
    <col min="13" max="13" width="0.5703125" customWidth="1"/>
    <col min="14" max="14" width="10" customWidth="1"/>
    <col min="15" max="15" width="9.5703125" customWidth="1"/>
    <col min="16" max="16" width="58.28515625" customWidth="1"/>
    <col min="17" max="20" width="7.7109375" customWidth="1"/>
    <col min="21" max="21" width="31.85546875" bestFit="1" customWidth="1"/>
    <col min="22" max="22" width="7.7109375" customWidth="1"/>
  </cols>
  <sheetData>
    <row r="1" spans="1:40" ht="14.25" customHeight="1" thickBot="1" x14ac:dyDescent="0.3">
      <c r="A1" s="86" t="s">
        <v>131</v>
      </c>
      <c r="B1" s="86" t="s">
        <v>131</v>
      </c>
      <c r="C1" s="86" t="s">
        <v>131</v>
      </c>
      <c r="D1" s="86" t="s">
        <v>131</v>
      </c>
      <c r="E1" s="74" t="s">
        <v>131</v>
      </c>
      <c r="F1" s="73"/>
      <c r="G1" s="73"/>
      <c r="H1" s="73"/>
      <c r="I1" s="73"/>
      <c r="J1" s="73"/>
      <c r="K1" s="73"/>
      <c r="L1" s="73"/>
      <c r="M1" s="74"/>
      <c r="N1" s="73"/>
      <c r="O1" s="73"/>
      <c r="P1" s="73"/>
      <c r="Q1" s="74" t="s">
        <v>131</v>
      </c>
      <c r="R1" s="74" t="s">
        <v>131</v>
      </c>
      <c r="S1" s="74" t="s">
        <v>131</v>
      </c>
    </row>
    <row r="2" spans="1:40" ht="30" customHeight="1" thickBot="1" x14ac:dyDescent="0.3">
      <c r="A2" s="86" t="s">
        <v>131</v>
      </c>
      <c r="B2" s="86" t="s">
        <v>131</v>
      </c>
      <c r="C2" s="86" t="s">
        <v>131</v>
      </c>
      <c r="D2" s="86" t="s">
        <v>131</v>
      </c>
      <c r="E2" s="74" t="s">
        <v>131</v>
      </c>
      <c r="F2" s="616" t="s">
        <v>0</v>
      </c>
      <c r="G2" s="617"/>
      <c r="H2" s="74" t="s">
        <v>131</v>
      </c>
      <c r="I2" s="82" t="s">
        <v>16</v>
      </c>
      <c r="J2" s="76" t="s">
        <v>17</v>
      </c>
      <c r="K2" s="77" t="s">
        <v>18</v>
      </c>
      <c r="L2" s="78" t="s">
        <v>19</v>
      </c>
      <c r="M2" s="74"/>
      <c r="N2" s="73"/>
      <c r="O2" s="73"/>
      <c r="P2" s="73"/>
      <c r="Q2" s="74" t="s">
        <v>131</v>
      </c>
      <c r="R2" s="74" t="s">
        <v>131</v>
      </c>
      <c r="S2" s="74" t="s">
        <v>131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</row>
    <row r="3" spans="1:40" ht="15" customHeight="1" x14ac:dyDescent="0.25">
      <c r="A3" s="86" t="s">
        <v>131</v>
      </c>
      <c r="B3" s="86" t="s">
        <v>131</v>
      </c>
      <c r="C3" s="86" t="s">
        <v>131</v>
      </c>
      <c r="D3" s="86" t="s">
        <v>131</v>
      </c>
      <c r="E3" s="74" t="s">
        <v>131</v>
      </c>
      <c r="F3" s="618"/>
      <c r="G3" s="619"/>
      <c r="H3" s="74" t="s">
        <v>131</v>
      </c>
      <c r="I3" s="231" t="str">
        <f>IKA!V28</f>
        <v>Administrasi Pembayaran Transfer</v>
      </c>
      <c r="J3" s="89">
        <f>IKA!W28</f>
        <v>0.35</v>
      </c>
      <c r="K3" s="232">
        <f>IKA!X28</f>
        <v>115</v>
      </c>
      <c r="L3" s="263">
        <f>IKA!Y28</f>
        <v>40.25</v>
      </c>
      <c r="M3" s="215"/>
      <c r="N3" s="73"/>
      <c r="O3" s="73"/>
      <c r="P3" s="73"/>
      <c r="Q3" s="74" t="s">
        <v>131</v>
      </c>
      <c r="R3" s="74" t="s">
        <v>131</v>
      </c>
      <c r="S3" s="74" t="s">
        <v>131</v>
      </c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</row>
    <row r="4" spans="1:40" ht="15" customHeight="1" x14ac:dyDescent="0.25">
      <c r="A4" s="86" t="s">
        <v>131</v>
      </c>
      <c r="B4" s="86" t="s">
        <v>131</v>
      </c>
      <c r="C4" s="86" t="s">
        <v>131</v>
      </c>
      <c r="D4" s="86" t="s">
        <v>131</v>
      </c>
      <c r="E4" s="74" t="s">
        <v>131</v>
      </c>
      <c r="F4" s="79" t="s">
        <v>1</v>
      </c>
      <c r="G4" s="80" t="str">
        <f>IKA!D6</f>
        <v>IKA HERDIANA UTAMI</v>
      </c>
      <c r="H4" s="74" t="s">
        <v>131</v>
      </c>
      <c r="I4" s="233" t="str">
        <f>IKA!V29</f>
        <v>Administrasi BG</v>
      </c>
      <c r="J4" s="90">
        <f>IKA!W29</f>
        <v>0.3</v>
      </c>
      <c r="K4" s="234">
        <f>IKA!X29</f>
        <v>115</v>
      </c>
      <c r="L4" s="235">
        <f>IKA!Y29</f>
        <v>34.5</v>
      </c>
      <c r="M4" s="215"/>
      <c r="N4" s="73"/>
      <c r="O4" s="73"/>
      <c r="P4" s="73"/>
      <c r="Q4" s="74" t="s">
        <v>131</v>
      </c>
      <c r="R4" s="74" t="s">
        <v>131</v>
      </c>
      <c r="S4" s="74" t="s">
        <v>131</v>
      </c>
      <c r="T4" s="166"/>
      <c r="U4" s="166"/>
      <c r="V4" s="166"/>
      <c r="W4" s="166"/>
      <c r="Z4" s="166"/>
      <c r="AA4" s="166"/>
      <c r="AB4" s="166"/>
      <c r="AC4" s="166"/>
      <c r="AD4" s="166"/>
      <c r="AE4" s="166"/>
      <c r="AF4" s="166"/>
      <c r="AG4" s="166"/>
      <c r="AH4" s="166"/>
      <c r="AI4" s="166"/>
      <c r="AJ4" s="166"/>
      <c r="AK4" s="166"/>
      <c r="AL4" s="166"/>
      <c r="AM4" s="166"/>
      <c r="AN4" s="166"/>
    </row>
    <row r="5" spans="1:40" ht="15" customHeight="1" x14ac:dyDescent="0.25">
      <c r="A5" s="86" t="s">
        <v>131</v>
      </c>
      <c r="B5" s="86" t="s">
        <v>131</v>
      </c>
      <c r="C5" s="86" t="s">
        <v>131</v>
      </c>
      <c r="D5" s="86" t="s">
        <v>131</v>
      </c>
      <c r="E5" s="74" t="s">
        <v>131</v>
      </c>
      <c r="F5" s="79" t="s">
        <v>140</v>
      </c>
      <c r="G5" s="80" t="str">
        <f>IKA!$D$7</f>
        <v>Keuangan / Keuangan</v>
      </c>
      <c r="H5" s="74" t="s">
        <v>131</v>
      </c>
      <c r="I5" s="233" t="str">
        <f>IKA!V30</f>
        <v>Operasional Petugas Lapangan (KMT &amp; MARKETING)</v>
      </c>
      <c r="J5" s="90">
        <f>IKA!W30</f>
        <v>0.25</v>
      </c>
      <c r="K5" s="234">
        <f>IKA!X30</f>
        <v>112</v>
      </c>
      <c r="L5" s="235">
        <f>IKA!Y30</f>
        <v>28</v>
      </c>
      <c r="M5" s="215"/>
      <c r="N5" s="73"/>
      <c r="O5" s="73"/>
      <c r="P5" s="73"/>
      <c r="Q5" s="74" t="s">
        <v>131</v>
      </c>
      <c r="R5" s="74" t="s">
        <v>131</v>
      </c>
      <c r="S5" s="74" t="s">
        <v>131</v>
      </c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</row>
    <row r="6" spans="1:40" ht="15" customHeight="1" x14ac:dyDescent="0.25">
      <c r="A6" s="86" t="s">
        <v>131</v>
      </c>
      <c r="B6" s="86" t="s">
        <v>131</v>
      </c>
      <c r="C6" s="86" t="s">
        <v>131</v>
      </c>
      <c r="D6" s="86" t="s">
        <v>131</v>
      </c>
      <c r="E6" s="74" t="s">
        <v>131</v>
      </c>
      <c r="F6" s="79" t="s">
        <v>3</v>
      </c>
      <c r="G6" s="80" t="str">
        <f>IKA!D8</f>
        <v>Ifa Istifarini</v>
      </c>
      <c r="H6" s="74" t="s">
        <v>131</v>
      </c>
      <c r="I6" s="233" t="str">
        <f>IKA!V31</f>
        <v>Absensi</v>
      </c>
      <c r="J6" s="90">
        <f>IKA!W31</f>
        <v>0.1</v>
      </c>
      <c r="K6" s="234">
        <f>IKA!X31</f>
        <v>115</v>
      </c>
      <c r="L6" s="235">
        <f>IKA!Y31</f>
        <v>11.5</v>
      </c>
      <c r="M6" s="215"/>
      <c r="N6" s="73"/>
      <c r="O6" s="73"/>
      <c r="P6" s="73"/>
      <c r="Q6" s="74" t="s">
        <v>131</v>
      </c>
      <c r="R6" s="74" t="s">
        <v>131</v>
      </c>
      <c r="S6" s="74" t="s">
        <v>131</v>
      </c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</row>
    <row r="7" spans="1:40" ht="15.75" thickBot="1" x14ac:dyDescent="0.3">
      <c r="A7" s="86" t="s">
        <v>131</v>
      </c>
      <c r="B7" s="86" t="s">
        <v>131</v>
      </c>
      <c r="C7" s="86" t="s">
        <v>131</v>
      </c>
      <c r="D7" s="86" t="s">
        <v>131</v>
      </c>
      <c r="E7" s="74" t="s">
        <v>131</v>
      </c>
      <c r="F7" s="79" t="s">
        <v>5</v>
      </c>
      <c r="G7" s="80" t="str">
        <f>IKA!D9</f>
        <v>Vita Ari Puspita</v>
      </c>
      <c r="H7" s="74" t="s">
        <v>131</v>
      </c>
      <c r="I7" s="236" t="s">
        <v>30</v>
      </c>
      <c r="J7" s="237">
        <f>SUM(J3:J6)</f>
        <v>0.99999999999999989</v>
      </c>
      <c r="K7" s="238">
        <f>SUM(K3:K6)</f>
        <v>457</v>
      </c>
      <c r="L7" s="239">
        <f>SUM(L3:L6)</f>
        <v>114.25</v>
      </c>
      <c r="M7" s="215"/>
      <c r="N7" s="73"/>
      <c r="O7" s="73"/>
      <c r="P7" s="73"/>
      <c r="Q7" s="74" t="s">
        <v>131</v>
      </c>
      <c r="R7" s="74" t="s">
        <v>131</v>
      </c>
      <c r="S7" s="74" t="s">
        <v>131</v>
      </c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</row>
    <row r="8" spans="1:40" x14ac:dyDescent="0.25">
      <c r="A8" s="86" t="s">
        <v>131</v>
      </c>
      <c r="B8" s="86" t="s">
        <v>131</v>
      </c>
      <c r="C8" s="86" t="s">
        <v>131</v>
      </c>
      <c r="D8" s="86" t="s">
        <v>131</v>
      </c>
      <c r="E8" s="74" t="s">
        <v>131</v>
      </c>
      <c r="F8" s="79" t="s">
        <v>7</v>
      </c>
      <c r="G8" s="259" t="str">
        <f>IKA!D10</f>
        <v>Des-25</v>
      </c>
      <c r="H8" s="74" t="s">
        <v>131</v>
      </c>
      <c r="I8" s="240" t="s">
        <v>131</v>
      </c>
      <c r="J8" s="614" t="s">
        <v>16</v>
      </c>
      <c r="K8" s="241" t="s">
        <v>17</v>
      </c>
      <c r="L8" s="242" t="s">
        <v>124</v>
      </c>
      <c r="M8" s="215"/>
      <c r="N8" s="73"/>
      <c r="O8" s="73"/>
      <c r="P8" s="73"/>
      <c r="Q8" s="74" t="s">
        <v>131</v>
      </c>
      <c r="R8" s="74" t="s">
        <v>131</v>
      </c>
      <c r="S8" s="74" t="s">
        <v>131</v>
      </c>
      <c r="T8" s="166"/>
      <c r="U8" s="166"/>
      <c r="V8" s="166"/>
      <c r="W8" s="166"/>
      <c r="X8" s="167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</row>
    <row r="9" spans="1:40" ht="15.75" thickBot="1" x14ac:dyDescent="0.3">
      <c r="A9" s="86" t="s">
        <v>131</v>
      </c>
      <c r="B9" s="86" t="s">
        <v>131</v>
      </c>
      <c r="C9" s="86" t="s">
        <v>131</v>
      </c>
      <c r="D9" s="86" t="s">
        <v>131</v>
      </c>
      <c r="E9" s="74" t="s">
        <v>131</v>
      </c>
      <c r="F9" s="79" t="s">
        <v>8</v>
      </c>
      <c r="G9" s="259" t="str">
        <f>IKA!D11</f>
        <v>-</v>
      </c>
      <c r="H9" s="74" t="s">
        <v>131</v>
      </c>
      <c r="I9" s="240" t="s">
        <v>131</v>
      </c>
      <c r="J9" s="615"/>
      <c r="K9" s="243">
        <v>0.6</v>
      </c>
      <c r="L9" s="244">
        <f>L7*K9</f>
        <v>68.55</v>
      </c>
      <c r="M9" s="215"/>
      <c r="N9" s="73"/>
      <c r="O9" s="73"/>
      <c r="P9" s="73"/>
      <c r="Q9" s="74" t="s">
        <v>131</v>
      </c>
      <c r="R9" s="74" t="s">
        <v>131</v>
      </c>
      <c r="S9" s="74" t="s">
        <v>131</v>
      </c>
      <c r="T9" s="166"/>
      <c r="U9" s="166"/>
      <c r="V9" s="166"/>
      <c r="W9" s="166"/>
      <c r="X9" s="166"/>
      <c r="Y9" s="166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166"/>
      <c r="AK9" s="166"/>
      <c r="AL9" s="166"/>
      <c r="AM9" s="166"/>
      <c r="AN9" s="166"/>
    </row>
    <row r="10" spans="1:40" ht="15.75" thickBot="1" x14ac:dyDescent="0.3">
      <c r="A10" s="86" t="s">
        <v>131</v>
      </c>
      <c r="B10" s="86" t="s">
        <v>131</v>
      </c>
      <c r="C10" s="86" t="s">
        <v>131</v>
      </c>
      <c r="D10" s="86" t="s">
        <v>131</v>
      </c>
      <c r="E10" s="74" t="s">
        <v>131</v>
      </c>
      <c r="F10" s="81" t="s">
        <v>10</v>
      </c>
      <c r="G10" s="87">
        <f>IKA!D12</f>
        <v>46023</v>
      </c>
      <c r="H10" s="74" t="s">
        <v>131</v>
      </c>
      <c r="I10" s="240" t="s">
        <v>131</v>
      </c>
      <c r="J10" s="240" t="s">
        <v>131</v>
      </c>
      <c r="K10" s="240" t="s">
        <v>131</v>
      </c>
      <c r="L10" s="240" t="s">
        <v>131</v>
      </c>
      <c r="M10" s="215"/>
      <c r="N10" s="73"/>
      <c r="O10" s="73"/>
      <c r="P10" s="73"/>
      <c r="Q10" s="74" t="s">
        <v>131</v>
      </c>
      <c r="R10" s="74" t="s">
        <v>131</v>
      </c>
      <c r="S10" s="74" t="s">
        <v>131</v>
      </c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</row>
    <row r="11" spans="1:40" ht="15.75" thickBot="1" x14ac:dyDescent="0.3">
      <c r="A11" s="86" t="s">
        <v>131</v>
      </c>
      <c r="B11" s="86" t="s">
        <v>131</v>
      </c>
      <c r="C11" s="86" t="s">
        <v>131</v>
      </c>
      <c r="D11" s="86" t="s">
        <v>131</v>
      </c>
      <c r="E11" s="74" t="s">
        <v>131</v>
      </c>
      <c r="F11" s="74" t="s">
        <v>131</v>
      </c>
      <c r="G11" s="74" t="s">
        <v>131</v>
      </c>
      <c r="H11" s="74" t="s">
        <v>131</v>
      </c>
      <c r="I11" s="240" t="s">
        <v>131</v>
      </c>
      <c r="J11" s="240" t="s">
        <v>131</v>
      </c>
      <c r="K11" s="240" t="s">
        <v>131</v>
      </c>
      <c r="L11" s="240" t="s">
        <v>131</v>
      </c>
      <c r="M11" s="215"/>
      <c r="N11" s="73"/>
      <c r="O11" s="73"/>
      <c r="P11" s="73"/>
      <c r="Q11" s="74" t="s">
        <v>131</v>
      </c>
      <c r="R11" s="74" t="s">
        <v>131</v>
      </c>
      <c r="S11" s="74" t="s">
        <v>131</v>
      </c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</row>
    <row r="12" spans="1:40" ht="20.25" customHeight="1" thickBot="1" x14ac:dyDescent="0.3">
      <c r="A12" s="86" t="s">
        <v>131</v>
      </c>
      <c r="B12" s="86" t="s">
        <v>131</v>
      </c>
      <c r="C12" s="86" t="s">
        <v>131</v>
      </c>
      <c r="D12" s="86" t="s">
        <v>131</v>
      </c>
      <c r="E12" s="74" t="s">
        <v>131</v>
      </c>
      <c r="F12" s="620" t="s">
        <v>44</v>
      </c>
      <c r="G12" s="621"/>
      <c r="H12" s="74" t="s">
        <v>131</v>
      </c>
      <c r="I12" s="240" t="s">
        <v>131</v>
      </c>
      <c r="J12" s="240" t="s">
        <v>131</v>
      </c>
      <c r="K12" s="240" t="s">
        <v>131</v>
      </c>
      <c r="L12" s="240" t="s">
        <v>131</v>
      </c>
      <c r="M12" s="215"/>
      <c r="N12" s="73"/>
      <c r="O12" s="73"/>
      <c r="P12" s="73"/>
      <c r="Q12" s="74" t="s">
        <v>131</v>
      </c>
      <c r="R12" s="74" t="s">
        <v>131</v>
      </c>
      <c r="S12" s="74" t="s">
        <v>131</v>
      </c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</row>
    <row r="13" spans="1:40" ht="31.5" customHeight="1" thickBot="1" x14ac:dyDescent="0.3">
      <c r="A13" s="86" t="s">
        <v>131</v>
      </c>
      <c r="B13" s="86" t="s">
        <v>131</v>
      </c>
      <c r="C13" s="86" t="s">
        <v>131</v>
      </c>
      <c r="D13" s="86" t="s">
        <v>131</v>
      </c>
      <c r="E13" s="74" t="s">
        <v>131</v>
      </c>
      <c r="F13" s="272" t="s">
        <v>43</v>
      </c>
      <c r="G13" s="273">
        <f>+L9+L20</f>
        <v>113.62</v>
      </c>
      <c r="H13" s="74" t="s">
        <v>131</v>
      </c>
      <c r="I13" s="75" t="s">
        <v>36</v>
      </c>
      <c r="J13" s="76" t="s">
        <v>17</v>
      </c>
      <c r="K13" s="157" t="s">
        <v>18</v>
      </c>
      <c r="L13" s="158" t="s">
        <v>19</v>
      </c>
      <c r="M13" s="215"/>
      <c r="N13" s="73"/>
      <c r="O13" s="73"/>
      <c r="P13" s="73"/>
      <c r="Q13" s="74" t="s">
        <v>131</v>
      </c>
      <c r="R13" s="74" t="s">
        <v>131</v>
      </c>
      <c r="S13" s="74" t="s">
        <v>131</v>
      </c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</row>
    <row r="14" spans="1:40" ht="15" customHeight="1" x14ac:dyDescent="0.25">
      <c r="A14" s="86" t="s">
        <v>131</v>
      </c>
      <c r="B14" s="86" t="s">
        <v>131</v>
      </c>
      <c r="C14" s="86" t="s">
        <v>131</v>
      </c>
      <c r="D14" s="86" t="s">
        <v>131</v>
      </c>
      <c r="E14" s="74" t="s">
        <v>131</v>
      </c>
      <c r="F14" s="608" t="str">
        <f>IF(G13&lt;90,"POOR",IF(G13&lt;=100,"GOOD",IF(G13&lt;=110,"Very Good",IF(G13&gt;110,"Excellent"))))</f>
        <v>Excellent</v>
      </c>
      <c r="G14" s="609"/>
      <c r="H14" s="74" t="s">
        <v>131</v>
      </c>
      <c r="I14" s="245" t="str">
        <f>IKA!V36</f>
        <v>Administrasi Pembayaran Transfer</v>
      </c>
      <c r="J14" s="246">
        <f>IKA!W36</f>
        <v>0.35</v>
      </c>
      <c r="K14" s="247">
        <f>IKA!X36</f>
        <v>115</v>
      </c>
      <c r="L14" s="276">
        <f>IKA!Y36</f>
        <v>40.25</v>
      </c>
      <c r="M14" s="216"/>
      <c r="N14" s="73"/>
      <c r="O14" s="73"/>
      <c r="P14" s="73"/>
      <c r="Q14" s="74" t="s">
        <v>131</v>
      </c>
      <c r="R14" s="74" t="s">
        <v>131</v>
      </c>
      <c r="S14" s="74" t="s">
        <v>131</v>
      </c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</row>
    <row r="15" spans="1:40" ht="15" customHeight="1" x14ac:dyDescent="0.25">
      <c r="A15" s="86" t="s">
        <v>131</v>
      </c>
      <c r="B15" s="86" t="s">
        <v>131</v>
      </c>
      <c r="C15" s="86" t="s">
        <v>131</v>
      </c>
      <c r="D15" s="86" t="s">
        <v>131</v>
      </c>
      <c r="E15" s="74" t="s">
        <v>131</v>
      </c>
      <c r="F15" s="610"/>
      <c r="G15" s="611"/>
      <c r="H15" s="74" t="s">
        <v>131</v>
      </c>
      <c r="I15" s="248" t="str">
        <f>IKA!V37</f>
        <v>Administrasi BG</v>
      </c>
      <c r="J15" s="249">
        <f>IKA!W37</f>
        <v>0.3</v>
      </c>
      <c r="K15" s="250">
        <f>IKA!X37</f>
        <v>113.5</v>
      </c>
      <c r="L15" s="277">
        <f>IKA!Y37</f>
        <v>34.049999999999997</v>
      </c>
      <c r="M15" s="230"/>
      <c r="N15" s="73"/>
      <c r="O15" s="73"/>
      <c r="P15" s="73"/>
      <c r="Q15" s="74" t="s">
        <v>131</v>
      </c>
      <c r="R15" s="74" t="s">
        <v>131</v>
      </c>
      <c r="S15" s="74" t="s">
        <v>131</v>
      </c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</row>
    <row r="16" spans="1:40" ht="15.75" customHeight="1" x14ac:dyDescent="0.25">
      <c r="A16" s="86" t="s">
        <v>131</v>
      </c>
      <c r="B16" s="86" t="s">
        <v>131</v>
      </c>
      <c r="C16" s="86" t="s">
        <v>131</v>
      </c>
      <c r="D16" s="86" t="s">
        <v>131</v>
      </c>
      <c r="E16" s="74" t="s">
        <v>131</v>
      </c>
      <c r="F16" s="610"/>
      <c r="G16" s="611"/>
      <c r="H16" s="74" t="s">
        <v>131</v>
      </c>
      <c r="I16" s="248" t="str">
        <f>IKA!V38</f>
        <v>Operasional Petugas Lapangan (KMT &amp; MARKETING)</v>
      </c>
      <c r="J16" s="249">
        <f>IKA!W38</f>
        <v>0.25</v>
      </c>
      <c r="K16" s="250">
        <f>IKA!X38</f>
        <v>107.5</v>
      </c>
      <c r="L16" s="251">
        <f>IKA!Y38</f>
        <v>26.875</v>
      </c>
      <c r="M16" s="215"/>
      <c r="N16" s="73"/>
      <c r="O16" s="73"/>
      <c r="P16" s="73"/>
      <c r="Q16" s="74" t="s">
        <v>131</v>
      </c>
      <c r="R16" s="74" t="s">
        <v>131</v>
      </c>
      <c r="S16" s="74" t="s">
        <v>131</v>
      </c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</row>
    <row r="17" spans="1:40" ht="15.75" customHeight="1" thickBot="1" x14ac:dyDescent="0.3">
      <c r="A17" s="86" t="s">
        <v>131</v>
      </c>
      <c r="B17" s="86" t="s">
        <v>131</v>
      </c>
      <c r="C17" s="86" t="s">
        <v>131</v>
      </c>
      <c r="D17" s="86" t="s">
        <v>131</v>
      </c>
      <c r="E17" s="74" t="s">
        <v>131</v>
      </c>
      <c r="F17" s="612"/>
      <c r="G17" s="613"/>
      <c r="H17" s="74" t="s">
        <v>131</v>
      </c>
      <c r="I17" s="248" t="str">
        <f>IKA!V39</f>
        <v>Absensi</v>
      </c>
      <c r="J17" s="249">
        <f>IKA!W39</f>
        <v>0.1</v>
      </c>
      <c r="K17" s="250">
        <f>IKA!X39</f>
        <v>115</v>
      </c>
      <c r="L17" s="251">
        <f>IKA!Y39</f>
        <v>11.5</v>
      </c>
      <c r="M17" s="215"/>
      <c r="N17" s="73"/>
      <c r="O17" s="73"/>
      <c r="P17" s="73"/>
      <c r="Q17" s="74" t="s">
        <v>131</v>
      </c>
      <c r="R17" s="74" t="s">
        <v>131</v>
      </c>
      <c r="S17" s="74" t="s">
        <v>131</v>
      </c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</row>
    <row r="18" spans="1:40" ht="15.75" thickBot="1" x14ac:dyDescent="0.3">
      <c r="A18" s="86" t="s">
        <v>131</v>
      </c>
      <c r="B18" s="86" t="s">
        <v>131</v>
      </c>
      <c r="C18" s="86" t="s">
        <v>131</v>
      </c>
      <c r="D18" s="86" t="s">
        <v>131</v>
      </c>
      <c r="E18" s="74" t="s">
        <v>131</v>
      </c>
      <c r="F18" s="74" t="s">
        <v>131</v>
      </c>
      <c r="G18" s="74" t="s">
        <v>131</v>
      </c>
      <c r="H18" s="74" t="s">
        <v>131</v>
      </c>
      <c r="I18" s="236" t="s">
        <v>30</v>
      </c>
      <c r="J18" s="252">
        <f>SUM(J14:J17)</f>
        <v>0.99999999999999989</v>
      </c>
      <c r="K18" s="253">
        <f t="shared" ref="K18:L18" si="0">SUM(K14:K17)</f>
        <v>451</v>
      </c>
      <c r="L18" s="239">
        <f t="shared" si="0"/>
        <v>112.675</v>
      </c>
      <c r="M18" s="74"/>
      <c r="N18" s="73"/>
      <c r="O18" s="73"/>
      <c r="P18" s="73"/>
      <c r="Q18" s="74" t="s">
        <v>131</v>
      </c>
      <c r="R18" s="74" t="s">
        <v>131</v>
      </c>
      <c r="S18" s="74" t="s">
        <v>131</v>
      </c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</row>
    <row r="19" spans="1:40" x14ac:dyDescent="0.25">
      <c r="A19" s="86" t="s">
        <v>131</v>
      </c>
      <c r="B19" s="86" t="s">
        <v>131</v>
      </c>
      <c r="C19" s="86" t="s">
        <v>131</v>
      </c>
      <c r="D19" s="86" t="s">
        <v>131</v>
      </c>
      <c r="E19" s="74" t="s">
        <v>131</v>
      </c>
      <c r="F19" s="74" t="s">
        <v>131</v>
      </c>
      <c r="G19" s="74" t="s">
        <v>131</v>
      </c>
      <c r="H19" s="74" t="s">
        <v>131</v>
      </c>
      <c r="I19" s="240" t="s">
        <v>131</v>
      </c>
      <c r="J19" s="614" t="s">
        <v>36</v>
      </c>
      <c r="K19" s="241" t="s">
        <v>17</v>
      </c>
      <c r="L19" s="242" t="s">
        <v>124</v>
      </c>
      <c r="M19" s="74"/>
      <c r="N19" s="73"/>
      <c r="O19" s="73"/>
      <c r="P19" s="73"/>
      <c r="Q19" s="74" t="s">
        <v>131</v>
      </c>
      <c r="R19" s="74" t="s">
        <v>131</v>
      </c>
      <c r="S19" s="74" t="s">
        <v>131</v>
      </c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</row>
    <row r="20" spans="1:40" ht="15.75" thickBot="1" x14ac:dyDescent="0.3">
      <c r="A20" s="86" t="s">
        <v>131</v>
      </c>
      <c r="B20" s="86" t="s">
        <v>131</v>
      </c>
      <c r="C20" s="86" t="s">
        <v>131</v>
      </c>
      <c r="D20" s="86" t="s">
        <v>131</v>
      </c>
      <c r="E20" s="74" t="s">
        <v>131</v>
      </c>
      <c r="F20" s="74" t="s">
        <v>131</v>
      </c>
      <c r="G20" s="74" t="s">
        <v>131</v>
      </c>
      <c r="H20" s="74" t="s">
        <v>131</v>
      </c>
      <c r="I20" s="240" t="s">
        <v>131</v>
      </c>
      <c r="J20" s="615"/>
      <c r="K20" s="254">
        <f>100%-K9</f>
        <v>0.4</v>
      </c>
      <c r="L20" s="255">
        <f>K20*L18</f>
        <v>45.07</v>
      </c>
      <c r="M20" s="74" t="s">
        <v>131</v>
      </c>
      <c r="N20" s="73"/>
      <c r="O20" s="73"/>
      <c r="P20" s="73"/>
      <c r="Q20" s="74" t="s">
        <v>131</v>
      </c>
      <c r="R20" s="74" t="s">
        <v>131</v>
      </c>
      <c r="S20" s="74" t="s">
        <v>131</v>
      </c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</row>
    <row r="21" spans="1:40" x14ac:dyDescent="0.25">
      <c r="A21" s="86" t="s">
        <v>131</v>
      </c>
      <c r="B21" s="86" t="s">
        <v>131</v>
      </c>
      <c r="C21" s="86" t="s">
        <v>131</v>
      </c>
      <c r="D21" s="86" t="s">
        <v>131</v>
      </c>
      <c r="E21" s="74" t="s">
        <v>131</v>
      </c>
      <c r="F21" s="74" t="s">
        <v>131</v>
      </c>
      <c r="G21" s="74" t="s">
        <v>131</v>
      </c>
      <c r="H21" s="74" t="s">
        <v>131</v>
      </c>
      <c r="I21" s="74" t="s">
        <v>131</v>
      </c>
      <c r="J21" s="74" t="s">
        <v>131</v>
      </c>
      <c r="K21" s="74" t="s">
        <v>131</v>
      </c>
      <c r="L21" s="74" t="s">
        <v>131</v>
      </c>
      <c r="M21" s="74" t="s">
        <v>131</v>
      </c>
      <c r="N21" s="73"/>
      <c r="O21" s="73"/>
      <c r="P21" s="73"/>
      <c r="Q21" s="74" t="s">
        <v>131</v>
      </c>
      <c r="R21" s="74" t="s">
        <v>131</v>
      </c>
      <c r="S21" s="74" t="s">
        <v>131</v>
      </c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</row>
    <row r="22" spans="1:40" x14ac:dyDescent="0.25">
      <c r="A22" s="86" t="s">
        <v>131</v>
      </c>
      <c r="B22" s="86" t="s">
        <v>131</v>
      </c>
      <c r="C22" s="86" t="s">
        <v>131</v>
      </c>
      <c r="D22" s="86" t="s">
        <v>131</v>
      </c>
      <c r="E22" s="74" t="s">
        <v>131</v>
      </c>
      <c r="F22" s="74" t="s">
        <v>131</v>
      </c>
      <c r="G22" s="74" t="s">
        <v>131</v>
      </c>
      <c r="H22" s="74" t="s">
        <v>131</v>
      </c>
      <c r="I22" s="74" t="s">
        <v>131</v>
      </c>
      <c r="J22" s="74" t="s">
        <v>131</v>
      </c>
      <c r="K22" s="74" t="s">
        <v>131</v>
      </c>
      <c r="L22" s="74" t="s">
        <v>131</v>
      </c>
      <c r="M22" s="74" t="s">
        <v>131</v>
      </c>
      <c r="N22" s="73"/>
      <c r="O22" s="73"/>
      <c r="P22" s="73"/>
      <c r="Q22" s="74" t="s">
        <v>131</v>
      </c>
      <c r="R22" s="74" t="s">
        <v>131</v>
      </c>
      <c r="S22" s="74" t="s">
        <v>131</v>
      </c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</row>
    <row r="23" spans="1:40" x14ac:dyDescent="0.25">
      <c r="A23" s="86" t="s">
        <v>131</v>
      </c>
      <c r="B23" s="86" t="s">
        <v>131</v>
      </c>
      <c r="C23" s="86" t="s">
        <v>131</v>
      </c>
      <c r="D23" s="86" t="s">
        <v>131</v>
      </c>
      <c r="E23" s="74" t="s">
        <v>131</v>
      </c>
      <c r="F23" s="74" t="s">
        <v>131</v>
      </c>
      <c r="G23" s="74" t="s">
        <v>131</v>
      </c>
      <c r="H23" s="74" t="s">
        <v>131</v>
      </c>
      <c r="I23" s="74" t="s">
        <v>131</v>
      </c>
      <c r="J23" s="74" t="s">
        <v>131</v>
      </c>
      <c r="K23" s="74" t="s">
        <v>131</v>
      </c>
      <c r="L23" s="74" t="s">
        <v>131</v>
      </c>
      <c r="M23" s="74" t="s">
        <v>131</v>
      </c>
      <c r="N23" s="88"/>
      <c r="O23" s="74"/>
      <c r="P23" s="88"/>
      <c r="Q23" s="74" t="s">
        <v>131</v>
      </c>
      <c r="R23" s="74" t="s">
        <v>131</v>
      </c>
      <c r="S23" s="74" t="s">
        <v>131</v>
      </c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</row>
    <row r="24" spans="1:40" x14ac:dyDescent="0.25">
      <c r="A24" s="86" t="s">
        <v>131</v>
      </c>
      <c r="B24" s="86" t="s">
        <v>131</v>
      </c>
      <c r="C24" s="86" t="s">
        <v>131</v>
      </c>
      <c r="D24" s="86" t="s">
        <v>131</v>
      </c>
      <c r="E24" s="74" t="s">
        <v>131</v>
      </c>
      <c r="F24" s="74" t="s">
        <v>131</v>
      </c>
      <c r="G24" s="74" t="s">
        <v>131</v>
      </c>
      <c r="H24" s="74" t="s">
        <v>131</v>
      </c>
      <c r="I24" s="74" t="s">
        <v>131</v>
      </c>
      <c r="J24" s="74" t="s">
        <v>131</v>
      </c>
      <c r="K24" s="74" t="s">
        <v>131</v>
      </c>
      <c r="L24" s="74" t="s">
        <v>131</v>
      </c>
      <c r="M24" s="74" t="s">
        <v>131</v>
      </c>
      <c r="N24" s="74" t="s">
        <v>131</v>
      </c>
      <c r="O24" s="74" t="s">
        <v>131</v>
      </c>
      <c r="P24" s="74" t="s">
        <v>131</v>
      </c>
      <c r="Q24" s="74" t="s">
        <v>131</v>
      </c>
      <c r="R24" s="74" t="s">
        <v>131</v>
      </c>
      <c r="S24" s="74" t="s">
        <v>131</v>
      </c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</row>
    <row r="25" spans="1:40" x14ac:dyDescent="0.25">
      <c r="A25" s="86" t="s">
        <v>131</v>
      </c>
      <c r="B25" s="86" t="s">
        <v>131</v>
      </c>
      <c r="C25" s="86" t="s">
        <v>131</v>
      </c>
      <c r="D25" s="86" t="s">
        <v>131</v>
      </c>
      <c r="E25" s="74" t="s">
        <v>131</v>
      </c>
      <c r="F25" s="74" t="s">
        <v>131</v>
      </c>
      <c r="G25" s="74" t="s">
        <v>131</v>
      </c>
      <c r="H25" s="74" t="s">
        <v>131</v>
      </c>
      <c r="I25" s="74" t="s">
        <v>131</v>
      </c>
      <c r="J25" s="74" t="s">
        <v>131</v>
      </c>
      <c r="K25" s="74" t="s">
        <v>131</v>
      </c>
      <c r="L25" s="88"/>
      <c r="M25" s="74" t="s">
        <v>131</v>
      </c>
      <c r="N25" s="74" t="s">
        <v>131</v>
      </c>
      <c r="O25" s="74" t="s">
        <v>131</v>
      </c>
      <c r="P25" s="74" t="s">
        <v>131</v>
      </c>
      <c r="Q25" s="74" t="s">
        <v>131</v>
      </c>
      <c r="R25" s="74" t="s">
        <v>131</v>
      </c>
      <c r="S25" s="74" t="s">
        <v>131</v>
      </c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</row>
    <row r="26" spans="1:40" x14ac:dyDescent="0.25">
      <c r="A26" s="86" t="s">
        <v>131</v>
      </c>
      <c r="B26" s="86" t="s">
        <v>131</v>
      </c>
      <c r="C26" s="86" t="s">
        <v>131</v>
      </c>
      <c r="D26" s="86" t="s">
        <v>131</v>
      </c>
      <c r="E26" s="74" t="s">
        <v>131</v>
      </c>
      <c r="F26" s="74" t="s">
        <v>131</v>
      </c>
      <c r="G26" s="74" t="s">
        <v>131</v>
      </c>
      <c r="H26" s="74" t="s">
        <v>131</v>
      </c>
      <c r="I26" s="74" t="s">
        <v>131</v>
      </c>
      <c r="J26" s="74" t="s">
        <v>131</v>
      </c>
      <c r="K26" s="74" t="s">
        <v>131</v>
      </c>
      <c r="L26" s="74" t="s">
        <v>131</v>
      </c>
      <c r="M26" s="74" t="s">
        <v>131</v>
      </c>
      <c r="N26" s="74" t="s">
        <v>131</v>
      </c>
      <c r="O26" s="74" t="s">
        <v>131</v>
      </c>
      <c r="P26" s="74" t="s">
        <v>131</v>
      </c>
      <c r="Q26" s="74" t="s">
        <v>131</v>
      </c>
      <c r="R26" s="74" t="s">
        <v>131</v>
      </c>
      <c r="S26" s="74" t="s">
        <v>131</v>
      </c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</row>
    <row r="27" spans="1:40" x14ac:dyDescent="0.25">
      <c r="A27" s="86" t="s">
        <v>131</v>
      </c>
      <c r="B27" s="86" t="s">
        <v>131</v>
      </c>
      <c r="C27" s="86" t="s">
        <v>131</v>
      </c>
      <c r="D27" s="86" t="s">
        <v>131</v>
      </c>
      <c r="E27" s="74" t="s">
        <v>131</v>
      </c>
      <c r="F27" s="74" t="s">
        <v>131</v>
      </c>
      <c r="G27" s="74" t="s">
        <v>131</v>
      </c>
      <c r="H27" s="74" t="s">
        <v>131</v>
      </c>
      <c r="I27" s="74" t="s">
        <v>131</v>
      </c>
      <c r="J27" s="74" t="s">
        <v>131</v>
      </c>
      <c r="K27" s="74" t="s">
        <v>131</v>
      </c>
      <c r="L27" s="74" t="s">
        <v>131</v>
      </c>
      <c r="M27" s="74" t="s">
        <v>131</v>
      </c>
      <c r="N27" s="74" t="s">
        <v>131</v>
      </c>
      <c r="O27" s="74" t="s">
        <v>131</v>
      </c>
      <c r="P27" s="74" t="s">
        <v>131</v>
      </c>
      <c r="Q27" s="74" t="s">
        <v>131</v>
      </c>
      <c r="R27" s="74" t="s">
        <v>131</v>
      </c>
      <c r="S27" s="74" t="s">
        <v>131</v>
      </c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</row>
    <row r="28" spans="1:40" x14ac:dyDescent="0.25">
      <c r="A28" s="86" t="s">
        <v>131</v>
      </c>
      <c r="B28" s="86" t="s">
        <v>131</v>
      </c>
      <c r="C28" s="86" t="s">
        <v>131</v>
      </c>
      <c r="D28" s="86" t="s">
        <v>131</v>
      </c>
      <c r="E28" s="74" t="s">
        <v>131</v>
      </c>
      <c r="F28" s="74" t="s">
        <v>131</v>
      </c>
      <c r="G28" s="74" t="s">
        <v>131</v>
      </c>
      <c r="H28" s="74" t="s">
        <v>131</v>
      </c>
      <c r="I28" s="74" t="s">
        <v>131</v>
      </c>
      <c r="J28" s="74" t="s">
        <v>131</v>
      </c>
      <c r="K28" s="74" t="s">
        <v>131</v>
      </c>
      <c r="L28" s="74" t="s">
        <v>131</v>
      </c>
      <c r="M28" s="74" t="s">
        <v>131</v>
      </c>
      <c r="N28" s="74" t="s">
        <v>131</v>
      </c>
      <c r="O28" s="74" t="s">
        <v>131</v>
      </c>
      <c r="P28" s="74" t="s">
        <v>131</v>
      </c>
      <c r="Q28" s="74" t="s">
        <v>131</v>
      </c>
      <c r="R28" s="74" t="s">
        <v>131</v>
      </c>
      <c r="S28" s="74" t="s">
        <v>131</v>
      </c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</row>
    <row r="29" spans="1:40" x14ac:dyDescent="0.25">
      <c r="A29" s="86" t="s">
        <v>131</v>
      </c>
      <c r="B29" s="86" t="s">
        <v>131</v>
      </c>
      <c r="C29" s="86" t="s">
        <v>131</v>
      </c>
      <c r="D29" s="86" t="s">
        <v>131</v>
      </c>
      <c r="E29" s="74" t="s">
        <v>131</v>
      </c>
      <c r="F29" s="74" t="s">
        <v>131</v>
      </c>
      <c r="G29" s="74" t="s">
        <v>131</v>
      </c>
      <c r="H29" s="74" t="s">
        <v>131</v>
      </c>
      <c r="I29" s="74" t="s">
        <v>131</v>
      </c>
      <c r="J29" s="74" t="s">
        <v>131</v>
      </c>
      <c r="K29" s="74" t="s">
        <v>131</v>
      </c>
      <c r="L29" s="74" t="s">
        <v>131</v>
      </c>
      <c r="M29" s="74" t="s">
        <v>131</v>
      </c>
      <c r="N29" s="74" t="s">
        <v>131</v>
      </c>
      <c r="O29" s="74" t="s">
        <v>131</v>
      </c>
      <c r="P29" s="74" t="s">
        <v>131</v>
      </c>
      <c r="Q29" s="74" t="s">
        <v>131</v>
      </c>
      <c r="R29" s="74" t="s">
        <v>131</v>
      </c>
      <c r="S29" s="74" t="s">
        <v>131</v>
      </c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</row>
    <row r="30" spans="1:40" x14ac:dyDescent="0.25">
      <c r="A30" s="86" t="s">
        <v>131</v>
      </c>
      <c r="B30" s="86" t="s">
        <v>131</v>
      </c>
      <c r="C30" s="86" t="s">
        <v>131</v>
      </c>
      <c r="D30" s="86" t="s">
        <v>131</v>
      </c>
      <c r="E30" s="74" t="s">
        <v>131</v>
      </c>
      <c r="F30" s="74" t="s">
        <v>131</v>
      </c>
      <c r="G30" s="74" t="s">
        <v>131</v>
      </c>
      <c r="H30" s="74" t="s">
        <v>131</v>
      </c>
      <c r="I30" s="74" t="s">
        <v>131</v>
      </c>
      <c r="J30" s="74" t="s">
        <v>131</v>
      </c>
      <c r="K30" s="74" t="s">
        <v>131</v>
      </c>
      <c r="L30" s="74" t="s">
        <v>131</v>
      </c>
      <c r="M30" s="74" t="s">
        <v>131</v>
      </c>
      <c r="N30" s="74" t="s">
        <v>131</v>
      </c>
      <c r="O30" s="74" t="s">
        <v>131</v>
      </c>
      <c r="P30" s="74" t="s">
        <v>131</v>
      </c>
      <c r="Q30" s="74" t="s">
        <v>131</v>
      </c>
      <c r="R30" s="74" t="s">
        <v>131</v>
      </c>
      <c r="S30" s="74" t="s">
        <v>131</v>
      </c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</row>
    <row r="31" spans="1:40" x14ac:dyDescent="0.25">
      <c r="A31" s="86" t="s">
        <v>131</v>
      </c>
      <c r="B31" s="86" t="s">
        <v>131</v>
      </c>
      <c r="C31" s="86" t="s">
        <v>131</v>
      </c>
      <c r="D31" s="86" t="s">
        <v>131</v>
      </c>
      <c r="E31" s="74" t="s">
        <v>131</v>
      </c>
      <c r="F31" s="74" t="s">
        <v>131</v>
      </c>
      <c r="G31" s="74" t="s">
        <v>131</v>
      </c>
      <c r="H31" s="74" t="s">
        <v>131</v>
      </c>
      <c r="I31" s="74" t="s">
        <v>131</v>
      </c>
      <c r="J31" s="74" t="s">
        <v>131</v>
      </c>
      <c r="K31" s="74" t="s">
        <v>131</v>
      </c>
      <c r="L31" s="74" t="s">
        <v>131</v>
      </c>
      <c r="M31" s="74" t="s">
        <v>131</v>
      </c>
      <c r="N31" s="74" t="s">
        <v>131</v>
      </c>
      <c r="O31" s="74" t="s">
        <v>131</v>
      </c>
      <c r="P31" s="74" t="s">
        <v>131</v>
      </c>
      <c r="Q31" s="74" t="s">
        <v>131</v>
      </c>
      <c r="R31" s="74" t="s">
        <v>131</v>
      </c>
      <c r="S31" s="74" t="s">
        <v>131</v>
      </c>
    </row>
    <row r="32" spans="1:40" x14ac:dyDescent="0.25">
      <c r="A32" s="86" t="s">
        <v>131</v>
      </c>
      <c r="B32" s="86" t="s">
        <v>131</v>
      </c>
      <c r="C32" s="86" t="s">
        <v>131</v>
      </c>
      <c r="D32" s="86" t="s">
        <v>131</v>
      </c>
      <c r="E32" s="74" t="s">
        <v>131</v>
      </c>
      <c r="F32" s="74" t="s">
        <v>131</v>
      </c>
      <c r="G32" s="74" t="s">
        <v>131</v>
      </c>
      <c r="H32" s="74" t="s">
        <v>131</v>
      </c>
      <c r="I32" s="74" t="s">
        <v>131</v>
      </c>
      <c r="J32" s="74" t="s">
        <v>131</v>
      </c>
      <c r="K32" s="74" t="s">
        <v>131</v>
      </c>
      <c r="L32" s="74" t="s">
        <v>131</v>
      </c>
      <c r="M32" s="74" t="s">
        <v>131</v>
      </c>
      <c r="N32" s="74" t="s">
        <v>131</v>
      </c>
      <c r="O32" s="74" t="s">
        <v>131</v>
      </c>
      <c r="P32" s="74" t="s">
        <v>131</v>
      </c>
      <c r="Q32" s="74" t="s">
        <v>131</v>
      </c>
      <c r="R32" s="74" t="s">
        <v>131</v>
      </c>
      <c r="S32" s="74" t="s">
        <v>131</v>
      </c>
    </row>
    <row r="33" spans="1:19" x14ac:dyDescent="0.25">
      <c r="A33" s="86" t="s">
        <v>131</v>
      </c>
      <c r="B33" s="86" t="s">
        <v>131</v>
      </c>
      <c r="C33" s="86" t="s">
        <v>131</v>
      </c>
      <c r="D33" s="86" t="s">
        <v>131</v>
      </c>
      <c r="E33" s="74" t="s">
        <v>131</v>
      </c>
      <c r="F33" s="74" t="s">
        <v>131</v>
      </c>
      <c r="G33" s="74" t="s">
        <v>131</v>
      </c>
      <c r="H33" s="74" t="s">
        <v>131</v>
      </c>
      <c r="I33" s="74" t="s">
        <v>131</v>
      </c>
      <c r="J33" s="74" t="s">
        <v>131</v>
      </c>
      <c r="K33" s="74" t="s">
        <v>131</v>
      </c>
      <c r="L33" s="74" t="s">
        <v>131</v>
      </c>
      <c r="M33" s="74" t="s">
        <v>131</v>
      </c>
      <c r="N33" s="74" t="s">
        <v>131</v>
      </c>
      <c r="O33" s="74" t="s">
        <v>131</v>
      </c>
      <c r="P33" s="74" t="s">
        <v>131</v>
      </c>
      <c r="Q33" s="74" t="s">
        <v>131</v>
      </c>
      <c r="R33" s="74" t="s">
        <v>131</v>
      </c>
      <c r="S33" s="74" t="s">
        <v>131</v>
      </c>
    </row>
    <row r="34" spans="1:19" x14ac:dyDescent="0.25">
      <c r="A34" s="86" t="s">
        <v>131</v>
      </c>
      <c r="B34" s="86" t="s">
        <v>131</v>
      </c>
      <c r="C34" s="86" t="s">
        <v>131</v>
      </c>
      <c r="D34" s="86" t="s">
        <v>131</v>
      </c>
      <c r="E34" s="74" t="s">
        <v>131</v>
      </c>
      <c r="F34" s="74" t="s">
        <v>131</v>
      </c>
      <c r="G34" s="74" t="s">
        <v>131</v>
      </c>
      <c r="H34" s="74" t="s">
        <v>131</v>
      </c>
      <c r="I34" s="74" t="s">
        <v>131</v>
      </c>
      <c r="J34" s="74" t="s">
        <v>131</v>
      </c>
      <c r="K34" s="74" t="s">
        <v>131</v>
      </c>
      <c r="L34" s="74" t="s">
        <v>131</v>
      </c>
      <c r="M34" s="74" t="s">
        <v>131</v>
      </c>
      <c r="N34" s="74" t="s">
        <v>131</v>
      </c>
      <c r="O34" s="74" t="s">
        <v>131</v>
      </c>
      <c r="P34" s="74" t="s">
        <v>131</v>
      </c>
      <c r="Q34" s="74" t="s">
        <v>131</v>
      </c>
      <c r="R34" s="74" t="s">
        <v>131</v>
      </c>
      <c r="S34" s="74" t="s">
        <v>131</v>
      </c>
    </row>
    <row r="35" spans="1:19" x14ac:dyDescent="0.25">
      <c r="A35" s="86" t="s">
        <v>131</v>
      </c>
      <c r="B35" s="86" t="s">
        <v>131</v>
      </c>
      <c r="C35" s="86" t="s">
        <v>131</v>
      </c>
      <c r="D35" s="86" t="s">
        <v>131</v>
      </c>
      <c r="E35" s="74" t="s">
        <v>131</v>
      </c>
      <c r="F35" s="74" t="s">
        <v>131</v>
      </c>
      <c r="G35" s="74" t="s">
        <v>131</v>
      </c>
      <c r="H35" s="74" t="s">
        <v>131</v>
      </c>
      <c r="I35" s="74" t="s">
        <v>131</v>
      </c>
      <c r="J35" s="74" t="s">
        <v>131</v>
      </c>
      <c r="K35" s="74" t="s">
        <v>131</v>
      </c>
      <c r="L35" s="74" t="s">
        <v>131</v>
      </c>
      <c r="M35" s="74" t="s">
        <v>131</v>
      </c>
      <c r="N35" s="74" t="s">
        <v>131</v>
      </c>
      <c r="O35" s="74" t="s">
        <v>131</v>
      </c>
      <c r="P35" s="74" t="s">
        <v>131</v>
      </c>
      <c r="Q35" s="74" t="s">
        <v>131</v>
      </c>
      <c r="R35" s="74" t="s">
        <v>131</v>
      </c>
      <c r="S35" s="74" t="s">
        <v>131</v>
      </c>
    </row>
    <row r="36" spans="1:19" x14ac:dyDescent="0.25">
      <c r="A36" s="86" t="s">
        <v>131</v>
      </c>
      <c r="B36" s="86" t="s">
        <v>131</v>
      </c>
      <c r="C36" s="86" t="s">
        <v>131</v>
      </c>
      <c r="D36" s="86" t="s">
        <v>131</v>
      </c>
      <c r="E36" s="74" t="s">
        <v>131</v>
      </c>
      <c r="F36" s="74" t="s">
        <v>131</v>
      </c>
      <c r="G36" s="74" t="s">
        <v>131</v>
      </c>
      <c r="H36" s="74" t="s">
        <v>131</v>
      </c>
      <c r="I36" s="74" t="s">
        <v>131</v>
      </c>
      <c r="J36" s="74" t="s">
        <v>131</v>
      </c>
      <c r="K36" s="74" t="s">
        <v>131</v>
      </c>
      <c r="L36" s="74" t="s">
        <v>131</v>
      </c>
      <c r="M36" s="74" t="s">
        <v>131</v>
      </c>
      <c r="N36" s="74" t="s">
        <v>131</v>
      </c>
      <c r="O36" s="74" t="s">
        <v>131</v>
      </c>
      <c r="P36" s="74" t="s">
        <v>131</v>
      </c>
      <c r="Q36" s="74" t="s">
        <v>131</v>
      </c>
      <c r="R36" s="74" t="s">
        <v>131</v>
      </c>
      <c r="S36" s="74" t="s">
        <v>131</v>
      </c>
    </row>
  </sheetData>
  <mergeCells count="5">
    <mergeCell ref="F14:G17"/>
    <mergeCell ref="J8:J9"/>
    <mergeCell ref="J19:J20"/>
    <mergeCell ref="F2:G3"/>
    <mergeCell ref="F12:G12"/>
  </mergeCells>
  <conditionalFormatting sqref="F14">
    <cfRule type="beginsWith" dxfId="3" priority="1" operator="beginsWith" text="GOOD">
      <formula>LEFT(F14,LEN("GOOD"))="GOOD"</formula>
    </cfRule>
    <cfRule type="containsText" dxfId="2" priority="2" operator="containsText" text="Excellent">
      <formula>NOT(ISERROR(SEARCH("Excellent",F14)))</formula>
    </cfRule>
    <cfRule type="containsText" dxfId="1" priority="3" operator="containsText" text="Very">
      <formula>NOT(ISERROR(SEARCH("Very",F14)))</formula>
    </cfRule>
    <cfRule type="containsText" dxfId="0" priority="4" operator="containsText" text="POOR">
      <formula>NOT(ISERROR(SEARCH("POOR",F14)))</formula>
    </cfRule>
  </conditionalFormatting>
  <pageMargins left="0.7" right="0.7" top="0.75" bottom="0.75" header="0.3" footer="0.3"/>
  <pageSetup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XEE912"/>
  <sheetViews>
    <sheetView workbookViewId="0">
      <pane xSplit="3" ySplit="6" topLeftCell="E28" activePane="bottomRight" state="frozen"/>
      <selection pane="topRight" activeCell="D1" sqref="D1"/>
      <selection pane="bottomLeft" activeCell="A7" sqref="A7"/>
      <selection pane="bottomRight" activeCell="O35" sqref="O35:R35"/>
    </sheetView>
  </sheetViews>
  <sheetFormatPr defaultRowHeight="15" x14ac:dyDescent="0.25"/>
  <cols>
    <col min="1" max="1" width="11.42578125" customWidth="1"/>
    <col min="2" max="2" width="12.7109375" customWidth="1"/>
    <col min="3" max="3" width="6.7109375" hidden="1" customWidth="1"/>
    <col min="4" max="4" width="20.7109375" style="214" customWidth="1"/>
    <col min="5" max="5" width="25.7109375" style="214" customWidth="1"/>
    <col min="6" max="7" width="5.7109375" hidden="1" customWidth="1"/>
    <col min="8" max="9" width="16.7109375" style="278" customWidth="1"/>
    <col min="10" max="10" width="5.7109375" hidden="1" customWidth="1"/>
    <col min="11" max="11" width="16.7109375" style="214" customWidth="1"/>
    <col min="12" max="14" width="12.7109375" style="214" customWidth="1"/>
    <col min="15" max="18" width="10.7109375" style="214" customWidth="1"/>
  </cols>
  <sheetData>
    <row r="2" spans="1:18 16359:16359" ht="24.95" customHeight="1" x14ac:dyDescent="0.25">
      <c r="A2" s="625" t="s">
        <v>275</v>
      </c>
      <c r="B2" s="626"/>
      <c r="C2" s="626"/>
      <c r="D2" s="626"/>
      <c r="E2" s="626"/>
      <c r="F2" s="626"/>
      <c r="G2" s="626"/>
      <c r="H2" s="626"/>
      <c r="I2" s="626"/>
      <c r="J2" s="626"/>
      <c r="K2" s="626"/>
      <c r="L2" s="626"/>
      <c r="M2" s="626"/>
      <c r="N2" s="626"/>
      <c r="O2" s="626"/>
      <c r="P2" s="626"/>
      <c r="Q2" s="626"/>
      <c r="R2" s="627"/>
    </row>
    <row r="3" spans="1:18 16359:16359" ht="15" customHeight="1" x14ac:dyDescent="0.25">
      <c r="A3" s="634" t="s">
        <v>172</v>
      </c>
      <c r="B3" s="634" t="s">
        <v>116</v>
      </c>
      <c r="C3" s="310"/>
      <c r="D3" s="634" t="s">
        <v>195</v>
      </c>
      <c r="E3" s="634" t="s">
        <v>162</v>
      </c>
      <c r="F3" s="311"/>
      <c r="G3" s="312"/>
      <c r="H3" s="628" t="s">
        <v>163</v>
      </c>
      <c r="I3" s="630"/>
      <c r="J3" s="311"/>
      <c r="K3" s="634" t="s">
        <v>237</v>
      </c>
      <c r="L3" s="628" t="s">
        <v>201</v>
      </c>
      <c r="M3" s="629"/>
      <c r="N3" s="630"/>
      <c r="O3" s="628" t="s">
        <v>277</v>
      </c>
      <c r="P3" s="629"/>
      <c r="Q3" s="629"/>
      <c r="R3" s="630"/>
    </row>
    <row r="4" spans="1:18 16359:16359" ht="48" customHeight="1" x14ac:dyDescent="0.25">
      <c r="A4" s="635"/>
      <c r="B4" s="635"/>
      <c r="C4" s="304" t="s">
        <v>269</v>
      </c>
      <c r="D4" s="636"/>
      <c r="E4" s="636"/>
      <c r="F4" s="304" t="s">
        <v>269</v>
      </c>
      <c r="G4" s="313"/>
      <c r="H4" s="631"/>
      <c r="I4" s="633"/>
      <c r="J4" s="313"/>
      <c r="K4" s="636"/>
      <c r="L4" s="631"/>
      <c r="M4" s="632"/>
      <c r="N4" s="633"/>
      <c r="O4" s="631"/>
      <c r="P4" s="632"/>
      <c r="Q4" s="632"/>
      <c r="R4" s="633"/>
    </row>
    <row r="5" spans="1:18 16359:16359" ht="25.5" customHeight="1" x14ac:dyDescent="0.25">
      <c r="A5" s="635"/>
      <c r="B5" s="635"/>
      <c r="C5" s="304" t="s">
        <v>273</v>
      </c>
      <c r="D5" s="309" t="s">
        <v>269</v>
      </c>
      <c r="E5" s="309" t="s">
        <v>270</v>
      </c>
      <c r="F5" s="304" t="s">
        <v>273</v>
      </c>
      <c r="G5" s="307"/>
      <c r="H5" s="315" t="s">
        <v>271</v>
      </c>
      <c r="I5" s="315" t="s">
        <v>272</v>
      </c>
      <c r="J5" s="307"/>
      <c r="K5" s="309" t="s">
        <v>269</v>
      </c>
      <c r="L5" s="309" t="s">
        <v>167</v>
      </c>
      <c r="M5" s="309" t="s">
        <v>169</v>
      </c>
      <c r="N5" s="309" t="s">
        <v>168</v>
      </c>
      <c r="O5" s="309" t="s">
        <v>276</v>
      </c>
      <c r="P5" s="309" t="s">
        <v>167</v>
      </c>
      <c r="Q5" s="309" t="s">
        <v>169</v>
      </c>
      <c r="R5" s="309" t="s">
        <v>168</v>
      </c>
    </row>
    <row r="6" spans="1:18 16359:16359" x14ac:dyDescent="0.25">
      <c r="A6" s="636"/>
      <c r="B6" s="636"/>
      <c r="C6" s="306"/>
      <c r="D6" s="314">
        <v>0.25</v>
      </c>
      <c r="E6" s="305">
        <v>0.2</v>
      </c>
      <c r="F6" s="305"/>
      <c r="G6" s="305"/>
      <c r="H6" s="622">
        <v>0.25</v>
      </c>
      <c r="I6" s="624"/>
      <c r="J6" s="305"/>
      <c r="K6" s="305">
        <v>0.1</v>
      </c>
      <c r="L6" s="622">
        <v>0.1</v>
      </c>
      <c r="M6" s="623"/>
      <c r="N6" s="624"/>
      <c r="O6" s="622">
        <v>0.1</v>
      </c>
      <c r="P6" s="623"/>
      <c r="Q6" s="623"/>
      <c r="R6" s="624"/>
    </row>
    <row r="7" spans="1:18 16359:16359" x14ac:dyDescent="0.25">
      <c r="A7" s="364" t="s">
        <v>178</v>
      </c>
      <c r="B7" s="364">
        <v>46054</v>
      </c>
      <c r="C7" s="208"/>
      <c r="D7" s="363"/>
      <c r="E7" s="363"/>
      <c r="F7" s="362"/>
      <c r="G7" s="362"/>
      <c r="H7" s="363"/>
      <c r="I7" s="363"/>
      <c r="J7" s="362"/>
      <c r="K7" s="363"/>
      <c r="L7" s="363"/>
      <c r="M7" s="363"/>
      <c r="N7" s="363"/>
      <c r="O7" s="363"/>
      <c r="P7" s="363"/>
      <c r="Q7" s="363"/>
      <c r="R7" s="363"/>
    </row>
    <row r="8" spans="1:18 16359:16359" x14ac:dyDescent="0.25">
      <c r="A8" s="208" t="s">
        <v>285</v>
      </c>
      <c r="B8" s="208">
        <v>46055</v>
      </c>
      <c r="C8" s="208"/>
      <c r="D8" s="224">
        <v>0.42708333333333331</v>
      </c>
      <c r="E8" s="224">
        <v>0.49305555555555558</v>
      </c>
      <c r="F8" s="224" t="s">
        <v>170</v>
      </c>
      <c r="G8" s="224" t="s">
        <v>170</v>
      </c>
      <c r="H8" s="224">
        <v>0.51736111111111105</v>
      </c>
      <c r="I8" s="224">
        <v>0.5229166666666667</v>
      </c>
      <c r="J8" s="224" t="s">
        <v>170</v>
      </c>
      <c r="K8" s="224">
        <v>0.52152777777777781</v>
      </c>
      <c r="L8" s="224">
        <v>0.56944444444444442</v>
      </c>
      <c r="M8" s="224">
        <v>0.56805555555555554</v>
      </c>
      <c r="N8" s="224" t="s">
        <v>170</v>
      </c>
      <c r="O8" s="224">
        <v>0.53333333333333333</v>
      </c>
      <c r="P8" s="224">
        <v>0.53819444444444442</v>
      </c>
      <c r="Q8" s="224">
        <v>0.54652777777777783</v>
      </c>
      <c r="R8" s="224">
        <v>0.35972222222222222</v>
      </c>
    </row>
    <row r="9" spans="1:18 16359:16359" x14ac:dyDescent="0.25">
      <c r="A9" s="208" t="s">
        <v>286</v>
      </c>
      <c r="B9" s="208">
        <v>46056</v>
      </c>
      <c r="C9" s="208"/>
      <c r="D9" s="224">
        <v>0.40625</v>
      </c>
      <c r="E9" s="224">
        <v>0.48194444444444445</v>
      </c>
      <c r="F9" s="224" t="s">
        <v>170</v>
      </c>
      <c r="G9" s="224" t="s">
        <v>170</v>
      </c>
      <c r="H9" s="224">
        <v>0.49861111111111112</v>
      </c>
      <c r="I9" s="224">
        <v>0.47986111111111113</v>
      </c>
      <c r="J9" s="224" t="s">
        <v>170</v>
      </c>
      <c r="K9" s="224">
        <v>0.50138888888888888</v>
      </c>
      <c r="L9" s="224">
        <v>0.63888888888888895</v>
      </c>
      <c r="M9" s="224" t="s">
        <v>170</v>
      </c>
      <c r="N9" s="224" t="s">
        <v>170</v>
      </c>
      <c r="O9" s="224">
        <v>0.54027777777777775</v>
      </c>
      <c r="P9" s="224">
        <v>0.55138888888888882</v>
      </c>
      <c r="Q9" s="224">
        <v>0.5444444444444444</v>
      </c>
      <c r="R9" s="224">
        <v>0.54583333333333328</v>
      </c>
    </row>
    <row r="10" spans="1:18 16359:16359" s="25" customFormat="1" x14ac:dyDescent="0.25">
      <c r="A10" s="208" t="s">
        <v>175</v>
      </c>
      <c r="B10" s="208">
        <v>46057</v>
      </c>
      <c r="C10" s="208"/>
      <c r="D10" s="224">
        <v>0.49652777777777773</v>
      </c>
      <c r="E10" s="224">
        <v>0.54236111111111118</v>
      </c>
      <c r="F10" s="224" t="s">
        <v>170</v>
      </c>
      <c r="G10" s="224" t="s">
        <v>170</v>
      </c>
      <c r="H10" s="224">
        <v>0.57500000000000007</v>
      </c>
      <c r="I10" s="224">
        <v>0.5541666666666667</v>
      </c>
      <c r="J10" s="224" t="s">
        <v>170</v>
      </c>
      <c r="K10" s="224">
        <v>0.55555555555555558</v>
      </c>
      <c r="L10" s="224">
        <v>0.55208333333333337</v>
      </c>
      <c r="M10" s="224" t="s">
        <v>170</v>
      </c>
      <c r="N10" s="224" t="s">
        <v>170</v>
      </c>
      <c r="O10" s="224">
        <v>0.54236111111111118</v>
      </c>
      <c r="P10" s="224">
        <v>0.51736111111111105</v>
      </c>
      <c r="Q10" s="224">
        <v>0.54791666666666672</v>
      </c>
      <c r="R10" s="224">
        <v>0.55069444444444449</v>
      </c>
    </row>
    <row r="11" spans="1:18 16359:16359" x14ac:dyDescent="0.25">
      <c r="A11" s="208" t="s">
        <v>284</v>
      </c>
      <c r="B11" s="208">
        <v>46058</v>
      </c>
      <c r="C11" s="208"/>
      <c r="D11" s="224">
        <v>0.44791666666666669</v>
      </c>
      <c r="E11" s="224">
        <v>0.51944444444444449</v>
      </c>
      <c r="F11" s="224" t="s">
        <v>170</v>
      </c>
      <c r="G11" s="224" t="s">
        <v>170</v>
      </c>
      <c r="H11" s="224">
        <v>0.57222222222222219</v>
      </c>
      <c r="I11" s="224">
        <v>0.57500000000000007</v>
      </c>
      <c r="J11" s="224" t="s">
        <v>170</v>
      </c>
      <c r="K11" s="224">
        <v>0.5854166666666667</v>
      </c>
      <c r="L11" s="224">
        <v>0.63055555555555554</v>
      </c>
      <c r="M11" s="224">
        <v>0.62847222222222221</v>
      </c>
      <c r="N11" s="224" t="s">
        <v>170</v>
      </c>
      <c r="O11" s="224">
        <v>0.55555555555555558</v>
      </c>
      <c r="P11" s="224">
        <v>0.56666666666666665</v>
      </c>
      <c r="Q11" s="224">
        <v>0.56944444444444442</v>
      </c>
      <c r="R11" s="224">
        <v>0.56805555555555554</v>
      </c>
    </row>
    <row r="12" spans="1:18 16359:16359" x14ac:dyDescent="0.25">
      <c r="A12" s="208" t="s">
        <v>177</v>
      </c>
      <c r="B12" s="208">
        <v>46059</v>
      </c>
      <c r="C12" s="217"/>
      <c r="D12" s="224">
        <v>0.42708333333333331</v>
      </c>
      <c r="E12" s="224">
        <v>0.49583333333333335</v>
      </c>
      <c r="F12" s="224" t="s">
        <v>170</v>
      </c>
      <c r="G12" s="224" t="s">
        <v>170</v>
      </c>
      <c r="H12" s="224">
        <v>0.50069444444444444</v>
      </c>
      <c r="I12" s="224">
        <v>0.49652777777777773</v>
      </c>
      <c r="J12" s="224" t="s">
        <v>170</v>
      </c>
      <c r="K12" s="224">
        <v>0.50763888888888886</v>
      </c>
      <c r="L12" s="224">
        <v>0.57638888888888895</v>
      </c>
      <c r="M12" s="224">
        <v>0.57291666666666663</v>
      </c>
      <c r="N12" s="224" t="s">
        <v>170</v>
      </c>
      <c r="O12" s="224">
        <v>0.53194444444444444</v>
      </c>
      <c r="P12" s="224">
        <v>0.54722222222222217</v>
      </c>
      <c r="Q12" s="224">
        <v>0.53680555555555554</v>
      </c>
      <c r="R12" s="224">
        <v>0.54027777777777775</v>
      </c>
      <c r="XEE12" s="208"/>
    </row>
    <row r="13" spans="1:18 16359:16359" x14ac:dyDescent="0.25">
      <c r="A13" s="208" t="s">
        <v>174</v>
      </c>
      <c r="B13" s="208">
        <v>46060</v>
      </c>
      <c r="C13" s="217"/>
      <c r="D13" s="224">
        <v>0.43124999999999997</v>
      </c>
      <c r="E13" s="224">
        <v>0.50555555555555554</v>
      </c>
      <c r="F13" s="224" t="s">
        <v>170</v>
      </c>
      <c r="G13" s="224" t="s">
        <v>170</v>
      </c>
      <c r="H13" s="224">
        <v>0.51944444444444449</v>
      </c>
      <c r="I13" s="224">
        <v>0.52430555555555558</v>
      </c>
      <c r="J13" s="224" t="s">
        <v>170</v>
      </c>
      <c r="K13" s="224">
        <v>0.52847222222222223</v>
      </c>
      <c r="L13" s="224">
        <v>0.54513888888888895</v>
      </c>
      <c r="M13" s="224">
        <v>0.55208333333333337</v>
      </c>
      <c r="N13" s="224" t="s">
        <v>170</v>
      </c>
      <c r="O13" s="224">
        <v>0.44444444444444442</v>
      </c>
      <c r="P13" s="224">
        <v>0.52986111111111112</v>
      </c>
      <c r="Q13" s="224">
        <v>0.54513888888888895</v>
      </c>
      <c r="R13" s="224">
        <v>0.53819444444444442</v>
      </c>
    </row>
    <row r="14" spans="1:18 16359:16359" x14ac:dyDescent="0.25">
      <c r="A14" s="364" t="s">
        <v>178</v>
      </c>
      <c r="B14" s="364">
        <v>46061</v>
      </c>
      <c r="C14" s="217"/>
      <c r="D14" s="363"/>
      <c r="E14" s="363"/>
      <c r="F14" s="362"/>
      <c r="G14" s="362"/>
      <c r="H14" s="363"/>
      <c r="I14" s="363"/>
      <c r="J14" s="362"/>
      <c r="K14" s="363"/>
      <c r="L14" s="363"/>
      <c r="M14" s="363"/>
      <c r="N14" s="363"/>
      <c r="O14" s="363"/>
      <c r="P14" s="363"/>
      <c r="Q14" s="363"/>
      <c r="R14" s="363"/>
    </row>
    <row r="15" spans="1:18 16359:16359" x14ac:dyDescent="0.25">
      <c r="A15" s="208" t="s">
        <v>285</v>
      </c>
      <c r="B15" s="208">
        <v>46062</v>
      </c>
      <c r="C15" s="217"/>
      <c r="D15" s="224" t="s">
        <v>170</v>
      </c>
      <c r="E15" s="224" t="s">
        <v>170</v>
      </c>
      <c r="F15" s="224" t="s">
        <v>170</v>
      </c>
      <c r="G15" s="224" t="s">
        <v>170</v>
      </c>
      <c r="H15" s="224" t="s">
        <v>170</v>
      </c>
      <c r="I15" s="224">
        <v>0.55902777777777779</v>
      </c>
      <c r="J15" s="224" t="s">
        <v>170</v>
      </c>
      <c r="K15" s="224">
        <v>0.56944444444444442</v>
      </c>
      <c r="L15" s="224">
        <v>0.59513888888888888</v>
      </c>
      <c r="M15" s="224">
        <v>0.59375</v>
      </c>
      <c r="N15" s="224" t="s">
        <v>170</v>
      </c>
      <c r="O15" s="224">
        <v>0.53819444444444442</v>
      </c>
      <c r="P15" s="224">
        <v>0.54861111111111105</v>
      </c>
      <c r="Q15" s="224">
        <v>0.53819444444444442</v>
      </c>
      <c r="R15" s="224">
        <v>0.53541666666666665</v>
      </c>
    </row>
    <row r="16" spans="1:18 16359:16359" x14ac:dyDescent="0.25">
      <c r="A16" s="208" t="s">
        <v>286</v>
      </c>
      <c r="B16" s="208">
        <v>46063</v>
      </c>
      <c r="C16" s="217"/>
      <c r="D16" s="224">
        <v>0.4597222222222222</v>
      </c>
      <c r="E16" s="224">
        <v>0.5229166666666667</v>
      </c>
      <c r="F16" s="224" t="s">
        <v>170</v>
      </c>
      <c r="G16" s="224" t="s">
        <v>170</v>
      </c>
      <c r="H16" s="224">
        <v>0.55347222222222225</v>
      </c>
      <c r="I16" s="224">
        <v>0.52361111111111114</v>
      </c>
      <c r="J16" s="224" t="s">
        <v>170</v>
      </c>
      <c r="K16" s="224">
        <v>0.55625000000000002</v>
      </c>
      <c r="L16" s="224">
        <v>0.55763888888888891</v>
      </c>
      <c r="M16" s="224">
        <v>0.55972222222222223</v>
      </c>
      <c r="N16" s="224" t="s">
        <v>170</v>
      </c>
      <c r="O16" s="224">
        <v>0.53402777777777777</v>
      </c>
      <c r="P16" s="224">
        <v>0.54791666666666672</v>
      </c>
      <c r="Q16" s="224">
        <v>0.54236111111111118</v>
      </c>
      <c r="R16" s="224" t="s">
        <v>170</v>
      </c>
    </row>
    <row r="17" spans="1:18" s="25" customFormat="1" x14ac:dyDescent="0.25">
      <c r="A17" s="208" t="s">
        <v>175</v>
      </c>
      <c r="B17" s="208">
        <v>46064</v>
      </c>
      <c r="C17" s="217"/>
      <c r="D17" s="224">
        <v>0.46527777777777773</v>
      </c>
      <c r="E17" s="224">
        <v>0.52222222222222225</v>
      </c>
      <c r="F17" s="224" t="s">
        <v>170</v>
      </c>
      <c r="G17" s="224" t="s">
        <v>170</v>
      </c>
      <c r="H17" s="224">
        <v>0.57291666666666663</v>
      </c>
      <c r="I17" s="224" t="s">
        <v>170</v>
      </c>
      <c r="J17" s="224" t="s">
        <v>170</v>
      </c>
      <c r="K17" s="224">
        <v>0.58402777777777781</v>
      </c>
      <c r="L17" s="224">
        <v>0.6</v>
      </c>
      <c r="M17" s="224">
        <v>0.60138888888888886</v>
      </c>
      <c r="N17" s="224" t="s">
        <v>170</v>
      </c>
      <c r="O17" s="224">
        <v>0.53125</v>
      </c>
      <c r="P17" s="224">
        <v>0.54513888888888895</v>
      </c>
      <c r="Q17" s="224">
        <v>0.53888888888888886</v>
      </c>
      <c r="R17" s="224">
        <v>0.53749999999999998</v>
      </c>
    </row>
    <row r="18" spans="1:18" x14ac:dyDescent="0.25">
      <c r="A18" s="208" t="s">
        <v>284</v>
      </c>
      <c r="B18" s="208">
        <v>46065</v>
      </c>
      <c r="C18" s="217"/>
      <c r="D18" s="224">
        <v>0.4513888888888889</v>
      </c>
      <c r="E18" s="224">
        <v>0.5229166666666667</v>
      </c>
      <c r="F18" s="224" t="s">
        <v>170</v>
      </c>
      <c r="G18" s="224" t="s">
        <v>170</v>
      </c>
      <c r="H18" s="224">
        <v>0.55347222222222225</v>
      </c>
      <c r="I18" s="224">
        <v>0.52361111111111114</v>
      </c>
      <c r="J18" s="224" t="s">
        <v>170</v>
      </c>
      <c r="K18" s="224">
        <v>0.55625000000000002</v>
      </c>
      <c r="L18" s="224">
        <v>0.57986111111111105</v>
      </c>
      <c r="M18" s="224">
        <v>0.57916666666666672</v>
      </c>
      <c r="N18" s="224" t="s">
        <v>170</v>
      </c>
      <c r="O18" s="224">
        <v>0.53541666666666665</v>
      </c>
      <c r="P18" s="224">
        <v>0.55902777777777779</v>
      </c>
      <c r="Q18" s="224">
        <v>0.54791666666666672</v>
      </c>
      <c r="R18" s="224">
        <v>0.5493055555555556</v>
      </c>
    </row>
    <row r="19" spans="1:18" x14ac:dyDescent="0.25">
      <c r="A19" s="208" t="s">
        <v>177</v>
      </c>
      <c r="B19" s="208">
        <v>46066</v>
      </c>
      <c r="C19" s="217"/>
      <c r="D19" s="224">
        <v>0.38541666666666669</v>
      </c>
      <c r="E19" s="224">
        <v>0.50694444444444442</v>
      </c>
      <c r="F19" s="224" t="s">
        <v>170</v>
      </c>
      <c r="G19" s="224" t="s">
        <v>170</v>
      </c>
      <c r="H19" s="224">
        <v>0.50902777777777775</v>
      </c>
      <c r="I19" s="224">
        <v>0.53194444444444444</v>
      </c>
      <c r="J19" s="224" t="s">
        <v>170</v>
      </c>
      <c r="K19" s="224">
        <v>0.54861111111111105</v>
      </c>
      <c r="L19" s="224">
        <v>0.57291666666666663</v>
      </c>
      <c r="M19" s="224">
        <v>0.57708333333333328</v>
      </c>
      <c r="N19" s="224" t="s">
        <v>170</v>
      </c>
      <c r="O19" s="224">
        <v>0.53125</v>
      </c>
      <c r="P19" s="224">
        <v>0.56111111111111112</v>
      </c>
      <c r="Q19" s="224">
        <v>0.5625</v>
      </c>
      <c r="R19" s="224">
        <v>0.55833333333333335</v>
      </c>
    </row>
    <row r="20" spans="1:18" x14ac:dyDescent="0.25">
      <c r="A20" s="208" t="s">
        <v>174</v>
      </c>
      <c r="B20" s="208">
        <v>46067</v>
      </c>
      <c r="C20" s="217"/>
      <c r="D20" s="224" t="s">
        <v>170</v>
      </c>
      <c r="E20" s="224">
        <v>0.41805555555555557</v>
      </c>
      <c r="F20" s="224" t="s">
        <v>170</v>
      </c>
      <c r="G20" s="224" t="s">
        <v>170</v>
      </c>
      <c r="H20" s="224">
        <v>0.50555555555555554</v>
      </c>
      <c r="I20" s="224">
        <v>0.54861111111111105</v>
      </c>
      <c r="J20" s="224" t="s">
        <v>170</v>
      </c>
      <c r="K20" s="224">
        <v>0.56388888888888888</v>
      </c>
      <c r="L20" s="224">
        <v>0.57500000000000007</v>
      </c>
      <c r="M20" s="224">
        <v>0.57986111111111105</v>
      </c>
      <c r="N20" s="224" t="s">
        <v>170</v>
      </c>
      <c r="O20" s="224">
        <v>0.52569444444444446</v>
      </c>
      <c r="P20" s="224">
        <v>0.52916666666666667</v>
      </c>
      <c r="Q20" s="224">
        <v>0.53333333333333333</v>
      </c>
      <c r="R20" s="224">
        <v>0.52222222222222225</v>
      </c>
    </row>
    <row r="21" spans="1:18" x14ac:dyDescent="0.25">
      <c r="A21" s="364" t="s">
        <v>178</v>
      </c>
      <c r="B21" s="364">
        <v>46068</v>
      </c>
      <c r="C21" s="217"/>
      <c r="D21" s="363"/>
      <c r="E21" s="363"/>
      <c r="F21" s="362"/>
      <c r="G21" s="362"/>
      <c r="H21" s="363"/>
      <c r="I21" s="363"/>
      <c r="J21" s="362"/>
      <c r="K21" s="363"/>
      <c r="L21" s="363"/>
      <c r="M21" s="363"/>
      <c r="N21" s="363"/>
      <c r="O21" s="363"/>
      <c r="P21" s="363"/>
      <c r="Q21" s="363"/>
      <c r="R21" s="363"/>
    </row>
    <row r="22" spans="1:18" x14ac:dyDescent="0.25">
      <c r="A22" s="208" t="s">
        <v>285</v>
      </c>
      <c r="B22" s="208">
        <v>46069</v>
      </c>
      <c r="C22" s="217"/>
      <c r="D22" s="224">
        <v>0.43402777777777773</v>
      </c>
      <c r="E22" s="224">
        <v>0.55972222222222223</v>
      </c>
      <c r="F22" s="224" t="s">
        <v>170</v>
      </c>
      <c r="G22" s="224" t="s">
        <v>170</v>
      </c>
      <c r="H22" s="224">
        <v>0.58402777777777781</v>
      </c>
      <c r="I22" s="224">
        <v>0.41041666666666665</v>
      </c>
      <c r="J22" s="224" t="s">
        <v>170</v>
      </c>
      <c r="K22" s="224">
        <v>0.59097222222222223</v>
      </c>
      <c r="L22" s="224">
        <v>0.59583333333333333</v>
      </c>
      <c r="M22" s="224">
        <v>0.59722222222222221</v>
      </c>
      <c r="N22" s="224" t="s">
        <v>170</v>
      </c>
      <c r="O22" s="224">
        <v>0.52708333333333335</v>
      </c>
      <c r="P22" s="224">
        <v>0.52430555555555558</v>
      </c>
      <c r="Q22" s="224">
        <v>0.52638888888888891</v>
      </c>
      <c r="R22" s="224">
        <v>0.52222222222222225</v>
      </c>
    </row>
    <row r="23" spans="1:18" s="25" customFormat="1" x14ac:dyDescent="0.25">
      <c r="A23" s="364" t="s">
        <v>286</v>
      </c>
      <c r="B23" s="364">
        <v>46070</v>
      </c>
      <c r="C23" s="217"/>
      <c r="D23" s="363"/>
      <c r="E23" s="363"/>
      <c r="F23" s="362"/>
      <c r="G23" s="362"/>
      <c r="H23" s="363"/>
      <c r="I23" s="363"/>
      <c r="J23" s="362"/>
      <c r="K23" s="363"/>
      <c r="L23" s="363"/>
      <c r="M23" s="363"/>
      <c r="N23" s="363"/>
      <c r="O23" s="363"/>
      <c r="P23" s="363"/>
      <c r="Q23" s="363"/>
      <c r="R23" s="363"/>
    </row>
    <row r="24" spans="1:18" s="25" customFormat="1" x14ac:dyDescent="0.25">
      <c r="A24" s="208" t="s">
        <v>175</v>
      </c>
      <c r="B24" s="208">
        <v>46071</v>
      </c>
      <c r="C24" s="217"/>
      <c r="D24" s="224">
        <v>0.4548611111111111</v>
      </c>
      <c r="E24" s="224">
        <v>0.52777777777777779</v>
      </c>
      <c r="F24" s="224" t="s">
        <v>170</v>
      </c>
      <c r="G24" s="224" t="s">
        <v>170</v>
      </c>
      <c r="H24" s="224">
        <v>0.53333333333333333</v>
      </c>
      <c r="I24" s="224">
        <v>0.54236111111111118</v>
      </c>
      <c r="J24" s="224" t="s">
        <v>170</v>
      </c>
      <c r="K24" s="224">
        <v>0.56180555555555556</v>
      </c>
      <c r="L24" s="224">
        <v>0.57986111111111105</v>
      </c>
      <c r="M24" s="224">
        <v>0.58680555555555558</v>
      </c>
      <c r="N24" s="224">
        <v>0.59097222222222223</v>
      </c>
      <c r="O24" s="224">
        <v>0.54236111111111118</v>
      </c>
      <c r="P24" s="224">
        <v>0.51736111111111105</v>
      </c>
      <c r="Q24" s="224">
        <v>0.54791666666666672</v>
      </c>
      <c r="R24" s="224">
        <v>0.55069444444444449</v>
      </c>
    </row>
    <row r="25" spans="1:18" x14ac:dyDescent="0.25">
      <c r="A25" s="208" t="s">
        <v>284</v>
      </c>
      <c r="B25" s="208">
        <v>46072</v>
      </c>
      <c r="C25" s="217"/>
      <c r="D25" s="224">
        <v>0.46180555555555558</v>
      </c>
      <c r="E25" s="224">
        <v>0.52638888888888891</v>
      </c>
      <c r="F25" s="224" t="s">
        <v>170</v>
      </c>
      <c r="G25" s="224" t="s">
        <v>170</v>
      </c>
      <c r="H25" s="224">
        <v>0.52916666666666667</v>
      </c>
      <c r="I25" s="224">
        <v>0.53402777777777777</v>
      </c>
      <c r="J25" s="224" t="s">
        <v>170</v>
      </c>
      <c r="K25" s="224">
        <v>0.54305555555555551</v>
      </c>
      <c r="L25" s="224" t="s">
        <v>170</v>
      </c>
      <c r="M25" s="224" t="s">
        <v>170</v>
      </c>
      <c r="N25" s="224" t="s">
        <v>170</v>
      </c>
      <c r="O25" s="224" t="s">
        <v>170</v>
      </c>
      <c r="P25" s="224" t="s">
        <v>170</v>
      </c>
      <c r="Q25" s="224" t="s">
        <v>170</v>
      </c>
      <c r="R25" s="224" t="s">
        <v>170</v>
      </c>
    </row>
    <row r="26" spans="1:18" x14ac:dyDescent="0.25">
      <c r="A26" s="208" t="s">
        <v>177</v>
      </c>
      <c r="B26" s="208">
        <v>46073</v>
      </c>
      <c r="C26" s="217"/>
      <c r="D26" s="224">
        <v>0.4201388888888889</v>
      </c>
      <c r="E26" s="224">
        <v>0.50972222222222219</v>
      </c>
      <c r="F26" s="224" t="s">
        <v>170</v>
      </c>
      <c r="G26" s="224" t="s">
        <v>170</v>
      </c>
      <c r="H26" s="224">
        <v>0.51250000000000007</v>
      </c>
      <c r="I26" s="224">
        <v>0.53402777777777777</v>
      </c>
      <c r="J26" s="224" t="s">
        <v>170</v>
      </c>
      <c r="K26" s="224">
        <v>0.54513888888888895</v>
      </c>
      <c r="L26" s="224">
        <v>0.5625</v>
      </c>
      <c r="M26" s="224">
        <v>0.55208333333333337</v>
      </c>
      <c r="N26" s="224">
        <v>0.54513888888888895</v>
      </c>
      <c r="O26" s="224">
        <v>0.51180555555555551</v>
      </c>
      <c r="P26" s="224">
        <v>0.54583333333333328</v>
      </c>
      <c r="Q26" s="224">
        <v>0.55555555555555558</v>
      </c>
      <c r="R26" s="224">
        <v>0.54166666666666663</v>
      </c>
    </row>
    <row r="27" spans="1:18" x14ac:dyDescent="0.25">
      <c r="A27" s="208" t="s">
        <v>174</v>
      </c>
      <c r="B27" s="208">
        <v>46074</v>
      </c>
      <c r="C27" s="217"/>
      <c r="D27" s="224">
        <v>0.46180555555555558</v>
      </c>
      <c r="E27" s="224">
        <v>0.52500000000000002</v>
      </c>
      <c r="F27" s="224" t="s">
        <v>170</v>
      </c>
      <c r="G27" s="224" t="s">
        <v>170</v>
      </c>
      <c r="H27" s="224">
        <v>0.52916666666666667</v>
      </c>
      <c r="I27" s="224" t="s">
        <v>170</v>
      </c>
      <c r="J27" s="224" t="s">
        <v>170</v>
      </c>
      <c r="K27" s="224">
        <v>0.53125</v>
      </c>
      <c r="L27" s="224">
        <v>0.54722222222222217</v>
      </c>
      <c r="M27" s="224">
        <v>0.5805555555555556</v>
      </c>
      <c r="N27" s="224" t="s">
        <v>170</v>
      </c>
      <c r="O27" s="224">
        <v>0.53263888888888888</v>
      </c>
      <c r="P27" s="224">
        <v>0.54375000000000007</v>
      </c>
      <c r="Q27" s="224">
        <v>0.5</v>
      </c>
      <c r="R27" s="224">
        <v>0.53611111111111109</v>
      </c>
    </row>
    <row r="28" spans="1:18" x14ac:dyDescent="0.25">
      <c r="A28" s="364" t="s">
        <v>178</v>
      </c>
      <c r="B28" s="364">
        <v>46075</v>
      </c>
      <c r="C28" s="217"/>
      <c r="D28" s="363"/>
      <c r="E28" s="363"/>
      <c r="F28" s="362"/>
      <c r="G28" s="362"/>
      <c r="H28" s="363"/>
      <c r="I28" s="363"/>
      <c r="J28" s="362"/>
      <c r="K28" s="363"/>
      <c r="L28" s="363"/>
      <c r="M28" s="363"/>
      <c r="N28" s="363"/>
      <c r="O28" s="363"/>
      <c r="P28" s="363"/>
      <c r="Q28" s="363"/>
      <c r="R28" s="363"/>
    </row>
    <row r="29" spans="1:18" x14ac:dyDescent="0.25">
      <c r="A29" s="208" t="s">
        <v>285</v>
      </c>
      <c r="B29" s="208">
        <v>46076</v>
      </c>
      <c r="C29" s="217"/>
      <c r="D29" s="224">
        <v>0.46180555555555558</v>
      </c>
      <c r="E29" s="224">
        <v>0.52916666666666667</v>
      </c>
      <c r="F29" s="224" t="s">
        <v>170</v>
      </c>
      <c r="G29" s="224" t="s">
        <v>170</v>
      </c>
      <c r="H29" s="224">
        <v>0.55833333333333335</v>
      </c>
      <c r="I29" s="224">
        <v>0.55902777777777779</v>
      </c>
      <c r="J29" s="224" t="s">
        <v>170</v>
      </c>
      <c r="K29" s="224">
        <v>0.56180555555555556</v>
      </c>
      <c r="L29" s="224">
        <v>0.56666666666666665</v>
      </c>
      <c r="M29" s="224" t="s">
        <v>170</v>
      </c>
      <c r="N29" s="224" t="s">
        <v>170</v>
      </c>
      <c r="O29" s="224">
        <v>0.53055555555555556</v>
      </c>
      <c r="P29" s="224">
        <v>0.55069444444444449</v>
      </c>
      <c r="Q29" s="224">
        <v>0.5541666666666667</v>
      </c>
      <c r="R29" s="224">
        <v>0.53611111111111109</v>
      </c>
    </row>
    <row r="30" spans="1:18" x14ac:dyDescent="0.25">
      <c r="A30" s="208" t="s">
        <v>286</v>
      </c>
      <c r="B30" s="208">
        <v>46077</v>
      </c>
      <c r="C30" s="217"/>
      <c r="D30" s="224">
        <v>0.43402777777777773</v>
      </c>
      <c r="E30" s="224">
        <v>0.52222222222222225</v>
      </c>
      <c r="F30" s="224" t="s">
        <v>170</v>
      </c>
      <c r="G30" s="224" t="s">
        <v>170</v>
      </c>
      <c r="H30" s="224">
        <v>0.52430555555555558</v>
      </c>
      <c r="I30" s="224">
        <v>0.50347222222222221</v>
      </c>
      <c r="J30" s="224" t="s">
        <v>170</v>
      </c>
      <c r="K30" s="224">
        <v>0.52500000000000002</v>
      </c>
      <c r="L30" s="224">
        <v>0.59444444444444444</v>
      </c>
      <c r="M30" s="224">
        <v>0.59305555555555556</v>
      </c>
      <c r="N30" s="224" t="s">
        <v>170</v>
      </c>
      <c r="O30" s="224">
        <v>0.52916666666666667</v>
      </c>
      <c r="P30" s="224">
        <v>0.53749999999999998</v>
      </c>
      <c r="Q30" s="224">
        <v>0.54166666666666663</v>
      </c>
      <c r="R30" s="224">
        <v>0.53541666666666665</v>
      </c>
    </row>
    <row r="31" spans="1:18" s="25" customFormat="1" x14ac:dyDescent="0.25">
      <c r="A31" s="208" t="s">
        <v>175</v>
      </c>
      <c r="B31" s="208">
        <v>46078</v>
      </c>
      <c r="C31" s="217"/>
      <c r="D31" s="224">
        <v>0.44097222222222227</v>
      </c>
      <c r="E31" s="224">
        <v>0.52430555555555558</v>
      </c>
      <c r="F31" s="224" t="s">
        <v>170</v>
      </c>
      <c r="G31" s="224" t="s">
        <v>170</v>
      </c>
      <c r="H31" s="224">
        <v>0.54027777777777775</v>
      </c>
      <c r="I31" s="224">
        <v>0.50277777777777777</v>
      </c>
      <c r="J31" s="224" t="s">
        <v>170</v>
      </c>
      <c r="K31" s="224">
        <v>0.55208333333333337</v>
      </c>
      <c r="L31" s="224">
        <v>0.5854166666666667</v>
      </c>
      <c r="M31" s="224">
        <v>0.58194444444444449</v>
      </c>
      <c r="N31" s="224" t="s">
        <v>170</v>
      </c>
      <c r="O31" s="224">
        <v>0.52708333333333335</v>
      </c>
      <c r="P31" s="224">
        <v>0.53333333333333333</v>
      </c>
      <c r="Q31" s="224">
        <v>0.55694444444444446</v>
      </c>
      <c r="R31" s="224">
        <v>0.55138888888888882</v>
      </c>
    </row>
    <row r="32" spans="1:18" x14ac:dyDescent="0.25">
      <c r="A32" s="208" t="s">
        <v>284</v>
      </c>
      <c r="B32" s="208">
        <v>46079</v>
      </c>
      <c r="C32" s="217"/>
      <c r="D32" s="224" t="s">
        <v>170</v>
      </c>
      <c r="E32" s="224" t="s">
        <v>170</v>
      </c>
      <c r="F32" s="224" t="s">
        <v>170</v>
      </c>
      <c r="G32" s="224" t="s">
        <v>170</v>
      </c>
      <c r="H32" s="224" t="s">
        <v>170</v>
      </c>
      <c r="I32" s="224" t="s">
        <v>170</v>
      </c>
      <c r="J32" s="224" t="s">
        <v>170</v>
      </c>
      <c r="K32" s="224" t="s">
        <v>170</v>
      </c>
      <c r="L32" s="224" t="s">
        <v>170</v>
      </c>
      <c r="M32" s="224" t="s">
        <v>170</v>
      </c>
      <c r="N32" s="224" t="s">
        <v>170</v>
      </c>
      <c r="O32" s="224">
        <v>0.53680555555555554</v>
      </c>
      <c r="P32" s="224">
        <v>0.53819444444444442</v>
      </c>
      <c r="Q32" s="224">
        <v>0.54583333333333328</v>
      </c>
      <c r="R32" s="224">
        <v>0.53472222222222221</v>
      </c>
    </row>
    <row r="33" spans="1:18" x14ac:dyDescent="0.25">
      <c r="A33" s="208" t="s">
        <v>177</v>
      </c>
      <c r="B33" s="208">
        <v>46080</v>
      </c>
      <c r="C33" s="217"/>
      <c r="D33" s="224">
        <v>0.47569444444444442</v>
      </c>
      <c r="E33" s="224">
        <v>0.4916666666666667</v>
      </c>
      <c r="F33" s="224" t="s">
        <v>170</v>
      </c>
      <c r="G33" s="224" t="s">
        <v>170</v>
      </c>
      <c r="H33" s="224">
        <v>0.57013888888888886</v>
      </c>
      <c r="I33" s="224">
        <v>0.52083333333333337</v>
      </c>
      <c r="J33" s="224" t="s">
        <v>170</v>
      </c>
      <c r="K33" s="224">
        <v>0.52847222222222223</v>
      </c>
      <c r="L33" s="224">
        <v>0.55208333333333337</v>
      </c>
      <c r="M33" s="224">
        <v>0.55902777777777779</v>
      </c>
      <c r="N33" s="224" t="s">
        <v>170</v>
      </c>
      <c r="O33" s="224" t="s">
        <v>170</v>
      </c>
      <c r="P33" s="224" t="s">
        <v>170</v>
      </c>
      <c r="Q33" s="224" t="s">
        <v>170</v>
      </c>
      <c r="R33" s="224" t="s">
        <v>170</v>
      </c>
    </row>
    <row r="34" spans="1:18" x14ac:dyDescent="0.25">
      <c r="A34" s="208" t="s">
        <v>174</v>
      </c>
      <c r="B34" s="208">
        <v>46081</v>
      </c>
      <c r="C34" s="217"/>
      <c r="D34" s="224">
        <v>0.3923611111111111</v>
      </c>
      <c r="E34" s="224">
        <v>0.44375000000000003</v>
      </c>
      <c r="F34" s="224" t="s">
        <v>170</v>
      </c>
      <c r="G34" s="224" t="s">
        <v>170</v>
      </c>
      <c r="H34" s="224">
        <v>0.50972222222222219</v>
      </c>
      <c r="I34" s="224" t="s">
        <v>170</v>
      </c>
      <c r="J34" s="224" t="s">
        <v>170</v>
      </c>
      <c r="K34" s="224">
        <v>0.50972222222222219</v>
      </c>
      <c r="L34" s="224">
        <v>0.55486111111111114</v>
      </c>
      <c r="M34" s="224">
        <v>0.55902777777777779</v>
      </c>
      <c r="N34" s="224" t="s">
        <v>170</v>
      </c>
      <c r="O34" s="224">
        <v>0.52916666666666667</v>
      </c>
      <c r="P34" s="224">
        <v>0.5395833333333333</v>
      </c>
      <c r="Q34" s="224">
        <v>0.54305555555555551</v>
      </c>
      <c r="R34" s="224">
        <v>0.53888888888888886</v>
      </c>
    </row>
    <row r="35" spans="1:18" ht="18" customHeight="1" x14ac:dyDescent="0.25">
      <c r="A35" s="207" t="s">
        <v>171</v>
      </c>
      <c r="B35" s="279"/>
      <c r="C35" s="279"/>
      <c r="D35" s="213">
        <f>AVERAGE(D10:D34)</f>
        <v>0.4445601851851852</v>
      </c>
      <c r="E35" s="213">
        <f>AVERAGE(E10:E34)</f>
        <v>0.5113669590643275</v>
      </c>
      <c r="F35" s="279"/>
      <c r="G35" s="213" t="e">
        <f>AVERAGE(G7:G34)</f>
        <v>#DIV/0!</v>
      </c>
      <c r="H35" s="213">
        <f>AVERAGE(H10:H34)</f>
        <v>0.53961988304093567</v>
      </c>
      <c r="I35" s="213">
        <f>AVERAGE(I10:I34)</f>
        <v>0.52610294117647072</v>
      </c>
      <c r="J35" s="213" t="e">
        <f>AVERAGE(J7:J34)</f>
        <v>#DIV/0!</v>
      </c>
      <c r="K35" s="213">
        <f t="shared" ref="K35:R35" si="0">AVERAGE(K10:K34)</f>
        <v>0.55024305555555553</v>
      </c>
      <c r="L35" s="213">
        <f t="shared" si="0"/>
        <v>0.57492690058479534</v>
      </c>
      <c r="M35" s="213">
        <f t="shared" si="0"/>
        <v>0.57965686274509809</v>
      </c>
      <c r="N35" s="213">
        <f t="shared" ref="N35" si="1">AVERAGE(N10:N34)</f>
        <v>0.56805555555555554</v>
      </c>
      <c r="O35" s="213">
        <f t="shared" si="0"/>
        <v>0.52825292397660828</v>
      </c>
      <c r="P35" s="213">
        <f t="shared" si="0"/>
        <v>0.54119152046783614</v>
      </c>
      <c r="Q35" s="213">
        <f t="shared" si="0"/>
        <v>0.54389619883040929</v>
      </c>
      <c r="R35" s="213">
        <f t="shared" si="0"/>
        <v>0.54151234567901241</v>
      </c>
    </row>
    <row r="36" spans="1:18" ht="18" customHeight="1" x14ac:dyDescent="0.25">
      <c r="A36" s="207" t="s">
        <v>274</v>
      </c>
      <c r="B36" s="260"/>
      <c r="C36" s="260"/>
      <c r="D36" s="280">
        <f>MIN(D11:D34)</f>
        <v>0.38541666666666669</v>
      </c>
      <c r="E36" s="280">
        <f>MIN(E11:E34)</f>
        <v>0.41805555555555557</v>
      </c>
      <c r="F36" s="260"/>
      <c r="G36" s="260"/>
      <c r="H36" s="280">
        <f>MIN(H11:H34)</f>
        <v>0.50069444444444444</v>
      </c>
      <c r="I36" s="280">
        <f>MIN(I11:I34)</f>
        <v>0.41041666666666665</v>
      </c>
      <c r="J36" s="260"/>
      <c r="K36" s="280">
        <f t="shared" ref="K36:R36" si="2">MIN(K11:K34)</f>
        <v>0.50763888888888886</v>
      </c>
      <c r="L36" s="280">
        <f t="shared" si="2"/>
        <v>0.54513888888888895</v>
      </c>
      <c r="M36" s="280">
        <f t="shared" si="2"/>
        <v>0.55208333333333337</v>
      </c>
      <c r="N36" s="280">
        <f t="shared" ref="N36" si="3">MIN(N11:N34)</f>
        <v>0.54513888888888895</v>
      </c>
      <c r="O36" s="280">
        <f t="shared" si="2"/>
        <v>0.44444444444444442</v>
      </c>
      <c r="P36" s="280">
        <f t="shared" si="2"/>
        <v>0.51736111111111105</v>
      </c>
      <c r="Q36" s="280">
        <f t="shared" si="2"/>
        <v>0.5</v>
      </c>
      <c r="R36" s="280">
        <f t="shared" si="2"/>
        <v>0.52222222222222225</v>
      </c>
    </row>
    <row r="41" spans="1:18" x14ac:dyDescent="0.25">
      <c r="H41" s="214"/>
      <c r="I41" s="214"/>
    </row>
    <row r="42" spans="1:18" x14ac:dyDescent="0.25">
      <c r="H42" s="214"/>
      <c r="I42" s="214"/>
    </row>
    <row r="43" spans="1:18" x14ac:dyDescent="0.25">
      <c r="H43" s="214"/>
      <c r="I43" s="214"/>
    </row>
    <row r="44" spans="1:18" x14ac:dyDescent="0.25">
      <c r="H44" s="214"/>
      <c r="I44" s="214"/>
    </row>
    <row r="45" spans="1:18" x14ac:dyDescent="0.25">
      <c r="D45"/>
      <c r="E45"/>
      <c r="H45" s="214"/>
      <c r="I45" s="214"/>
      <c r="K45"/>
      <c r="L45"/>
      <c r="M45"/>
      <c r="N45"/>
      <c r="O45"/>
      <c r="P45"/>
      <c r="Q45"/>
      <c r="R45"/>
    </row>
    <row r="46" spans="1:18" x14ac:dyDescent="0.25">
      <c r="D46"/>
      <c r="E46"/>
      <c r="H46" s="214"/>
      <c r="I46" s="214"/>
      <c r="K46"/>
      <c r="L46"/>
      <c r="M46"/>
      <c r="N46"/>
      <c r="O46"/>
      <c r="P46"/>
      <c r="Q46"/>
      <c r="R46"/>
    </row>
    <row r="47" spans="1:18" x14ac:dyDescent="0.25">
      <c r="D47"/>
      <c r="E47"/>
      <c r="H47" s="214"/>
      <c r="I47" s="214"/>
      <c r="K47"/>
      <c r="L47"/>
      <c r="M47"/>
      <c r="N47"/>
      <c r="O47"/>
      <c r="P47"/>
      <c r="Q47"/>
      <c r="R47"/>
    </row>
    <row r="48" spans="1:18" x14ac:dyDescent="0.25">
      <c r="D48"/>
      <c r="E48"/>
      <c r="H48" s="214"/>
      <c r="I48" s="214"/>
      <c r="K48"/>
      <c r="L48"/>
      <c r="M48"/>
      <c r="N48"/>
      <c r="O48"/>
      <c r="P48"/>
      <c r="Q48"/>
      <c r="R48"/>
    </row>
    <row r="49" spans="4:18" x14ac:dyDescent="0.25">
      <c r="D49"/>
      <c r="E49"/>
      <c r="H49" s="214"/>
      <c r="I49" s="214"/>
      <c r="K49"/>
      <c r="L49"/>
      <c r="M49"/>
      <c r="N49"/>
      <c r="O49"/>
      <c r="P49"/>
      <c r="Q49"/>
      <c r="R49"/>
    </row>
    <row r="50" spans="4:18" x14ac:dyDescent="0.25">
      <c r="D50"/>
      <c r="E50"/>
      <c r="H50" s="214"/>
      <c r="I50" s="214"/>
      <c r="K50"/>
      <c r="L50"/>
      <c r="M50"/>
      <c r="N50"/>
      <c r="O50"/>
      <c r="P50"/>
      <c r="Q50"/>
      <c r="R50"/>
    </row>
    <row r="51" spans="4:18" x14ac:dyDescent="0.25">
      <c r="D51"/>
      <c r="E51"/>
      <c r="H51" s="214"/>
      <c r="I51" s="214"/>
      <c r="K51"/>
      <c r="L51"/>
      <c r="M51"/>
      <c r="N51"/>
      <c r="O51"/>
      <c r="P51"/>
      <c r="Q51"/>
      <c r="R51"/>
    </row>
    <row r="52" spans="4:18" x14ac:dyDescent="0.25">
      <c r="D52"/>
      <c r="E52"/>
      <c r="H52" s="214"/>
      <c r="I52" s="214"/>
      <c r="K52"/>
      <c r="L52"/>
      <c r="M52"/>
      <c r="N52"/>
      <c r="O52"/>
      <c r="P52"/>
      <c r="Q52"/>
      <c r="R52"/>
    </row>
    <row r="53" spans="4:18" x14ac:dyDescent="0.25">
      <c r="D53"/>
      <c r="E53"/>
      <c r="H53" s="214"/>
      <c r="I53" s="214"/>
      <c r="K53"/>
      <c r="L53"/>
      <c r="M53"/>
      <c r="N53"/>
      <c r="O53"/>
      <c r="P53"/>
      <c r="Q53"/>
      <c r="R53"/>
    </row>
    <row r="54" spans="4:18" x14ac:dyDescent="0.25">
      <c r="D54"/>
      <c r="E54"/>
      <c r="H54" s="214"/>
      <c r="I54" s="214"/>
      <c r="K54"/>
      <c r="L54"/>
      <c r="M54"/>
      <c r="N54"/>
      <c r="O54"/>
      <c r="P54"/>
      <c r="Q54"/>
      <c r="R54"/>
    </row>
    <row r="55" spans="4:18" x14ac:dyDescent="0.25">
      <c r="D55"/>
      <c r="E55"/>
      <c r="H55" s="214"/>
      <c r="I55" s="214"/>
      <c r="K55"/>
      <c r="L55"/>
      <c r="M55"/>
      <c r="N55"/>
      <c r="O55"/>
      <c r="P55"/>
      <c r="Q55"/>
      <c r="R55"/>
    </row>
    <row r="56" spans="4:18" x14ac:dyDescent="0.25">
      <c r="D56"/>
      <c r="E56"/>
      <c r="H56" s="214"/>
      <c r="I56" s="214"/>
      <c r="K56"/>
      <c r="L56"/>
      <c r="M56"/>
      <c r="N56"/>
      <c r="O56"/>
      <c r="P56"/>
      <c r="Q56"/>
      <c r="R56"/>
    </row>
    <row r="57" spans="4:18" x14ac:dyDescent="0.25">
      <c r="D57"/>
      <c r="E57"/>
      <c r="H57" s="214"/>
      <c r="I57" s="214"/>
      <c r="K57"/>
      <c r="L57"/>
      <c r="M57"/>
      <c r="N57"/>
      <c r="O57"/>
      <c r="P57"/>
      <c r="Q57"/>
      <c r="R57"/>
    </row>
    <row r="58" spans="4:18" x14ac:dyDescent="0.25">
      <c r="D58"/>
      <c r="E58"/>
      <c r="H58" s="214"/>
      <c r="I58" s="214"/>
      <c r="K58"/>
      <c r="L58"/>
      <c r="M58"/>
      <c r="N58"/>
      <c r="O58"/>
      <c r="P58"/>
      <c r="Q58"/>
      <c r="R58"/>
    </row>
    <row r="59" spans="4:18" x14ac:dyDescent="0.25">
      <c r="D59"/>
      <c r="E59"/>
      <c r="H59" s="214"/>
      <c r="I59" s="214"/>
      <c r="K59"/>
      <c r="L59"/>
      <c r="M59"/>
      <c r="N59"/>
      <c r="O59"/>
      <c r="P59"/>
      <c r="Q59"/>
      <c r="R59"/>
    </row>
    <row r="60" spans="4:18" x14ac:dyDescent="0.25">
      <c r="D60"/>
      <c r="E60"/>
      <c r="H60" s="214"/>
      <c r="I60" s="214"/>
      <c r="K60"/>
      <c r="L60"/>
      <c r="M60"/>
      <c r="N60"/>
      <c r="O60"/>
      <c r="P60"/>
      <c r="Q60"/>
      <c r="R60"/>
    </row>
    <row r="61" spans="4:18" x14ac:dyDescent="0.25">
      <c r="D61"/>
      <c r="E61"/>
      <c r="H61" s="214"/>
      <c r="I61" s="214"/>
      <c r="K61"/>
      <c r="L61"/>
      <c r="M61"/>
      <c r="N61"/>
      <c r="O61"/>
      <c r="P61"/>
      <c r="Q61"/>
      <c r="R61"/>
    </row>
    <row r="62" spans="4:18" x14ac:dyDescent="0.25">
      <c r="D62"/>
      <c r="E62"/>
      <c r="H62" s="214"/>
      <c r="I62" s="214"/>
      <c r="K62"/>
      <c r="L62"/>
      <c r="M62"/>
      <c r="N62"/>
      <c r="O62"/>
      <c r="P62"/>
      <c r="Q62"/>
      <c r="R62"/>
    </row>
    <row r="63" spans="4:18" x14ac:dyDescent="0.25">
      <c r="D63"/>
      <c r="E63"/>
      <c r="H63" s="214"/>
      <c r="I63" s="214"/>
      <c r="K63"/>
      <c r="L63"/>
      <c r="M63"/>
      <c r="N63"/>
      <c r="O63"/>
      <c r="P63"/>
      <c r="Q63"/>
      <c r="R63"/>
    </row>
    <row r="64" spans="4:18" x14ac:dyDescent="0.25">
      <c r="D64"/>
      <c r="E64"/>
      <c r="H64" s="214"/>
      <c r="I64" s="214"/>
      <c r="K64"/>
      <c r="L64"/>
      <c r="M64"/>
      <c r="N64"/>
      <c r="O64"/>
      <c r="P64"/>
      <c r="Q64"/>
      <c r="R64"/>
    </row>
    <row r="65" spans="4:18" x14ac:dyDescent="0.25">
      <c r="D65"/>
      <c r="E65"/>
      <c r="H65" s="214"/>
      <c r="I65" s="214"/>
      <c r="K65"/>
      <c r="L65"/>
      <c r="M65"/>
      <c r="N65"/>
      <c r="O65"/>
      <c r="P65"/>
      <c r="Q65"/>
      <c r="R65"/>
    </row>
    <row r="66" spans="4:18" x14ac:dyDescent="0.25">
      <c r="D66"/>
      <c r="E66"/>
      <c r="H66" s="214"/>
      <c r="I66" s="214"/>
      <c r="K66"/>
      <c r="L66"/>
      <c r="M66"/>
      <c r="N66"/>
      <c r="O66"/>
      <c r="P66"/>
      <c r="Q66"/>
      <c r="R66"/>
    </row>
    <row r="68" spans="4:18" x14ac:dyDescent="0.25">
      <c r="D68"/>
      <c r="E68"/>
      <c r="H68" s="214"/>
      <c r="I68" s="214"/>
      <c r="K68"/>
      <c r="L68"/>
      <c r="M68"/>
      <c r="N68"/>
      <c r="O68"/>
      <c r="P68"/>
      <c r="Q68"/>
      <c r="R68"/>
    </row>
    <row r="69" spans="4:18" x14ac:dyDescent="0.25">
      <c r="D69"/>
      <c r="E69"/>
      <c r="H69" s="214"/>
      <c r="I69" s="214"/>
      <c r="K69"/>
      <c r="L69"/>
      <c r="M69"/>
      <c r="N69"/>
      <c r="O69"/>
      <c r="P69"/>
      <c r="Q69"/>
      <c r="R69"/>
    </row>
    <row r="70" spans="4:18" x14ac:dyDescent="0.25">
      <c r="D70"/>
      <c r="E70"/>
      <c r="H70" s="214"/>
      <c r="I70" s="214"/>
      <c r="K70"/>
      <c r="L70"/>
      <c r="M70"/>
      <c r="N70"/>
      <c r="O70"/>
      <c r="P70"/>
      <c r="Q70"/>
      <c r="R70"/>
    </row>
    <row r="71" spans="4:18" x14ac:dyDescent="0.25">
      <c r="D71"/>
      <c r="E71"/>
      <c r="H71" s="214"/>
      <c r="I71" s="214"/>
      <c r="K71"/>
      <c r="L71"/>
      <c r="M71"/>
      <c r="N71"/>
      <c r="O71"/>
      <c r="P71"/>
      <c r="Q71"/>
      <c r="R71"/>
    </row>
    <row r="72" spans="4:18" x14ac:dyDescent="0.25">
      <c r="D72"/>
      <c r="E72"/>
      <c r="H72" s="214"/>
      <c r="I72" s="214"/>
      <c r="K72"/>
      <c r="L72"/>
      <c r="M72"/>
      <c r="N72"/>
      <c r="O72"/>
      <c r="P72"/>
      <c r="Q72"/>
      <c r="R72"/>
    </row>
    <row r="73" spans="4:18" x14ac:dyDescent="0.25">
      <c r="D73"/>
      <c r="E73"/>
      <c r="H73" s="214"/>
      <c r="I73" s="214"/>
      <c r="K73"/>
      <c r="L73"/>
      <c r="M73"/>
      <c r="N73"/>
      <c r="O73"/>
      <c r="P73"/>
      <c r="Q73"/>
      <c r="R73"/>
    </row>
    <row r="74" spans="4:18" x14ac:dyDescent="0.25">
      <c r="D74"/>
      <c r="E74"/>
      <c r="H74" s="214"/>
      <c r="I74" s="214"/>
      <c r="K74"/>
      <c r="L74"/>
      <c r="M74"/>
      <c r="N74"/>
      <c r="O74"/>
      <c r="P74"/>
      <c r="Q74"/>
      <c r="R74"/>
    </row>
    <row r="75" spans="4:18" x14ac:dyDescent="0.25">
      <c r="D75"/>
      <c r="E75"/>
      <c r="H75" s="214"/>
      <c r="I75" s="214"/>
      <c r="K75"/>
      <c r="L75"/>
      <c r="M75"/>
      <c r="N75"/>
      <c r="O75"/>
      <c r="P75"/>
      <c r="Q75"/>
      <c r="R75"/>
    </row>
    <row r="76" spans="4:18" x14ac:dyDescent="0.25">
      <c r="D76"/>
      <c r="E76"/>
      <c r="H76" s="214"/>
      <c r="I76" s="214"/>
      <c r="K76"/>
      <c r="L76"/>
      <c r="M76"/>
      <c r="N76"/>
      <c r="O76"/>
      <c r="P76"/>
      <c r="Q76"/>
      <c r="R76"/>
    </row>
    <row r="77" spans="4:18" x14ac:dyDescent="0.25">
      <c r="D77"/>
      <c r="E77"/>
      <c r="H77" s="214"/>
      <c r="I77" s="214"/>
      <c r="K77"/>
      <c r="L77"/>
      <c r="M77"/>
      <c r="N77"/>
      <c r="O77"/>
      <c r="P77"/>
      <c r="Q77"/>
      <c r="R77"/>
    </row>
    <row r="78" spans="4:18" x14ac:dyDescent="0.25">
      <c r="D78"/>
      <c r="E78"/>
      <c r="H78" s="214"/>
      <c r="I78" s="214"/>
      <c r="K78"/>
      <c r="L78"/>
      <c r="M78"/>
      <c r="N78"/>
      <c r="O78"/>
      <c r="P78"/>
      <c r="Q78"/>
      <c r="R78"/>
    </row>
    <row r="79" spans="4:18" x14ac:dyDescent="0.25">
      <c r="D79"/>
      <c r="E79"/>
      <c r="H79" s="214"/>
      <c r="I79" s="214"/>
      <c r="K79"/>
      <c r="L79"/>
      <c r="M79"/>
      <c r="N79"/>
      <c r="O79"/>
      <c r="P79"/>
      <c r="Q79"/>
      <c r="R79"/>
    </row>
    <row r="80" spans="4:18" x14ac:dyDescent="0.25">
      <c r="D80"/>
      <c r="E80"/>
      <c r="H80" s="214"/>
      <c r="I80" s="214"/>
      <c r="K80"/>
      <c r="L80"/>
      <c r="M80"/>
      <c r="N80"/>
      <c r="O80"/>
      <c r="P80"/>
      <c r="Q80"/>
      <c r="R80"/>
    </row>
    <row r="81" spans="4:18" x14ac:dyDescent="0.25">
      <c r="D81"/>
      <c r="E81"/>
      <c r="H81" s="214"/>
      <c r="I81" s="214"/>
      <c r="K81"/>
      <c r="L81"/>
      <c r="M81"/>
      <c r="N81"/>
      <c r="O81"/>
      <c r="P81"/>
      <c r="Q81"/>
      <c r="R81"/>
    </row>
    <row r="82" spans="4:18" x14ac:dyDescent="0.25">
      <c r="D82"/>
      <c r="E82"/>
      <c r="H82" s="214"/>
      <c r="I82" s="214"/>
      <c r="K82"/>
      <c r="L82"/>
      <c r="M82"/>
      <c r="N82"/>
      <c r="O82"/>
      <c r="P82"/>
      <c r="Q82"/>
      <c r="R82"/>
    </row>
    <row r="83" spans="4:18" x14ac:dyDescent="0.25">
      <c r="D83"/>
      <c r="E83"/>
      <c r="H83" s="214"/>
      <c r="I83" s="214"/>
      <c r="K83"/>
      <c r="L83"/>
      <c r="M83"/>
      <c r="N83"/>
      <c r="O83"/>
      <c r="P83"/>
      <c r="Q83"/>
      <c r="R83"/>
    </row>
    <row r="84" spans="4:18" x14ac:dyDescent="0.25">
      <c r="D84"/>
      <c r="E84"/>
      <c r="H84" s="214"/>
      <c r="I84" s="214"/>
      <c r="K84"/>
      <c r="L84"/>
      <c r="M84"/>
      <c r="N84"/>
      <c r="O84"/>
      <c r="P84"/>
      <c r="Q84"/>
      <c r="R84"/>
    </row>
    <row r="85" spans="4:18" x14ac:dyDescent="0.25">
      <c r="D85"/>
      <c r="E85"/>
      <c r="H85" s="214"/>
      <c r="I85" s="214"/>
      <c r="K85"/>
      <c r="L85"/>
      <c r="M85"/>
      <c r="N85"/>
      <c r="O85"/>
      <c r="P85"/>
      <c r="Q85"/>
      <c r="R85"/>
    </row>
    <row r="86" spans="4:18" x14ac:dyDescent="0.25">
      <c r="D86"/>
      <c r="E86"/>
      <c r="H86" s="214"/>
      <c r="I86" s="214"/>
      <c r="K86"/>
      <c r="L86"/>
      <c r="M86"/>
      <c r="N86"/>
      <c r="O86"/>
      <c r="P86"/>
      <c r="Q86"/>
      <c r="R86"/>
    </row>
    <row r="87" spans="4:18" x14ac:dyDescent="0.25">
      <c r="D87"/>
      <c r="E87"/>
      <c r="H87" s="214"/>
      <c r="I87" s="214"/>
      <c r="K87"/>
      <c r="L87"/>
      <c r="M87"/>
      <c r="N87"/>
      <c r="O87"/>
      <c r="P87"/>
      <c r="Q87"/>
      <c r="R87"/>
    </row>
    <row r="88" spans="4:18" x14ac:dyDescent="0.25">
      <c r="D88"/>
      <c r="E88"/>
      <c r="H88" s="214"/>
      <c r="I88" s="214"/>
      <c r="K88"/>
      <c r="L88"/>
      <c r="M88"/>
      <c r="N88"/>
      <c r="O88"/>
      <c r="P88"/>
      <c r="Q88"/>
      <c r="R88"/>
    </row>
    <row r="89" spans="4:18" x14ac:dyDescent="0.25">
      <c r="D89"/>
      <c r="E89"/>
      <c r="H89" s="214"/>
      <c r="I89" s="214"/>
      <c r="K89"/>
      <c r="L89"/>
      <c r="M89"/>
      <c r="N89"/>
      <c r="O89"/>
      <c r="P89"/>
      <c r="Q89"/>
      <c r="R89"/>
    </row>
    <row r="90" spans="4:18" x14ac:dyDescent="0.25">
      <c r="D90"/>
      <c r="E90"/>
      <c r="H90" s="214"/>
      <c r="I90" s="214"/>
      <c r="K90"/>
      <c r="L90"/>
      <c r="M90"/>
      <c r="N90"/>
      <c r="O90"/>
      <c r="P90"/>
      <c r="Q90"/>
      <c r="R90"/>
    </row>
    <row r="91" spans="4:18" x14ac:dyDescent="0.25">
      <c r="D91"/>
      <c r="E91"/>
      <c r="H91" s="214"/>
      <c r="I91" s="214"/>
      <c r="K91"/>
      <c r="L91"/>
      <c r="M91"/>
      <c r="N91"/>
      <c r="O91"/>
      <c r="P91"/>
      <c r="Q91"/>
      <c r="R91"/>
    </row>
    <row r="92" spans="4:18" x14ac:dyDescent="0.25">
      <c r="D92"/>
      <c r="E92"/>
      <c r="H92" s="214"/>
      <c r="I92" s="214"/>
      <c r="K92"/>
      <c r="L92"/>
      <c r="M92"/>
      <c r="N92"/>
      <c r="O92"/>
      <c r="P92"/>
      <c r="Q92"/>
      <c r="R92"/>
    </row>
    <row r="93" spans="4:18" x14ac:dyDescent="0.25">
      <c r="D93"/>
      <c r="E93"/>
      <c r="H93" s="214"/>
      <c r="I93" s="214"/>
      <c r="K93"/>
      <c r="L93"/>
      <c r="M93"/>
      <c r="N93"/>
      <c r="O93"/>
      <c r="P93"/>
      <c r="Q93"/>
      <c r="R93"/>
    </row>
    <row r="94" spans="4:18" x14ac:dyDescent="0.25">
      <c r="D94"/>
      <c r="E94"/>
      <c r="H94" s="214"/>
      <c r="I94" s="214"/>
      <c r="K94"/>
      <c r="L94"/>
      <c r="M94"/>
      <c r="N94"/>
      <c r="O94"/>
      <c r="P94"/>
      <c r="Q94"/>
      <c r="R94"/>
    </row>
    <row r="95" spans="4:18" x14ac:dyDescent="0.25">
      <c r="D95"/>
      <c r="E95"/>
      <c r="H95" s="214"/>
      <c r="I95" s="214"/>
      <c r="K95"/>
      <c r="L95"/>
      <c r="M95"/>
      <c r="N95"/>
      <c r="O95"/>
      <c r="P95"/>
      <c r="Q95"/>
      <c r="R95"/>
    </row>
    <row r="96" spans="4:18" x14ac:dyDescent="0.25">
      <c r="D96"/>
      <c r="E96"/>
      <c r="H96" s="214"/>
      <c r="I96" s="214"/>
      <c r="K96"/>
      <c r="L96"/>
      <c r="M96"/>
      <c r="N96"/>
      <c r="O96"/>
      <c r="P96"/>
      <c r="Q96"/>
      <c r="R96"/>
    </row>
    <row r="97" spans="4:18" x14ac:dyDescent="0.25">
      <c r="D97"/>
      <c r="E97"/>
      <c r="H97" s="214"/>
      <c r="I97" s="214"/>
      <c r="K97"/>
      <c r="L97"/>
      <c r="M97"/>
      <c r="N97"/>
      <c r="O97"/>
      <c r="P97"/>
      <c r="Q97"/>
      <c r="R97"/>
    </row>
    <row r="98" spans="4:18" x14ac:dyDescent="0.25">
      <c r="D98"/>
      <c r="E98"/>
      <c r="H98" s="214"/>
      <c r="I98" s="214"/>
      <c r="K98"/>
      <c r="L98"/>
      <c r="M98"/>
      <c r="N98"/>
      <c r="O98"/>
      <c r="P98"/>
      <c r="Q98"/>
      <c r="R98"/>
    </row>
    <row r="99" spans="4:18" x14ac:dyDescent="0.25">
      <c r="D99"/>
      <c r="E99"/>
      <c r="H99" s="214"/>
      <c r="I99" s="214"/>
      <c r="K99"/>
      <c r="L99"/>
      <c r="M99"/>
      <c r="N99"/>
      <c r="O99"/>
      <c r="P99"/>
      <c r="Q99"/>
      <c r="R99"/>
    </row>
    <row r="100" spans="4:18" x14ac:dyDescent="0.25">
      <c r="D100"/>
      <c r="E100"/>
      <c r="H100" s="214"/>
      <c r="I100" s="214"/>
      <c r="K100"/>
      <c r="L100"/>
      <c r="M100"/>
      <c r="N100"/>
      <c r="O100"/>
      <c r="P100"/>
      <c r="Q100"/>
      <c r="R100"/>
    </row>
    <row r="101" spans="4:18" x14ac:dyDescent="0.25">
      <c r="D101"/>
      <c r="E101"/>
      <c r="H101" s="214"/>
      <c r="I101" s="214"/>
      <c r="K101"/>
      <c r="L101"/>
      <c r="M101"/>
      <c r="N101"/>
      <c r="O101"/>
      <c r="P101"/>
      <c r="Q101"/>
      <c r="R101"/>
    </row>
    <row r="102" spans="4:18" x14ac:dyDescent="0.25">
      <c r="D102"/>
      <c r="E102"/>
      <c r="H102" s="214"/>
      <c r="I102" s="214"/>
      <c r="K102"/>
      <c r="L102"/>
      <c r="M102"/>
      <c r="N102"/>
      <c r="O102"/>
      <c r="P102"/>
      <c r="Q102"/>
      <c r="R102"/>
    </row>
    <row r="104" spans="4:18" x14ac:dyDescent="0.25">
      <c r="D104"/>
      <c r="E104"/>
      <c r="H104" s="214"/>
      <c r="I104" s="214"/>
      <c r="K104"/>
      <c r="L104"/>
      <c r="M104"/>
      <c r="N104"/>
      <c r="O104"/>
      <c r="P104"/>
      <c r="Q104"/>
      <c r="R104"/>
    </row>
    <row r="105" spans="4:18" x14ac:dyDescent="0.25">
      <c r="D105"/>
      <c r="E105"/>
      <c r="H105" s="214"/>
      <c r="I105" s="214"/>
      <c r="K105"/>
      <c r="L105"/>
      <c r="M105"/>
      <c r="N105"/>
      <c r="O105"/>
      <c r="P105"/>
      <c r="Q105"/>
      <c r="R105"/>
    </row>
    <row r="106" spans="4:18" x14ac:dyDescent="0.25">
      <c r="D106"/>
      <c r="E106"/>
      <c r="H106" s="214"/>
      <c r="I106" s="214"/>
      <c r="K106"/>
      <c r="L106"/>
      <c r="M106"/>
      <c r="N106"/>
      <c r="O106"/>
      <c r="P106"/>
      <c r="Q106"/>
      <c r="R106"/>
    </row>
    <row r="107" spans="4:18" x14ac:dyDescent="0.25">
      <c r="D107"/>
      <c r="E107"/>
      <c r="H107" s="214"/>
      <c r="I107" s="214"/>
      <c r="K107"/>
      <c r="L107"/>
      <c r="M107"/>
      <c r="N107"/>
      <c r="O107"/>
      <c r="P107"/>
      <c r="Q107"/>
      <c r="R107"/>
    </row>
    <row r="108" spans="4:18" x14ac:dyDescent="0.25">
      <c r="D108"/>
      <c r="E108"/>
      <c r="H108" s="214"/>
      <c r="I108" s="214"/>
      <c r="K108"/>
      <c r="L108"/>
      <c r="M108"/>
      <c r="N108"/>
      <c r="O108"/>
      <c r="P108"/>
      <c r="Q108"/>
      <c r="R108"/>
    </row>
    <row r="109" spans="4:18" x14ac:dyDescent="0.25">
      <c r="D109"/>
      <c r="E109"/>
      <c r="H109" s="214"/>
      <c r="I109" s="214"/>
      <c r="K109"/>
      <c r="L109"/>
      <c r="M109"/>
      <c r="N109"/>
      <c r="O109"/>
      <c r="P109"/>
      <c r="Q109"/>
      <c r="R109"/>
    </row>
    <row r="110" spans="4:18" x14ac:dyDescent="0.25">
      <c r="D110"/>
      <c r="E110"/>
      <c r="H110" s="214"/>
      <c r="I110" s="214"/>
      <c r="K110"/>
      <c r="L110"/>
      <c r="M110"/>
      <c r="N110"/>
      <c r="O110"/>
      <c r="P110"/>
      <c r="Q110"/>
      <c r="R110"/>
    </row>
    <row r="111" spans="4:18" x14ac:dyDescent="0.25">
      <c r="D111"/>
      <c r="E111"/>
      <c r="H111" s="214"/>
      <c r="I111" s="214"/>
      <c r="K111"/>
      <c r="L111"/>
      <c r="M111"/>
      <c r="N111"/>
      <c r="O111"/>
      <c r="P111"/>
      <c r="Q111"/>
      <c r="R111"/>
    </row>
    <row r="112" spans="4:18" x14ac:dyDescent="0.25">
      <c r="D112"/>
      <c r="E112"/>
      <c r="H112" s="214"/>
      <c r="I112" s="214"/>
      <c r="K112"/>
      <c r="L112"/>
      <c r="M112"/>
      <c r="N112"/>
      <c r="O112"/>
      <c r="P112"/>
      <c r="Q112"/>
      <c r="R112"/>
    </row>
    <row r="113" spans="4:18" x14ac:dyDescent="0.25">
      <c r="D113"/>
      <c r="E113"/>
      <c r="H113" s="214"/>
      <c r="I113" s="214"/>
      <c r="K113"/>
      <c r="L113"/>
      <c r="M113"/>
      <c r="N113"/>
      <c r="O113"/>
      <c r="P113"/>
      <c r="Q113"/>
      <c r="R113"/>
    </row>
    <row r="114" spans="4:18" x14ac:dyDescent="0.25">
      <c r="D114"/>
      <c r="E114"/>
      <c r="H114" s="214"/>
      <c r="I114" s="214"/>
      <c r="K114"/>
      <c r="L114"/>
      <c r="M114"/>
      <c r="N114"/>
      <c r="O114"/>
      <c r="P114"/>
      <c r="Q114"/>
      <c r="R114"/>
    </row>
    <row r="115" spans="4:18" x14ac:dyDescent="0.25">
      <c r="D115"/>
      <c r="E115"/>
      <c r="H115" s="214"/>
      <c r="I115" s="214"/>
      <c r="K115"/>
      <c r="L115"/>
      <c r="M115"/>
      <c r="N115"/>
      <c r="O115"/>
      <c r="P115"/>
      <c r="Q115"/>
      <c r="R115"/>
    </row>
    <row r="116" spans="4:18" x14ac:dyDescent="0.25">
      <c r="D116"/>
      <c r="E116"/>
      <c r="H116" s="214"/>
      <c r="I116" s="214"/>
      <c r="K116"/>
      <c r="L116"/>
      <c r="M116"/>
      <c r="N116"/>
      <c r="O116"/>
      <c r="P116"/>
      <c r="Q116"/>
      <c r="R116"/>
    </row>
    <row r="117" spans="4:18" x14ac:dyDescent="0.25">
      <c r="D117"/>
      <c r="E117"/>
      <c r="H117" s="214"/>
      <c r="I117" s="214"/>
      <c r="K117"/>
      <c r="L117"/>
      <c r="M117"/>
      <c r="N117"/>
      <c r="O117"/>
      <c r="P117"/>
      <c r="Q117"/>
      <c r="R117"/>
    </row>
    <row r="118" spans="4:18" x14ac:dyDescent="0.25">
      <c r="D118"/>
      <c r="E118"/>
      <c r="H118" s="214"/>
      <c r="I118" s="214"/>
      <c r="K118"/>
      <c r="L118"/>
      <c r="M118"/>
      <c r="N118"/>
      <c r="O118"/>
      <c r="P118"/>
      <c r="Q118"/>
      <c r="R118"/>
    </row>
    <row r="119" spans="4:18" x14ac:dyDescent="0.25">
      <c r="D119"/>
      <c r="E119"/>
      <c r="H119" s="214"/>
      <c r="I119" s="214"/>
      <c r="K119"/>
      <c r="L119"/>
      <c r="M119"/>
      <c r="N119"/>
      <c r="O119"/>
      <c r="P119"/>
      <c r="Q119"/>
      <c r="R119"/>
    </row>
    <row r="120" spans="4:18" x14ac:dyDescent="0.25">
      <c r="D120"/>
      <c r="E120"/>
      <c r="H120" s="214"/>
      <c r="I120" s="214"/>
      <c r="K120"/>
      <c r="L120"/>
      <c r="M120"/>
      <c r="N120"/>
      <c r="O120"/>
      <c r="P120"/>
      <c r="Q120"/>
      <c r="R120"/>
    </row>
    <row r="121" spans="4:18" x14ac:dyDescent="0.25">
      <c r="D121"/>
      <c r="E121"/>
      <c r="H121" s="214"/>
      <c r="I121" s="214"/>
      <c r="K121"/>
      <c r="L121"/>
      <c r="M121"/>
      <c r="N121"/>
      <c r="O121"/>
      <c r="P121"/>
      <c r="Q121"/>
      <c r="R121"/>
    </row>
    <row r="122" spans="4:18" x14ac:dyDescent="0.25">
      <c r="D122"/>
      <c r="E122"/>
      <c r="H122" s="214"/>
      <c r="I122" s="214"/>
      <c r="K122"/>
      <c r="L122"/>
      <c r="M122"/>
      <c r="N122"/>
      <c r="O122"/>
      <c r="P122"/>
      <c r="Q122"/>
      <c r="R122"/>
    </row>
    <row r="123" spans="4:18" x14ac:dyDescent="0.25">
      <c r="D123"/>
      <c r="E123"/>
      <c r="H123" s="214"/>
      <c r="I123" s="214"/>
      <c r="K123"/>
      <c r="L123"/>
      <c r="M123"/>
      <c r="N123"/>
      <c r="O123"/>
      <c r="P123"/>
      <c r="Q123"/>
      <c r="R123"/>
    </row>
    <row r="124" spans="4:18" x14ac:dyDescent="0.25">
      <c r="D124"/>
      <c r="E124"/>
      <c r="H124" s="214"/>
      <c r="I124" s="214"/>
      <c r="K124"/>
      <c r="L124"/>
      <c r="M124"/>
      <c r="N124"/>
      <c r="O124"/>
      <c r="P124"/>
      <c r="Q124"/>
      <c r="R124"/>
    </row>
    <row r="125" spans="4:18" x14ac:dyDescent="0.25">
      <c r="D125"/>
      <c r="E125"/>
      <c r="H125" s="214"/>
      <c r="I125" s="214"/>
      <c r="K125"/>
      <c r="L125"/>
      <c r="M125"/>
      <c r="N125"/>
      <c r="O125"/>
      <c r="P125"/>
      <c r="Q125"/>
      <c r="R125"/>
    </row>
    <row r="126" spans="4:18" x14ac:dyDescent="0.25">
      <c r="D126"/>
      <c r="E126"/>
      <c r="H126" s="214"/>
      <c r="I126" s="214"/>
      <c r="K126"/>
      <c r="L126"/>
      <c r="M126"/>
      <c r="N126"/>
      <c r="O126"/>
      <c r="P126"/>
      <c r="Q126"/>
      <c r="R126"/>
    </row>
    <row r="127" spans="4:18" x14ac:dyDescent="0.25">
      <c r="D127"/>
      <c r="E127"/>
      <c r="H127" s="214"/>
      <c r="I127" s="214"/>
      <c r="K127"/>
      <c r="L127"/>
      <c r="M127"/>
      <c r="N127"/>
      <c r="O127"/>
      <c r="P127"/>
      <c r="Q127"/>
      <c r="R127"/>
    </row>
    <row r="128" spans="4:18" x14ac:dyDescent="0.25">
      <c r="D128"/>
      <c r="E128"/>
      <c r="H128" s="214"/>
      <c r="I128" s="214"/>
      <c r="K128"/>
      <c r="L128"/>
      <c r="M128"/>
      <c r="N128"/>
      <c r="O128"/>
      <c r="P128"/>
      <c r="Q128"/>
      <c r="R128"/>
    </row>
    <row r="129" spans="4:18" x14ac:dyDescent="0.25">
      <c r="D129"/>
      <c r="E129"/>
      <c r="H129" s="214"/>
      <c r="I129" s="214"/>
      <c r="K129"/>
      <c r="L129"/>
      <c r="M129"/>
      <c r="N129"/>
      <c r="O129"/>
      <c r="P129"/>
      <c r="Q129"/>
      <c r="R129"/>
    </row>
    <row r="130" spans="4:18" x14ac:dyDescent="0.25">
      <c r="D130"/>
      <c r="E130"/>
      <c r="H130" s="214"/>
      <c r="I130" s="214"/>
      <c r="K130"/>
      <c r="L130"/>
      <c r="M130"/>
      <c r="N130"/>
      <c r="O130"/>
      <c r="P130"/>
      <c r="Q130"/>
      <c r="R130"/>
    </row>
    <row r="131" spans="4:18" x14ac:dyDescent="0.25">
      <c r="D131"/>
      <c r="E131"/>
      <c r="H131" s="214"/>
      <c r="I131" s="214"/>
      <c r="K131"/>
      <c r="L131"/>
      <c r="M131"/>
      <c r="N131"/>
      <c r="O131"/>
      <c r="P131"/>
      <c r="Q131"/>
      <c r="R131"/>
    </row>
    <row r="132" spans="4:18" x14ac:dyDescent="0.25">
      <c r="D132"/>
      <c r="E132"/>
      <c r="H132" s="214"/>
      <c r="I132" s="214"/>
      <c r="K132"/>
      <c r="L132"/>
      <c r="M132"/>
      <c r="N132"/>
      <c r="O132"/>
      <c r="P132"/>
      <c r="Q132"/>
      <c r="R132"/>
    </row>
    <row r="133" spans="4:18" x14ac:dyDescent="0.25">
      <c r="D133"/>
      <c r="E133"/>
      <c r="H133" s="214"/>
      <c r="I133" s="214"/>
      <c r="K133"/>
      <c r="L133"/>
      <c r="M133"/>
      <c r="N133"/>
      <c r="O133"/>
      <c r="P133"/>
      <c r="Q133"/>
      <c r="R133"/>
    </row>
    <row r="134" spans="4:18" x14ac:dyDescent="0.25">
      <c r="D134"/>
      <c r="E134"/>
      <c r="H134" s="214"/>
      <c r="I134" s="214"/>
      <c r="K134"/>
      <c r="L134"/>
      <c r="M134"/>
      <c r="N134"/>
      <c r="O134"/>
      <c r="P134"/>
      <c r="Q134"/>
      <c r="R134"/>
    </row>
    <row r="135" spans="4:18" x14ac:dyDescent="0.25">
      <c r="D135"/>
      <c r="E135"/>
      <c r="H135" s="214"/>
      <c r="I135" s="214"/>
      <c r="K135"/>
      <c r="L135"/>
      <c r="M135"/>
      <c r="N135"/>
      <c r="O135"/>
      <c r="P135"/>
      <c r="Q135"/>
      <c r="R135"/>
    </row>
    <row r="136" spans="4:18" x14ac:dyDescent="0.25">
      <c r="D136"/>
      <c r="E136"/>
      <c r="H136" s="214"/>
      <c r="I136" s="214"/>
      <c r="K136"/>
      <c r="L136"/>
      <c r="M136"/>
      <c r="N136"/>
      <c r="O136"/>
      <c r="P136"/>
      <c r="Q136"/>
      <c r="R136"/>
    </row>
    <row r="137" spans="4:18" x14ac:dyDescent="0.25">
      <c r="D137"/>
      <c r="E137"/>
      <c r="H137" s="214"/>
      <c r="I137" s="214"/>
      <c r="K137"/>
      <c r="L137"/>
      <c r="M137"/>
      <c r="N137"/>
      <c r="O137"/>
      <c r="P137"/>
      <c r="Q137"/>
      <c r="R137"/>
    </row>
    <row r="139" spans="4:18" x14ac:dyDescent="0.25">
      <c r="D139"/>
      <c r="E139"/>
      <c r="H139" s="214"/>
      <c r="I139" s="214"/>
      <c r="K139"/>
      <c r="L139"/>
      <c r="M139"/>
      <c r="N139"/>
      <c r="O139"/>
      <c r="P139"/>
      <c r="Q139"/>
      <c r="R139"/>
    </row>
    <row r="140" spans="4:18" x14ac:dyDescent="0.25">
      <c r="D140"/>
      <c r="E140"/>
      <c r="H140" s="214"/>
      <c r="I140" s="214"/>
      <c r="K140"/>
      <c r="L140"/>
      <c r="M140"/>
      <c r="N140"/>
      <c r="O140"/>
      <c r="P140"/>
      <c r="Q140"/>
      <c r="R140"/>
    </row>
    <row r="141" spans="4:18" x14ac:dyDescent="0.25">
      <c r="D141"/>
      <c r="E141"/>
      <c r="H141" s="214"/>
      <c r="I141" s="214"/>
      <c r="K141"/>
      <c r="L141"/>
      <c r="M141"/>
      <c r="N141"/>
      <c r="O141"/>
      <c r="P141"/>
      <c r="Q141"/>
      <c r="R141"/>
    </row>
    <row r="142" spans="4:18" x14ac:dyDescent="0.25">
      <c r="D142"/>
      <c r="E142"/>
      <c r="H142" s="214"/>
      <c r="I142" s="214"/>
      <c r="K142"/>
      <c r="L142"/>
      <c r="M142"/>
      <c r="N142"/>
      <c r="O142"/>
      <c r="P142"/>
      <c r="Q142"/>
      <c r="R142"/>
    </row>
    <row r="143" spans="4:18" x14ac:dyDescent="0.25">
      <c r="D143"/>
      <c r="E143"/>
      <c r="H143" s="214"/>
      <c r="I143" s="214"/>
      <c r="K143"/>
      <c r="L143"/>
      <c r="M143"/>
      <c r="N143"/>
      <c r="O143"/>
      <c r="P143"/>
      <c r="Q143"/>
      <c r="R143"/>
    </row>
    <row r="144" spans="4:18" x14ac:dyDescent="0.25">
      <c r="D144"/>
      <c r="E144"/>
      <c r="H144" s="214"/>
      <c r="I144" s="214"/>
      <c r="K144"/>
      <c r="L144"/>
      <c r="M144"/>
      <c r="N144"/>
      <c r="O144"/>
      <c r="P144"/>
      <c r="Q144"/>
      <c r="R144"/>
    </row>
    <row r="145" spans="4:18" x14ac:dyDescent="0.25">
      <c r="D145"/>
      <c r="E145"/>
      <c r="H145" s="214"/>
      <c r="I145" s="214"/>
      <c r="K145"/>
      <c r="L145"/>
      <c r="M145"/>
      <c r="N145"/>
      <c r="O145"/>
      <c r="P145"/>
      <c r="Q145"/>
      <c r="R145"/>
    </row>
    <row r="146" spans="4:18" x14ac:dyDescent="0.25">
      <c r="D146"/>
      <c r="E146"/>
      <c r="H146" s="214"/>
      <c r="I146" s="214"/>
      <c r="K146"/>
      <c r="L146"/>
      <c r="M146"/>
      <c r="N146"/>
      <c r="O146"/>
      <c r="P146"/>
      <c r="Q146"/>
      <c r="R146"/>
    </row>
    <row r="147" spans="4:18" x14ac:dyDescent="0.25">
      <c r="D147"/>
      <c r="E147"/>
      <c r="H147" s="214"/>
      <c r="I147" s="214"/>
      <c r="K147"/>
      <c r="L147"/>
      <c r="M147"/>
      <c r="N147"/>
      <c r="O147"/>
      <c r="P147"/>
      <c r="Q147"/>
      <c r="R147"/>
    </row>
    <row r="148" spans="4:18" x14ac:dyDescent="0.25">
      <c r="D148"/>
      <c r="E148"/>
      <c r="H148" s="214"/>
      <c r="I148" s="214"/>
      <c r="K148"/>
      <c r="L148"/>
      <c r="M148"/>
      <c r="N148"/>
      <c r="O148"/>
      <c r="P148"/>
      <c r="Q148"/>
      <c r="R148"/>
    </row>
    <row r="149" spans="4:18" x14ac:dyDescent="0.25">
      <c r="D149"/>
      <c r="E149"/>
      <c r="H149" s="214"/>
      <c r="I149" s="214"/>
      <c r="K149"/>
      <c r="L149"/>
      <c r="M149"/>
      <c r="N149"/>
      <c r="O149"/>
      <c r="P149"/>
      <c r="Q149"/>
      <c r="R149"/>
    </row>
    <row r="150" spans="4:18" x14ac:dyDescent="0.25">
      <c r="D150"/>
      <c r="E150"/>
      <c r="H150" s="214"/>
      <c r="I150" s="214"/>
      <c r="K150"/>
      <c r="L150"/>
      <c r="M150"/>
      <c r="N150"/>
      <c r="O150"/>
      <c r="P150"/>
      <c r="Q150"/>
      <c r="R150"/>
    </row>
    <row r="151" spans="4:18" x14ac:dyDescent="0.25">
      <c r="D151"/>
      <c r="E151"/>
      <c r="H151" s="214"/>
      <c r="I151" s="214"/>
      <c r="K151"/>
      <c r="L151"/>
      <c r="M151"/>
      <c r="N151"/>
      <c r="O151"/>
      <c r="P151"/>
      <c r="Q151"/>
      <c r="R151"/>
    </row>
    <row r="152" spans="4:18" x14ac:dyDescent="0.25">
      <c r="D152"/>
      <c r="E152"/>
      <c r="H152" s="214"/>
      <c r="I152" s="214"/>
      <c r="K152"/>
      <c r="L152"/>
      <c r="M152"/>
      <c r="N152"/>
      <c r="O152"/>
      <c r="P152"/>
      <c r="Q152"/>
      <c r="R152"/>
    </row>
    <row r="153" spans="4:18" x14ac:dyDescent="0.25">
      <c r="D153"/>
      <c r="E153"/>
      <c r="H153" s="214"/>
      <c r="I153" s="214"/>
      <c r="K153"/>
      <c r="L153"/>
      <c r="M153"/>
      <c r="N153"/>
      <c r="O153"/>
      <c r="P153"/>
      <c r="Q153"/>
      <c r="R153"/>
    </row>
    <row r="154" spans="4:18" x14ac:dyDescent="0.25">
      <c r="D154"/>
      <c r="E154"/>
      <c r="H154" s="214"/>
      <c r="I154" s="214"/>
      <c r="K154"/>
      <c r="L154"/>
      <c r="M154"/>
      <c r="N154"/>
      <c r="O154"/>
      <c r="P154"/>
      <c r="Q154"/>
      <c r="R154"/>
    </row>
    <row r="155" spans="4:18" x14ac:dyDescent="0.25">
      <c r="D155"/>
      <c r="E155"/>
      <c r="H155" s="214"/>
      <c r="I155" s="214"/>
      <c r="K155"/>
      <c r="L155"/>
      <c r="M155"/>
      <c r="N155"/>
      <c r="O155"/>
      <c r="P155"/>
      <c r="Q155"/>
      <c r="R155"/>
    </row>
    <row r="156" spans="4:18" x14ac:dyDescent="0.25">
      <c r="D156"/>
      <c r="E156"/>
      <c r="H156" s="214"/>
      <c r="I156" s="214"/>
      <c r="K156"/>
      <c r="L156"/>
      <c r="M156"/>
      <c r="N156"/>
      <c r="O156"/>
      <c r="P156"/>
      <c r="Q156"/>
      <c r="R156"/>
    </row>
    <row r="157" spans="4:18" x14ac:dyDescent="0.25">
      <c r="D157"/>
      <c r="E157"/>
      <c r="H157" s="214"/>
      <c r="I157" s="214"/>
      <c r="K157"/>
      <c r="L157"/>
      <c r="M157"/>
      <c r="N157"/>
      <c r="O157"/>
      <c r="P157"/>
      <c r="Q157"/>
      <c r="R157"/>
    </row>
    <row r="158" spans="4:18" x14ac:dyDescent="0.25">
      <c r="D158"/>
      <c r="E158"/>
      <c r="H158" s="214"/>
      <c r="I158" s="214"/>
      <c r="K158"/>
      <c r="L158"/>
      <c r="M158"/>
      <c r="N158"/>
      <c r="O158"/>
      <c r="P158"/>
      <c r="Q158"/>
      <c r="R158"/>
    </row>
    <row r="159" spans="4:18" x14ac:dyDescent="0.25">
      <c r="D159"/>
      <c r="E159"/>
      <c r="H159" s="214"/>
      <c r="I159" s="214"/>
      <c r="K159"/>
      <c r="L159"/>
      <c r="M159"/>
      <c r="N159"/>
      <c r="O159"/>
      <c r="P159"/>
      <c r="Q159"/>
      <c r="R159"/>
    </row>
    <row r="160" spans="4:18" x14ac:dyDescent="0.25">
      <c r="D160"/>
      <c r="E160"/>
      <c r="H160" s="214"/>
      <c r="I160" s="214"/>
      <c r="K160"/>
      <c r="L160"/>
      <c r="M160"/>
      <c r="N160"/>
      <c r="O160"/>
      <c r="P160"/>
      <c r="Q160"/>
      <c r="R160"/>
    </row>
    <row r="161" spans="4:18" x14ac:dyDescent="0.25">
      <c r="D161"/>
      <c r="E161"/>
      <c r="H161" s="214"/>
      <c r="I161" s="214"/>
      <c r="K161"/>
      <c r="L161"/>
      <c r="M161"/>
      <c r="N161"/>
      <c r="O161"/>
      <c r="P161"/>
      <c r="Q161"/>
      <c r="R161"/>
    </row>
    <row r="162" spans="4:18" x14ac:dyDescent="0.25">
      <c r="D162"/>
      <c r="E162"/>
      <c r="H162" s="214"/>
      <c r="I162" s="214"/>
      <c r="K162"/>
      <c r="L162"/>
      <c r="M162"/>
      <c r="N162"/>
      <c r="O162"/>
      <c r="P162"/>
      <c r="Q162"/>
      <c r="R162"/>
    </row>
    <row r="163" spans="4:18" x14ac:dyDescent="0.25">
      <c r="D163"/>
      <c r="E163"/>
      <c r="H163" s="214"/>
      <c r="I163" s="214"/>
      <c r="K163"/>
      <c r="L163"/>
      <c r="M163"/>
      <c r="N163"/>
      <c r="O163"/>
      <c r="P163"/>
      <c r="Q163"/>
      <c r="R163"/>
    </row>
    <row r="164" spans="4:18" x14ac:dyDescent="0.25">
      <c r="D164"/>
      <c r="E164"/>
      <c r="H164" s="214"/>
      <c r="I164" s="214"/>
      <c r="K164"/>
      <c r="L164"/>
      <c r="M164"/>
      <c r="N164"/>
      <c r="O164"/>
      <c r="P164"/>
      <c r="Q164"/>
      <c r="R164"/>
    </row>
    <row r="165" spans="4:18" x14ac:dyDescent="0.25">
      <c r="D165"/>
      <c r="E165"/>
      <c r="H165" s="214"/>
      <c r="I165" s="214"/>
      <c r="K165"/>
      <c r="L165"/>
      <c r="M165"/>
      <c r="N165"/>
      <c r="O165"/>
      <c r="P165"/>
      <c r="Q165"/>
      <c r="R165"/>
    </row>
    <row r="166" spans="4:18" x14ac:dyDescent="0.25">
      <c r="D166"/>
      <c r="E166"/>
      <c r="H166" s="214"/>
      <c r="I166" s="214"/>
      <c r="K166"/>
      <c r="L166"/>
      <c r="M166"/>
      <c r="N166"/>
      <c r="O166"/>
      <c r="P166"/>
      <c r="Q166"/>
      <c r="R166"/>
    </row>
    <row r="167" spans="4:18" x14ac:dyDescent="0.25">
      <c r="D167"/>
      <c r="E167"/>
      <c r="H167" s="214"/>
      <c r="I167" s="214"/>
      <c r="K167"/>
      <c r="L167"/>
      <c r="M167"/>
      <c r="N167"/>
      <c r="O167"/>
      <c r="P167"/>
      <c r="Q167"/>
      <c r="R167"/>
    </row>
    <row r="168" spans="4:18" x14ac:dyDescent="0.25">
      <c r="D168"/>
      <c r="E168"/>
      <c r="H168" s="214"/>
      <c r="I168" s="214"/>
      <c r="K168"/>
      <c r="L168"/>
      <c r="M168"/>
      <c r="N168"/>
      <c r="O168"/>
      <c r="P168"/>
      <c r="Q168"/>
      <c r="R168"/>
    </row>
    <row r="169" spans="4:18" x14ac:dyDescent="0.25">
      <c r="D169"/>
      <c r="E169"/>
      <c r="H169" s="214"/>
      <c r="I169" s="214"/>
      <c r="K169"/>
      <c r="L169"/>
      <c r="M169"/>
      <c r="N169"/>
      <c r="O169"/>
      <c r="P169"/>
      <c r="Q169"/>
      <c r="R169"/>
    </row>
    <row r="170" spans="4:18" x14ac:dyDescent="0.25">
      <c r="D170"/>
      <c r="E170"/>
      <c r="H170" s="214"/>
      <c r="I170" s="214"/>
      <c r="K170"/>
      <c r="L170"/>
      <c r="M170"/>
      <c r="N170"/>
      <c r="O170"/>
      <c r="P170"/>
      <c r="Q170"/>
      <c r="R170"/>
    </row>
    <row r="171" spans="4:18" x14ac:dyDescent="0.25">
      <c r="D171"/>
      <c r="E171"/>
      <c r="H171" s="214"/>
      <c r="I171" s="214"/>
      <c r="K171"/>
      <c r="L171"/>
      <c r="M171"/>
      <c r="N171"/>
      <c r="O171"/>
      <c r="P171"/>
      <c r="Q171"/>
      <c r="R171"/>
    </row>
    <row r="172" spans="4:18" x14ac:dyDescent="0.25">
      <c r="D172"/>
      <c r="E172"/>
      <c r="H172" s="214"/>
      <c r="I172" s="214"/>
      <c r="K172"/>
      <c r="L172"/>
      <c r="M172"/>
      <c r="N172"/>
      <c r="O172"/>
      <c r="P172"/>
      <c r="Q172"/>
      <c r="R172"/>
    </row>
    <row r="175" spans="4:18" x14ac:dyDescent="0.25">
      <c r="D175"/>
      <c r="E175"/>
      <c r="H175" s="214"/>
      <c r="I175" s="214"/>
      <c r="K175"/>
      <c r="L175"/>
      <c r="M175"/>
      <c r="N175"/>
      <c r="O175"/>
      <c r="P175"/>
      <c r="Q175"/>
      <c r="R175"/>
    </row>
    <row r="176" spans="4:18" x14ac:dyDescent="0.25">
      <c r="D176"/>
      <c r="E176"/>
      <c r="H176" s="214"/>
      <c r="I176" s="214"/>
      <c r="K176"/>
      <c r="L176"/>
      <c r="M176"/>
      <c r="N176"/>
      <c r="O176"/>
      <c r="P176"/>
      <c r="Q176"/>
      <c r="R176"/>
    </row>
    <row r="177" spans="4:18" x14ac:dyDescent="0.25">
      <c r="D177"/>
      <c r="E177"/>
      <c r="H177" s="214"/>
      <c r="I177" s="214"/>
      <c r="K177"/>
      <c r="L177"/>
      <c r="M177"/>
      <c r="N177"/>
      <c r="O177"/>
      <c r="P177"/>
      <c r="Q177"/>
      <c r="R177"/>
    </row>
    <row r="178" spans="4:18" x14ac:dyDescent="0.25">
      <c r="D178"/>
      <c r="E178"/>
      <c r="H178" s="214"/>
      <c r="I178" s="214"/>
      <c r="K178"/>
      <c r="L178"/>
      <c r="M178"/>
      <c r="N178"/>
      <c r="O178"/>
      <c r="P178"/>
      <c r="Q178"/>
      <c r="R178"/>
    </row>
    <row r="179" spans="4:18" x14ac:dyDescent="0.25">
      <c r="D179"/>
      <c r="E179"/>
      <c r="H179" s="214"/>
      <c r="I179" s="214"/>
      <c r="K179"/>
      <c r="L179"/>
      <c r="M179"/>
      <c r="N179"/>
      <c r="O179"/>
      <c r="P179"/>
      <c r="Q179"/>
      <c r="R179"/>
    </row>
    <row r="180" spans="4:18" x14ac:dyDescent="0.25">
      <c r="D180"/>
      <c r="E180"/>
      <c r="H180" s="214"/>
      <c r="I180" s="214"/>
      <c r="K180"/>
      <c r="L180"/>
      <c r="M180"/>
      <c r="N180"/>
      <c r="O180"/>
      <c r="P180"/>
      <c r="Q180"/>
      <c r="R180"/>
    </row>
    <row r="181" spans="4:18" x14ac:dyDescent="0.25">
      <c r="D181"/>
      <c r="E181"/>
      <c r="H181" s="214"/>
      <c r="I181" s="214"/>
      <c r="K181"/>
      <c r="L181"/>
      <c r="M181"/>
      <c r="N181"/>
      <c r="O181"/>
      <c r="P181"/>
      <c r="Q181"/>
      <c r="R181"/>
    </row>
    <row r="182" spans="4:18" x14ac:dyDescent="0.25">
      <c r="D182"/>
      <c r="E182"/>
      <c r="H182" s="214"/>
      <c r="I182" s="214"/>
      <c r="K182"/>
      <c r="L182"/>
      <c r="M182"/>
      <c r="N182"/>
      <c r="O182"/>
      <c r="P182"/>
      <c r="Q182"/>
      <c r="R182"/>
    </row>
    <row r="183" spans="4:18" x14ac:dyDescent="0.25">
      <c r="D183"/>
      <c r="E183"/>
      <c r="H183" s="214"/>
      <c r="I183" s="214"/>
      <c r="K183"/>
      <c r="L183"/>
      <c r="M183"/>
      <c r="N183"/>
      <c r="O183"/>
      <c r="P183"/>
      <c r="Q183"/>
      <c r="R183"/>
    </row>
    <row r="184" spans="4:18" x14ac:dyDescent="0.25">
      <c r="D184"/>
      <c r="E184"/>
      <c r="H184" s="214"/>
      <c r="I184" s="214"/>
      <c r="K184"/>
      <c r="L184"/>
      <c r="M184"/>
      <c r="N184"/>
      <c r="O184"/>
      <c r="P184"/>
      <c r="Q184"/>
      <c r="R184"/>
    </row>
    <row r="185" spans="4:18" x14ac:dyDescent="0.25">
      <c r="D185"/>
      <c r="E185"/>
      <c r="H185" s="214"/>
      <c r="I185" s="214"/>
      <c r="K185"/>
      <c r="L185"/>
      <c r="M185"/>
      <c r="N185"/>
      <c r="O185"/>
      <c r="P185"/>
      <c r="Q185"/>
      <c r="R185"/>
    </row>
    <row r="186" spans="4:18" x14ac:dyDescent="0.25">
      <c r="D186"/>
      <c r="E186"/>
      <c r="H186" s="214"/>
      <c r="I186" s="214"/>
      <c r="K186"/>
      <c r="L186"/>
      <c r="M186"/>
      <c r="N186"/>
      <c r="O186"/>
      <c r="P186"/>
      <c r="Q186"/>
      <c r="R186"/>
    </row>
    <row r="187" spans="4:18" x14ac:dyDescent="0.25">
      <c r="D187"/>
      <c r="E187"/>
      <c r="H187" s="214"/>
      <c r="I187" s="214"/>
      <c r="K187"/>
      <c r="L187"/>
      <c r="M187"/>
      <c r="N187"/>
      <c r="O187"/>
      <c r="P187"/>
      <c r="Q187"/>
      <c r="R187"/>
    </row>
    <row r="188" spans="4:18" x14ac:dyDescent="0.25">
      <c r="D188"/>
      <c r="E188"/>
      <c r="H188" s="214"/>
      <c r="I188" s="214"/>
      <c r="K188"/>
      <c r="L188"/>
      <c r="M188"/>
      <c r="N188"/>
      <c r="O188"/>
      <c r="P188"/>
      <c r="Q188"/>
      <c r="R188"/>
    </row>
    <row r="189" spans="4:18" x14ac:dyDescent="0.25">
      <c r="D189"/>
      <c r="E189"/>
      <c r="H189" s="214"/>
      <c r="I189" s="214"/>
      <c r="K189"/>
      <c r="L189"/>
      <c r="M189"/>
      <c r="N189"/>
      <c r="O189"/>
      <c r="P189"/>
      <c r="Q189"/>
      <c r="R189"/>
    </row>
    <row r="190" spans="4:18" x14ac:dyDescent="0.25">
      <c r="D190"/>
      <c r="E190"/>
      <c r="H190" s="214"/>
      <c r="I190" s="214"/>
      <c r="K190"/>
      <c r="L190"/>
      <c r="M190"/>
      <c r="N190"/>
      <c r="O190"/>
      <c r="P190"/>
      <c r="Q190"/>
      <c r="R190"/>
    </row>
    <row r="191" spans="4:18" x14ac:dyDescent="0.25">
      <c r="D191"/>
      <c r="E191"/>
      <c r="H191" s="214"/>
      <c r="I191" s="214"/>
      <c r="K191"/>
      <c r="L191"/>
      <c r="M191"/>
      <c r="N191"/>
      <c r="O191"/>
      <c r="P191"/>
      <c r="Q191"/>
      <c r="R191"/>
    </row>
    <row r="192" spans="4:18" x14ac:dyDescent="0.25">
      <c r="D192"/>
      <c r="E192"/>
      <c r="H192" s="214"/>
      <c r="I192" s="214"/>
      <c r="K192"/>
      <c r="L192"/>
      <c r="M192"/>
      <c r="N192"/>
      <c r="O192"/>
      <c r="P192"/>
      <c r="Q192"/>
      <c r="R192"/>
    </row>
    <row r="193" spans="4:18" x14ac:dyDescent="0.25">
      <c r="D193"/>
      <c r="E193"/>
      <c r="H193" s="214"/>
      <c r="I193" s="214"/>
      <c r="K193"/>
      <c r="L193"/>
      <c r="M193"/>
      <c r="N193"/>
      <c r="O193"/>
      <c r="P193"/>
      <c r="Q193"/>
      <c r="R193"/>
    </row>
    <row r="194" spans="4:18" x14ac:dyDescent="0.25">
      <c r="D194"/>
      <c r="E194"/>
      <c r="H194" s="214"/>
      <c r="I194" s="214"/>
      <c r="K194"/>
      <c r="L194"/>
      <c r="M194"/>
      <c r="N194"/>
      <c r="O194"/>
      <c r="P194"/>
      <c r="Q194"/>
      <c r="R194"/>
    </row>
    <row r="195" spans="4:18" x14ac:dyDescent="0.25">
      <c r="D195"/>
      <c r="E195"/>
      <c r="H195" s="214"/>
      <c r="I195" s="214"/>
      <c r="K195"/>
      <c r="L195"/>
      <c r="M195"/>
      <c r="N195"/>
      <c r="O195"/>
      <c r="P195"/>
      <c r="Q195"/>
      <c r="R195"/>
    </row>
    <row r="196" spans="4:18" x14ac:dyDescent="0.25">
      <c r="D196"/>
      <c r="E196"/>
      <c r="H196" s="214"/>
      <c r="I196" s="214"/>
      <c r="K196"/>
      <c r="L196"/>
      <c r="M196"/>
      <c r="N196"/>
      <c r="O196"/>
      <c r="P196"/>
      <c r="Q196"/>
      <c r="R196"/>
    </row>
    <row r="197" spans="4:18" x14ac:dyDescent="0.25">
      <c r="D197"/>
      <c r="E197"/>
      <c r="H197" s="214"/>
      <c r="I197" s="214"/>
      <c r="K197"/>
      <c r="L197"/>
      <c r="M197"/>
      <c r="N197"/>
      <c r="O197"/>
      <c r="P197"/>
      <c r="Q197"/>
      <c r="R197"/>
    </row>
    <row r="198" spans="4:18" x14ac:dyDescent="0.25">
      <c r="D198"/>
      <c r="E198"/>
      <c r="H198" s="214"/>
      <c r="I198" s="214"/>
      <c r="K198"/>
      <c r="L198"/>
      <c r="M198"/>
      <c r="N198"/>
      <c r="O198"/>
      <c r="P198"/>
      <c r="Q198"/>
      <c r="R198"/>
    </row>
    <row r="199" spans="4:18" x14ac:dyDescent="0.25">
      <c r="D199"/>
      <c r="E199"/>
      <c r="H199" s="214"/>
      <c r="I199" s="214"/>
      <c r="K199"/>
      <c r="L199"/>
      <c r="M199"/>
      <c r="N199"/>
      <c r="O199"/>
      <c r="P199"/>
      <c r="Q199"/>
      <c r="R199"/>
    </row>
    <row r="200" spans="4:18" x14ac:dyDescent="0.25">
      <c r="D200"/>
      <c r="E200"/>
      <c r="H200" s="214"/>
      <c r="I200" s="214"/>
      <c r="K200"/>
      <c r="L200"/>
      <c r="M200"/>
      <c r="N200"/>
      <c r="O200"/>
      <c r="P200"/>
      <c r="Q200"/>
      <c r="R200"/>
    </row>
    <row r="201" spans="4:18" x14ac:dyDescent="0.25">
      <c r="D201"/>
      <c r="E201"/>
      <c r="H201" s="214"/>
      <c r="I201" s="214"/>
      <c r="K201"/>
      <c r="L201"/>
      <c r="M201"/>
      <c r="N201"/>
      <c r="O201"/>
      <c r="P201"/>
      <c r="Q201"/>
      <c r="R201"/>
    </row>
    <row r="202" spans="4:18" x14ac:dyDescent="0.25">
      <c r="D202"/>
      <c r="E202"/>
      <c r="H202" s="214"/>
      <c r="I202" s="214"/>
      <c r="K202"/>
      <c r="L202"/>
      <c r="M202"/>
      <c r="N202"/>
      <c r="O202"/>
      <c r="P202"/>
      <c r="Q202"/>
      <c r="R202"/>
    </row>
    <row r="203" spans="4:18" x14ac:dyDescent="0.25">
      <c r="D203"/>
      <c r="E203"/>
      <c r="H203" s="214"/>
      <c r="I203" s="214"/>
      <c r="K203"/>
      <c r="L203"/>
      <c r="M203"/>
      <c r="N203"/>
      <c r="O203"/>
      <c r="P203"/>
      <c r="Q203"/>
      <c r="R203"/>
    </row>
    <row r="204" spans="4:18" x14ac:dyDescent="0.25">
      <c r="D204"/>
      <c r="E204"/>
      <c r="H204" s="214"/>
      <c r="I204" s="214"/>
      <c r="K204"/>
      <c r="L204"/>
      <c r="M204"/>
      <c r="N204"/>
      <c r="O204"/>
      <c r="P204"/>
      <c r="Q204"/>
      <c r="R204"/>
    </row>
    <row r="205" spans="4:18" x14ac:dyDescent="0.25">
      <c r="D205"/>
      <c r="E205"/>
      <c r="H205" s="214"/>
      <c r="I205" s="214"/>
      <c r="K205"/>
      <c r="L205"/>
      <c r="M205"/>
      <c r="N205"/>
      <c r="O205"/>
      <c r="P205"/>
      <c r="Q205"/>
      <c r="R205"/>
    </row>
    <row r="206" spans="4:18" x14ac:dyDescent="0.25">
      <c r="D206"/>
      <c r="E206"/>
      <c r="H206" s="214"/>
      <c r="I206" s="214"/>
      <c r="K206"/>
      <c r="L206"/>
      <c r="M206"/>
      <c r="N206"/>
      <c r="O206"/>
      <c r="P206"/>
      <c r="Q206"/>
      <c r="R206"/>
    </row>
    <row r="207" spans="4:18" x14ac:dyDescent="0.25">
      <c r="D207"/>
      <c r="E207"/>
      <c r="H207" s="214"/>
      <c r="I207" s="214"/>
      <c r="K207"/>
      <c r="L207"/>
      <c r="M207"/>
      <c r="N207"/>
      <c r="O207"/>
      <c r="P207"/>
      <c r="Q207"/>
      <c r="R207"/>
    </row>
    <row r="209" spans="4:18" x14ac:dyDescent="0.25">
      <c r="D209"/>
      <c r="E209"/>
      <c r="H209" s="214"/>
      <c r="I209" s="214"/>
      <c r="K209"/>
      <c r="L209"/>
      <c r="M209"/>
      <c r="N209"/>
      <c r="O209"/>
      <c r="P209"/>
      <c r="Q209"/>
      <c r="R209"/>
    </row>
    <row r="210" spans="4:18" x14ac:dyDescent="0.25">
      <c r="D210"/>
      <c r="E210"/>
      <c r="H210" s="214"/>
      <c r="I210" s="214"/>
      <c r="K210"/>
      <c r="L210"/>
      <c r="M210"/>
      <c r="N210"/>
      <c r="O210"/>
      <c r="P210"/>
      <c r="Q210"/>
      <c r="R210"/>
    </row>
    <row r="211" spans="4:18" x14ac:dyDescent="0.25">
      <c r="D211"/>
      <c r="E211"/>
      <c r="H211" s="214"/>
      <c r="I211" s="214"/>
      <c r="K211"/>
      <c r="L211"/>
      <c r="M211"/>
      <c r="N211"/>
      <c r="O211"/>
      <c r="P211"/>
      <c r="Q211"/>
      <c r="R211"/>
    </row>
    <row r="212" spans="4:18" x14ac:dyDescent="0.25">
      <c r="D212"/>
      <c r="E212"/>
      <c r="H212" s="214"/>
      <c r="I212" s="214"/>
      <c r="K212"/>
      <c r="L212"/>
      <c r="M212"/>
      <c r="N212"/>
      <c r="O212"/>
      <c r="P212"/>
      <c r="Q212"/>
      <c r="R212"/>
    </row>
    <row r="213" spans="4:18" x14ac:dyDescent="0.25">
      <c r="D213"/>
      <c r="E213"/>
      <c r="H213" s="214"/>
      <c r="I213" s="214"/>
      <c r="K213"/>
      <c r="L213"/>
      <c r="M213"/>
      <c r="N213"/>
      <c r="O213"/>
      <c r="P213"/>
      <c r="Q213"/>
      <c r="R213"/>
    </row>
    <row r="214" spans="4:18" x14ac:dyDescent="0.25">
      <c r="D214"/>
      <c r="E214"/>
      <c r="H214" s="214"/>
      <c r="I214" s="214"/>
      <c r="K214"/>
      <c r="L214"/>
      <c r="M214"/>
      <c r="N214"/>
      <c r="O214"/>
      <c r="P214"/>
      <c r="Q214"/>
      <c r="R214"/>
    </row>
    <row r="215" spans="4:18" x14ac:dyDescent="0.25">
      <c r="D215"/>
      <c r="E215"/>
      <c r="H215" s="214"/>
      <c r="I215" s="214"/>
      <c r="K215"/>
      <c r="L215"/>
      <c r="M215"/>
      <c r="N215"/>
      <c r="O215"/>
      <c r="P215"/>
      <c r="Q215"/>
      <c r="R215"/>
    </row>
    <row r="216" spans="4:18" x14ac:dyDescent="0.25">
      <c r="D216"/>
      <c r="E216"/>
      <c r="H216" s="214"/>
      <c r="I216" s="214"/>
      <c r="K216"/>
      <c r="L216"/>
      <c r="M216"/>
      <c r="N216"/>
      <c r="O216"/>
      <c r="P216"/>
      <c r="Q216"/>
      <c r="R216"/>
    </row>
    <row r="217" spans="4:18" x14ac:dyDescent="0.25">
      <c r="D217"/>
      <c r="E217"/>
      <c r="H217" s="214"/>
      <c r="I217" s="214"/>
      <c r="K217"/>
      <c r="L217"/>
      <c r="M217"/>
      <c r="N217"/>
      <c r="O217"/>
      <c r="P217"/>
      <c r="Q217"/>
      <c r="R217"/>
    </row>
    <row r="218" spans="4:18" x14ac:dyDescent="0.25">
      <c r="D218"/>
      <c r="E218"/>
      <c r="H218" s="214"/>
      <c r="I218" s="214"/>
      <c r="K218"/>
      <c r="L218"/>
      <c r="M218"/>
      <c r="N218"/>
      <c r="O218"/>
      <c r="P218"/>
      <c r="Q218"/>
      <c r="R218"/>
    </row>
    <row r="219" spans="4:18" x14ac:dyDescent="0.25">
      <c r="D219"/>
      <c r="E219"/>
      <c r="H219" s="214"/>
      <c r="I219" s="214"/>
      <c r="K219"/>
      <c r="L219"/>
      <c r="M219"/>
      <c r="N219"/>
      <c r="O219"/>
      <c r="P219"/>
      <c r="Q219"/>
      <c r="R219"/>
    </row>
    <row r="220" spans="4:18" x14ac:dyDescent="0.25">
      <c r="D220"/>
      <c r="E220"/>
      <c r="H220" s="214"/>
      <c r="I220" s="214"/>
      <c r="K220"/>
      <c r="L220"/>
      <c r="M220"/>
      <c r="N220"/>
      <c r="O220"/>
      <c r="P220"/>
      <c r="Q220"/>
      <c r="R220"/>
    </row>
    <row r="221" spans="4:18" x14ac:dyDescent="0.25">
      <c r="D221"/>
      <c r="E221"/>
      <c r="H221" s="214"/>
      <c r="I221" s="214"/>
      <c r="K221"/>
      <c r="L221"/>
      <c r="M221"/>
      <c r="N221"/>
      <c r="O221"/>
      <c r="P221"/>
      <c r="Q221"/>
      <c r="R221"/>
    </row>
    <row r="222" spans="4:18" x14ac:dyDescent="0.25">
      <c r="D222"/>
      <c r="E222"/>
      <c r="H222" s="214"/>
      <c r="I222" s="214"/>
      <c r="K222"/>
      <c r="L222"/>
      <c r="M222"/>
      <c r="N222"/>
      <c r="O222"/>
      <c r="P222"/>
      <c r="Q222"/>
      <c r="R222"/>
    </row>
    <row r="223" spans="4:18" x14ac:dyDescent="0.25">
      <c r="D223"/>
      <c r="E223"/>
      <c r="H223" s="214"/>
      <c r="I223" s="214"/>
      <c r="K223"/>
      <c r="L223"/>
      <c r="M223"/>
      <c r="N223"/>
      <c r="O223"/>
      <c r="P223"/>
      <c r="Q223"/>
      <c r="R223"/>
    </row>
    <row r="224" spans="4:18" x14ac:dyDescent="0.25">
      <c r="D224"/>
      <c r="E224"/>
      <c r="H224" s="214"/>
      <c r="I224" s="214"/>
      <c r="K224"/>
      <c r="L224"/>
      <c r="M224"/>
      <c r="N224"/>
      <c r="O224"/>
      <c r="P224"/>
      <c r="Q224"/>
      <c r="R224"/>
    </row>
    <row r="225" spans="4:18" x14ac:dyDescent="0.25">
      <c r="D225"/>
      <c r="E225"/>
      <c r="H225" s="214"/>
      <c r="I225" s="214"/>
      <c r="K225"/>
      <c r="L225"/>
      <c r="M225"/>
      <c r="N225"/>
      <c r="O225"/>
      <c r="P225"/>
      <c r="Q225"/>
      <c r="R225"/>
    </row>
    <row r="226" spans="4:18" x14ac:dyDescent="0.25">
      <c r="D226"/>
      <c r="E226"/>
      <c r="H226" s="214"/>
      <c r="I226" s="214"/>
      <c r="K226"/>
      <c r="L226"/>
      <c r="M226"/>
      <c r="N226"/>
      <c r="O226"/>
      <c r="P226"/>
      <c r="Q226"/>
      <c r="R226"/>
    </row>
    <row r="227" spans="4:18" x14ac:dyDescent="0.25">
      <c r="D227"/>
      <c r="E227"/>
      <c r="H227" s="214"/>
      <c r="I227" s="214"/>
      <c r="K227"/>
      <c r="L227"/>
      <c r="M227"/>
      <c r="N227"/>
      <c r="O227"/>
      <c r="P227"/>
      <c r="Q227"/>
      <c r="R227"/>
    </row>
    <row r="228" spans="4:18" x14ac:dyDescent="0.25">
      <c r="D228"/>
      <c r="E228"/>
      <c r="H228" s="214"/>
      <c r="I228" s="214"/>
      <c r="K228"/>
      <c r="L228"/>
      <c r="M228"/>
      <c r="N228"/>
      <c r="O228"/>
      <c r="P228"/>
      <c r="Q228"/>
      <c r="R228"/>
    </row>
    <row r="229" spans="4:18" x14ac:dyDescent="0.25">
      <c r="D229"/>
      <c r="E229"/>
      <c r="H229" s="214"/>
      <c r="I229" s="214"/>
      <c r="K229"/>
      <c r="L229"/>
      <c r="M229"/>
      <c r="N229"/>
      <c r="O229"/>
      <c r="P229"/>
      <c r="Q229"/>
      <c r="R229"/>
    </row>
    <row r="230" spans="4:18" x14ac:dyDescent="0.25">
      <c r="D230"/>
      <c r="E230"/>
      <c r="H230" s="214"/>
      <c r="I230" s="214"/>
      <c r="K230"/>
      <c r="L230"/>
      <c r="M230"/>
      <c r="N230"/>
      <c r="O230"/>
      <c r="P230"/>
      <c r="Q230"/>
      <c r="R230"/>
    </row>
    <row r="231" spans="4:18" x14ac:dyDescent="0.25">
      <c r="D231"/>
      <c r="E231"/>
      <c r="H231" s="214"/>
      <c r="I231" s="214"/>
      <c r="K231"/>
      <c r="L231"/>
      <c r="M231"/>
      <c r="N231"/>
      <c r="O231"/>
      <c r="P231"/>
      <c r="Q231"/>
      <c r="R231"/>
    </row>
    <row r="232" spans="4:18" x14ac:dyDescent="0.25">
      <c r="D232"/>
      <c r="E232"/>
      <c r="H232" s="214"/>
      <c r="I232" s="214"/>
      <c r="K232"/>
      <c r="L232"/>
      <c r="M232"/>
      <c r="N232"/>
      <c r="O232"/>
      <c r="P232"/>
      <c r="Q232"/>
      <c r="R232"/>
    </row>
    <row r="233" spans="4:18" x14ac:dyDescent="0.25">
      <c r="D233"/>
      <c r="E233"/>
      <c r="H233" s="214"/>
      <c r="I233" s="214"/>
      <c r="K233"/>
      <c r="L233"/>
      <c r="M233"/>
      <c r="N233"/>
      <c r="O233"/>
      <c r="P233"/>
      <c r="Q233"/>
      <c r="R233"/>
    </row>
    <row r="234" spans="4:18" x14ac:dyDescent="0.25">
      <c r="D234"/>
      <c r="E234"/>
      <c r="H234" s="214"/>
      <c r="I234" s="214"/>
      <c r="K234"/>
      <c r="L234"/>
      <c r="M234"/>
      <c r="N234"/>
      <c r="O234"/>
      <c r="P234"/>
      <c r="Q234"/>
      <c r="R234"/>
    </row>
    <row r="235" spans="4:18" x14ac:dyDescent="0.25">
      <c r="D235"/>
      <c r="E235"/>
      <c r="H235" s="214"/>
      <c r="I235" s="214"/>
      <c r="K235"/>
      <c r="L235"/>
      <c r="M235"/>
      <c r="N235"/>
      <c r="O235"/>
      <c r="P235"/>
      <c r="Q235"/>
      <c r="R235"/>
    </row>
    <row r="236" spans="4:18" x14ac:dyDescent="0.25">
      <c r="D236"/>
      <c r="E236"/>
      <c r="H236" s="214"/>
      <c r="I236" s="214"/>
      <c r="K236"/>
      <c r="L236"/>
      <c r="M236"/>
      <c r="N236"/>
      <c r="O236"/>
      <c r="P236"/>
      <c r="Q236"/>
      <c r="R236"/>
    </row>
    <row r="237" spans="4:18" x14ac:dyDescent="0.25">
      <c r="D237"/>
      <c r="E237"/>
      <c r="H237" s="214"/>
      <c r="I237" s="214"/>
      <c r="K237"/>
      <c r="L237"/>
      <c r="M237"/>
      <c r="N237"/>
      <c r="O237"/>
      <c r="P237"/>
      <c r="Q237"/>
      <c r="R237"/>
    </row>
    <row r="238" spans="4:18" x14ac:dyDescent="0.25">
      <c r="D238"/>
      <c r="E238"/>
      <c r="H238" s="214"/>
      <c r="I238" s="214"/>
      <c r="K238"/>
      <c r="L238"/>
      <c r="M238"/>
      <c r="N238"/>
      <c r="O238"/>
      <c r="P238"/>
      <c r="Q238"/>
      <c r="R238"/>
    </row>
    <row r="239" spans="4:18" x14ac:dyDescent="0.25">
      <c r="D239"/>
      <c r="E239"/>
      <c r="H239" s="214"/>
      <c r="I239" s="214"/>
      <c r="K239"/>
      <c r="L239"/>
      <c r="M239"/>
      <c r="N239"/>
      <c r="O239"/>
      <c r="P239"/>
      <c r="Q239"/>
      <c r="R239"/>
    </row>
    <row r="240" spans="4:18" x14ac:dyDescent="0.25">
      <c r="D240"/>
      <c r="E240"/>
      <c r="H240" s="214"/>
      <c r="I240" s="214"/>
      <c r="K240"/>
      <c r="L240"/>
      <c r="M240"/>
      <c r="N240"/>
      <c r="O240"/>
      <c r="P240"/>
      <c r="Q240"/>
      <c r="R240"/>
    </row>
    <row r="241" spans="4:18" x14ac:dyDescent="0.25">
      <c r="D241"/>
      <c r="E241"/>
      <c r="H241" s="214"/>
      <c r="I241" s="214"/>
      <c r="K241"/>
      <c r="L241"/>
      <c r="M241"/>
      <c r="N241"/>
      <c r="O241"/>
      <c r="P241"/>
      <c r="Q241"/>
      <c r="R241"/>
    </row>
    <row r="242" spans="4:18" x14ac:dyDescent="0.25">
      <c r="D242"/>
      <c r="E242"/>
      <c r="H242" s="214"/>
      <c r="I242" s="214"/>
      <c r="K242"/>
      <c r="L242"/>
      <c r="M242"/>
      <c r="N242"/>
      <c r="O242"/>
      <c r="P242"/>
      <c r="Q242"/>
      <c r="R242"/>
    </row>
    <row r="244" spans="4:18" x14ac:dyDescent="0.25">
      <c r="D244"/>
      <c r="E244"/>
      <c r="H244" s="214"/>
      <c r="I244" s="214"/>
      <c r="K244"/>
      <c r="L244"/>
      <c r="M244"/>
      <c r="N244"/>
      <c r="O244"/>
      <c r="P244"/>
      <c r="Q244"/>
      <c r="R244"/>
    </row>
    <row r="245" spans="4:18" x14ac:dyDescent="0.25">
      <c r="D245"/>
      <c r="E245"/>
      <c r="H245" s="214"/>
      <c r="I245" s="214"/>
      <c r="K245"/>
      <c r="L245"/>
      <c r="M245"/>
      <c r="N245"/>
      <c r="O245"/>
      <c r="P245"/>
      <c r="Q245"/>
      <c r="R245"/>
    </row>
    <row r="246" spans="4:18" x14ac:dyDescent="0.25">
      <c r="D246"/>
      <c r="E246"/>
      <c r="H246" s="214"/>
      <c r="I246" s="214"/>
      <c r="K246"/>
      <c r="L246"/>
      <c r="M246"/>
      <c r="N246"/>
      <c r="O246"/>
      <c r="P246"/>
      <c r="Q246"/>
      <c r="R246"/>
    </row>
    <row r="247" spans="4:18" x14ac:dyDescent="0.25">
      <c r="D247"/>
      <c r="E247"/>
      <c r="H247" s="214"/>
      <c r="I247" s="214"/>
      <c r="K247"/>
      <c r="L247"/>
      <c r="M247"/>
      <c r="N247"/>
      <c r="O247"/>
      <c r="P247"/>
      <c r="Q247"/>
      <c r="R247"/>
    </row>
    <row r="248" spans="4:18" x14ac:dyDescent="0.25">
      <c r="D248"/>
      <c r="E248"/>
      <c r="H248" s="214"/>
      <c r="I248" s="214"/>
      <c r="K248"/>
      <c r="L248"/>
      <c r="M248"/>
      <c r="N248"/>
      <c r="O248"/>
      <c r="P248"/>
      <c r="Q248"/>
      <c r="R248"/>
    </row>
    <row r="249" spans="4:18" x14ac:dyDescent="0.25">
      <c r="D249"/>
      <c r="E249"/>
      <c r="H249" s="214"/>
      <c r="I249" s="214"/>
      <c r="K249"/>
      <c r="L249"/>
      <c r="M249"/>
      <c r="N249"/>
      <c r="O249"/>
      <c r="P249"/>
      <c r="Q249"/>
      <c r="R249"/>
    </row>
    <row r="250" spans="4:18" x14ac:dyDescent="0.25">
      <c r="D250"/>
      <c r="E250"/>
      <c r="H250" s="214"/>
      <c r="I250" s="214"/>
      <c r="K250"/>
      <c r="L250"/>
      <c r="M250"/>
      <c r="N250"/>
      <c r="O250"/>
      <c r="P250"/>
      <c r="Q250"/>
      <c r="R250"/>
    </row>
    <row r="251" spans="4:18" x14ac:dyDescent="0.25">
      <c r="D251"/>
      <c r="E251"/>
      <c r="H251" s="214"/>
      <c r="I251" s="214"/>
      <c r="K251"/>
      <c r="L251"/>
      <c r="M251"/>
      <c r="N251"/>
      <c r="O251"/>
      <c r="P251"/>
      <c r="Q251"/>
      <c r="R251"/>
    </row>
    <row r="252" spans="4:18" x14ac:dyDescent="0.25">
      <c r="D252"/>
      <c r="E252"/>
      <c r="H252" s="214"/>
      <c r="I252" s="214"/>
      <c r="K252"/>
      <c r="L252"/>
      <c r="M252"/>
      <c r="N252"/>
      <c r="O252"/>
      <c r="P252"/>
      <c r="Q252"/>
      <c r="R252"/>
    </row>
    <row r="253" spans="4:18" x14ac:dyDescent="0.25">
      <c r="D253"/>
      <c r="E253"/>
      <c r="H253" s="214"/>
      <c r="I253" s="214"/>
      <c r="K253"/>
      <c r="L253"/>
      <c r="M253"/>
      <c r="N253"/>
      <c r="O253"/>
      <c r="P253"/>
      <c r="Q253"/>
      <c r="R253"/>
    </row>
    <row r="254" spans="4:18" x14ac:dyDescent="0.25">
      <c r="D254"/>
      <c r="E254"/>
      <c r="H254" s="214"/>
      <c r="I254" s="214"/>
      <c r="K254"/>
      <c r="L254"/>
      <c r="M254"/>
      <c r="N254"/>
      <c r="O254"/>
      <c r="P254"/>
      <c r="Q254"/>
      <c r="R254"/>
    </row>
    <row r="255" spans="4:18" x14ac:dyDescent="0.25">
      <c r="D255"/>
      <c r="E255"/>
      <c r="H255" s="214"/>
      <c r="I255" s="214"/>
      <c r="K255"/>
      <c r="L255"/>
      <c r="M255"/>
      <c r="N255"/>
      <c r="O255"/>
      <c r="P255"/>
      <c r="Q255"/>
      <c r="R255"/>
    </row>
    <row r="256" spans="4:18" x14ac:dyDescent="0.25">
      <c r="D256"/>
      <c r="E256"/>
      <c r="H256" s="214"/>
      <c r="I256" s="214"/>
      <c r="K256"/>
      <c r="L256"/>
      <c r="M256"/>
      <c r="N256"/>
      <c r="O256"/>
      <c r="P256"/>
      <c r="Q256"/>
      <c r="R256"/>
    </row>
    <row r="257" spans="4:18" x14ac:dyDescent="0.25">
      <c r="D257"/>
      <c r="E257"/>
      <c r="H257" s="214"/>
      <c r="I257" s="214"/>
      <c r="K257"/>
      <c r="L257"/>
      <c r="M257"/>
      <c r="N257"/>
      <c r="O257"/>
      <c r="P257"/>
      <c r="Q257"/>
      <c r="R257"/>
    </row>
    <row r="258" spans="4:18" x14ac:dyDescent="0.25">
      <c r="D258"/>
      <c r="E258"/>
      <c r="H258" s="214"/>
      <c r="I258" s="214"/>
      <c r="K258"/>
      <c r="L258"/>
      <c r="M258"/>
      <c r="N258"/>
      <c r="O258"/>
      <c r="P258"/>
      <c r="Q258"/>
      <c r="R258"/>
    </row>
    <row r="259" spans="4:18" x14ac:dyDescent="0.25">
      <c r="D259"/>
      <c r="E259"/>
      <c r="H259" s="214"/>
      <c r="I259" s="214"/>
      <c r="K259"/>
      <c r="L259"/>
      <c r="M259"/>
      <c r="N259"/>
      <c r="O259"/>
      <c r="P259"/>
      <c r="Q259"/>
      <c r="R259"/>
    </row>
    <row r="260" spans="4:18" x14ac:dyDescent="0.25">
      <c r="D260"/>
      <c r="E260"/>
      <c r="H260" s="214"/>
      <c r="I260" s="214"/>
      <c r="K260"/>
      <c r="L260"/>
      <c r="M260"/>
      <c r="N260"/>
      <c r="O260"/>
      <c r="P260"/>
      <c r="Q260"/>
      <c r="R260"/>
    </row>
    <row r="261" spans="4:18" x14ac:dyDescent="0.25">
      <c r="D261"/>
      <c r="E261"/>
      <c r="H261" s="214"/>
      <c r="I261" s="214"/>
      <c r="K261"/>
      <c r="L261"/>
      <c r="M261"/>
      <c r="N261"/>
      <c r="O261"/>
      <c r="P261"/>
      <c r="Q261"/>
      <c r="R261"/>
    </row>
    <row r="262" spans="4:18" x14ac:dyDescent="0.25">
      <c r="D262"/>
      <c r="E262"/>
      <c r="H262" s="214"/>
      <c r="I262" s="214"/>
      <c r="K262"/>
      <c r="L262"/>
      <c r="M262"/>
      <c r="N262"/>
      <c r="O262"/>
      <c r="P262"/>
      <c r="Q262"/>
      <c r="R262"/>
    </row>
    <row r="263" spans="4:18" x14ac:dyDescent="0.25">
      <c r="D263"/>
      <c r="E263"/>
      <c r="H263" s="214"/>
      <c r="I263" s="214"/>
      <c r="K263"/>
      <c r="L263"/>
      <c r="M263"/>
      <c r="N263"/>
      <c r="O263"/>
      <c r="P263"/>
      <c r="Q263"/>
      <c r="R263"/>
    </row>
    <row r="264" spans="4:18" x14ac:dyDescent="0.25">
      <c r="D264"/>
      <c r="E264"/>
      <c r="H264" s="214"/>
      <c r="I264" s="214"/>
      <c r="K264"/>
      <c r="L264"/>
      <c r="M264"/>
      <c r="N264"/>
      <c r="O264"/>
      <c r="P264"/>
      <c r="Q264"/>
      <c r="R264"/>
    </row>
    <row r="265" spans="4:18" x14ac:dyDescent="0.25">
      <c r="D265"/>
      <c r="E265"/>
      <c r="H265" s="214"/>
      <c r="I265" s="214"/>
      <c r="K265"/>
      <c r="L265"/>
      <c r="M265"/>
      <c r="N265"/>
      <c r="O265"/>
      <c r="P265"/>
      <c r="Q265"/>
      <c r="R265"/>
    </row>
    <row r="266" spans="4:18" x14ac:dyDescent="0.25">
      <c r="D266"/>
      <c r="E266"/>
      <c r="H266" s="214"/>
      <c r="I266" s="214"/>
      <c r="K266"/>
      <c r="L266"/>
      <c r="M266"/>
      <c r="N266"/>
      <c r="O266"/>
      <c r="P266"/>
      <c r="Q266"/>
      <c r="R266"/>
    </row>
    <row r="267" spans="4:18" x14ac:dyDescent="0.25">
      <c r="D267"/>
      <c r="E267"/>
      <c r="H267" s="214"/>
      <c r="I267" s="214"/>
      <c r="K267"/>
      <c r="L267"/>
      <c r="M267"/>
      <c r="N267"/>
      <c r="O267"/>
      <c r="P267"/>
      <c r="Q267"/>
      <c r="R267"/>
    </row>
    <row r="268" spans="4:18" x14ac:dyDescent="0.25">
      <c r="D268"/>
      <c r="E268"/>
      <c r="H268" s="214"/>
      <c r="I268" s="214"/>
      <c r="K268"/>
      <c r="L268"/>
      <c r="M268"/>
      <c r="N268"/>
      <c r="O268"/>
      <c r="P268"/>
      <c r="Q268"/>
      <c r="R268"/>
    </row>
    <row r="269" spans="4:18" x14ac:dyDescent="0.25">
      <c r="D269"/>
      <c r="E269"/>
      <c r="H269" s="214"/>
      <c r="I269" s="214"/>
      <c r="K269"/>
      <c r="L269"/>
      <c r="M269"/>
      <c r="N269"/>
      <c r="O269"/>
      <c r="P269"/>
      <c r="Q269"/>
      <c r="R269"/>
    </row>
    <row r="270" spans="4:18" x14ac:dyDescent="0.25">
      <c r="D270"/>
      <c r="E270"/>
      <c r="H270" s="214"/>
      <c r="I270" s="214"/>
      <c r="K270"/>
      <c r="L270"/>
      <c r="M270"/>
      <c r="N270"/>
      <c r="O270"/>
      <c r="P270"/>
      <c r="Q270"/>
      <c r="R270"/>
    </row>
    <row r="271" spans="4:18" x14ac:dyDescent="0.25">
      <c r="D271"/>
      <c r="E271"/>
      <c r="H271" s="214"/>
      <c r="I271" s="214"/>
      <c r="K271"/>
      <c r="L271"/>
      <c r="M271"/>
      <c r="N271"/>
      <c r="O271"/>
      <c r="P271"/>
      <c r="Q271"/>
      <c r="R271"/>
    </row>
    <row r="272" spans="4:18" x14ac:dyDescent="0.25">
      <c r="D272"/>
      <c r="E272"/>
      <c r="H272" s="214"/>
      <c r="I272" s="214"/>
      <c r="K272"/>
      <c r="L272"/>
      <c r="M272"/>
      <c r="N272"/>
      <c r="O272"/>
      <c r="P272"/>
      <c r="Q272"/>
      <c r="R272"/>
    </row>
    <row r="273" spans="4:18" x14ac:dyDescent="0.25">
      <c r="D273"/>
      <c r="E273"/>
      <c r="H273" s="214"/>
      <c r="I273" s="214"/>
      <c r="K273"/>
      <c r="L273"/>
      <c r="M273"/>
      <c r="N273"/>
      <c r="O273"/>
      <c r="P273"/>
      <c r="Q273"/>
      <c r="R273"/>
    </row>
    <row r="274" spans="4:18" x14ac:dyDescent="0.25">
      <c r="D274"/>
      <c r="E274"/>
      <c r="H274" s="214"/>
      <c r="I274" s="214"/>
      <c r="K274"/>
      <c r="L274"/>
      <c r="M274"/>
      <c r="N274"/>
      <c r="O274"/>
      <c r="P274"/>
      <c r="Q274"/>
      <c r="R274"/>
    </row>
    <row r="275" spans="4:18" x14ac:dyDescent="0.25">
      <c r="D275"/>
      <c r="E275"/>
      <c r="H275" s="214"/>
      <c r="I275" s="214"/>
      <c r="K275"/>
      <c r="L275"/>
      <c r="M275"/>
      <c r="N275"/>
      <c r="O275"/>
      <c r="P275"/>
      <c r="Q275"/>
      <c r="R275"/>
    </row>
    <row r="276" spans="4:18" x14ac:dyDescent="0.25">
      <c r="D276"/>
      <c r="E276"/>
      <c r="H276" s="214"/>
      <c r="I276" s="214"/>
      <c r="K276"/>
      <c r="L276"/>
      <c r="M276"/>
      <c r="N276"/>
      <c r="O276"/>
      <c r="P276"/>
      <c r="Q276"/>
      <c r="R276"/>
    </row>
    <row r="277" spans="4:18" x14ac:dyDescent="0.25">
      <c r="D277"/>
      <c r="E277"/>
      <c r="H277" s="214"/>
      <c r="I277" s="214"/>
      <c r="K277"/>
      <c r="L277"/>
      <c r="M277"/>
      <c r="N277"/>
      <c r="O277"/>
      <c r="P277"/>
      <c r="Q277"/>
      <c r="R277"/>
    </row>
    <row r="278" spans="4:18" x14ac:dyDescent="0.25">
      <c r="D278"/>
      <c r="E278"/>
      <c r="H278" s="214"/>
      <c r="I278" s="214"/>
      <c r="K278"/>
      <c r="L278"/>
      <c r="M278"/>
      <c r="N278"/>
      <c r="O278"/>
      <c r="P278"/>
      <c r="Q278"/>
      <c r="R278"/>
    </row>
    <row r="279" spans="4:18" x14ac:dyDescent="0.25">
      <c r="D279"/>
      <c r="E279"/>
      <c r="H279" s="214"/>
      <c r="I279" s="214"/>
      <c r="K279"/>
      <c r="L279"/>
      <c r="M279"/>
      <c r="N279"/>
      <c r="O279"/>
      <c r="P279"/>
      <c r="Q279"/>
      <c r="R279"/>
    </row>
    <row r="280" spans="4:18" x14ac:dyDescent="0.25">
      <c r="D280"/>
      <c r="E280"/>
      <c r="H280" s="214"/>
      <c r="I280" s="214"/>
      <c r="K280"/>
      <c r="L280"/>
      <c r="M280"/>
      <c r="N280"/>
      <c r="O280"/>
      <c r="P280"/>
      <c r="Q280"/>
      <c r="R280"/>
    </row>
    <row r="281" spans="4:18" x14ac:dyDescent="0.25">
      <c r="D281"/>
      <c r="E281"/>
      <c r="H281" s="214"/>
      <c r="I281" s="214"/>
      <c r="K281"/>
      <c r="L281"/>
      <c r="M281"/>
      <c r="N281"/>
      <c r="O281"/>
      <c r="P281"/>
      <c r="Q281"/>
      <c r="R281"/>
    </row>
    <row r="282" spans="4:18" x14ac:dyDescent="0.25">
      <c r="D282"/>
      <c r="E282"/>
      <c r="H282" s="214"/>
      <c r="I282" s="214"/>
      <c r="K282"/>
      <c r="L282"/>
      <c r="M282"/>
      <c r="N282"/>
      <c r="O282"/>
      <c r="P282"/>
      <c r="Q282"/>
      <c r="R282"/>
    </row>
    <row r="283" spans="4:18" x14ac:dyDescent="0.25">
      <c r="D283"/>
      <c r="E283"/>
      <c r="H283" s="214"/>
      <c r="I283" s="214"/>
      <c r="K283"/>
      <c r="L283"/>
      <c r="M283"/>
      <c r="N283"/>
      <c r="O283"/>
      <c r="P283"/>
      <c r="Q283"/>
      <c r="R283"/>
    </row>
    <row r="284" spans="4:18" x14ac:dyDescent="0.25">
      <c r="D284"/>
      <c r="E284"/>
      <c r="H284" s="214"/>
      <c r="I284" s="214"/>
      <c r="K284"/>
      <c r="L284"/>
      <c r="M284"/>
      <c r="N284"/>
      <c r="O284"/>
      <c r="P284"/>
      <c r="Q284"/>
      <c r="R284"/>
    </row>
    <row r="285" spans="4:18" x14ac:dyDescent="0.25">
      <c r="D285"/>
      <c r="E285"/>
      <c r="H285" s="214"/>
      <c r="I285" s="214"/>
      <c r="K285"/>
      <c r="L285"/>
      <c r="M285"/>
      <c r="N285"/>
      <c r="O285"/>
      <c r="P285"/>
      <c r="Q285"/>
      <c r="R285"/>
    </row>
    <row r="286" spans="4:18" x14ac:dyDescent="0.25">
      <c r="D286"/>
      <c r="E286"/>
      <c r="H286" s="214"/>
      <c r="I286" s="214"/>
      <c r="K286"/>
      <c r="L286"/>
      <c r="M286"/>
      <c r="N286"/>
      <c r="O286"/>
      <c r="P286"/>
      <c r="Q286"/>
      <c r="R286"/>
    </row>
    <row r="287" spans="4:18" x14ac:dyDescent="0.25">
      <c r="D287"/>
      <c r="E287"/>
      <c r="H287" s="214"/>
      <c r="I287" s="214"/>
      <c r="K287"/>
      <c r="L287"/>
      <c r="M287"/>
      <c r="N287"/>
      <c r="O287"/>
      <c r="P287"/>
      <c r="Q287"/>
      <c r="R287"/>
    </row>
    <row r="288" spans="4:18" x14ac:dyDescent="0.25">
      <c r="D288"/>
      <c r="E288"/>
      <c r="H288" s="214"/>
      <c r="I288" s="214"/>
      <c r="K288"/>
      <c r="L288"/>
      <c r="M288"/>
      <c r="N288"/>
      <c r="O288"/>
      <c r="P288"/>
      <c r="Q288"/>
      <c r="R288"/>
    </row>
    <row r="289" spans="4:18" x14ac:dyDescent="0.25">
      <c r="D289"/>
      <c r="E289"/>
      <c r="H289" s="214"/>
      <c r="I289" s="214"/>
      <c r="K289"/>
      <c r="L289"/>
      <c r="M289"/>
      <c r="N289"/>
      <c r="O289"/>
      <c r="P289"/>
      <c r="Q289"/>
      <c r="R289"/>
    </row>
    <row r="290" spans="4:18" x14ac:dyDescent="0.25">
      <c r="D290"/>
      <c r="E290"/>
      <c r="H290" s="214"/>
      <c r="I290" s="214"/>
      <c r="K290"/>
      <c r="L290"/>
      <c r="M290"/>
      <c r="N290"/>
      <c r="O290"/>
      <c r="P290"/>
      <c r="Q290"/>
      <c r="R290"/>
    </row>
    <row r="291" spans="4:18" x14ac:dyDescent="0.25">
      <c r="D291"/>
      <c r="E291"/>
      <c r="H291" s="214"/>
      <c r="I291" s="214"/>
      <c r="K291"/>
      <c r="L291"/>
      <c r="M291"/>
      <c r="N291"/>
      <c r="O291"/>
      <c r="P291"/>
      <c r="Q291"/>
      <c r="R291"/>
    </row>
    <row r="292" spans="4:18" x14ac:dyDescent="0.25">
      <c r="D292"/>
      <c r="E292"/>
      <c r="H292" s="214"/>
      <c r="I292" s="214"/>
      <c r="K292"/>
      <c r="L292"/>
      <c r="M292"/>
      <c r="N292"/>
      <c r="O292"/>
      <c r="P292"/>
      <c r="Q292"/>
      <c r="R292"/>
    </row>
    <row r="293" spans="4:18" x14ac:dyDescent="0.25">
      <c r="D293"/>
      <c r="E293"/>
      <c r="H293" s="214"/>
      <c r="I293" s="214"/>
      <c r="K293"/>
      <c r="L293"/>
      <c r="M293"/>
      <c r="N293"/>
      <c r="O293"/>
      <c r="P293"/>
      <c r="Q293"/>
      <c r="R293"/>
    </row>
    <row r="294" spans="4:18" x14ac:dyDescent="0.25">
      <c r="D294"/>
      <c r="E294"/>
      <c r="H294" s="214"/>
      <c r="I294" s="214"/>
      <c r="K294"/>
      <c r="L294"/>
      <c r="M294"/>
      <c r="N294"/>
      <c r="O294"/>
      <c r="P294"/>
      <c r="Q294"/>
      <c r="R294"/>
    </row>
    <row r="295" spans="4:18" x14ac:dyDescent="0.25">
      <c r="D295"/>
      <c r="E295"/>
      <c r="H295" s="214"/>
      <c r="I295" s="214"/>
      <c r="K295"/>
      <c r="L295"/>
      <c r="M295"/>
      <c r="N295"/>
      <c r="O295"/>
      <c r="P295"/>
      <c r="Q295"/>
      <c r="R295"/>
    </row>
    <row r="296" spans="4:18" x14ac:dyDescent="0.25">
      <c r="D296"/>
      <c r="E296"/>
      <c r="H296" s="214"/>
      <c r="I296" s="214"/>
      <c r="K296"/>
      <c r="L296"/>
      <c r="M296"/>
      <c r="N296"/>
      <c r="O296"/>
      <c r="P296"/>
      <c r="Q296"/>
      <c r="R296"/>
    </row>
    <row r="297" spans="4:18" x14ac:dyDescent="0.25">
      <c r="D297"/>
      <c r="E297"/>
      <c r="H297" s="214"/>
      <c r="I297" s="214"/>
      <c r="K297"/>
      <c r="L297"/>
      <c r="M297"/>
      <c r="N297"/>
      <c r="O297"/>
      <c r="P297"/>
      <c r="Q297"/>
      <c r="R297"/>
    </row>
    <row r="298" spans="4:18" x14ac:dyDescent="0.25">
      <c r="D298"/>
      <c r="E298"/>
      <c r="H298" s="214"/>
      <c r="I298" s="214"/>
      <c r="K298"/>
      <c r="L298"/>
      <c r="M298"/>
      <c r="N298"/>
      <c r="O298"/>
      <c r="P298"/>
      <c r="Q298"/>
      <c r="R298"/>
    </row>
    <row r="299" spans="4:18" x14ac:dyDescent="0.25">
      <c r="D299"/>
      <c r="E299"/>
      <c r="H299" s="214"/>
      <c r="I299" s="214"/>
      <c r="K299"/>
      <c r="L299"/>
      <c r="M299"/>
      <c r="N299"/>
      <c r="O299"/>
      <c r="P299"/>
      <c r="Q299"/>
      <c r="R299"/>
    </row>
    <row r="300" spans="4:18" x14ac:dyDescent="0.25">
      <c r="D300"/>
      <c r="E300"/>
      <c r="H300" s="214"/>
      <c r="I300" s="214"/>
      <c r="K300"/>
      <c r="L300"/>
      <c r="M300"/>
      <c r="N300"/>
      <c r="O300"/>
      <c r="P300"/>
      <c r="Q300"/>
      <c r="R300"/>
    </row>
    <row r="301" spans="4:18" x14ac:dyDescent="0.25">
      <c r="D301"/>
      <c r="E301"/>
      <c r="H301" s="214"/>
      <c r="I301" s="214"/>
      <c r="K301"/>
      <c r="L301"/>
      <c r="M301"/>
      <c r="N301"/>
      <c r="O301"/>
      <c r="P301"/>
      <c r="Q301"/>
      <c r="R301"/>
    </row>
    <row r="302" spans="4:18" x14ac:dyDescent="0.25">
      <c r="D302"/>
      <c r="E302"/>
      <c r="H302" s="214"/>
      <c r="I302" s="214"/>
      <c r="K302"/>
      <c r="L302"/>
      <c r="M302"/>
      <c r="N302"/>
      <c r="O302"/>
      <c r="P302"/>
      <c r="Q302"/>
      <c r="R302"/>
    </row>
    <row r="303" spans="4:18" x14ac:dyDescent="0.25">
      <c r="D303"/>
      <c r="E303"/>
      <c r="H303" s="214"/>
      <c r="I303" s="214"/>
      <c r="K303"/>
      <c r="L303"/>
      <c r="M303"/>
      <c r="N303"/>
      <c r="O303"/>
      <c r="P303"/>
      <c r="Q303"/>
      <c r="R303"/>
    </row>
    <row r="304" spans="4:18" x14ac:dyDescent="0.25">
      <c r="D304"/>
      <c r="E304"/>
      <c r="H304" s="214"/>
      <c r="I304" s="214"/>
      <c r="K304"/>
      <c r="L304"/>
      <c r="M304"/>
      <c r="N304"/>
      <c r="O304"/>
      <c r="P304"/>
      <c r="Q304"/>
      <c r="R304"/>
    </row>
    <row r="305" spans="4:18" x14ac:dyDescent="0.25">
      <c r="D305"/>
      <c r="E305"/>
      <c r="H305" s="214"/>
      <c r="I305" s="214"/>
      <c r="K305"/>
      <c r="L305"/>
      <c r="M305"/>
      <c r="N305"/>
      <c r="O305"/>
      <c r="P305"/>
      <c r="Q305"/>
      <c r="R305"/>
    </row>
    <row r="306" spans="4:18" x14ac:dyDescent="0.25">
      <c r="D306"/>
      <c r="E306"/>
      <c r="H306" s="214"/>
      <c r="I306" s="214"/>
      <c r="K306"/>
      <c r="L306"/>
      <c r="M306"/>
      <c r="N306"/>
      <c r="O306"/>
      <c r="P306"/>
      <c r="Q306"/>
      <c r="R306"/>
    </row>
    <row r="307" spans="4:18" x14ac:dyDescent="0.25">
      <c r="D307"/>
      <c r="E307"/>
      <c r="H307" s="214"/>
      <c r="I307" s="214"/>
      <c r="K307"/>
      <c r="L307"/>
      <c r="M307"/>
      <c r="N307"/>
      <c r="O307"/>
      <c r="P307"/>
      <c r="Q307"/>
      <c r="R307"/>
    </row>
    <row r="308" spans="4:18" x14ac:dyDescent="0.25">
      <c r="D308"/>
      <c r="E308"/>
      <c r="H308" s="214"/>
      <c r="I308" s="214"/>
      <c r="K308"/>
      <c r="L308"/>
      <c r="M308"/>
      <c r="N308"/>
      <c r="O308"/>
      <c r="P308"/>
      <c r="Q308"/>
      <c r="R308"/>
    </row>
    <row r="309" spans="4:18" x14ac:dyDescent="0.25">
      <c r="D309"/>
      <c r="E309"/>
      <c r="H309" s="214"/>
      <c r="I309" s="214"/>
      <c r="K309"/>
      <c r="L309"/>
      <c r="M309"/>
      <c r="N309"/>
      <c r="O309"/>
      <c r="P309"/>
      <c r="Q309"/>
      <c r="R309"/>
    </row>
    <row r="310" spans="4:18" x14ac:dyDescent="0.25">
      <c r="D310"/>
      <c r="E310"/>
      <c r="H310" s="214"/>
      <c r="I310" s="214"/>
      <c r="K310"/>
      <c r="L310"/>
      <c r="M310"/>
      <c r="N310"/>
      <c r="O310"/>
      <c r="P310"/>
      <c r="Q310"/>
      <c r="R310"/>
    </row>
    <row r="311" spans="4:18" x14ac:dyDescent="0.25">
      <c r="D311"/>
      <c r="E311"/>
      <c r="H311" s="214"/>
      <c r="I311" s="214"/>
      <c r="K311"/>
      <c r="L311"/>
      <c r="M311"/>
      <c r="N311"/>
      <c r="O311"/>
      <c r="P311"/>
      <c r="Q311"/>
      <c r="R311"/>
    </row>
    <row r="312" spans="4:18" x14ac:dyDescent="0.25">
      <c r="D312"/>
      <c r="E312"/>
      <c r="H312" s="214"/>
      <c r="I312" s="214"/>
      <c r="K312"/>
      <c r="L312"/>
      <c r="M312"/>
      <c r="N312"/>
      <c r="O312"/>
      <c r="P312"/>
      <c r="Q312"/>
      <c r="R312"/>
    </row>
    <row r="313" spans="4:18" x14ac:dyDescent="0.25">
      <c r="D313"/>
      <c r="E313"/>
      <c r="H313" s="214"/>
      <c r="I313" s="214"/>
      <c r="K313"/>
      <c r="L313"/>
      <c r="M313"/>
      <c r="N313"/>
      <c r="O313"/>
      <c r="P313"/>
      <c r="Q313"/>
      <c r="R313"/>
    </row>
    <row r="314" spans="4:18" x14ac:dyDescent="0.25">
      <c r="D314"/>
      <c r="E314"/>
      <c r="H314" s="214"/>
      <c r="I314" s="214"/>
      <c r="K314"/>
      <c r="L314"/>
      <c r="M314"/>
      <c r="N314"/>
      <c r="O314"/>
      <c r="P314"/>
      <c r="Q314"/>
      <c r="R314"/>
    </row>
    <row r="315" spans="4:18" x14ac:dyDescent="0.25">
      <c r="D315"/>
      <c r="E315"/>
      <c r="H315" s="214"/>
      <c r="I315" s="214"/>
      <c r="K315"/>
      <c r="L315"/>
      <c r="M315"/>
      <c r="N315"/>
      <c r="O315"/>
      <c r="P315"/>
      <c r="Q315"/>
      <c r="R315"/>
    </row>
    <row r="316" spans="4:18" x14ac:dyDescent="0.25">
      <c r="D316"/>
      <c r="E316"/>
      <c r="H316" s="214"/>
      <c r="I316" s="214"/>
      <c r="K316"/>
      <c r="L316"/>
      <c r="M316"/>
      <c r="N316"/>
      <c r="O316"/>
      <c r="P316"/>
      <c r="Q316"/>
      <c r="R316"/>
    </row>
    <row r="317" spans="4:18" x14ac:dyDescent="0.25">
      <c r="D317"/>
      <c r="E317"/>
      <c r="H317" s="214"/>
      <c r="I317" s="214"/>
      <c r="K317"/>
      <c r="L317"/>
      <c r="M317"/>
      <c r="N317"/>
      <c r="O317"/>
      <c r="P317"/>
      <c r="Q317"/>
      <c r="R317"/>
    </row>
    <row r="318" spans="4:18" x14ac:dyDescent="0.25">
      <c r="D318"/>
      <c r="E318"/>
      <c r="H318" s="214"/>
      <c r="I318" s="214"/>
      <c r="K318"/>
      <c r="L318"/>
      <c r="M318"/>
      <c r="N318"/>
      <c r="O318"/>
      <c r="P318"/>
      <c r="Q318"/>
      <c r="R318"/>
    </row>
    <row r="319" spans="4:18" x14ac:dyDescent="0.25">
      <c r="D319"/>
      <c r="E319"/>
      <c r="H319" s="214"/>
      <c r="I319" s="214"/>
      <c r="K319"/>
      <c r="L319"/>
      <c r="M319"/>
      <c r="N319"/>
      <c r="O319"/>
      <c r="P319"/>
      <c r="Q319"/>
      <c r="R319"/>
    </row>
    <row r="320" spans="4:18" x14ac:dyDescent="0.25">
      <c r="D320"/>
      <c r="E320"/>
      <c r="H320" s="214"/>
      <c r="I320" s="214"/>
      <c r="K320"/>
      <c r="L320"/>
      <c r="M320"/>
      <c r="N320"/>
      <c r="O320"/>
      <c r="P320"/>
      <c r="Q320"/>
      <c r="R320"/>
    </row>
    <row r="321" spans="4:18" x14ac:dyDescent="0.25">
      <c r="D321"/>
      <c r="E321"/>
      <c r="H321" s="214"/>
      <c r="I321" s="214"/>
      <c r="K321"/>
      <c r="L321"/>
      <c r="M321"/>
      <c r="N321"/>
      <c r="O321"/>
      <c r="P321"/>
      <c r="Q321"/>
      <c r="R321"/>
    </row>
    <row r="322" spans="4:18" x14ac:dyDescent="0.25">
      <c r="D322"/>
      <c r="E322"/>
      <c r="H322" s="214"/>
      <c r="I322" s="214"/>
      <c r="K322"/>
      <c r="L322"/>
      <c r="M322"/>
      <c r="N322"/>
      <c r="O322"/>
      <c r="P322"/>
      <c r="Q322"/>
      <c r="R322"/>
    </row>
    <row r="323" spans="4:18" x14ac:dyDescent="0.25">
      <c r="D323"/>
      <c r="E323"/>
      <c r="H323" s="214"/>
      <c r="I323" s="214"/>
      <c r="K323"/>
      <c r="L323"/>
      <c r="M323"/>
      <c r="N323"/>
      <c r="O323"/>
      <c r="P323"/>
      <c r="Q323"/>
      <c r="R323"/>
    </row>
    <row r="324" spans="4:18" x14ac:dyDescent="0.25">
      <c r="D324"/>
      <c r="E324"/>
      <c r="H324" s="214"/>
      <c r="I324" s="214"/>
      <c r="K324"/>
      <c r="L324"/>
      <c r="M324"/>
      <c r="N324"/>
      <c r="O324"/>
      <c r="P324"/>
      <c r="Q324"/>
      <c r="R324"/>
    </row>
    <row r="325" spans="4:18" x14ac:dyDescent="0.25">
      <c r="D325"/>
      <c r="E325"/>
      <c r="H325" s="214"/>
      <c r="I325" s="214"/>
      <c r="K325"/>
      <c r="L325"/>
      <c r="M325"/>
      <c r="N325"/>
      <c r="O325"/>
      <c r="P325"/>
      <c r="Q325"/>
      <c r="R325"/>
    </row>
    <row r="326" spans="4:18" x14ac:dyDescent="0.25">
      <c r="D326"/>
      <c r="E326"/>
      <c r="H326" s="214"/>
      <c r="I326" s="214"/>
      <c r="K326"/>
      <c r="L326"/>
      <c r="M326"/>
      <c r="N326"/>
      <c r="O326"/>
      <c r="P326"/>
      <c r="Q326"/>
      <c r="R326"/>
    </row>
    <row r="327" spans="4:18" x14ac:dyDescent="0.25">
      <c r="D327"/>
      <c r="E327"/>
      <c r="H327" s="214"/>
      <c r="I327" s="214"/>
      <c r="K327"/>
      <c r="L327"/>
      <c r="M327"/>
      <c r="N327"/>
      <c r="O327"/>
      <c r="P327"/>
      <c r="Q327"/>
      <c r="R327"/>
    </row>
    <row r="328" spans="4:18" x14ac:dyDescent="0.25">
      <c r="D328"/>
      <c r="E328"/>
      <c r="H328" s="214"/>
      <c r="I328" s="214"/>
      <c r="K328"/>
      <c r="L328"/>
      <c r="M328"/>
      <c r="N328"/>
      <c r="O328"/>
      <c r="P328"/>
      <c r="Q328"/>
      <c r="R328"/>
    </row>
    <row r="329" spans="4:18" x14ac:dyDescent="0.25">
      <c r="D329"/>
      <c r="E329"/>
      <c r="H329" s="214"/>
      <c r="I329" s="214"/>
      <c r="K329"/>
      <c r="L329"/>
      <c r="M329"/>
      <c r="N329"/>
      <c r="O329"/>
      <c r="P329"/>
      <c r="Q329"/>
      <c r="R329"/>
    </row>
    <row r="330" spans="4:18" x14ac:dyDescent="0.25">
      <c r="D330"/>
      <c r="E330"/>
      <c r="H330" s="214"/>
      <c r="I330" s="214"/>
      <c r="K330"/>
      <c r="L330"/>
      <c r="M330"/>
      <c r="N330"/>
      <c r="O330"/>
      <c r="P330"/>
      <c r="Q330"/>
      <c r="R330"/>
    </row>
    <row r="331" spans="4:18" x14ac:dyDescent="0.25">
      <c r="D331"/>
      <c r="E331"/>
      <c r="H331" s="214"/>
      <c r="I331" s="214"/>
      <c r="K331"/>
      <c r="L331"/>
      <c r="M331"/>
      <c r="N331"/>
      <c r="O331"/>
      <c r="P331"/>
      <c r="Q331"/>
      <c r="R331"/>
    </row>
    <row r="332" spans="4:18" x14ac:dyDescent="0.25">
      <c r="D332"/>
      <c r="E332"/>
      <c r="H332" s="214"/>
      <c r="I332" s="214"/>
      <c r="K332"/>
      <c r="L332"/>
      <c r="M332"/>
      <c r="N332"/>
      <c r="O332"/>
      <c r="P332"/>
      <c r="Q332"/>
      <c r="R332"/>
    </row>
    <row r="333" spans="4:18" x14ac:dyDescent="0.25">
      <c r="D333"/>
      <c r="E333"/>
      <c r="H333" s="214"/>
      <c r="I333" s="214"/>
      <c r="K333"/>
      <c r="L333"/>
      <c r="M333"/>
      <c r="N333"/>
      <c r="O333"/>
      <c r="P333"/>
      <c r="Q333"/>
      <c r="R333"/>
    </row>
    <row r="334" spans="4:18" x14ac:dyDescent="0.25">
      <c r="D334"/>
      <c r="E334"/>
      <c r="H334" s="214"/>
      <c r="I334" s="214"/>
      <c r="K334"/>
      <c r="L334"/>
      <c r="M334"/>
      <c r="N334"/>
      <c r="O334"/>
      <c r="P334"/>
      <c r="Q334"/>
      <c r="R334"/>
    </row>
    <row r="335" spans="4:18" x14ac:dyDescent="0.25">
      <c r="D335"/>
      <c r="E335"/>
      <c r="H335" s="214"/>
      <c r="I335" s="214"/>
      <c r="K335"/>
      <c r="L335"/>
      <c r="M335"/>
      <c r="N335"/>
      <c r="O335"/>
      <c r="P335"/>
      <c r="Q335"/>
      <c r="R335"/>
    </row>
    <row r="336" spans="4:18" x14ac:dyDescent="0.25">
      <c r="D336"/>
      <c r="E336"/>
      <c r="H336" s="214"/>
      <c r="I336" s="214"/>
      <c r="K336"/>
      <c r="L336"/>
      <c r="M336"/>
      <c r="N336"/>
      <c r="O336"/>
      <c r="P336"/>
      <c r="Q336"/>
      <c r="R336"/>
    </row>
    <row r="337" spans="4:18" x14ac:dyDescent="0.25">
      <c r="D337"/>
      <c r="E337"/>
      <c r="H337" s="214"/>
      <c r="I337" s="214"/>
      <c r="K337"/>
      <c r="L337"/>
      <c r="M337"/>
      <c r="N337"/>
      <c r="O337"/>
      <c r="P337"/>
      <c r="Q337"/>
      <c r="R337"/>
    </row>
    <row r="338" spans="4:18" x14ac:dyDescent="0.25">
      <c r="D338"/>
      <c r="E338"/>
      <c r="H338" s="214"/>
      <c r="I338" s="214"/>
      <c r="K338"/>
      <c r="L338"/>
      <c r="M338"/>
      <c r="N338"/>
      <c r="O338"/>
      <c r="P338"/>
      <c r="Q338"/>
      <c r="R338"/>
    </row>
    <row r="339" spans="4:18" x14ac:dyDescent="0.25">
      <c r="D339"/>
      <c r="E339"/>
      <c r="H339" s="214"/>
      <c r="I339" s="214"/>
      <c r="K339"/>
      <c r="L339"/>
      <c r="M339"/>
      <c r="N339"/>
      <c r="O339"/>
      <c r="P339"/>
      <c r="Q339"/>
      <c r="R339"/>
    </row>
    <row r="340" spans="4:18" x14ac:dyDescent="0.25">
      <c r="D340"/>
      <c r="E340"/>
      <c r="H340" s="214"/>
      <c r="I340" s="214"/>
      <c r="K340"/>
      <c r="L340"/>
      <c r="M340"/>
      <c r="N340"/>
      <c r="O340"/>
      <c r="P340"/>
      <c r="Q340"/>
      <c r="R340"/>
    </row>
    <row r="341" spans="4:18" x14ac:dyDescent="0.25">
      <c r="D341"/>
      <c r="E341"/>
      <c r="H341" s="214"/>
      <c r="I341" s="214"/>
      <c r="K341"/>
      <c r="L341"/>
      <c r="M341"/>
      <c r="N341"/>
      <c r="O341"/>
      <c r="P341"/>
      <c r="Q341"/>
      <c r="R341"/>
    </row>
    <row r="342" spans="4:18" x14ac:dyDescent="0.25">
      <c r="D342"/>
      <c r="E342"/>
      <c r="H342" s="214"/>
      <c r="I342" s="214"/>
      <c r="K342"/>
      <c r="L342"/>
      <c r="M342"/>
      <c r="N342"/>
      <c r="O342"/>
      <c r="P342"/>
      <c r="Q342"/>
      <c r="R342"/>
    </row>
    <row r="343" spans="4:18" x14ac:dyDescent="0.25">
      <c r="D343"/>
      <c r="E343"/>
      <c r="H343" s="214"/>
      <c r="I343" s="214"/>
      <c r="K343"/>
      <c r="L343"/>
      <c r="M343"/>
      <c r="N343"/>
      <c r="O343"/>
      <c r="P343"/>
      <c r="Q343"/>
      <c r="R343"/>
    </row>
    <row r="344" spans="4:18" x14ac:dyDescent="0.25">
      <c r="D344"/>
      <c r="E344"/>
      <c r="H344" s="214"/>
      <c r="I344" s="214"/>
      <c r="K344"/>
      <c r="L344"/>
      <c r="M344"/>
      <c r="N344"/>
      <c r="O344"/>
      <c r="P344"/>
      <c r="Q344"/>
      <c r="R344"/>
    </row>
    <row r="345" spans="4:18" x14ac:dyDescent="0.25">
      <c r="D345"/>
      <c r="E345"/>
      <c r="H345" s="214"/>
      <c r="I345" s="214"/>
      <c r="K345"/>
      <c r="L345"/>
      <c r="M345"/>
      <c r="N345"/>
      <c r="O345"/>
      <c r="P345"/>
      <c r="Q345"/>
      <c r="R345"/>
    </row>
    <row r="346" spans="4:18" x14ac:dyDescent="0.25">
      <c r="D346"/>
      <c r="E346"/>
      <c r="H346" s="214"/>
      <c r="I346" s="214"/>
      <c r="K346"/>
      <c r="L346"/>
      <c r="M346"/>
      <c r="N346"/>
      <c r="O346"/>
      <c r="P346"/>
      <c r="Q346"/>
      <c r="R346"/>
    </row>
    <row r="347" spans="4:18" x14ac:dyDescent="0.25">
      <c r="D347"/>
      <c r="E347"/>
      <c r="H347" s="214"/>
      <c r="I347" s="214"/>
      <c r="K347"/>
      <c r="L347"/>
      <c r="M347"/>
      <c r="N347"/>
      <c r="O347"/>
      <c r="P347"/>
      <c r="Q347"/>
      <c r="R347"/>
    </row>
    <row r="348" spans="4:18" x14ac:dyDescent="0.25">
      <c r="D348"/>
      <c r="E348"/>
      <c r="H348" s="214"/>
      <c r="I348" s="214"/>
      <c r="K348"/>
      <c r="L348"/>
      <c r="M348"/>
      <c r="N348"/>
      <c r="O348"/>
      <c r="P348"/>
      <c r="Q348"/>
      <c r="R348"/>
    </row>
    <row r="349" spans="4:18" x14ac:dyDescent="0.25">
      <c r="D349"/>
      <c r="E349"/>
      <c r="H349" s="214"/>
      <c r="I349" s="214"/>
      <c r="K349"/>
      <c r="L349"/>
      <c r="M349"/>
      <c r="N349"/>
      <c r="O349"/>
      <c r="P349"/>
      <c r="Q349"/>
      <c r="R349"/>
    </row>
    <row r="350" spans="4:18" x14ac:dyDescent="0.25">
      <c r="D350"/>
      <c r="E350"/>
      <c r="H350" s="214"/>
      <c r="I350" s="214"/>
      <c r="K350"/>
      <c r="L350"/>
      <c r="M350"/>
      <c r="N350"/>
      <c r="O350"/>
      <c r="P350"/>
      <c r="Q350"/>
      <c r="R350"/>
    </row>
    <row r="351" spans="4:18" x14ac:dyDescent="0.25">
      <c r="D351"/>
      <c r="E351"/>
      <c r="H351" s="214"/>
      <c r="I351" s="214"/>
      <c r="K351"/>
      <c r="L351"/>
      <c r="M351"/>
      <c r="N351"/>
      <c r="O351"/>
      <c r="P351"/>
      <c r="Q351"/>
      <c r="R351"/>
    </row>
    <row r="352" spans="4:18" x14ac:dyDescent="0.25">
      <c r="D352"/>
      <c r="E352"/>
      <c r="H352" s="214"/>
      <c r="I352" s="214"/>
      <c r="K352"/>
      <c r="L352"/>
      <c r="M352"/>
      <c r="N352"/>
      <c r="O352"/>
      <c r="P352"/>
      <c r="Q352"/>
      <c r="R352"/>
    </row>
    <row r="353" spans="4:18" x14ac:dyDescent="0.25">
      <c r="D353"/>
      <c r="E353"/>
      <c r="H353" s="214"/>
      <c r="I353" s="214"/>
      <c r="K353"/>
      <c r="L353"/>
      <c r="M353"/>
      <c r="N353"/>
      <c r="O353"/>
      <c r="P353"/>
      <c r="Q353"/>
      <c r="R353"/>
    </row>
    <row r="354" spans="4:18" x14ac:dyDescent="0.25">
      <c r="D354"/>
      <c r="E354"/>
      <c r="H354" s="214"/>
      <c r="I354" s="214"/>
      <c r="K354"/>
      <c r="L354"/>
      <c r="M354"/>
      <c r="N354"/>
      <c r="O354"/>
      <c r="P354"/>
      <c r="Q354"/>
      <c r="R354"/>
    </row>
    <row r="355" spans="4:18" x14ac:dyDescent="0.25">
      <c r="D355"/>
      <c r="E355"/>
      <c r="H355" s="214"/>
      <c r="I355" s="214"/>
      <c r="K355"/>
      <c r="L355"/>
      <c r="M355"/>
      <c r="N355"/>
      <c r="O355"/>
      <c r="P355"/>
      <c r="Q355"/>
      <c r="R355"/>
    </row>
    <row r="356" spans="4:18" x14ac:dyDescent="0.25">
      <c r="D356"/>
      <c r="E356"/>
      <c r="H356" s="214"/>
      <c r="I356" s="214"/>
      <c r="K356"/>
      <c r="L356"/>
      <c r="M356"/>
      <c r="N356"/>
      <c r="O356"/>
      <c r="P356"/>
      <c r="Q356"/>
      <c r="R356"/>
    </row>
    <row r="357" spans="4:18" x14ac:dyDescent="0.25">
      <c r="D357"/>
      <c r="E357"/>
      <c r="H357" s="214"/>
      <c r="I357" s="214"/>
      <c r="K357"/>
      <c r="L357"/>
      <c r="M357"/>
      <c r="N357"/>
      <c r="O357"/>
      <c r="P357"/>
      <c r="Q357"/>
      <c r="R357"/>
    </row>
    <row r="358" spans="4:18" x14ac:dyDescent="0.25">
      <c r="D358"/>
      <c r="E358"/>
      <c r="H358" s="214"/>
      <c r="I358" s="214"/>
      <c r="K358"/>
      <c r="L358"/>
      <c r="M358"/>
      <c r="N358"/>
      <c r="O358"/>
      <c r="P358"/>
      <c r="Q358"/>
      <c r="R358"/>
    </row>
    <row r="359" spans="4:18" x14ac:dyDescent="0.25">
      <c r="D359"/>
      <c r="E359"/>
      <c r="H359" s="214"/>
      <c r="I359" s="214"/>
      <c r="K359"/>
      <c r="L359"/>
      <c r="M359"/>
      <c r="N359"/>
      <c r="O359"/>
      <c r="P359"/>
      <c r="Q359"/>
      <c r="R359"/>
    </row>
    <row r="360" spans="4:18" x14ac:dyDescent="0.25">
      <c r="D360"/>
      <c r="E360"/>
      <c r="H360" s="214"/>
      <c r="I360" s="214"/>
      <c r="K360"/>
      <c r="L360"/>
      <c r="M360"/>
      <c r="N360"/>
      <c r="O360"/>
      <c r="P360"/>
      <c r="Q360"/>
      <c r="R360"/>
    </row>
    <row r="361" spans="4:18" x14ac:dyDescent="0.25">
      <c r="D361"/>
      <c r="E361"/>
      <c r="H361" s="214"/>
      <c r="I361" s="214"/>
      <c r="K361"/>
      <c r="L361"/>
      <c r="M361"/>
      <c r="N361"/>
      <c r="O361"/>
      <c r="P361"/>
      <c r="Q361"/>
      <c r="R361"/>
    </row>
    <row r="362" spans="4:18" x14ac:dyDescent="0.25">
      <c r="D362"/>
      <c r="E362"/>
      <c r="H362" s="214"/>
      <c r="I362" s="214"/>
      <c r="K362"/>
      <c r="L362"/>
      <c r="M362"/>
      <c r="N362"/>
      <c r="O362"/>
      <c r="P362"/>
      <c r="Q362"/>
      <c r="R362"/>
    </row>
    <row r="363" spans="4:18" x14ac:dyDescent="0.25">
      <c r="D363"/>
      <c r="E363"/>
      <c r="H363" s="214"/>
      <c r="I363" s="214"/>
      <c r="K363"/>
      <c r="L363"/>
      <c r="M363"/>
      <c r="N363"/>
      <c r="O363"/>
      <c r="P363"/>
      <c r="Q363"/>
      <c r="R363"/>
    </row>
    <row r="364" spans="4:18" x14ac:dyDescent="0.25">
      <c r="D364"/>
      <c r="E364"/>
      <c r="H364" s="214"/>
      <c r="I364" s="214"/>
      <c r="K364"/>
      <c r="L364"/>
      <c r="M364"/>
      <c r="N364"/>
      <c r="O364"/>
      <c r="P364"/>
      <c r="Q364"/>
      <c r="R364"/>
    </row>
    <row r="365" spans="4:18" x14ac:dyDescent="0.25">
      <c r="D365"/>
      <c r="E365"/>
      <c r="H365" s="214"/>
      <c r="I365" s="214"/>
      <c r="K365"/>
      <c r="L365"/>
      <c r="M365"/>
      <c r="N365"/>
      <c r="O365"/>
      <c r="P365"/>
      <c r="Q365"/>
      <c r="R365"/>
    </row>
    <row r="366" spans="4:18" x14ac:dyDescent="0.25">
      <c r="D366"/>
      <c r="E366"/>
      <c r="H366" s="214"/>
      <c r="I366" s="214"/>
      <c r="K366"/>
      <c r="L366"/>
      <c r="M366"/>
      <c r="N366"/>
      <c r="O366"/>
      <c r="P366"/>
      <c r="Q366"/>
      <c r="R366"/>
    </row>
    <row r="367" spans="4:18" x14ac:dyDescent="0.25">
      <c r="D367"/>
      <c r="E367"/>
      <c r="H367" s="214"/>
      <c r="I367" s="214"/>
      <c r="K367"/>
      <c r="L367"/>
      <c r="M367"/>
      <c r="N367"/>
      <c r="O367"/>
      <c r="P367"/>
      <c r="Q367"/>
      <c r="R367"/>
    </row>
    <row r="368" spans="4:18" x14ac:dyDescent="0.25">
      <c r="D368"/>
      <c r="E368"/>
      <c r="H368" s="214"/>
      <c r="I368" s="214"/>
      <c r="K368"/>
      <c r="L368"/>
      <c r="M368"/>
      <c r="N368"/>
      <c r="O368"/>
      <c r="P368"/>
      <c r="Q368"/>
      <c r="R368"/>
    </row>
    <row r="369" spans="4:18" x14ac:dyDescent="0.25">
      <c r="D369"/>
      <c r="E369"/>
      <c r="H369" s="214"/>
      <c r="I369" s="214"/>
      <c r="K369"/>
      <c r="L369"/>
      <c r="M369"/>
      <c r="N369"/>
      <c r="O369"/>
      <c r="P369"/>
      <c r="Q369"/>
      <c r="R369"/>
    </row>
    <row r="370" spans="4:18" x14ac:dyDescent="0.25">
      <c r="D370"/>
      <c r="E370"/>
      <c r="H370" s="214"/>
      <c r="I370" s="214"/>
      <c r="K370"/>
      <c r="L370"/>
      <c r="M370"/>
      <c r="N370"/>
      <c r="O370"/>
      <c r="P370"/>
      <c r="Q370"/>
      <c r="R370"/>
    </row>
    <row r="371" spans="4:18" x14ac:dyDescent="0.25">
      <c r="D371"/>
      <c r="E371"/>
      <c r="H371" s="214"/>
      <c r="I371" s="214"/>
      <c r="K371"/>
      <c r="L371"/>
      <c r="M371"/>
      <c r="N371"/>
      <c r="O371"/>
      <c r="P371"/>
      <c r="Q371"/>
      <c r="R371"/>
    </row>
    <row r="372" spans="4:18" x14ac:dyDescent="0.25">
      <c r="D372"/>
      <c r="E372"/>
      <c r="H372" s="214"/>
      <c r="I372" s="214"/>
      <c r="K372"/>
      <c r="L372"/>
      <c r="M372"/>
      <c r="N372"/>
      <c r="O372"/>
      <c r="P372"/>
      <c r="Q372"/>
      <c r="R372"/>
    </row>
    <row r="373" spans="4:18" x14ac:dyDescent="0.25">
      <c r="D373"/>
      <c r="E373"/>
      <c r="H373" s="214"/>
      <c r="I373" s="214"/>
      <c r="K373"/>
      <c r="L373"/>
      <c r="M373"/>
      <c r="N373"/>
      <c r="O373"/>
      <c r="P373"/>
      <c r="Q373"/>
      <c r="R373"/>
    </row>
    <row r="374" spans="4:18" x14ac:dyDescent="0.25">
      <c r="D374"/>
      <c r="E374"/>
      <c r="H374" s="214"/>
      <c r="I374" s="214"/>
      <c r="K374"/>
      <c r="L374"/>
      <c r="M374"/>
      <c r="N374"/>
      <c r="O374"/>
      <c r="P374"/>
      <c r="Q374"/>
      <c r="R374"/>
    </row>
    <row r="375" spans="4:18" x14ac:dyDescent="0.25">
      <c r="D375"/>
      <c r="E375"/>
      <c r="H375" s="214"/>
      <c r="I375" s="214"/>
      <c r="K375"/>
      <c r="L375"/>
      <c r="M375"/>
      <c r="N375"/>
      <c r="O375"/>
      <c r="P375"/>
      <c r="Q375"/>
      <c r="R375"/>
    </row>
    <row r="376" spans="4:18" x14ac:dyDescent="0.25">
      <c r="D376"/>
      <c r="E376"/>
      <c r="H376" s="214"/>
      <c r="I376" s="214"/>
      <c r="K376"/>
      <c r="L376"/>
      <c r="M376"/>
      <c r="N376"/>
      <c r="O376"/>
      <c r="P376"/>
      <c r="Q376"/>
      <c r="R376"/>
    </row>
    <row r="377" spans="4:18" x14ac:dyDescent="0.25">
      <c r="D377"/>
      <c r="E377"/>
      <c r="H377" s="214"/>
      <c r="I377" s="214"/>
      <c r="K377"/>
      <c r="L377"/>
      <c r="M377"/>
      <c r="N377"/>
      <c r="O377"/>
      <c r="P377"/>
      <c r="Q377"/>
      <c r="R377"/>
    </row>
    <row r="378" spans="4:18" x14ac:dyDescent="0.25">
      <c r="D378"/>
      <c r="E378"/>
      <c r="H378" s="214"/>
      <c r="I378" s="214"/>
      <c r="K378"/>
      <c r="L378"/>
      <c r="M378"/>
      <c r="N378"/>
      <c r="O378"/>
      <c r="P378"/>
      <c r="Q378"/>
      <c r="R378"/>
    </row>
    <row r="379" spans="4:18" x14ac:dyDescent="0.25">
      <c r="D379"/>
      <c r="E379"/>
      <c r="H379" s="214"/>
      <c r="I379" s="214"/>
      <c r="K379"/>
      <c r="L379"/>
      <c r="M379"/>
      <c r="N379"/>
      <c r="O379"/>
      <c r="P379"/>
      <c r="Q379"/>
      <c r="R379"/>
    </row>
    <row r="380" spans="4:18" x14ac:dyDescent="0.25">
      <c r="D380"/>
      <c r="E380"/>
      <c r="H380" s="214"/>
      <c r="I380" s="214"/>
      <c r="K380"/>
      <c r="L380"/>
      <c r="M380"/>
      <c r="N380"/>
      <c r="O380"/>
      <c r="P380"/>
      <c r="Q380"/>
      <c r="R380"/>
    </row>
    <row r="381" spans="4:18" x14ac:dyDescent="0.25">
      <c r="D381"/>
      <c r="E381"/>
      <c r="H381" s="214"/>
      <c r="I381" s="214"/>
      <c r="K381"/>
      <c r="L381"/>
      <c r="M381"/>
      <c r="N381"/>
      <c r="O381"/>
      <c r="P381"/>
      <c r="Q381"/>
      <c r="R381"/>
    </row>
    <row r="382" spans="4:18" x14ac:dyDescent="0.25">
      <c r="D382"/>
      <c r="E382"/>
      <c r="H382" s="214"/>
      <c r="I382" s="214"/>
      <c r="K382"/>
      <c r="L382"/>
      <c r="M382"/>
      <c r="N382"/>
      <c r="O382"/>
      <c r="P382"/>
      <c r="Q382"/>
      <c r="R382"/>
    </row>
    <row r="383" spans="4:18" x14ac:dyDescent="0.25">
      <c r="D383"/>
      <c r="E383"/>
      <c r="H383" s="214"/>
      <c r="I383" s="214"/>
      <c r="K383"/>
      <c r="L383"/>
      <c r="M383"/>
      <c r="N383"/>
      <c r="O383"/>
      <c r="P383"/>
      <c r="Q383"/>
      <c r="R383"/>
    </row>
    <row r="384" spans="4:18" x14ac:dyDescent="0.25">
      <c r="D384"/>
      <c r="E384"/>
      <c r="H384" s="214"/>
      <c r="I384" s="214"/>
      <c r="K384"/>
      <c r="L384"/>
      <c r="M384"/>
      <c r="N384"/>
      <c r="O384"/>
      <c r="P384"/>
      <c r="Q384"/>
      <c r="R384"/>
    </row>
    <row r="385" spans="4:18" x14ac:dyDescent="0.25">
      <c r="D385"/>
      <c r="E385"/>
      <c r="H385" s="214"/>
      <c r="I385" s="214"/>
      <c r="K385"/>
      <c r="L385"/>
      <c r="M385"/>
      <c r="N385"/>
      <c r="O385"/>
      <c r="P385"/>
      <c r="Q385"/>
      <c r="R385"/>
    </row>
    <row r="386" spans="4:18" x14ac:dyDescent="0.25">
      <c r="D386"/>
      <c r="E386"/>
      <c r="H386" s="214"/>
      <c r="I386" s="214"/>
      <c r="K386"/>
      <c r="L386"/>
      <c r="M386"/>
      <c r="N386"/>
      <c r="O386"/>
      <c r="P386"/>
      <c r="Q386"/>
      <c r="R386"/>
    </row>
    <row r="387" spans="4:18" x14ac:dyDescent="0.25">
      <c r="D387"/>
      <c r="E387"/>
      <c r="H387" s="214"/>
      <c r="I387" s="214"/>
      <c r="K387"/>
      <c r="L387"/>
      <c r="M387"/>
      <c r="N387"/>
      <c r="O387"/>
      <c r="P387"/>
      <c r="Q387"/>
      <c r="R387"/>
    </row>
    <row r="388" spans="4:18" x14ac:dyDescent="0.25">
      <c r="D388"/>
      <c r="E388"/>
      <c r="H388" s="214"/>
      <c r="I388" s="214"/>
      <c r="K388"/>
      <c r="L388"/>
      <c r="M388"/>
      <c r="N388"/>
      <c r="O388"/>
      <c r="P388"/>
      <c r="Q388"/>
      <c r="R388"/>
    </row>
    <row r="389" spans="4:18" x14ac:dyDescent="0.25">
      <c r="D389"/>
      <c r="E389"/>
      <c r="H389" s="214"/>
      <c r="I389" s="214"/>
      <c r="K389"/>
      <c r="L389"/>
      <c r="M389"/>
      <c r="N389"/>
      <c r="O389"/>
      <c r="P389"/>
      <c r="Q389"/>
      <c r="R389"/>
    </row>
    <row r="390" spans="4:18" x14ac:dyDescent="0.25">
      <c r="D390"/>
      <c r="E390"/>
      <c r="H390" s="214"/>
      <c r="I390" s="214"/>
      <c r="K390"/>
      <c r="L390"/>
      <c r="M390"/>
      <c r="N390"/>
      <c r="O390"/>
      <c r="P390"/>
      <c r="Q390"/>
      <c r="R390"/>
    </row>
    <row r="391" spans="4:18" x14ac:dyDescent="0.25">
      <c r="D391"/>
      <c r="E391"/>
      <c r="H391" s="214"/>
      <c r="I391" s="214"/>
      <c r="K391"/>
      <c r="L391"/>
      <c r="M391"/>
      <c r="N391"/>
      <c r="O391"/>
      <c r="P391"/>
      <c r="Q391"/>
      <c r="R391"/>
    </row>
    <row r="392" spans="4:18" x14ac:dyDescent="0.25">
      <c r="D392"/>
      <c r="E392"/>
      <c r="H392" s="214"/>
      <c r="I392" s="214"/>
      <c r="K392"/>
      <c r="L392"/>
      <c r="M392"/>
      <c r="N392"/>
      <c r="O392"/>
      <c r="P392"/>
      <c r="Q392"/>
      <c r="R392"/>
    </row>
    <row r="393" spans="4:18" x14ac:dyDescent="0.25">
      <c r="D393"/>
      <c r="E393"/>
      <c r="H393" s="214"/>
      <c r="I393" s="214"/>
      <c r="K393"/>
      <c r="L393"/>
      <c r="M393"/>
      <c r="N393"/>
      <c r="O393"/>
      <c r="P393"/>
      <c r="Q393"/>
      <c r="R393"/>
    </row>
    <row r="394" spans="4:18" x14ac:dyDescent="0.25">
      <c r="D394"/>
      <c r="E394"/>
      <c r="H394" s="214"/>
      <c r="I394" s="214"/>
      <c r="K394"/>
      <c r="L394"/>
      <c r="M394"/>
      <c r="N394"/>
      <c r="O394"/>
      <c r="P394"/>
      <c r="Q394"/>
      <c r="R394"/>
    </row>
    <row r="395" spans="4:18" x14ac:dyDescent="0.25">
      <c r="D395"/>
      <c r="E395"/>
      <c r="H395" s="214"/>
      <c r="I395" s="214"/>
      <c r="K395"/>
      <c r="L395"/>
      <c r="M395"/>
      <c r="N395"/>
      <c r="O395"/>
      <c r="P395"/>
      <c r="Q395"/>
      <c r="R395"/>
    </row>
    <row r="396" spans="4:18" x14ac:dyDescent="0.25">
      <c r="D396"/>
      <c r="E396"/>
      <c r="H396" s="214"/>
      <c r="I396" s="214"/>
      <c r="K396"/>
      <c r="L396"/>
      <c r="M396"/>
      <c r="N396"/>
      <c r="O396"/>
      <c r="P396"/>
      <c r="Q396"/>
      <c r="R396"/>
    </row>
    <row r="397" spans="4:18" x14ac:dyDescent="0.25">
      <c r="D397"/>
      <c r="E397"/>
      <c r="H397" s="214"/>
      <c r="I397" s="214"/>
      <c r="K397"/>
      <c r="L397"/>
      <c r="M397"/>
      <c r="N397"/>
      <c r="O397"/>
      <c r="P397"/>
      <c r="Q397"/>
      <c r="R397"/>
    </row>
    <row r="398" spans="4:18" x14ac:dyDescent="0.25">
      <c r="D398"/>
      <c r="E398"/>
      <c r="H398" s="214"/>
      <c r="I398" s="214"/>
      <c r="K398"/>
      <c r="L398"/>
      <c r="M398"/>
      <c r="N398"/>
      <c r="O398"/>
      <c r="P398"/>
      <c r="Q398"/>
      <c r="R398"/>
    </row>
    <row r="399" spans="4:18" x14ac:dyDescent="0.25">
      <c r="D399"/>
      <c r="E399"/>
      <c r="H399" s="214"/>
      <c r="I399" s="214"/>
      <c r="K399"/>
      <c r="L399"/>
      <c r="M399"/>
      <c r="N399"/>
      <c r="O399"/>
      <c r="P399"/>
      <c r="Q399"/>
      <c r="R399"/>
    </row>
    <row r="400" spans="4:18" x14ac:dyDescent="0.25">
      <c r="D400"/>
      <c r="E400"/>
      <c r="H400" s="214"/>
      <c r="I400" s="214"/>
      <c r="K400"/>
      <c r="L400"/>
      <c r="M400"/>
      <c r="N400"/>
      <c r="O400"/>
      <c r="P400"/>
      <c r="Q400"/>
      <c r="R400"/>
    </row>
    <row r="401" spans="4:18" x14ac:dyDescent="0.25">
      <c r="D401"/>
      <c r="E401"/>
      <c r="H401" s="214"/>
      <c r="I401" s="214"/>
      <c r="K401"/>
      <c r="L401"/>
      <c r="M401"/>
      <c r="N401"/>
      <c r="O401"/>
      <c r="P401"/>
      <c r="Q401"/>
      <c r="R401"/>
    </row>
    <row r="402" spans="4:18" x14ac:dyDescent="0.25">
      <c r="D402"/>
      <c r="E402"/>
      <c r="H402" s="214"/>
      <c r="I402" s="214"/>
      <c r="K402"/>
      <c r="L402"/>
      <c r="M402"/>
      <c r="N402"/>
      <c r="O402"/>
      <c r="P402"/>
      <c r="Q402"/>
      <c r="R402"/>
    </row>
    <row r="403" spans="4:18" x14ac:dyDescent="0.25">
      <c r="D403"/>
      <c r="E403"/>
      <c r="H403" s="214"/>
      <c r="I403" s="214"/>
      <c r="K403"/>
      <c r="L403"/>
      <c r="M403"/>
      <c r="N403"/>
      <c r="O403"/>
      <c r="P403"/>
      <c r="Q403"/>
      <c r="R403"/>
    </row>
    <row r="404" spans="4:18" x14ac:dyDescent="0.25">
      <c r="D404"/>
      <c r="E404"/>
      <c r="H404" s="214"/>
      <c r="I404" s="214"/>
      <c r="K404"/>
      <c r="L404"/>
      <c r="M404"/>
      <c r="N404"/>
      <c r="O404"/>
      <c r="P404"/>
      <c r="Q404"/>
      <c r="R404"/>
    </row>
    <row r="405" spans="4:18" x14ac:dyDescent="0.25">
      <c r="D405"/>
      <c r="E405"/>
      <c r="H405" s="214"/>
      <c r="I405" s="214"/>
      <c r="K405"/>
      <c r="L405"/>
      <c r="M405"/>
      <c r="N405"/>
      <c r="O405"/>
      <c r="P405"/>
      <c r="Q405"/>
      <c r="R405"/>
    </row>
    <row r="406" spans="4:18" x14ac:dyDescent="0.25">
      <c r="D406"/>
      <c r="E406"/>
      <c r="H406" s="214"/>
      <c r="I406" s="214"/>
      <c r="K406"/>
      <c r="L406"/>
      <c r="M406"/>
      <c r="N406"/>
      <c r="O406"/>
      <c r="P406"/>
      <c r="Q406"/>
      <c r="R406"/>
    </row>
    <row r="407" spans="4:18" x14ac:dyDescent="0.25">
      <c r="D407"/>
      <c r="E407"/>
      <c r="H407" s="214"/>
      <c r="I407" s="214"/>
      <c r="K407"/>
      <c r="L407"/>
      <c r="M407"/>
      <c r="N407"/>
      <c r="O407"/>
      <c r="P407"/>
      <c r="Q407"/>
      <c r="R407"/>
    </row>
    <row r="408" spans="4:18" x14ac:dyDescent="0.25">
      <c r="D408"/>
      <c r="E408"/>
      <c r="H408" s="214"/>
      <c r="I408" s="214"/>
      <c r="K408"/>
      <c r="L408"/>
      <c r="M408"/>
      <c r="N408"/>
      <c r="O408"/>
      <c r="P408"/>
      <c r="Q408"/>
      <c r="R408"/>
    </row>
    <row r="409" spans="4:18" x14ac:dyDescent="0.25">
      <c r="D409"/>
      <c r="E409"/>
      <c r="H409" s="214"/>
      <c r="I409" s="214"/>
      <c r="K409"/>
      <c r="L409"/>
      <c r="M409"/>
      <c r="N409"/>
      <c r="O409"/>
      <c r="P409"/>
      <c r="Q409"/>
      <c r="R409"/>
    </row>
    <row r="410" spans="4:18" x14ac:dyDescent="0.25">
      <c r="D410"/>
      <c r="E410"/>
      <c r="H410" s="214"/>
      <c r="I410" s="214"/>
      <c r="K410"/>
      <c r="L410"/>
      <c r="M410"/>
      <c r="N410"/>
      <c r="O410"/>
      <c r="P410"/>
      <c r="Q410"/>
      <c r="R410"/>
    </row>
    <row r="411" spans="4:18" x14ac:dyDescent="0.25">
      <c r="D411"/>
      <c r="E411"/>
      <c r="H411" s="214"/>
      <c r="I411" s="214"/>
      <c r="K411"/>
      <c r="L411"/>
      <c r="M411"/>
      <c r="N411"/>
      <c r="O411"/>
      <c r="P411"/>
      <c r="Q411"/>
      <c r="R411"/>
    </row>
    <row r="412" spans="4:18" x14ac:dyDescent="0.25">
      <c r="D412"/>
      <c r="E412"/>
      <c r="H412" s="214"/>
      <c r="I412" s="214"/>
      <c r="K412"/>
      <c r="L412"/>
      <c r="M412"/>
      <c r="N412"/>
      <c r="O412"/>
      <c r="P412"/>
      <c r="Q412"/>
      <c r="R412"/>
    </row>
    <row r="413" spans="4:18" x14ac:dyDescent="0.25">
      <c r="D413"/>
      <c r="E413"/>
      <c r="H413" s="214"/>
      <c r="I413" s="214"/>
      <c r="K413"/>
      <c r="L413"/>
      <c r="M413"/>
      <c r="N413"/>
      <c r="O413"/>
      <c r="P413"/>
      <c r="Q413"/>
      <c r="R413"/>
    </row>
    <row r="414" spans="4:18" x14ac:dyDescent="0.25">
      <c r="D414"/>
      <c r="E414"/>
      <c r="H414" s="214"/>
      <c r="I414" s="214"/>
      <c r="K414"/>
      <c r="L414"/>
      <c r="M414"/>
      <c r="N414"/>
      <c r="O414"/>
      <c r="P414"/>
      <c r="Q414"/>
      <c r="R414"/>
    </row>
    <row r="415" spans="4:18" x14ac:dyDescent="0.25">
      <c r="D415"/>
      <c r="E415"/>
      <c r="H415" s="214"/>
      <c r="I415" s="214"/>
      <c r="K415"/>
      <c r="L415"/>
      <c r="M415"/>
      <c r="N415"/>
      <c r="O415"/>
      <c r="P415"/>
      <c r="Q415"/>
      <c r="R415"/>
    </row>
    <row r="416" spans="4:18" x14ac:dyDescent="0.25">
      <c r="D416"/>
      <c r="E416"/>
      <c r="H416" s="214"/>
      <c r="I416" s="214"/>
      <c r="K416"/>
      <c r="L416"/>
      <c r="M416"/>
      <c r="N416"/>
      <c r="O416"/>
      <c r="P416"/>
      <c r="Q416"/>
      <c r="R416"/>
    </row>
    <row r="417" spans="4:18" x14ac:dyDescent="0.25">
      <c r="D417"/>
      <c r="E417"/>
      <c r="H417" s="214"/>
      <c r="I417" s="214"/>
      <c r="K417"/>
      <c r="L417"/>
      <c r="M417"/>
      <c r="N417"/>
      <c r="O417"/>
      <c r="P417"/>
      <c r="Q417"/>
      <c r="R417"/>
    </row>
    <row r="418" spans="4:18" x14ac:dyDescent="0.25">
      <c r="D418"/>
      <c r="E418"/>
      <c r="H418" s="214"/>
      <c r="I418" s="214"/>
      <c r="K418"/>
      <c r="L418"/>
      <c r="M418"/>
      <c r="N418"/>
      <c r="O418"/>
      <c r="P418"/>
      <c r="Q418"/>
      <c r="R418"/>
    </row>
    <row r="419" spans="4:18" x14ac:dyDescent="0.25">
      <c r="D419"/>
      <c r="E419"/>
      <c r="H419" s="214"/>
      <c r="I419" s="214"/>
      <c r="K419"/>
      <c r="L419"/>
      <c r="M419"/>
      <c r="N419"/>
      <c r="O419"/>
      <c r="P419"/>
      <c r="Q419"/>
      <c r="R419"/>
    </row>
    <row r="420" spans="4:18" x14ac:dyDescent="0.25">
      <c r="D420"/>
      <c r="E420"/>
      <c r="H420" s="214"/>
      <c r="I420" s="214"/>
      <c r="K420"/>
      <c r="L420"/>
      <c r="M420"/>
      <c r="N420"/>
      <c r="O420"/>
      <c r="P420"/>
      <c r="Q420"/>
      <c r="R420"/>
    </row>
    <row r="421" spans="4:18" x14ac:dyDescent="0.25">
      <c r="D421"/>
      <c r="E421"/>
      <c r="H421" s="214"/>
      <c r="I421" s="214"/>
      <c r="K421"/>
      <c r="L421"/>
      <c r="M421"/>
      <c r="N421"/>
      <c r="O421"/>
      <c r="P421"/>
      <c r="Q421"/>
      <c r="R421"/>
    </row>
    <row r="422" spans="4:18" x14ac:dyDescent="0.25">
      <c r="D422"/>
      <c r="E422"/>
      <c r="H422" s="214"/>
      <c r="I422" s="214"/>
      <c r="K422"/>
      <c r="L422"/>
      <c r="M422"/>
      <c r="N422"/>
      <c r="O422"/>
      <c r="P422"/>
      <c r="Q422"/>
      <c r="R422"/>
    </row>
    <row r="423" spans="4:18" x14ac:dyDescent="0.25">
      <c r="D423"/>
      <c r="E423"/>
      <c r="H423" s="214"/>
      <c r="I423" s="214"/>
      <c r="K423"/>
      <c r="L423"/>
      <c r="M423"/>
      <c r="N423"/>
      <c r="O423"/>
      <c r="P423"/>
      <c r="Q423"/>
      <c r="R423"/>
    </row>
    <row r="424" spans="4:18" x14ac:dyDescent="0.25">
      <c r="D424"/>
      <c r="E424"/>
      <c r="H424" s="214"/>
      <c r="I424" s="214"/>
      <c r="K424"/>
      <c r="L424"/>
      <c r="M424"/>
      <c r="N424"/>
      <c r="O424"/>
      <c r="P424"/>
      <c r="Q424"/>
      <c r="R424"/>
    </row>
    <row r="425" spans="4:18" x14ac:dyDescent="0.25">
      <c r="D425"/>
      <c r="E425"/>
      <c r="H425" s="214"/>
      <c r="I425" s="214"/>
      <c r="K425"/>
      <c r="L425"/>
      <c r="M425"/>
      <c r="N425"/>
      <c r="O425"/>
      <c r="P425"/>
      <c r="Q425"/>
      <c r="R425"/>
    </row>
    <row r="426" spans="4:18" x14ac:dyDescent="0.25">
      <c r="D426"/>
      <c r="E426"/>
      <c r="H426" s="214"/>
      <c r="I426" s="214"/>
      <c r="K426"/>
      <c r="L426"/>
      <c r="M426"/>
      <c r="N426"/>
      <c r="O426"/>
      <c r="P426"/>
      <c r="Q426"/>
      <c r="R426"/>
    </row>
    <row r="427" spans="4:18" x14ac:dyDescent="0.25">
      <c r="D427"/>
      <c r="E427"/>
      <c r="H427" s="214"/>
      <c r="I427" s="214"/>
      <c r="K427"/>
      <c r="L427"/>
      <c r="M427"/>
      <c r="N427"/>
      <c r="O427"/>
      <c r="P427"/>
      <c r="Q427"/>
      <c r="R427"/>
    </row>
    <row r="428" spans="4:18" x14ac:dyDescent="0.25">
      <c r="D428"/>
      <c r="E428"/>
      <c r="H428" s="214"/>
      <c r="I428" s="214"/>
      <c r="K428"/>
      <c r="L428"/>
      <c r="M428"/>
      <c r="N428"/>
      <c r="O428"/>
      <c r="P428"/>
      <c r="Q428"/>
      <c r="R428"/>
    </row>
    <row r="429" spans="4:18" x14ac:dyDescent="0.25">
      <c r="D429"/>
      <c r="E429"/>
      <c r="H429" s="214"/>
      <c r="I429" s="214"/>
      <c r="K429"/>
      <c r="L429"/>
      <c r="M429"/>
      <c r="N429"/>
      <c r="O429"/>
      <c r="P429"/>
      <c r="Q429"/>
      <c r="R429"/>
    </row>
    <row r="430" spans="4:18" x14ac:dyDescent="0.25">
      <c r="D430"/>
      <c r="E430"/>
      <c r="H430" s="214"/>
      <c r="I430" s="214"/>
      <c r="K430"/>
      <c r="L430"/>
      <c r="M430"/>
      <c r="N430"/>
      <c r="O430"/>
      <c r="P430"/>
      <c r="Q430"/>
      <c r="R430"/>
    </row>
    <row r="431" spans="4:18" x14ac:dyDescent="0.25">
      <c r="D431"/>
      <c r="E431"/>
      <c r="H431" s="214"/>
      <c r="I431" s="214"/>
      <c r="K431"/>
      <c r="L431"/>
      <c r="M431"/>
      <c r="N431"/>
      <c r="O431"/>
      <c r="P431"/>
      <c r="Q431"/>
      <c r="R431"/>
    </row>
    <row r="432" spans="4:18" x14ac:dyDescent="0.25">
      <c r="D432"/>
      <c r="E432"/>
      <c r="H432" s="214"/>
      <c r="I432" s="214"/>
      <c r="K432"/>
      <c r="L432"/>
      <c r="M432"/>
      <c r="N432"/>
      <c r="O432"/>
      <c r="P432"/>
      <c r="Q432"/>
      <c r="R432"/>
    </row>
    <row r="433" spans="4:18" x14ac:dyDescent="0.25">
      <c r="D433"/>
      <c r="E433"/>
      <c r="H433" s="214"/>
      <c r="I433" s="214"/>
      <c r="K433"/>
      <c r="L433"/>
      <c r="M433"/>
      <c r="N433"/>
      <c r="O433"/>
      <c r="P433"/>
      <c r="Q433"/>
      <c r="R433"/>
    </row>
    <row r="434" spans="4:18" x14ac:dyDescent="0.25">
      <c r="D434"/>
      <c r="E434"/>
      <c r="H434" s="214"/>
      <c r="I434" s="214"/>
      <c r="K434"/>
      <c r="L434"/>
      <c r="M434"/>
      <c r="N434"/>
      <c r="O434"/>
      <c r="P434"/>
      <c r="Q434"/>
      <c r="R434"/>
    </row>
    <row r="435" spans="4:18" x14ac:dyDescent="0.25">
      <c r="D435"/>
      <c r="E435"/>
      <c r="H435" s="214"/>
      <c r="I435" s="214"/>
      <c r="K435"/>
      <c r="L435"/>
      <c r="M435"/>
      <c r="N435"/>
      <c r="O435"/>
      <c r="P435"/>
      <c r="Q435"/>
      <c r="R435"/>
    </row>
    <row r="436" spans="4:18" x14ac:dyDescent="0.25">
      <c r="D436"/>
      <c r="E436"/>
      <c r="H436" s="214"/>
      <c r="I436" s="214"/>
      <c r="K436"/>
      <c r="L436"/>
      <c r="M436"/>
      <c r="N436"/>
      <c r="O436"/>
      <c r="P436"/>
      <c r="Q436"/>
      <c r="R436"/>
    </row>
    <row r="437" spans="4:18" x14ac:dyDescent="0.25">
      <c r="D437"/>
      <c r="E437"/>
      <c r="H437" s="214"/>
      <c r="I437" s="214"/>
      <c r="K437"/>
      <c r="L437"/>
      <c r="M437"/>
      <c r="N437"/>
      <c r="O437"/>
      <c r="P437"/>
      <c r="Q437"/>
      <c r="R437"/>
    </row>
    <row r="438" spans="4:18" x14ac:dyDescent="0.25">
      <c r="D438"/>
      <c r="E438"/>
      <c r="H438" s="214"/>
      <c r="I438" s="214"/>
      <c r="K438"/>
      <c r="L438"/>
      <c r="M438"/>
      <c r="N438"/>
      <c r="O438"/>
      <c r="P438"/>
      <c r="Q438"/>
      <c r="R438"/>
    </row>
    <row r="439" spans="4:18" x14ac:dyDescent="0.25">
      <c r="D439"/>
      <c r="E439"/>
      <c r="H439" s="214"/>
      <c r="I439" s="214"/>
      <c r="K439"/>
      <c r="L439"/>
      <c r="M439"/>
      <c r="N439"/>
      <c r="O439"/>
      <c r="P439"/>
      <c r="Q439"/>
      <c r="R439"/>
    </row>
    <row r="440" spans="4:18" x14ac:dyDescent="0.25">
      <c r="D440"/>
      <c r="E440"/>
      <c r="H440" s="214"/>
      <c r="I440" s="214"/>
      <c r="K440"/>
      <c r="L440"/>
      <c r="M440"/>
      <c r="N440"/>
      <c r="O440"/>
      <c r="P440"/>
      <c r="Q440"/>
      <c r="R440"/>
    </row>
    <row r="442" spans="4:18" x14ac:dyDescent="0.25">
      <c r="D442"/>
      <c r="E442"/>
      <c r="H442" s="214"/>
      <c r="I442" s="214"/>
      <c r="K442"/>
      <c r="L442"/>
      <c r="M442"/>
      <c r="N442"/>
      <c r="O442"/>
      <c r="P442"/>
      <c r="Q442"/>
      <c r="R442"/>
    </row>
    <row r="443" spans="4:18" x14ac:dyDescent="0.25">
      <c r="D443"/>
      <c r="E443"/>
      <c r="H443" s="214"/>
      <c r="I443" s="214"/>
      <c r="K443"/>
      <c r="L443"/>
      <c r="M443"/>
      <c r="N443"/>
      <c r="O443"/>
      <c r="P443"/>
      <c r="Q443"/>
      <c r="R443"/>
    </row>
    <row r="444" spans="4:18" x14ac:dyDescent="0.25">
      <c r="D444"/>
      <c r="E444"/>
      <c r="H444" s="214"/>
      <c r="I444" s="214"/>
      <c r="K444"/>
      <c r="L444"/>
      <c r="M444"/>
      <c r="N444"/>
      <c r="O444"/>
      <c r="P444"/>
      <c r="Q444"/>
      <c r="R444"/>
    </row>
    <row r="445" spans="4:18" x14ac:dyDescent="0.25">
      <c r="D445"/>
      <c r="E445"/>
      <c r="H445" s="214"/>
      <c r="I445" s="214"/>
      <c r="K445"/>
      <c r="L445"/>
      <c r="M445"/>
      <c r="N445"/>
      <c r="O445"/>
      <c r="P445"/>
      <c r="Q445"/>
      <c r="R445"/>
    </row>
    <row r="446" spans="4:18" x14ac:dyDescent="0.25">
      <c r="D446"/>
      <c r="E446"/>
      <c r="H446" s="214"/>
      <c r="I446" s="214"/>
      <c r="K446"/>
      <c r="L446"/>
      <c r="M446"/>
      <c r="N446"/>
      <c r="O446"/>
      <c r="P446"/>
      <c r="Q446"/>
      <c r="R446"/>
    </row>
    <row r="447" spans="4:18" x14ac:dyDescent="0.25">
      <c r="D447"/>
      <c r="E447"/>
      <c r="H447" s="214"/>
      <c r="I447" s="214"/>
      <c r="K447"/>
      <c r="L447"/>
      <c r="M447"/>
      <c r="N447"/>
      <c r="O447"/>
      <c r="P447"/>
      <c r="Q447"/>
      <c r="R447"/>
    </row>
    <row r="448" spans="4:18" x14ac:dyDescent="0.25">
      <c r="D448"/>
      <c r="E448"/>
      <c r="H448" s="214"/>
      <c r="I448" s="214"/>
      <c r="K448"/>
      <c r="L448"/>
      <c r="M448"/>
      <c r="N448"/>
      <c r="O448"/>
      <c r="P448"/>
      <c r="Q448"/>
      <c r="R448"/>
    </row>
    <row r="449" spans="4:18" x14ac:dyDescent="0.25">
      <c r="D449"/>
      <c r="E449"/>
      <c r="H449" s="214"/>
      <c r="I449" s="214"/>
      <c r="K449"/>
      <c r="L449"/>
      <c r="M449"/>
      <c r="N449"/>
      <c r="O449"/>
      <c r="P449"/>
      <c r="Q449"/>
      <c r="R449"/>
    </row>
    <row r="450" spans="4:18" x14ac:dyDescent="0.25">
      <c r="D450"/>
      <c r="E450"/>
      <c r="H450" s="214"/>
      <c r="I450" s="214"/>
      <c r="K450"/>
      <c r="L450"/>
      <c r="M450"/>
      <c r="N450"/>
      <c r="O450"/>
      <c r="P450"/>
      <c r="Q450"/>
      <c r="R450"/>
    </row>
    <row r="451" spans="4:18" x14ac:dyDescent="0.25">
      <c r="D451"/>
      <c r="E451"/>
      <c r="H451" s="214"/>
      <c r="I451" s="214"/>
      <c r="K451"/>
      <c r="L451"/>
      <c r="M451"/>
      <c r="N451"/>
      <c r="O451"/>
      <c r="P451"/>
      <c r="Q451"/>
      <c r="R451"/>
    </row>
    <row r="452" spans="4:18" x14ac:dyDescent="0.25">
      <c r="D452"/>
      <c r="E452"/>
      <c r="H452" s="214"/>
      <c r="I452" s="214"/>
      <c r="K452"/>
      <c r="L452"/>
      <c r="M452"/>
      <c r="N452"/>
      <c r="O452"/>
      <c r="P452"/>
      <c r="Q452"/>
      <c r="R452"/>
    </row>
    <row r="453" spans="4:18" x14ac:dyDescent="0.25">
      <c r="D453"/>
      <c r="E453"/>
      <c r="H453" s="214"/>
      <c r="I453" s="214"/>
      <c r="K453"/>
      <c r="L453"/>
      <c r="M453"/>
      <c r="N453"/>
      <c r="O453"/>
      <c r="P453"/>
      <c r="Q453"/>
      <c r="R453"/>
    </row>
    <row r="454" spans="4:18" x14ac:dyDescent="0.25">
      <c r="D454"/>
      <c r="E454"/>
      <c r="H454" s="214"/>
      <c r="I454" s="214"/>
      <c r="K454"/>
      <c r="L454"/>
      <c r="M454"/>
      <c r="N454"/>
      <c r="O454"/>
      <c r="P454"/>
      <c r="Q454"/>
      <c r="R454"/>
    </row>
    <row r="455" spans="4:18" x14ac:dyDescent="0.25">
      <c r="D455"/>
      <c r="E455"/>
      <c r="H455" s="214"/>
      <c r="I455" s="214"/>
      <c r="K455"/>
      <c r="L455"/>
      <c r="M455"/>
      <c r="N455"/>
      <c r="O455"/>
      <c r="P455"/>
      <c r="Q455"/>
      <c r="R455"/>
    </row>
    <row r="456" spans="4:18" x14ac:dyDescent="0.25">
      <c r="D456"/>
      <c r="E456"/>
      <c r="H456" s="214"/>
      <c r="I456" s="214"/>
      <c r="K456"/>
      <c r="L456"/>
      <c r="M456"/>
      <c r="N456"/>
      <c r="O456"/>
      <c r="P456"/>
      <c r="Q456"/>
      <c r="R456"/>
    </row>
    <row r="457" spans="4:18" x14ac:dyDescent="0.25">
      <c r="D457"/>
      <c r="E457"/>
      <c r="H457" s="214"/>
      <c r="I457" s="214"/>
      <c r="K457"/>
      <c r="L457"/>
      <c r="M457"/>
      <c r="N457"/>
      <c r="O457"/>
      <c r="P457"/>
      <c r="Q457"/>
      <c r="R457"/>
    </row>
    <row r="458" spans="4:18" x14ac:dyDescent="0.25">
      <c r="D458"/>
      <c r="E458"/>
      <c r="H458" s="214"/>
      <c r="I458" s="214"/>
      <c r="K458"/>
      <c r="L458"/>
      <c r="M458"/>
      <c r="N458"/>
      <c r="O458"/>
      <c r="P458"/>
      <c r="Q458"/>
      <c r="R458"/>
    </row>
    <row r="459" spans="4:18" x14ac:dyDescent="0.25">
      <c r="D459"/>
      <c r="E459"/>
      <c r="H459" s="214"/>
      <c r="I459" s="214"/>
      <c r="K459"/>
      <c r="L459"/>
      <c r="M459"/>
      <c r="N459"/>
      <c r="O459"/>
      <c r="P459"/>
      <c r="Q459"/>
      <c r="R459"/>
    </row>
    <row r="460" spans="4:18" x14ac:dyDescent="0.25">
      <c r="D460"/>
      <c r="E460"/>
      <c r="H460" s="214"/>
      <c r="I460" s="214"/>
      <c r="K460"/>
      <c r="L460"/>
      <c r="M460"/>
      <c r="N460"/>
      <c r="O460"/>
      <c r="P460"/>
      <c r="Q460"/>
      <c r="R460"/>
    </row>
    <row r="461" spans="4:18" x14ac:dyDescent="0.25">
      <c r="D461"/>
      <c r="E461"/>
      <c r="H461" s="214"/>
      <c r="I461" s="214"/>
      <c r="K461"/>
      <c r="L461"/>
      <c r="M461"/>
      <c r="N461"/>
      <c r="O461"/>
      <c r="P461"/>
      <c r="Q461"/>
      <c r="R461"/>
    </row>
    <row r="462" spans="4:18" x14ac:dyDescent="0.25">
      <c r="D462"/>
      <c r="E462"/>
      <c r="H462" s="214"/>
      <c r="I462" s="214"/>
      <c r="K462"/>
      <c r="L462"/>
      <c r="M462"/>
      <c r="N462"/>
      <c r="O462"/>
      <c r="P462"/>
      <c r="Q462"/>
      <c r="R462"/>
    </row>
    <row r="463" spans="4:18" x14ac:dyDescent="0.25">
      <c r="D463"/>
      <c r="E463"/>
      <c r="H463" s="214"/>
      <c r="I463" s="214"/>
      <c r="K463"/>
      <c r="L463"/>
      <c r="M463"/>
      <c r="N463"/>
      <c r="O463"/>
      <c r="P463"/>
      <c r="Q463"/>
      <c r="R463"/>
    </row>
    <row r="464" spans="4:18" x14ac:dyDescent="0.25">
      <c r="D464"/>
      <c r="E464"/>
      <c r="H464" s="214"/>
      <c r="I464" s="214"/>
      <c r="K464"/>
      <c r="L464"/>
      <c r="M464"/>
      <c r="N464"/>
      <c r="O464"/>
      <c r="P464"/>
      <c r="Q464"/>
      <c r="R464"/>
    </row>
    <row r="465" spans="4:18" x14ac:dyDescent="0.25">
      <c r="D465"/>
      <c r="E465"/>
      <c r="H465" s="214"/>
      <c r="I465" s="214"/>
      <c r="K465"/>
      <c r="L465"/>
      <c r="M465"/>
      <c r="N465"/>
      <c r="O465"/>
      <c r="P465"/>
      <c r="Q465"/>
      <c r="R465"/>
    </row>
    <row r="466" spans="4:18" x14ac:dyDescent="0.25">
      <c r="D466"/>
      <c r="E466"/>
      <c r="H466" s="214"/>
      <c r="I466" s="214"/>
      <c r="K466"/>
      <c r="L466"/>
      <c r="M466"/>
      <c r="N466"/>
      <c r="O466"/>
      <c r="P466"/>
      <c r="Q466"/>
      <c r="R466"/>
    </row>
    <row r="467" spans="4:18" x14ac:dyDescent="0.25">
      <c r="D467"/>
      <c r="E467"/>
      <c r="H467" s="214"/>
      <c r="I467" s="214"/>
      <c r="K467"/>
      <c r="L467"/>
      <c r="M467"/>
      <c r="N467"/>
      <c r="O467"/>
      <c r="P467"/>
      <c r="Q467"/>
      <c r="R467"/>
    </row>
    <row r="468" spans="4:18" x14ac:dyDescent="0.25">
      <c r="D468"/>
      <c r="E468"/>
      <c r="H468" s="214"/>
      <c r="I468" s="214"/>
      <c r="K468"/>
      <c r="L468"/>
      <c r="M468"/>
      <c r="N468"/>
      <c r="O468"/>
      <c r="P468"/>
      <c r="Q468"/>
      <c r="R468"/>
    </row>
    <row r="469" spans="4:18" x14ac:dyDescent="0.25">
      <c r="D469"/>
      <c r="E469"/>
      <c r="H469" s="214"/>
      <c r="I469" s="214"/>
      <c r="K469"/>
      <c r="L469"/>
      <c r="M469"/>
      <c r="N469"/>
      <c r="O469"/>
      <c r="P469"/>
      <c r="Q469"/>
      <c r="R469"/>
    </row>
    <row r="470" spans="4:18" x14ac:dyDescent="0.25">
      <c r="D470"/>
      <c r="E470"/>
      <c r="H470" s="214"/>
      <c r="I470" s="214"/>
      <c r="K470"/>
      <c r="L470"/>
      <c r="M470"/>
      <c r="N470"/>
      <c r="O470"/>
      <c r="P470"/>
      <c r="Q470"/>
      <c r="R470"/>
    </row>
    <row r="471" spans="4:18" x14ac:dyDescent="0.25">
      <c r="D471"/>
      <c r="E471"/>
      <c r="H471" s="214"/>
      <c r="I471" s="214"/>
      <c r="K471"/>
      <c r="L471"/>
      <c r="M471"/>
      <c r="N471"/>
      <c r="O471"/>
      <c r="P471"/>
      <c r="Q471"/>
      <c r="R471"/>
    </row>
    <row r="472" spans="4:18" x14ac:dyDescent="0.25">
      <c r="D472"/>
      <c r="E472"/>
      <c r="H472" s="214"/>
      <c r="I472" s="214"/>
      <c r="K472"/>
      <c r="L472"/>
      <c r="M472"/>
      <c r="N472"/>
      <c r="O472"/>
      <c r="P472"/>
      <c r="Q472"/>
      <c r="R472"/>
    </row>
    <row r="473" spans="4:18" x14ac:dyDescent="0.25">
      <c r="D473"/>
      <c r="E473"/>
      <c r="H473" s="214"/>
      <c r="I473" s="214"/>
      <c r="K473"/>
      <c r="L473"/>
      <c r="M473"/>
      <c r="N473"/>
      <c r="O473"/>
      <c r="P473"/>
      <c r="Q473"/>
      <c r="R473"/>
    </row>
    <row r="474" spans="4:18" x14ac:dyDescent="0.25">
      <c r="D474"/>
      <c r="E474"/>
      <c r="H474" s="214"/>
      <c r="I474" s="214"/>
      <c r="K474"/>
      <c r="L474"/>
      <c r="M474"/>
      <c r="N474"/>
      <c r="O474"/>
      <c r="P474"/>
      <c r="Q474"/>
      <c r="R474"/>
    </row>
    <row r="475" spans="4:18" x14ac:dyDescent="0.25">
      <c r="D475"/>
      <c r="E475"/>
      <c r="H475" s="214"/>
      <c r="I475" s="214"/>
      <c r="K475"/>
      <c r="L475"/>
      <c r="M475"/>
      <c r="N475"/>
      <c r="O475"/>
      <c r="P475"/>
      <c r="Q475"/>
      <c r="R475"/>
    </row>
    <row r="476" spans="4:18" x14ac:dyDescent="0.25">
      <c r="D476"/>
      <c r="E476"/>
      <c r="H476" s="214"/>
      <c r="I476" s="214"/>
      <c r="K476"/>
      <c r="L476"/>
      <c r="M476"/>
      <c r="N476"/>
      <c r="O476"/>
      <c r="P476"/>
      <c r="Q476"/>
      <c r="R476"/>
    </row>
    <row r="477" spans="4:18" x14ac:dyDescent="0.25">
      <c r="D477"/>
      <c r="E477"/>
      <c r="H477" s="214"/>
      <c r="I477" s="214"/>
      <c r="K477"/>
      <c r="L477"/>
      <c r="M477"/>
      <c r="N477"/>
      <c r="O477"/>
      <c r="P477"/>
      <c r="Q477"/>
      <c r="R477"/>
    </row>
    <row r="478" spans="4:18" x14ac:dyDescent="0.25">
      <c r="D478"/>
      <c r="E478"/>
      <c r="H478" s="214"/>
      <c r="I478" s="214"/>
      <c r="K478"/>
      <c r="L478"/>
      <c r="M478"/>
      <c r="N478"/>
      <c r="O478"/>
      <c r="P478"/>
      <c r="Q478"/>
      <c r="R478"/>
    </row>
    <row r="479" spans="4:18" x14ac:dyDescent="0.25">
      <c r="D479"/>
      <c r="E479"/>
      <c r="H479" s="214"/>
      <c r="I479" s="214"/>
      <c r="K479"/>
      <c r="L479"/>
      <c r="M479"/>
      <c r="N479"/>
      <c r="O479"/>
      <c r="P479"/>
      <c r="Q479"/>
      <c r="R479"/>
    </row>
    <row r="480" spans="4:18" x14ac:dyDescent="0.25">
      <c r="D480"/>
      <c r="E480"/>
      <c r="H480" s="214"/>
      <c r="I480" s="214"/>
      <c r="K480"/>
      <c r="L480"/>
      <c r="M480"/>
      <c r="N480"/>
      <c r="O480"/>
      <c r="P480"/>
      <c r="Q480"/>
      <c r="R480"/>
    </row>
    <row r="481" spans="4:18" x14ac:dyDescent="0.25">
      <c r="D481"/>
      <c r="E481"/>
      <c r="H481" s="214"/>
      <c r="I481" s="214"/>
      <c r="K481"/>
      <c r="L481"/>
      <c r="M481"/>
      <c r="N481"/>
      <c r="O481"/>
      <c r="P481"/>
      <c r="Q481"/>
      <c r="R481"/>
    </row>
    <row r="482" spans="4:18" x14ac:dyDescent="0.25">
      <c r="D482"/>
      <c r="E482"/>
      <c r="H482" s="214"/>
      <c r="I482" s="214"/>
      <c r="K482"/>
      <c r="L482"/>
      <c r="M482"/>
      <c r="N482"/>
      <c r="O482"/>
      <c r="P482"/>
      <c r="Q482"/>
      <c r="R482"/>
    </row>
    <row r="483" spans="4:18" x14ac:dyDescent="0.25">
      <c r="D483"/>
      <c r="E483"/>
      <c r="H483" s="214"/>
      <c r="I483" s="214"/>
      <c r="K483"/>
      <c r="L483"/>
      <c r="M483"/>
      <c r="N483"/>
      <c r="O483"/>
      <c r="P483"/>
      <c r="Q483"/>
      <c r="R483"/>
    </row>
    <row r="484" spans="4:18" x14ac:dyDescent="0.25">
      <c r="D484"/>
      <c r="E484"/>
      <c r="H484" s="214"/>
      <c r="I484" s="214"/>
      <c r="K484"/>
      <c r="L484"/>
      <c r="M484"/>
      <c r="N484"/>
      <c r="O484"/>
      <c r="P484"/>
      <c r="Q484"/>
      <c r="R484"/>
    </row>
    <row r="485" spans="4:18" x14ac:dyDescent="0.25">
      <c r="D485"/>
      <c r="E485"/>
      <c r="H485" s="214"/>
      <c r="I485" s="214"/>
      <c r="K485"/>
      <c r="L485"/>
      <c r="M485"/>
      <c r="N485"/>
      <c r="O485"/>
      <c r="P485"/>
      <c r="Q485"/>
      <c r="R485"/>
    </row>
    <row r="486" spans="4:18" x14ac:dyDescent="0.25">
      <c r="D486"/>
      <c r="E486"/>
      <c r="H486" s="214"/>
      <c r="I486" s="214"/>
      <c r="K486"/>
      <c r="L486"/>
      <c r="M486"/>
      <c r="N486"/>
      <c r="O486"/>
      <c r="P486"/>
      <c r="Q486"/>
      <c r="R486"/>
    </row>
    <row r="487" spans="4:18" x14ac:dyDescent="0.25">
      <c r="D487"/>
      <c r="E487"/>
      <c r="H487" s="214"/>
      <c r="I487" s="214"/>
      <c r="K487"/>
      <c r="L487"/>
      <c r="M487"/>
      <c r="N487"/>
      <c r="O487"/>
      <c r="P487"/>
      <c r="Q487"/>
      <c r="R487"/>
    </row>
    <row r="488" spans="4:18" x14ac:dyDescent="0.25">
      <c r="D488"/>
      <c r="E488"/>
      <c r="H488" s="214"/>
      <c r="I488" s="214"/>
      <c r="K488"/>
      <c r="L488"/>
      <c r="M488"/>
      <c r="N488"/>
      <c r="O488"/>
      <c r="P488"/>
      <c r="Q488"/>
      <c r="R488"/>
    </row>
    <row r="489" spans="4:18" x14ac:dyDescent="0.25">
      <c r="D489"/>
      <c r="E489"/>
      <c r="H489" s="214"/>
      <c r="I489" s="214"/>
      <c r="K489"/>
      <c r="L489"/>
      <c r="M489"/>
      <c r="N489"/>
      <c r="O489"/>
      <c r="P489"/>
      <c r="Q489"/>
      <c r="R489"/>
    </row>
    <row r="490" spans="4:18" x14ac:dyDescent="0.25">
      <c r="D490"/>
      <c r="E490"/>
      <c r="H490" s="214"/>
      <c r="I490" s="214"/>
      <c r="K490"/>
      <c r="L490"/>
      <c r="M490"/>
      <c r="N490"/>
      <c r="O490"/>
      <c r="P490"/>
      <c r="Q490"/>
      <c r="R490"/>
    </row>
    <row r="491" spans="4:18" x14ac:dyDescent="0.25">
      <c r="D491"/>
      <c r="E491"/>
      <c r="H491" s="214"/>
      <c r="I491" s="214"/>
      <c r="K491"/>
      <c r="L491"/>
      <c r="M491"/>
      <c r="N491"/>
      <c r="O491"/>
      <c r="P491"/>
      <c r="Q491"/>
      <c r="R491"/>
    </row>
    <row r="492" spans="4:18" x14ac:dyDescent="0.25">
      <c r="D492"/>
      <c r="E492"/>
      <c r="H492" s="214"/>
      <c r="I492" s="214"/>
      <c r="K492"/>
      <c r="L492"/>
      <c r="M492"/>
      <c r="N492"/>
      <c r="O492"/>
      <c r="P492"/>
      <c r="Q492"/>
      <c r="R492"/>
    </row>
    <row r="493" spans="4:18" x14ac:dyDescent="0.25">
      <c r="D493"/>
      <c r="E493"/>
      <c r="H493" s="214"/>
      <c r="I493" s="214"/>
      <c r="K493"/>
      <c r="L493"/>
      <c r="M493"/>
      <c r="N493"/>
      <c r="O493"/>
      <c r="P493"/>
      <c r="Q493"/>
      <c r="R493"/>
    </row>
    <row r="494" spans="4:18" x14ac:dyDescent="0.25">
      <c r="D494"/>
      <c r="E494"/>
      <c r="H494" s="214"/>
      <c r="I494" s="214"/>
      <c r="K494"/>
      <c r="L494"/>
      <c r="M494"/>
      <c r="N494"/>
      <c r="O494"/>
      <c r="P494"/>
      <c r="Q494"/>
      <c r="R494"/>
    </row>
    <row r="495" spans="4:18" x14ac:dyDescent="0.25">
      <c r="D495"/>
      <c r="E495"/>
      <c r="H495" s="214"/>
      <c r="I495" s="214"/>
      <c r="K495"/>
      <c r="L495"/>
      <c r="M495"/>
      <c r="N495"/>
      <c r="O495"/>
      <c r="P495"/>
      <c r="Q495"/>
      <c r="R495"/>
    </row>
    <row r="496" spans="4:18" x14ac:dyDescent="0.25">
      <c r="D496"/>
      <c r="E496"/>
      <c r="H496" s="214"/>
      <c r="I496" s="214"/>
      <c r="K496"/>
      <c r="L496"/>
      <c r="M496"/>
      <c r="N496"/>
      <c r="O496"/>
      <c r="P496"/>
      <c r="Q496"/>
      <c r="R496"/>
    </row>
    <row r="497" spans="4:18" x14ac:dyDescent="0.25">
      <c r="D497"/>
      <c r="E497"/>
      <c r="H497" s="214"/>
      <c r="I497" s="214"/>
      <c r="K497"/>
      <c r="L497"/>
      <c r="M497"/>
      <c r="N497"/>
      <c r="O497"/>
      <c r="P497"/>
      <c r="Q497"/>
      <c r="R497"/>
    </row>
    <row r="498" spans="4:18" x14ac:dyDescent="0.25">
      <c r="D498"/>
      <c r="E498"/>
      <c r="H498" s="214"/>
      <c r="I498" s="214"/>
      <c r="K498"/>
      <c r="L498"/>
      <c r="M498"/>
      <c r="N498"/>
      <c r="O498"/>
      <c r="P498"/>
      <c r="Q498"/>
      <c r="R498"/>
    </row>
    <row r="499" spans="4:18" x14ac:dyDescent="0.25">
      <c r="D499"/>
      <c r="E499"/>
      <c r="H499" s="214"/>
      <c r="I499" s="214"/>
      <c r="K499"/>
      <c r="L499"/>
      <c r="M499"/>
      <c r="N499"/>
      <c r="O499"/>
      <c r="P499"/>
      <c r="Q499"/>
      <c r="R499"/>
    </row>
    <row r="500" spans="4:18" x14ac:dyDescent="0.25">
      <c r="D500"/>
      <c r="E500"/>
      <c r="H500" s="214"/>
      <c r="I500" s="214"/>
      <c r="K500"/>
      <c r="L500"/>
      <c r="M500"/>
      <c r="N500"/>
      <c r="O500"/>
      <c r="P500"/>
      <c r="Q500"/>
      <c r="R500"/>
    </row>
    <row r="501" spans="4:18" x14ac:dyDescent="0.25">
      <c r="D501"/>
      <c r="E501"/>
      <c r="H501" s="214"/>
      <c r="I501" s="214"/>
      <c r="K501"/>
      <c r="L501"/>
      <c r="M501"/>
      <c r="N501"/>
      <c r="O501"/>
      <c r="P501"/>
      <c r="Q501"/>
      <c r="R501"/>
    </row>
    <row r="502" spans="4:18" x14ac:dyDescent="0.25">
      <c r="D502"/>
      <c r="E502"/>
      <c r="H502" s="214"/>
      <c r="I502" s="214"/>
      <c r="K502"/>
      <c r="L502"/>
      <c r="M502"/>
      <c r="N502"/>
      <c r="O502"/>
      <c r="P502"/>
      <c r="Q502"/>
      <c r="R502"/>
    </row>
    <row r="503" spans="4:18" x14ac:dyDescent="0.25">
      <c r="D503"/>
      <c r="E503"/>
      <c r="H503" s="214"/>
      <c r="I503" s="214"/>
      <c r="K503"/>
      <c r="L503"/>
      <c r="M503"/>
      <c r="N503"/>
      <c r="O503"/>
      <c r="P503"/>
      <c r="Q503"/>
      <c r="R503"/>
    </row>
    <row r="504" spans="4:18" x14ac:dyDescent="0.25">
      <c r="D504"/>
      <c r="E504"/>
      <c r="H504" s="214"/>
      <c r="I504" s="214"/>
      <c r="K504"/>
      <c r="L504"/>
      <c r="M504"/>
      <c r="N504"/>
      <c r="O504"/>
      <c r="P504"/>
      <c r="Q504"/>
      <c r="R504"/>
    </row>
    <row r="505" spans="4:18" x14ac:dyDescent="0.25">
      <c r="D505"/>
      <c r="E505"/>
      <c r="H505" s="214"/>
      <c r="I505" s="214"/>
      <c r="K505"/>
      <c r="L505"/>
      <c r="M505"/>
      <c r="N505"/>
      <c r="O505"/>
      <c r="P505"/>
      <c r="Q505"/>
      <c r="R505"/>
    </row>
    <row r="506" spans="4:18" x14ac:dyDescent="0.25">
      <c r="D506"/>
      <c r="E506"/>
      <c r="H506" s="214"/>
      <c r="I506" s="214"/>
      <c r="K506"/>
      <c r="L506"/>
      <c r="M506"/>
      <c r="N506"/>
      <c r="O506"/>
      <c r="P506"/>
      <c r="Q506"/>
      <c r="R506"/>
    </row>
    <row r="507" spans="4:18" x14ac:dyDescent="0.25">
      <c r="D507"/>
      <c r="E507"/>
      <c r="H507" s="214"/>
      <c r="I507" s="214"/>
      <c r="K507"/>
      <c r="L507"/>
      <c r="M507"/>
      <c r="N507"/>
      <c r="O507"/>
      <c r="P507"/>
      <c r="Q507"/>
      <c r="R507"/>
    </row>
    <row r="508" spans="4:18" x14ac:dyDescent="0.25">
      <c r="D508"/>
      <c r="E508"/>
      <c r="H508" s="214"/>
      <c r="I508" s="214"/>
      <c r="K508"/>
      <c r="L508"/>
      <c r="M508"/>
      <c r="N508"/>
      <c r="O508"/>
      <c r="P508"/>
      <c r="Q508"/>
      <c r="R508"/>
    </row>
    <row r="509" spans="4:18" x14ac:dyDescent="0.25">
      <c r="D509"/>
      <c r="E509"/>
      <c r="H509" s="214"/>
      <c r="I509" s="214"/>
      <c r="K509"/>
      <c r="L509"/>
      <c r="M509"/>
      <c r="N509"/>
      <c r="O509"/>
      <c r="P509"/>
      <c r="Q509"/>
      <c r="R509"/>
    </row>
    <row r="510" spans="4:18" x14ac:dyDescent="0.25">
      <c r="D510"/>
      <c r="E510"/>
      <c r="H510" s="214"/>
      <c r="I510" s="214"/>
      <c r="K510"/>
      <c r="L510"/>
      <c r="M510"/>
      <c r="N510"/>
      <c r="O510"/>
      <c r="P510"/>
      <c r="Q510"/>
      <c r="R510"/>
    </row>
    <row r="511" spans="4:18" x14ac:dyDescent="0.25">
      <c r="D511"/>
      <c r="E511"/>
      <c r="H511" s="214"/>
      <c r="I511" s="214"/>
      <c r="K511"/>
      <c r="L511"/>
      <c r="M511"/>
      <c r="N511"/>
      <c r="O511"/>
      <c r="P511"/>
      <c r="Q511"/>
      <c r="R511"/>
    </row>
    <row r="512" spans="4:18" x14ac:dyDescent="0.25">
      <c r="D512"/>
      <c r="E512"/>
      <c r="H512" s="214"/>
      <c r="I512" s="214"/>
      <c r="K512"/>
      <c r="L512"/>
      <c r="M512"/>
      <c r="N512"/>
      <c r="O512"/>
      <c r="P512"/>
      <c r="Q512"/>
      <c r="R512"/>
    </row>
    <row r="513" spans="4:18" x14ac:dyDescent="0.25">
      <c r="D513"/>
      <c r="E513"/>
      <c r="H513" s="214"/>
      <c r="I513" s="214"/>
      <c r="K513"/>
      <c r="L513"/>
      <c r="M513"/>
      <c r="N513"/>
      <c r="O513"/>
      <c r="P513"/>
      <c r="Q513"/>
      <c r="R513"/>
    </row>
    <row r="514" spans="4:18" x14ac:dyDescent="0.25">
      <c r="D514"/>
      <c r="E514"/>
      <c r="H514" s="214"/>
      <c r="I514" s="214"/>
      <c r="K514"/>
      <c r="L514"/>
      <c r="M514"/>
      <c r="N514"/>
      <c r="O514"/>
      <c r="P514"/>
      <c r="Q514"/>
      <c r="R514"/>
    </row>
    <row r="515" spans="4:18" x14ac:dyDescent="0.25">
      <c r="D515"/>
      <c r="E515"/>
      <c r="H515" s="214"/>
      <c r="I515" s="214"/>
      <c r="K515"/>
      <c r="L515"/>
      <c r="M515"/>
      <c r="N515"/>
      <c r="O515"/>
      <c r="P515"/>
      <c r="Q515"/>
      <c r="R515"/>
    </row>
    <row r="516" spans="4:18" x14ac:dyDescent="0.25">
      <c r="D516"/>
      <c r="E516"/>
      <c r="H516" s="214"/>
      <c r="I516" s="214"/>
      <c r="K516"/>
      <c r="L516"/>
      <c r="M516"/>
      <c r="N516"/>
      <c r="O516"/>
      <c r="P516"/>
      <c r="Q516"/>
      <c r="R516"/>
    </row>
    <row r="517" spans="4:18" x14ac:dyDescent="0.25">
      <c r="D517"/>
      <c r="E517"/>
      <c r="H517" s="214"/>
      <c r="I517" s="214"/>
      <c r="K517"/>
      <c r="L517"/>
      <c r="M517"/>
      <c r="N517"/>
      <c r="O517"/>
      <c r="P517"/>
      <c r="Q517"/>
      <c r="R517"/>
    </row>
    <row r="518" spans="4:18" x14ac:dyDescent="0.25">
      <c r="D518"/>
      <c r="E518"/>
      <c r="H518" s="214"/>
      <c r="I518" s="214"/>
      <c r="K518"/>
      <c r="L518"/>
      <c r="M518"/>
      <c r="N518"/>
      <c r="O518"/>
      <c r="P518"/>
      <c r="Q518"/>
      <c r="R518"/>
    </row>
    <row r="519" spans="4:18" x14ac:dyDescent="0.25">
      <c r="D519"/>
      <c r="E519"/>
      <c r="H519" s="214"/>
      <c r="I519" s="214"/>
      <c r="K519"/>
      <c r="L519"/>
      <c r="M519"/>
      <c r="N519"/>
      <c r="O519"/>
      <c r="P519"/>
      <c r="Q519"/>
      <c r="R519"/>
    </row>
    <row r="520" spans="4:18" x14ac:dyDescent="0.25">
      <c r="D520"/>
      <c r="E520"/>
      <c r="H520" s="214"/>
      <c r="I520" s="214"/>
      <c r="K520"/>
      <c r="L520"/>
      <c r="M520"/>
      <c r="N520"/>
      <c r="O520"/>
      <c r="P520"/>
      <c r="Q520"/>
      <c r="R520"/>
    </row>
    <row r="521" spans="4:18" x14ac:dyDescent="0.25">
      <c r="D521"/>
      <c r="E521"/>
      <c r="H521" s="214"/>
      <c r="I521" s="214"/>
      <c r="K521"/>
      <c r="L521"/>
      <c r="M521"/>
      <c r="N521"/>
      <c r="O521"/>
      <c r="P521"/>
      <c r="Q521"/>
      <c r="R521"/>
    </row>
    <row r="522" spans="4:18" x14ac:dyDescent="0.25">
      <c r="D522"/>
      <c r="E522"/>
      <c r="H522" s="214"/>
      <c r="I522" s="214"/>
      <c r="K522"/>
      <c r="L522"/>
      <c r="M522"/>
      <c r="N522"/>
      <c r="O522"/>
      <c r="P522"/>
      <c r="Q522"/>
      <c r="R522"/>
    </row>
    <row r="523" spans="4:18" x14ac:dyDescent="0.25">
      <c r="D523"/>
      <c r="E523"/>
      <c r="H523" s="214"/>
      <c r="I523" s="214"/>
      <c r="K523"/>
      <c r="L523"/>
      <c r="M523"/>
      <c r="N523"/>
      <c r="O523"/>
      <c r="P523"/>
      <c r="Q523"/>
      <c r="R523"/>
    </row>
    <row r="524" spans="4:18" x14ac:dyDescent="0.25">
      <c r="D524"/>
      <c r="E524"/>
      <c r="H524" s="214"/>
      <c r="I524" s="214"/>
      <c r="K524"/>
      <c r="L524"/>
      <c r="M524"/>
      <c r="N524"/>
      <c r="O524"/>
      <c r="P524"/>
      <c r="Q524"/>
      <c r="R524"/>
    </row>
    <row r="525" spans="4:18" x14ac:dyDescent="0.25">
      <c r="D525"/>
      <c r="E525"/>
      <c r="H525" s="214"/>
      <c r="I525" s="214"/>
      <c r="K525"/>
      <c r="L525"/>
      <c r="M525"/>
      <c r="N525"/>
      <c r="O525"/>
      <c r="P525"/>
      <c r="Q525"/>
      <c r="R525"/>
    </row>
    <row r="526" spans="4:18" x14ac:dyDescent="0.25">
      <c r="D526"/>
      <c r="E526"/>
      <c r="H526" s="214"/>
      <c r="I526" s="214"/>
      <c r="K526"/>
      <c r="L526"/>
      <c r="M526"/>
      <c r="N526"/>
      <c r="O526"/>
      <c r="P526"/>
      <c r="Q526"/>
      <c r="R526"/>
    </row>
    <row r="527" spans="4:18" x14ac:dyDescent="0.25">
      <c r="D527"/>
      <c r="E527"/>
      <c r="H527" s="214"/>
      <c r="I527" s="214"/>
      <c r="K527"/>
      <c r="L527"/>
      <c r="M527"/>
      <c r="N527"/>
      <c r="O527"/>
      <c r="P527"/>
      <c r="Q527"/>
      <c r="R527"/>
    </row>
    <row r="528" spans="4:18" x14ac:dyDescent="0.25">
      <c r="D528"/>
      <c r="E528"/>
      <c r="H528" s="214"/>
      <c r="I528" s="214"/>
      <c r="K528"/>
      <c r="L528"/>
      <c r="M528"/>
      <c r="N528"/>
      <c r="O528"/>
      <c r="P528"/>
      <c r="Q528"/>
      <c r="R528"/>
    </row>
    <row r="529" spans="4:18" x14ac:dyDescent="0.25">
      <c r="D529"/>
      <c r="E529"/>
      <c r="H529" s="214"/>
      <c r="I529" s="214"/>
      <c r="K529"/>
      <c r="L529"/>
      <c r="M529"/>
      <c r="N529"/>
      <c r="O529"/>
      <c r="P529"/>
      <c r="Q529"/>
      <c r="R529"/>
    </row>
    <row r="530" spans="4:18" x14ac:dyDescent="0.25">
      <c r="D530"/>
      <c r="E530"/>
      <c r="H530" s="214"/>
      <c r="I530" s="214"/>
      <c r="K530"/>
      <c r="L530"/>
      <c r="M530"/>
      <c r="N530"/>
      <c r="O530"/>
      <c r="P530"/>
      <c r="Q530"/>
      <c r="R530"/>
    </row>
    <row r="531" spans="4:18" x14ac:dyDescent="0.25">
      <c r="D531"/>
      <c r="E531"/>
      <c r="H531" s="214"/>
      <c r="I531" s="214"/>
      <c r="K531"/>
      <c r="L531"/>
      <c r="M531"/>
      <c r="N531"/>
      <c r="O531"/>
      <c r="P531"/>
      <c r="Q531"/>
      <c r="R531"/>
    </row>
    <row r="532" spans="4:18" x14ac:dyDescent="0.25">
      <c r="D532"/>
      <c r="E532"/>
      <c r="H532" s="214"/>
      <c r="I532" s="214"/>
      <c r="K532"/>
      <c r="L532"/>
      <c r="M532"/>
      <c r="N532"/>
      <c r="O532"/>
      <c r="P532"/>
      <c r="Q532"/>
      <c r="R532"/>
    </row>
    <row r="533" spans="4:18" x14ac:dyDescent="0.25">
      <c r="D533"/>
      <c r="E533"/>
      <c r="H533" s="214"/>
      <c r="I533" s="214"/>
      <c r="K533"/>
      <c r="L533"/>
      <c r="M533"/>
      <c r="N533"/>
      <c r="O533"/>
      <c r="P533"/>
      <c r="Q533"/>
      <c r="R533"/>
    </row>
    <row r="534" spans="4:18" x14ac:dyDescent="0.25">
      <c r="D534"/>
      <c r="E534"/>
      <c r="H534" s="214"/>
      <c r="I534" s="214"/>
      <c r="K534"/>
      <c r="L534"/>
      <c r="M534"/>
      <c r="N534"/>
      <c r="O534"/>
      <c r="P534"/>
      <c r="Q534"/>
      <c r="R534"/>
    </row>
    <row r="535" spans="4:18" x14ac:dyDescent="0.25">
      <c r="D535"/>
      <c r="E535"/>
      <c r="H535" s="214"/>
      <c r="I535" s="214"/>
      <c r="K535"/>
      <c r="L535"/>
      <c r="M535"/>
      <c r="N535"/>
      <c r="O535"/>
      <c r="P535"/>
      <c r="Q535"/>
      <c r="R535"/>
    </row>
    <row r="536" spans="4:18" x14ac:dyDescent="0.25">
      <c r="D536"/>
      <c r="E536"/>
      <c r="H536" s="214"/>
      <c r="I536" s="214"/>
      <c r="K536"/>
      <c r="L536"/>
      <c r="M536"/>
      <c r="N536"/>
      <c r="O536"/>
      <c r="P536"/>
      <c r="Q536"/>
      <c r="R536"/>
    </row>
    <row r="537" spans="4:18" x14ac:dyDescent="0.25">
      <c r="D537"/>
      <c r="E537"/>
      <c r="H537" s="214"/>
      <c r="I537" s="214"/>
      <c r="K537"/>
      <c r="L537"/>
      <c r="M537"/>
      <c r="N537"/>
      <c r="O537"/>
      <c r="P537"/>
      <c r="Q537"/>
      <c r="R537"/>
    </row>
    <row r="538" spans="4:18" x14ac:dyDescent="0.25">
      <c r="D538"/>
      <c r="E538"/>
      <c r="H538" s="214"/>
      <c r="I538" s="214"/>
      <c r="K538"/>
      <c r="L538"/>
      <c r="M538"/>
      <c r="N538"/>
      <c r="O538"/>
      <c r="P538"/>
      <c r="Q538"/>
      <c r="R538"/>
    </row>
    <row r="539" spans="4:18" x14ac:dyDescent="0.25">
      <c r="D539"/>
      <c r="E539"/>
      <c r="H539" s="214"/>
      <c r="I539" s="214"/>
      <c r="K539"/>
      <c r="L539"/>
      <c r="M539"/>
      <c r="N539"/>
      <c r="O539"/>
      <c r="P539"/>
      <c r="Q539"/>
      <c r="R539"/>
    </row>
    <row r="540" spans="4:18" x14ac:dyDescent="0.25">
      <c r="D540"/>
      <c r="E540"/>
      <c r="H540" s="214"/>
      <c r="I540" s="214"/>
      <c r="K540"/>
      <c r="L540"/>
      <c r="M540"/>
      <c r="N540"/>
      <c r="O540"/>
      <c r="P540"/>
      <c r="Q540"/>
      <c r="R540"/>
    </row>
    <row r="541" spans="4:18" x14ac:dyDescent="0.25">
      <c r="D541"/>
      <c r="E541"/>
      <c r="H541" s="214"/>
      <c r="I541" s="214"/>
      <c r="K541"/>
      <c r="L541"/>
      <c r="M541"/>
      <c r="N541"/>
      <c r="O541"/>
      <c r="P541"/>
      <c r="Q541"/>
      <c r="R541"/>
    </row>
    <row r="542" spans="4:18" x14ac:dyDescent="0.25">
      <c r="D542"/>
      <c r="E542"/>
      <c r="H542" s="214"/>
      <c r="I542" s="214"/>
      <c r="K542"/>
      <c r="L542"/>
      <c r="M542"/>
      <c r="N542"/>
      <c r="O542"/>
      <c r="P542"/>
      <c r="Q542"/>
      <c r="R542"/>
    </row>
    <row r="543" spans="4:18" x14ac:dyDescent="0.25">
      <c r="D543"/>
      <c r="E543"/>
      <c r="H543" s="214"/>
      <c r="I543" s="214"/>
      <c r="K543"/>
      <c r="L543"/>
      <c r="M543"/>
      <c r="N543"/>
      <c r="O543"/>
      <c r="P543"/>
      <c r="Q543"/>
      <c r="R543"/>
    </row>
    <row r="544" spans="4:18" x14ac:dyDescent="0.25">
      <c r="D544"/>
      <c r="E544"/>
      <c r="H544" s="214"/>
      <c r="I544" s="214"/>
      <c r="K544"/>
      <c r="L544"/>
      <c r="M544"/>
      <c r="N544"/>
      <c r="O544"/>
      <c r="P544"/>
      <c r="Q544"/>
      <c r="R544"/>
    </row>
    <row r="545" spans="4:18" x14ac:dyDescent="0.25">
      <c r="D545"/>
      <c r="E545"/>
      <c r="H545" s="214"/>
      <c r="I545" s="214"/>
      <c r="K545"/>
      <c r="L545"/>
      <c r="M545"/>
      <c r="N545"/>
      <c r="O545"/>
      <c r="P545"/>
      <c r="Q545"/>
      <c r="R545"/>
    </row>
    <row r="546" spans="4:18" x14ac:dyDescent="0.25">
      <c r="D546"/>
      <c r="E546"/>
      <c r="H546" s="214"/>
      <c r="I546" s="214"/>
      <c r="K546"/>
      <c r="L546"/>
      <c r="M546"/>
      <c r="N546"/>
      <c r="O546"/>
      <c r="P546"/>
      <c r="Q546"/>
      <c r="R546"/>
    </row>
    <row r="547" spans="4:18" x14ac:dyDescent="0.25">
      <c r="D547"/>
      <c r="E547"/>
      <c r="H547" s="214"/>
      <c r="I547" s="214"/>
      <c r="K547"/>
      <c r="L547"/>
      <c r="M547"/>
      <c r="N547"/>
      <c r="O547"/>
      <c r="P547"/>
      <c r="Q547"/>
      <c r="R547"/>
    </row>
    <row r="548" spans="4:18" x14ac:dyDescent="0.25">
      <c r="D548"/>
      <c r="E548"/>
      <c r="H548" s="214"/>
      <c r="I548" s="214"/>
      <c r="K548"/>
      <c r="L548"/>
      <c r="M548"/>
      <c r="N548"/>
      <c r="O548"/>
      <c r="P548"/>
      <c r="Q548"/>
      <c r="R548"/>
    </row>
    <row r="549" spans="4:18" x14ac:dyDescent="0.25">
      <c r="D549"/>
      <c r="E549"/>
      <c r="H549" s="214"/>
      <c r="I549" s="214"/>
      <c r="K549"/>
      <c r="L549"/>
      <c r="M549"/>
      <c r="N549"/>
      <c r="O549"/>
      <c r="P549"/>
      <c r="Q549"/>
      <c r="R549"/>
    </row>
    <row r="550" spans="4:18" x14ac:dyDescent="0.25">
      <c r="D550"/>
      <c r="E550"/>
      <c r="H550" s="214"/>
      <c r="I550" s="214"/>
      <c r="K550"/>
      <c r="L550"/>
      <c r="M550"/>
      <c r="N550"/>
      <c r="O550"/>
      <c r="P550"/>
      <c r="Q550"/>
      <c r="R550"/>
    </row>
    <row r="551" spans="4:18" x14ac:dyDescent="0.25">
      <c r="D551"/>
      <c r="E551"/>
      <c r="H551" s="214"/>
      <c r="I551" s="214"/>
      <c r="K551"/>
      <c r="L551"/>
      <c r="M551"/>
      <c r="N551"/>
      <c r="O551"/>
      <c r="P551"/>
      <c r="Q551"/>
      <c r="R551"/>
    </row>
    <row r="552" spans="4:18" x14ac:dyDescent="0.25">
      <c r="D552"/>
      <c r="E552"/>
      <c r="H552" s="214"/>
      <c r="I552" s="214"/>
      <c r="K552"/>
      <c r="L552"/>
      <c r="M552"/>
      <c r="N552"/>
      <c r="O552"/>
      <c r="P552"/>
      <c r="Q552"/>
      <c r="R552"/>
    </row>
    <row r="553" spans="4:18" x14ac:dyDescent="0.25">
      <c r="D553"/>
      <c r="E553"/>
      <c r="H553" s="214"/>
      <c r="I553" s="214"/>
      <c r="K553"/>
      <c r="L553"/>
      <c r="M553"/>
      <c r="N553"/>
      <c r="O553"/>
      <c r="P553"/>
      <c r="Q553"/>
      <c r="R553"/>
    </row>
    <row r="554" spans="4:18" x14ac:dyDescent="0.25">
      <c r="D554"/>
      <c r="E554"/>
      <c r="H554" s="214"/>
      <c r="I554" s="214"/>
      <c r="K554"/>
      <c r="L554"/>
      <c r="M554"/>
      <c r="N554"/>
      <c r="O554"/>
      <c r="P554"/>
      <c r="Q554"/>
      <c r="R554"/>
    </row>
    <row r="555" spans="4:18" x14ac:dyDescent="0.25">
      <c r="D555"/>
      <c r="E555"/>
      <c r="H555" s="214"/>
      <c r="I555" s="214"/>
      <c r="K555"/>
      <c r="L555"/>
      <c r="M555"/>
      <c r="N555"/>
      <c r="O555"/>
      <c r="P555"/>
      <c r="Q555"/>
      <c r="R555"/>
    </row>
    <row r="556" spans="4:18" x14ac:dyDescent="0.25">
      <c r="D556"/>
      <c r="E556"/>
      <c r="H556" s="214"/>
      <c r="I556" s="214"/>
      <c r="K556"/>
      <c r="L556"/>
      <c r="M556"/>
      <c r="N556"/>
      <c r="O556"/>
      <c r="P556"/>
      <c r="Q556"/>
      <c r="R556"/>
    </row>
    <row r="557" spans="4:18" x14ac:dyDescent="0.25">
      <c r="D557"/>
      <c r="E557"/>
      <c r="H557" s="214"/>
      <c r="I557" s="214"/>
      <c r="K557"/>
      <c r="L557"/>
      <c r="M557"/>
      <c r="N557"/>
      <c r="O557"/>
      <c r="P557"/>
      <c r="Q557"/>
      <c r="R557"/>
    </row>
    <row r="558" spans="4:18" x14ac:dyDescent="0.25">
      <c r="D558"/>
      <c r="E558"/>
      <c r="H558" s="214"/>
      <c r="I558" s="214"/>
      <c r="K558"/>
      <c r="L558"/>
      <c r="M558"/>
      <c r="N558"/>
      <c r="O558"/>
      <c r="P558"/>
      <c r="Q558"/>
      <c r="R558"/>
    </row>
    <row r="561" spans="4:18" x14ac:dyDescent="0.25">
      <c r="D561"/>
      <c r="E561"/>
      <c r="H561" s="214"/>
      <c r="I561" s="214"/>
      <c r="K561"/>
      <c r="L561"/>
      <c r="M561"/>
      <c r="N561"/>
      <c r="O561"/>
      <c r="P561"/>
      <c r="Q561"/>
      <c r="R561"/>
    </row>
    <row r="562" spans="4:18" x14ac:dyDescent="0.25">
      <c r="D562"/>
      <c r="E562"/>
      <c r="H562" s="214"/>
      <c r="I562" s="214"/>
      <c r="K562"/>
      <c r="L562"/>
      <c r="M562"/>
      <c r="N562"/>
      <c r="O562"/>
      <c r="P562"/>
      <c r="Q562"/>
      <c r="R562"/>
    </row>
    <row r="563" spans="4:18" x14ac:dyDescent="0.25">
      <c r="D563"/>
      <c r="E563"/>
      <c r="H563" s="214"/>
      <c r="I563" s="214"/>
      <c r="K563"/>
      <c r="L563"/>
      <c r="M563"/>
      <c r="N563"/>
      <c r="O563"/>
      <c r="P563"/>
      <c r="Q563"/>
      <c r="R563"/>
    </row>
    <row r="564" spans="4:18" x14ac:dyDescent="0.25">
      <c r="D564"/>
      <c r="E564"/>
      <c r="H564" s="214"/>
      <c r="I564" s="214"/>
      <c r="K564"/>
      <c r="L564"/>
      <c r="M564"/>
      <c r="N564"/>
      <c r="O564"/>
      <c r="P564"/>
      <c r="Q564"/>
      <c r="R564"/>
    </row>
    <row r="565" spans="4:18" x14ac:dyDescent="0.25">
      <c r="D565"/>
      <c r="E565"/>
      <c r="H565" s="214"/>
      <c r="I565" s="214"/>
      <c r="K565"/>
      <c r="L565"/>
      <c r="M565"/>
      <c r="N565"/>
      <c r="O565"/>
      <c r="P565"/>
      <c r="Q565"/>
      <c r="R565"/>
    </row>
    <row r="566" spans="4:18" x14ac:dyDescent="0.25">
      <c r="D566"/>
      <c r="E566"/>
      <c r="H566" s="214"/>
      <c r="I566" s="214"/>
      <c r="K566"/>
      <c r="L566"/>
      <c r="M566"/>
      <c r="N566"/>
      <c r="O566"/>
      <c r="P566"/>
      <c r="Q566"/>
      <c r="R566"/>
    </row>
    <row r="567" spans="4:18" x14ac:dyDescent="0.25">
      <c r="D567"/>
      <c r="E567"/>
      <c r="H567" s="214"/>
      <c r="I567" s="214"/>
      <c r="K567"/>
      <c r="L567"/>
      <c r="M567"/>
      <c r="N567"/>
      <c r="O567"/>
      <c r="P567"/>
      <c r="Q567"/>
      <c r="R567"/>
    </row>
    <row r="568" spans="4:18" x14ac:dyDescent="0.25">
      <c r="D568"/>
      <c r="E568"/>
      <c r="H568" s="214"/>
      <c r="I568" s="214"/>
      <c r="K568"/>
      <c r="L568"/>
      <c r="M568"/>
      <c r="N568"/>
      <c r="O568"/>
      <c r="P568"/>
      <c r="Q568"/>
      <c r="R568"/>
    </row>
    <row r="569" spans="4:18" x14ac:dyDescent="0.25">
      <c r="D569"/>
      <c r="E569"/>
      <c r="H569" s="214"/>
      <c r="I569" s="214"/>
      <c r="K569"/>
      <c r="L569"/>
      <c r="M569"/>
      <c r="N569"/>
      <c r="O569"/>
      <c r="P569"/>
      <c r="Q569"/>
      <c r="R569"/>
    </row>
    <row r="570" spans="4:18" x14ac:dyDescent="0.25">
      <c r="D570"/>
      <c r="E570"/>
      <c r="H570" s="214"/>
      <c r="I570" s="214"/>
      <c r="K570"/>
      <c r="L570"/>
      <c r="M570"/>
      <c r="N570"/>
      <c r="O570"/>
      <c r="P570"/>
      <c r="Q570"/>
      <c r="R570"/>
    </row>
    <row r="571" spans="4:18" x14ac:dyDescent="0.25">
      <c r="D571"/>
      <c r="E571"/>
      <c r="H571" s="214"/>
      <c r="I571" s="214"/>
      <c r="K571"/>
      <c r="L571"/>
      <c r="M571"/>
      <c r="N571"/>
      <c r="O571"/>
      <c r="P571"/>
      <c r="Q571"/>
      <c r="R571"/>
    </row>
    <row r="572" spans="4:18" x14ac:dyDescent="0.25">
      <c r="D572"/>
      <c r="E572"/>
      <c r="H572" s="214"/>
      <c r="I572" s="214"/>
      <c r="K572"/>
      <c r="L572"/>
      <c r="M572"/>
      <c r="N572"/>
      <c r="O572"/>
      <c r="P572"/>
      <c r="Q572"/>
      <c r="R572"/>
    </row>
    <row r="573" spans="4:18" x14ac:dyDescent="0.25">
      <c r="D573"/>
      <c r="E573"/>
      <c r="H573" s="214"/>
      <c r="I573" s="214"/>
      <c r="K573"/>
      <c r="L573"/>
      <c r="M573"/>
      <c r="N573"/>
      <c r="O573"/>
      <c r="P573"/>
      <c r="Q573"/>
      <c r="R573"/>
    </row>
    <row r="574" spans="4:18" x14ac:dyDescent="0.25">
      <c r="D574"/>
      <c r="E574"/>
      <c r="H574" s="214"/>
      <c r="I574" s="214"/>
      <c r="K574"/>
      <c r="L574"/>
      <c r="M574"/>
      <c r="N574"/>
      <c r="O574"/>
      <c r="P574"/>
      <c r="Q574"/>
      <c r="R574"/>
    </row>
    <row r="575" spans="4:18" x14ac:dyDescent="0.25">
      <c r="D575"/>
      <c r="E575"/>
      <c r="H575" s="214"/>
      <c r="I575" s="214"/>
      <c r="K575"/>
      <c r="L575"/>
      <c r="M575"/>
      <c r="N575"/>
      <c r="O575"/>
      <c r="P575"/>
      <c r="Q575"/>
      <c r="R575"/>
    </row>
    <row r="576" spans="4:18" x14ac:dyDescent="0.25">
      <c r="D576"/>
      <c r="E576"/>
      <c r="H576" s="214"/>
      <c r="I576" s="214"/>
      <c r="K576"/>
      <c r="L576"/>
      <c r="M576"/>
      <c r="N576"/>
      <c r="O576"/>
      <c r="P576"/>
      <c r="Q576"/>
      <c r="R576"/>
    </row>
    <row r="577" spans="4:18" x14ac:dyDescent="0.25">
      <c r="D577"/>
      <c r="E577"/>
      <c r="H577" s="214"/>
      <c r="I577" s="214"/>
      <c r="K577"/>
      <c r="L577"/>
      <c r="M577"/>
      <c r="N577"/>
      <c r="O577"/>
      <c r="P577"/>
      <c r="Q577"/>
      <c r="R577"/>
    </row>
    <row r="578" spans="4:18" x14ac:dyDescent="0.25">
      <c r="D578"/>
      <c r="E578"/>
      <c r="H578" s="214"/>
      <c r="I578" s="214"/>
      <c r="K578"/>
      <c r="L578"/>
      <c r="M578"/>
      <c r="N578"/>
      <c r="O578"/>
      <c r="P578"/>
      <c r="Q578"/>
      <c r="R578"/>
    </row>
    <row r="579" spans="4:18" x14ac:dyDescent="0.25">
      <c r="D579"/>
      <c r="E579"/>
      <c r="H579" s="214"/>
      <c r="I579" s="214"/>
      <c r="K579"/>
      <c r="L579"/>
      <c r="M579"/>
      <c r="N579"/>
      <c r="O579"/>
      <c r="P579"/>
      <c r="Q579"/>
      <c r="R579"/>
    </row>
    <row r="580" spans="4:18" x14ac:dyDescent="0.25">
      <c r="D580"/>
      <c r="E580"/>
      <c r="H580" s="214"/>
      <c r="I580" s="214"/>
      <c r="K580"/>
      <c r="L580"/>
      <c r="M580"/>
      <c r="N580"/>
      <c r="O580"/>
      <c r="P580"/>
      <c r="Q580"/>
      <c r="R580"/>
    </row>
    <row r="581" spans="4:18" x14ac:dyDescent="0.25">
      <c r="D581"/>
      <c r="E581"/>
      <c r="H581" s="214"/>
      <c r="I581" s="214"/>
      <c r="K581"/>
      <c r="L581"/>
      <c r="M581"/>
      <c r="N581"/>
      <c r="O581"/>
      <c r="P581"/>
      <c r="Q581"/>
      <c r="R581"/>
    </row>
    <row r="582" spans="4:18" x14ac:dyDescent="0.25">
      <c r="D582"/>
      <c r="E582"/>
      <c r="H582" s="214"/>
      <c r="I582" s="214"/>
      <c r="K582"/>
      <c r="L582"/>
      <c r="M582"/>
      <c r="N582"/>
      <c r="O582"/>
      <c r="P582"/>
      <c r="Q582"/>
      <c r="R582"/>
    </row>
    <row r="583" spans="4:18" x14ac:dyDescent="0.25">
      <c r="D583"/>
      <c r="E583"/>
      <c r="H583" s="214"/>
      <c r="I583" s="214"/>
      <c r="K583"/>
      <c r="L583"/>
      <c r="M583"/>
      <c r="N583"/>
      <c r="O583"/>
      <c r="P583"/>
      <c r="Q583"/>
      <c r="R583"/>
    </row>
    <row r="584" spans="4:18" x14ac:dyDescent="0.25">
      <c r="D584"/>
      <c r="E584"/>
      <c r="H584" s="214"/>
      <c r="I584" s="214"/>
      <c r="K584"/>
      <c r="L584"/>
      <c r="M584"/>
      <c r="N584"/>
      <c r="O584"/>
      <c r="P584"/>
      <c r="Q584"/>
      <c r="R584"/>
    </row>
    <row r="585" spans="4:18" x14ac:dyDescent="0.25">
      <c r="D585"/>
      <c r="E585"/>
      <c r="H585" s="214"/>
      <c r="I585" s="214"/>
      <c r="K585"/>
      <c r="L585"/>
      <c r="M585"/>
      <c r="N585"/>
      <c r="O585"/>
      <c r="P585"/>
      <c r="Q585"/>
      <c r="R585"/>
    </row>
    <row r="586" spans="4:18" x14ac:dyDescent="0.25">
      <c r="D586"/>
      <c r="E586"/>
      <c r="H586" s="214"/>
      <c r="I586" s="214"/>
      <c r="K586"/>
      <c r="L586"/>
      <c r="M586"/>
      <c r="N586"/>
      <c r="O586"/>
      <c r="P586"/>
      <c r="Q586"/>
      <c r="R586"/>
    </row>
    <row r="587" spans="4:18" x14ac:dyDescent="0.25">
      <c r="D587"/>
      <c r="E587"/>
      <c r="H587" s="214"/>
      <c r="I587" s="214"/>
      <c r="K587"/>
      <c r="L587"/>
      <c r="M587"/>
      <c r="N587"/>
      <c r="O587"/>
      <c r="P587"/>
      <c r="Q587"/>
      <c r="R587"/>
    </row>
    <row r="588" spans="4:18" x14ac:dyDescent="0.25">
      <c r="D588"/>
      <c r="E588"/>
      <c r="H588" s="214"/>
      <c r="I588" s="214"/>
      <c r="K588"/>
      <c r="L588"/>
      <c r="M588"/>
      <c r="N588"/>
      <c r="O588"/>
      <c r="P588"/>
      <c r="Q588"/>
      <c r="R588"/>
    </row>
    <row r="589" spans="4:18" x14ac:dyDescent="0.25">
      <c r="D589"/>
      <c r="E589"/>
      <c r="H589" s="214"/>
      <c r="I589" s="214"/>
      <c r="K589"/>
      <c r="L589"/>
      <c r="M589"/>
      <c r="N589"/>
      <c r="O589"/>
      <c r="P589"/>
      <c r="Q589"/>
      <c r="R589"/>
    </row>
    <row r="590" spans="4:18" x14ac:dyDescent="0.25">
      <c r="D590"/>
      <c r="E590"/>
      <c r="H590" s="214"/>
      <c r="I590" s="214"/>
      <c r="K590"/>
      <c r="L590"/>
      <c r="M590"/>
      <c r="N590"/>
      <c r="O590"/>
      <c r="P590"/>
      <c r="Q590"/>
      <c r="R590"/>
    </row>
    <row r="591" spans="4:18" x14ac:dyDescent="0.25">
      <c r="D591"/>
      <c r="E591"/>
      <c r="H591" s="214"/>
      <c r="I591" s="214"/>
      <c r="K591"/>
      <c r="L591"/>
      <c r="M591"/>
      <c r="N591"/>
      <c r="O591"/>
      <c r="P591"/>
      <c r="Q591"/>
      <c r="R591"/>
    </row>
    <row r="592" spans="4:18" x14ac:dyDescent="0.25">
      <c r="D592"/>
      <c r="E592"/>
      <c r="H592" s="214"/>
      <c r="I592" s="214"/>
      <c r="K592"/>
      <c r="L592"/>
      <c r="M592"/>
      <c r="N592"/>
      <c r="O592"/>
      <c r="P592"/>
      <c r="Q592"/>
      <c r="R592"/>
    </row>
    <row r="593" spans="4:18" x14ac:dyDescent="0.25">
      <c r="D593"/>
      <c r="E593"/>
      <c r="H593" s="214"/>
      <c r="I593" s="214"/>
      <c r="K593"/>
      <c r="L593"/>
      <c r="M593"/>
      <c r="N593"/>
      <c r="O593"/>
      <c r="P593"/>
      <c r="Q593"/>
      <c r="R593"/>
    </row>
    <row r="594" spans="4:18" x14ac:dyDescent="0.25">
      <c r="D594"/>
      <c r="E594"/>
      <c r="H594" s="214"/>
      <c r="I594" s="214"/>
      <c r="K594"/>
      <c r="L594"/>
      <c r="M594"/>
      <c r="N594"/>
      <c r="O594"/>
      <c r="P594"/>
      <c r="Q594"/>
      <c r="R594"/>
    </row>
    <row r="595" spans="4:18" x14ac:dyDescent="0.25">
      <c r="D595"/>
      <c r="E595"/>
      <c r="H595" s="214"/>
      <c r="I595" s="214"/>
      <c r="K595"/>
      <c r="L595"/>
      <c r="M595"/>
      <c r="N595"/>
      <c r="O595"/>
      <c r="P595"/>
      <c r="Q595"/>
      <c r="R595"/>
    </row>
    <row r="596" spans="4:18" x14ac:dyDescent="0.25">
      <c r="D596"/>
      <c r="E596"/>
      <c r="H596" s="214"/>
      <c r="I596" s="214"/>
      <c r="K596"/>
      <c r="L596"/>
      <c r="M596"/>
      <c r="N596"/>
      <c r="O596"/>
      <c r="P596"/>
      <c r="Q596"/>
      <c r="R596"/>
    </row>
    <row r="597" spans="4:18" x14ac:dyDescent="0.25">
      <c r="D597"/>
      <c r="E597"/>
      <c r="H597" s="214"/>
      <c r="I597" s="214"/>
      <c r="K597"/>
      <c r="L597"/>
      <c r="M597"/>
      <c r="N597"/>
      <c r="O597"/>
      <c r="P597"/>
      <c r="Q597"/>
      <c r="R597"/>
    </row>
    <row r="598" spans="4:18" x14ac:dyDescent="0.25">
      <c r="D598"/>
      <c r="E598"/>
      <c r="H598" s="214"/>
      <c r="I598" s="214"/>
      <c r="K598"/>
      <c r="L598"/>
      <c r="M598"/>
      <c r="N598"/>
      <c r="O598"/>
      <c r="P598"/>
      <c r="Q598"/>
      <c r="R598"/>
    </row>
    <row r="599" spans="4:18" x14ac:dyDescent="0.25">
      <c r="D599"/>
      <c r="E599"/>
      <c r="H599" s="214"/>
      <c r="I599" s="214"/>
      <c r="K599"/>
      <c r="L599"/>
      <c r="M599"/>
      <c r="N599"/>
      <c r="O599"/>
      <c r="P599"/>
      <c r="Q599"/>
      <c r="R599"/>
    </row>
    <row r="600" spans="4:18" x14ac:dyDescent="0.25">
      <c r="D600"/>
      <c r="E600"/>
      <c r="H600" s="214"/>
      <c r="I600" s="214"/>
      <c r="K600"/>
      <c r="L600"/>
      <c r="M600"/>
      <c r="N600"/>
      <c r="O600"/>
      <c r="P600"/>
      <c r="Q600"/>
      <c r="R600"/>
    </row>
    <row r="601" spans="4:18" x14ac:dyDescent="0.25">
      <c r="D601"/>
      <c r="E601"/>
      <c r="H601" s="214"/>
      <c r="I601" s="214"/>
      <c r="K601"/>
      <c r="L601"/>
      <c r="M601"/>
      <c r="N601"/>
      <c r="O601"/>
      <c r="P601"/>
      <c r="Q601"/>
      <c r="R601"/>
    </row>
    <row r="602" spans="4:18" x14ac:dyDescent="0.25">
      <c r="D602"/>
      <c r="E602"/>
      <c r="H602" s="214"/>
      <c r="I602" s="214"/>
      <c r="K602"/>
      <c r="L602"/>
      <c r="M602"/>
      <c r="N602"/>
      <c r="O602"/>
      <c r="P602"/>
      <c r="Q602"/>
      <c r="R602"/>
    </row>
    <row r="603" spans="4:18" x14ac:dyDescent="0.25">
      <c r="D603"/>
      <c r="E603"/>
      <c r="H603" s="214"/>
      <c r="I603" s="214"/>
      <c r="K603"/>
      <c r="L603"/>
      <c r="M603"/>
      <c r="N603"/>
      <c r="O603"/>
      <c r="P603"/>
      <c r="Q603"/>
      <c r="R603"/>
    </row>
    <row r="604" spans="4:18" x14ac:dyDescent="0.25">
      <c r="D604"/>
      <c r="E604"/>
      <c r="H604" s="214"/>
      <c r="I604" s="214"/>
      <c r="K604"/>
      <c r="L604"/>
      <c r="M604"/>
      <c r="N604"/>
      <c r="O604"/>
      <c r="P604"/>
      <c r="Q604"/>
      <c r="R604"/>
    </row>
    <row r="605" spans="4:18" x14ac:dyDescent="0.25">
      <c r="D605"/>
      <c r="E605"/>
      <c r="H605" s="214"/>
      <c r="I605" s="214"/>
      <c r="K605"/>
      <c r="L605"/>
      <c r="M605"/>
      <c r="N605"/>
      <c r="O605"/>
      <c r="P605"/>
      <c r="Q605"/>
      <c r="R605"/>
    </row>
    <row r="606" spans="4:18" x14ac:dyDescent="0.25">
      <c r="D606"/>
      <c r="E606"/>
      <c r="H606" s="214"/>
      <c r="I606" s="214"/>
      <c r="K606"/>
      <c r="L606"/>
      <c r="M606"/>
      <c r="N606"/>
      <c r="O606"/>
      <c r="P606"/>
      <c r="Q606"/>
      <c r="R606"/>
    </row>
    <row r="607" spans="4:18" x14ac:dyDescent="0.25">
      <c r="D607"/>
      <c r="E607"/>
      <c r="H607" s="214"/>
      <c r="I607" s="214"/>
      <c r="K607"/>
      <c r="L607"/>
      <c r="M607"/>
      <c r="N607"/>
      <c r="O607"/>
      <c r="P607"/>
      <c r="Q607"/>
      <c r="R607"/>
    </row>
    <row r="608" spans="4:18" x14ac:dyDescent="0.25">
      <c r="D608"/>
      <c r="E608"/>
      <c r="H608" s="214"/>
      <c r="I608" s="214"/>
      <c r="K608"/>
      <c r="L608"/>
      <c r="M608"/>
      <c r="N608"/>
      <c r="O608"/>
      <c r="P608"/>
      <c r="Q608"/>
      <c r="R608"/>
    </row>
    <row r="609" spans="4:18" x14ac:dyDescent="0.25">
      <c r="D609"/>
      <c r="E609"/>
      <c r="H609" s="214"/>
      <c r="I609" s="214"/>
      <c r="K609"/>
      <c r="L609"/>
      <c r="M609"/>
      <c r="N609"/>
      <c r="O609"/>
      <c r="P609"/>
      <c r="Q609"/>
      <c r="R609"/>
    </row>
    <row r="610" spans="4:18" x14ac:dyDescent="0.25">
      <c r="D610"/>
      <c r="E610"/>
      <c r="H610" s="214"/>
      <c r="I610" s="214"/>
      <c r="K610"/>
      <c r="L610"/>
      <c r="M610"/>
      <c r="N610"/>
      <c r="O610"/>
      <c r="P610"/>
      <c r="Q610"/>
      <c r="R610"/>
    </row>
    <row r="611" spans="4:18" x14ac:dyDescent="0.25">
      <c r="D611"/>
      <c r="E611"/>
      <c r="H611" s="214"/>
      <c r="I611" s="214"/>
      <c r="K611"/>
      <c r="L611"/>
      <c r="M611"/>
      <c r="N611"/>
      <c r="O611"/>
      <c r="P611"/>
      <c r="Q611"/>
      <c r="R611"/>
    </row>
    <row r="612" spans="4:18" x14ac:dyDescent="0.25">
      <c r="D612"/>
      <c r="E612"/>
      <c r="H612" s="214"/>
      <c r="I612" s="214"/>
      <c r="K612"/>
      <c r="L612"/>
      <c r="M612"/>
      <c r="N612"/>
      <c r="O612"/>
      <c r="P612"/>
      <c r="Q612"/>
      <c r="R612"/>
    </row>
    <row r="613" spans="4:18" x14ac:dyDescent="0.25">
      <c r="D613"/>
      <c r="E613"/>
      <c r="H613" s="214"/>
      <c r="I613" s="214"/>
      <c r="K613"/>
      <c r="L613"/>
      <c r="M613"/>
      <c r="N613"/>
      <c r="O613"/>
      <c r="P613"/>
      <c r="Q613"/>
      <c r="R613"/>
    </row>
    <row r="614" spans="4:18" x14ac:dyDescent="0.25">
      <c r="D614"/>
      <c r="E614"/>
      <c r="H614" s="214"/>
      <c r="I614" s="214"/>
      <c r="K614"/>
      <c r="L614"/>
      <c r="M614"/>
      <c r="N614"/>
      <c r="O614"/>
      <c r="P614"/>
      <c r="Q614"/>
      <c r="R614"/>
    </row>
    <row r="615" spans="4:18" x14ac:dyDescent="0.25">
      <c r="D615"/>
      <c r="E615"/>
      <c r="H615" s="214"/>
      <c r="I615" s="214"/>
      <c r="K615"/>
      <c r="L615"/>
      <c r="M615"/>
      <c r="N615"/>
      <c r="O615"/>
      <c r="P615"/>
      <c r="Q615"/>
      <c r="R615"/>
    </row>
    <row r="616" spans="4:18" x14ac:dyDescent="0.25">
      <c r="D616"/>
      <c r="E616"/>
      <c r="H616" s="214"/>
      <c r="I616" s="214"/>
      <c r="K616"/>
      <c r="L616"/>
      <c r="M616"/>
      <c r="N616"/>
      <c r="O616"/>
      <c r="P616"/>
      <c r="Q616"/>
      <c r="R616"/>
    </row>
    <row r="617" spans="4:18" x14ac:dyDescent="0.25">
      <c r="D617"/>
      <c r="E617"/>
      <c r="H617" s="214"/>
      <c r="I617" s="214"/>
      <c r="K617"/>
      <c r="L617"/>
      <c r="M617"/>
      <c r="N617"/>
      <c r="O617"/>
      <c r="P617"/>
      <c r="Q617"/>
      <c r="R617"/>
    </row>
    <row r="618" spans="4:18" x14ac:dyDescent="0.25">
      <c r="D618"/>
      <c r="E618"/>
      <c r="H618" s="214"/>
      <c r="I618" s="214"/>
      <c r="K618"/>
      <c r="L618"/>
      <c r="M618"/>
      <c r="N618"/>
      <c r="O618"/>
      <c r="P618"/>
      <c r="Q618"/>
      <c r="R618"/>
    </row>
    <row r="619" spans="4:18" x14ac:dyDescent="0.25">
      <c r="D619"/>
      <c r="E619"/>
      <c r="H619" s="214"/>
      <c r="I619" s="214"/>
      <c r="K619"/>
      <c r="L619"/>
      <c r="M619"/>
      <c r="N619"/>
      <c r="O619"/>
      <c r="P619"/>
      <c r="Q619"/>
      <c r="R619"/>
    </row>
    <row r="620" spans="4:18" x14ac:dyDescent="0.25">
      <c r="D620"/>
      <c r="E620"/>
      <c r="H620" s="214"/>
      <c r="I620" s="214"/>
      <c r="K620"/>
      <c r="L620"/>
      <c r="M620"/>
      <c r="N620"/>
      <c r="O620"/>
      <c r="P620"/>
      <c r="Q620"/>
      <c r="R620"/>
    </row>
    <row r="621" spans="4:18" x14ac:dyDescent="0.25">
      <c r="D621"/>
      <c r="E621"/>
      <c r="H621" s="214"/>
      <c r="I621" s="214"/>
      <c r="K621"/>
      <c r="L621"/>
      <c r="M621"/>
      <c r="N621"/>
      <c r="O621"/>
      <c r="P621"/>
      <c r="Q621"/>
      <c r="R621"/>
    </row>
    <row r="622" spans="4:18" x14ac:dyDescent="0.25">
      <c r="D622"/>
      <c r="E622"/>
      <c r="H622" s="214"/>
      <c r="I622" s="214"/>
      <c r="K622"/>
      <c r="L622"/>
      <c r="M622"/>
      <c r="N622"/>
      <c r="O622"/>
      <c r="P622"/>
      <c r="Q622"/>
      <c r="R622"/>
    </row>
    <row r="623" spans="4:18" x14ac:dyDescent="0.25">
      <c r="D623"/>
      <c r="E623"/>
      <c r="H623" s="214"/>
      <c r="I623" s="214"/>
      <c r="K623"/>
      <c r="L623"/>
      <c r="M623"/>
      <c r="N623"/>
      <c r="O623"/>
      <c r="P623"/>
      <c r="Q623"/>
      <c r="R623"/>
    </row>
    <row r="624" spans="4:18" x14ac:dyDescent="0.25">
      <c r="D624"/>
      <c r="E624"/>
      <c r="H624" s="214"/>
      <c r="I624" s="214"/>
      <c r="K624"/>
      <c r="L624"/>
      <c r="M624"/>
      <c r="N624"/>
      <c r="O624"/>
      <c r="P624"/>
      <c r="Q624"/>
      <c r="R624"/>
    </row>
    <row r="625" spans="4:18" x14ac:dyDescent="0.25">
      <c r="D625"/>
      <c r="E625"/>
      <c r="H625" s="214"/>
      <c r="I625" s="214"/>
      <c r="K625"/>
      <c r="L625"/>
      <c r="M625"/>
      <c r="N625"/>
      <c r="O625"/>
      <c r="P625"/>
      <c r="Q625"/>
      <c r="R625"/>
    </row>
    <row r="626" spans="4:18" x14ac:dyDescent="0.25">
      <c r="D626"/>
      <c r="E626"/>
      <c r="H626" s="214"/>
      <c r="I626" s="214"/>
      <c r="K626"/>
      <c r="L626"/>
      <c r="M626"/>
      <c r="N626"/>
      <c r="O626"/>
      <c r="P626"/>
      <c r="Q626"/>
      <c r="R626"/>
    </row>
    <row r="627" spans="4:18" x14ac:dyDescent="0.25">
      <c r="D627"/>
      <c r="E627"/>
      <c r="H627" s="214"/>
      <c r="I627" s="214"/>
      <c r="K627"/>
      <c r="L627"/>
      <c r="M627"/>
      <c r="N627"/>
      <c r="O627"/>
      <c r="P627"/>
      <c r="Q627"/>
      <c r="R627"/>
    </row>
    <row r="628" spans="4:18" x14ac:dyDescent="0.25">
      <c r="D628"/>
      <c r="E628"/>
      <c r="H628" s="214"/>
      <c r="I628" s="214"/>
      <c r="K628"/>
      <c r="L628"/>
      <c r="M628"/>
      <c r="N628"/>
      <c r="O628"/>
      <c r="P628"/>
      <c r="Q628"/>
      <c r="R628"/>
    </row>
    <row r="629" spans="4:18" x14ac:dyDescent="0.25">
      <c r="D629"/>
      <c r="E629"/>
      <c r="H629" s="214"/>
      <c r="I629" s="214"/>
      <c r="K629"/>
      <c r="L629"/>
      <c r="M629"/>
      <c r="N629"/>
      <c r="O629"/>
      <c r="P629"/>
      <c r="Q629"/>
      <c r="R629"/>
    </row>
    <row r="630" spans="4:18" x14ac:dyDescent="0.25">
      <c r="D630"/>
      <c r="E630"/>
      <c r="H630" s="214"/>
      <c r="I630" s="214"/>
      <c r="K630"/>
      <c r="L630"/>
      <c r="M630"/>
      <c r="N630"/>
      <c r="O630"/>
      <c r="P630"/>
      <c r="Q630"/>
      <c r="R630"/>
    </row>
    <row r="631" spans="4:18" x14ac:dyDescent="0.25">
      <c r="D631"/>
      <c r="E631"/>
      <c r="H631" s="214"/>
      <c r="I631" s="214"/>
      <c r="K631"/>
      <c r="L631"/>
      <c r="M631"/>
      <c r="N631"/>
      <c r="O631"/>
      <c r="P631"/>
      <c r="Q631"/>
      <c r="R631"/>
    </row>
    <row r="632" spans="4:18" x14ac:dyDescent="0.25">
      <c r="D632"/>
      <c r="E632"/>
      <c r="H632" s="214"/>
      <c r="I632" s="214"/>
      <c r="K632"/>
      <c r="L632"/>
      <c r="M632"/>
      <c r="N632"/>
      <c r="O632"/>
      <c r="P632"/>
      <c r="Q632"/>
      <c r="R632"/>
    </row>
    <row r="633" spans="4:18" x14ac:dyDescent="0.25">
      <c r="D633"/>
      <c r="E633"/>
      <c r="H633" s="214"/>
      <c r="I633" s="214"/>
      <c r="K633"/>
      <c r="L633"/>
      <c r="M633"/>
      <c r="N633"/>
      <c r="O633"/>
      <c r="P633"/>
      <c r="Q633"/>
      <c r="R633"/>
    </row>
    <row r="634" spans="4:18" x14ac:dyDescent="0.25">
      <c r="D634"/>
      <c r="E634"/>
      <c r="H634" s="214"/>
      <c r="I634" s="214"/>
      <c r="K634"/>
      <c r="L634"/>
      <c r="M634"/>
      <c r="N634"/>
      <c r="O634"/>
      <c r="P634"/>
      <c r="Q634"/>
      <c r="R634"/>
    </row>
    <row r="635" spans="4:18" x14ac:dyDescent="0.25">
      <c r="D635"/>
      <c r="E635"/>
      <c r="H635" s="214"/>
      <c r="I635" s="214"/>
      <c r="K635"/>
      <c r="L635"/>
      <c r="M635"/>
      <c r="N635"/>
      <c r="O635"/>
      <c r="P635"/>
      <c r="Q635"/>
      <c r="R635"/>
    </row>
    <row r="636" spans="4:18" x14ac:dyDescent="0.25">
      <c r="D636"/>
      <c r="E636"/>
      <c r="H636" s="214"/>
      <c r="I636" s="214"/>
      <c r="K636"/>
      <c r="L636"/>
      <c r="M636"/>
      <c r="N636"/>
      <c r="O636"/>
      <c r="P636"/>
      <c r="Q636"/>
      <c r="R636"/>
    </row>
    <row r="637" spans="4:18" x14ac:dyDescent="0.25">
      <c r="D637"/>
      <c r="E637"/>
      <c r="H637" s="214"/>
      <c r="I637" s="214"/>
      <c r="K637"/>
      <c r="L637"/>
      <c r="M637"/>
      <c r="N637"/>
      <c r="O637"/>
      <c r="P637"/>
      <c r="Q637"/>
      <c r="R637"/>
    </row>
    <row r="638" spans="4:18" x14ac:dyDescent="0.25">
      <c r="D638"/>
      <c r="E638"/>
      <c r="H638" s="214"/>
      <c r="I638" s="214"/>
      <c r="K638"/>
      <c r="L638"/>
      <c r="M638"/>
      <c r="N638"/>
      <c r="O638"/>
      <c r="P638"/>
      <c r="Q638"/>
      <c r="R638"/>
    </row>
    <row r="639" spans="4:18" x14ac:dyDescent="0.25">
      <c r="D639"/>
      <c r="E639"/>
      <c r="H639" s="214"/>
      <c r="I639" s="214"/>
      <c r="K639"/>
      <c r="L639"/>
      <c r="M639"/>
      <c r="N639"/>
      <c r="O639"/>
      <c r="P639"/>
      <c r="Q639"/>
      <c r="R639"/>
    </row>
    <row r="640" spans="4:18" x14ac:dyDescent="0.25">
      <c r="D640"/>
      <c r="E640"/>
      <c r="H640" s="214"/>
      <c r="I640" s="214"/>
      <c r="K640"/>
      <c r="L640"/>
      <c r="M640"/>
      <c r="N640"/>
      <c r="O640"/>
      <c r="P640"/>
      <c r="Q640"/>
      <c r="R640"/>
    </row>
    <row r="641" spans="4:18" x14ac:dyDescent="0.25">
      <c r="D641"/>
      <c r="E641"/>
      <c r="H641" s="214"/>
      <c r="I641" s="214"/>
      <c r="K641"/>
      <c r="L641"/>
      <c r="M641"/>
      <c r="N641"/>
      <c r="O641"/>
      <c r="P641"/>
      <c r="Q641"/>
      <c r="R641"/>
    </row>
    <row r="642" spans="4:18" x14ac:dyDescent="0.25">
      <c r="D642"/>
      <c r="E642"/>
      <c r="H642" s="214"/>
      <c r="I642" s="214"/>
      <c r="K642"/>
      <c r="L642"/>
      <c r="M642"/>
      <c r="N642"/>
      <c r="O642"/>
      <c r="P642"/>
      <c r="Q642"/>
      <c r="R642"/>
    </row>
    <row r="643" spans="4:18" x14ac:dyDescent="0.25">
      <c r="D643"/>
      <c r="E643"/>
      <c r="H643" s="214"/>
      <c r="I643" s="214"/>
      <c r="K643"/>
      <c r="L643"/>
      <c r="M643"/>
      <c r="N643"/>
      <c r="O643"/>
      <c r="P643"/>
      <c r="Q643"/>
      <c r="R643"/>
    </row>
    <row r="644" spans="4:18" x14ac:dyDescent="0.25">
      <c r="D644"/>
      <c r="E644"/>
      <c r="H644" s="214"/>
      <c r="I644" s="214"/>
      <c r="K644"/>
      <c r="L644"/>
      <c r="M644"/>
      <c r="N644"/>
      <c r="O644"/>
      <c r="P644"/>
      <c r="Q644"/>
      <c r="R644"/>
    </row>
    <row r="645" spans="4:18" x14ac:dyDescent="0.25">
      <c r="D645"/>
      <c r="E645"/>
      <c r="H645" s="214"/>
      <c r="I645" s="214"/>
      <c r="K645"/>
      <c r="L645"/>
      <c r="M645"/>
      <c r="N645"/>
      <c r="O645"/>
      <c r="P645"/>
      <c r="Q645"/>
      <c r="R645"/>
    </row>
    <row r="646" spans="4:18" x14ac:dyDescent="0.25">
      <c r="D646"/>
      <c r="E646"/>
      <c r="H646" s="214"/>
      <c r="I646" s="214"/>
      <c r="K646"/>
      <c r="L646"/>
      <c r="M646"/>
      <c r="N646"/>
      <c r="O646"/>
      <c r="P646"/>
      <c r="Q646"/>
      <c r="R646"/>
    </row>
    <row r="647" spans="4:18" x14ac:dyDescent="0.25">
      <c r="D647"/>
      <c r="E647"/>
      <c r="H647" s="214"/>
      <c r="I647" s="214"/>
      <c r="K647"/>
      <c r="L647"/>
      <c r="M647"/>
      <c r="N647"/>
      <c r="O647"/>
      <c r="P647"/>
      <c r="Q647"/>
      <c r="R647"/>
    </row>
    <row r="648" spans="4:18" x14ac:dyDescent="0.25">
      <c r="D648"/>
      <c r="E648"/>
      <c r="H648" s="214"/>
      <c r="I648" s="214"/>
      <c r="K648"/>
      <c r="L648"/>
      <c r="M648"/>
      <c r="N648"/>
      <c r="O648"/>
      <c r="P648"/>
      <c r="Q648"/>
      <c r="R648"/>
    </row>
    <row r="649" spans="4:18" x14ac:dyDescent="0.25">
      <c r="D649"/>
      <c r="E649"/>
      <c r="H649" s="214"/>
      <c r="I649" s="214"/>
      <c r="K649"/>
      <c r="L649"/>
      <c r="M649"/>
      <c r="N649"/>
      <c r="O649"/>
      <c r="P649"/>
      <c r="Q649"/>
      <c r="R649"/>
    </row>
    <row r="650" spans="4:18" x14ac:dyDescent="0.25">
      <c r="D650"/>
      <c r="E650"/>
      <c r="H650" s="214"/>
      <c r="I650" s="214"/>
      <c r="K650"/>
      <c r="L650"/>
      <c r="M650"/>
      <c r="N650"/>
      <c r="O650"/>
      <c r="P650"/>
      <c r="Q650"/>
      <c r="R650"/>
    </row>
    <row r="651" spans="4:18" x14ac:dyDescent="0.25">
      <c r="D651"/>
      <c r="E651"/>
      <c r="H651" s="214"/>
      <c r="I651" s="214"/>
      <c r="K651"/>
      <c r="L651"/>
      <c r="M651"/>
      <c r="N651"/>
      <c r="O651"/>
      <c r="P651"/>
      <c r="Q651"/>
      <c r="R651"/>
    </row>
    <row r="652" spans="4:18" x14ac:dyDescent="0.25">
      <c r="D652"/>
      <c r="E652"/>
      <c r="H652" s="214"/>
      <c r="I652" s="214"/>
      <c r="K652"/>
      <c r="L652"/>
      <c r="M652"/>
      <c r="N652"/>
      <c r="O652"/>
      <c r="P652"/>
      <c r="Q652"/>
      <c r="R652"/>
    </row>
    <row r="653" spans="4:18" x14ac:dyDescent="0.25">
      <c r="D653"/>
      <c r="E653"/>
      <c r="H653" s="214"/>
      <c r="I653" s="214"/>
      <c r="K653"/>
      <c r="L653"/>
      <c r="M653"/>
      <c r="N653"/>
      <c r="O653"/>
      <c r="P653"/>
      <c r="Q653"/>
      <c r="R653"/>
    </row>
    <row r="654" spans="4:18" x14ac:dyDescent="0.25">
      <c r="D654"/>
      <c r="E654"/>
      <c r="H654" s="214"/>
      <c r="I654" s="214"/>
      <c r="K654"/>
      <c r="L654"/>
      <c r="M654"/>
      <c r="N654"/>
      <c r="O654"/>
      <c r="P654"/>
      <c r="Q654"/>
      <c r="R654"/>
    </row>
    <row r="655" spans="4:18" x14ac:dyDescent="0.25">
      <c r="D655"/>
      <c r="E655"/>
      <c r="H655" s="214"/>
      <c r="I655" s="214"/>
      <c r="K655"/>
      <c r="L655"/>
      <c r="M655"/>
      <c r="N655"/>
      <c r="O655"/>
      <c r="P655"/>
      <c r="Q655"/>
      <c r="R655"/>
    </row>
    <row r="656" spans="4:18" x14ac:dyDescent="0.25">
      <c r="D656"/>
      <c r="E656"/>
      <c r="H656" s="214"/>
      <c r="I656" s="214"/>
      <c r="K656"/>
      <c r="L656"/>
      <c r="M656"/>
      <c r="N656"/>
      <c r="O656"/>
      <c r="P656"/>
      <c r="Q656"/>
      <c r="R656"/>
    </row>
    <row r="657" spans="4:18" x14ac:dyDescent="0.25">
      <c r="D657"/>
      <c r="E657"/>
      <c r="H657" s="214"/>
      <c r="I657" s="214"/>
      <c r="K657"/>
      <c r="L657"/>
      <c r="M657"/>
      <c r="N657"/>
      <c r="O657"/>
      <c r="P657"/>
      <c r="Q657"/>
      <c r="R657"/>
    </row>
    <row r="658" spans="4:18" x14ac:dyDescent="0.25">
      <c r="D658"/>
      <c r="E658"/>
      <c r="H658" s="214"/>
      <c r="I658" s="214"/>
      <c r="K658"/>
      <c r="L658"/>
      <c r="M658"/>
      <c r="N658"/>
      <c r="O658"/>
      <c r="P658"/>
      <c r="Q658"/>
      <c r="R658"/>
    </row>
    <row r="659" spans="4:18" x14ac:dyDescent="0.25">
      <c r="D659"/>
      <c r="E659"/>
      <c r="H659" s="214"/>
      <c r="I659" s="214"/>
      <c r="K659"/>
      <c r="L659"/>
      <c r="M659"/>
      <c r="N659"/>
      <c r="O659"/>
      <c r="P659"/>
      <c r="Q659"/>
      <c r="R659"/>
    </row>
    <row r="660" spans="4:18" x14ac:dyDescent="0.25">
      <c r="D660"/>
      <c r="E660"/>
      <c r="H660" s="214"/>
      <c r="I660" s="214"/>
      <c r="K660"/>
      <c r="L660"/>
      <c r="M660"/>
      <c r="N660"/>
      <c r="O660"/>
      <c r="P660"/>
      <c r="Q660"/>
      <c r="R660"/>
    </row>
    <row r="661" spans="4:18" x14ac:dyDescent="0.25">
      <c r="D661"/>
      <c r="E661"/>
      <c r="H661" s="214"/>
      <c r="I661" s="214"/>
      <c r="K661"/>
      <c r="L661"/>
      <c r="M661"/>
      <c r="N661"/>
      <c r="O661"/>
      <c r="P661"/>
      <c r="Q661"/>
      <c r="R661"/>
    </row>
    <row r="662" spans="4:18" x14ac:dyDescent="0.25">
      <c r="D662"/>
      <c r="E662"/>
      <c r="H662" s="214"/>
      <c r="I662" s="214"/>
      <c r="K662"/>
      <c r="L662"/>
      <c r="M662"/>
      <c r="N662"/>
      <c r="O662"/>
      <c r="P662"/>
      <c r="Q662"/>
      <c r="R662"/>
    </row>
    <row r="663" spans="4:18" x14ac:dyDescent="0.25">
      <c r="D663"/>
      <c r="E663"/>
      <c r="H663" s="214"/>
      <c r="I663" s="214"/>
      <c r="K663"/>
      <c r="L663"/>
      <c r="M663"/>
      <c r="N663"/>
      <c r="O663"/>
      <c r="P663"/>
      <c r="Q663"/>
      <c r="R663"/>
    </row>
    <row r="664" spans="4:18" x14ac:dyDescent="0.25">
      <c r="D664"/>
      <c r="E664"/>
      <c r="H664" s="214"/>
      <c r="I664" s="214"/>
      <c r="K664"/>
      <c r="L664"/>
      <c r="M664"/>
      <c r="N664"/>
      <c r="O664"/>
      <c r="P664"/>
      <c r="Q664"/>
      <c r="R664"/>
    </row>
    <row r="665" spans="4:18" x14ac:dyDescent="0.25">
      <c r="D665"/>
      <c r="E665"/>
      <c r="H665" s="214"/>
      <c r="I665" s="214"/>
      <c r="K665"/>
      <c r="L665"/>
      <c r="M665"/>
      <c r="N665"/>
      <c r="O665"/>
      <c r="P665"/>
      <c r="Q665"/>
      <c r="R665"/>
    </row>
    <row r="666" spans="4:18" x14ac:dyDescent="0.25">
      <c r="D666"/>
      <c r="E666"/>
      <c r="H666" s="214"/>
      <c r="I666" s="214"/>
      <c r="K666"/>
      <c r="L666"/>
      <c r="M666"/>
      <c r="N666"/>
      <c r="O666"/>
      <c r="P666"/>
      <c r="Q666"/>
      <c r="R666"/>
    </row>
    <row r="667" spans="4:18" x14ac:dyDescent="0.25">
      <c r="D667"/>
      <c r="E667"/>
      <c r="H667" s="214"/>
      <c r="I667" s="214"/>
      <c r="K667"/>
      <c r="L667"/>
      <c r="M667"/>
      <c r="N667"/>
      <c r="O667"/>
      <c r="P667"/>
      <c r="Q667"/>
      <c r="R667"/>
    </row>
    <row r="668" spans="4:18" x14ac:dyDescent="0.25">
      <c r="D668"/>
      <c r="E668"/>
      <c r="H668" s="214"/>
      <c r="I668" s="214"/>
      <c r="K668"/>
      <c r="L668"/>
      <c r="M668"/>
      <c r="N668"/>
      <c r="O668"/>
      <c r="P668"/>
      <c r="Q668"/>
      <c r="R668"/>
    </row>
    <row r="669" spans="4:18" x14ac:dyDescent="0.25">
      <c r="D669"/>
      <c r="E669"/>
      <c r="H669" s="214"/>
      <c r="I669" s="214"/>
      <c r="K669"/>
      <c r="L669"/>
      <c r="M669"/>
      <c r="N669"/>
      <c r="O669"/>
      <c r="P669"/>
      <c r="Q669"/>
      <c r="R669"/>
    </row>
    <row r="670" spans="4:18" x14ac:dyDescent="0.25">
      <c r="D670"/>
      <c r="E670"/>
      <c r="H670" s="214"/>
      <c r="I670" s="214"/>
      <c r="K670"/>
      <c r="L670"/>
      <c r="M670"/>
      <c r="N670"/>
      <c r="O670"/>
      <c r="P670"/>
      <c r="Q670"/>
      <c r="R670"/>
    </row>
    <row r="671" spans="4:18" x14ac:dyDescent="0.25">
      <c r="D671"/>
      <c r="E671"/>
      <c r="H671" s="214"/>
      <c r="I671" s="214"/>
      <c r="K671"/>
      <c r="L671"/>
      <c r="M671"/>
      <c r="N671"/>
      <c r="O671"/>
      <c r="P671"/>
      <c r="Q671"/>
      <c r="R671"/>
    </row>
    <row r="672" spans="4:18" x14ac:dyDescent="0.25">
      <c r="D672"/>
      <c r="E672"/>
      <c r="H672" s="214"/>
      <c r="I672" s="214"/>
      <c r="K672"/>
      <c r="L672"/>
      <c r="M672"/>
      <c r="N672"/>
      <c r="O672"/>
      <c r="P672"/>
      <c r="Q672"/>
      <c r="R672"/>
    </row>
    <row r="673" spans="4:18" x14ac:dyDescent="0.25">
      <c r="D673"/>
      <c r="E673"/>
      <c r="H673" s="214"/>
      <c r="I673" s="214"/>
      <c r="K673"/>
      <c r="L673"/>
      <c r="M673"/>
      <c r="N673"/>
      <c r="O673"/>
      <c r="P673"/>
      <c r="Q673"/>
      <c r="R673"/>
    </row>
    <row r="674" spans="4:18" x14ac:dyDescent="0.25">
      <c r="D674"/>
      <c r="E674"/>
      <c r="H674" s="214"/>
      <c r="I674" s="214"/>
      <c r="K674"/>
      <c r="L674"/>
      <c r="M674"/>
      <c r="N674"/>
      <c r="O674"/>
      <c r="P674"/>
      <c r="Q674"/>
      <c r="R674"/>
    </row>
    <row r="675" spans="4:18" x14ac:dyDescent="0.25">
      <c r="D675"/>
      <c r="E675"/>
      <c r="H675" s="214"/>
      <c r="I675" s="214"/>
      <c r="K675"/>
      <c r="L675"/>
      <c r="M675"/>
      <c r="N675"/>
      <c r="O675"/>
      <c r="P675"/>
      <c r="Q675"/>
      <c r="R675"/>
    </row>
    <row r="676" spans="4:18" x14ac:dyDescent="0.25">
      <c r="D676"/>
      <c r="E676"/>
      <c r="H676" s="214"/>
      <c r="I676" s="214"/>
      <c r="K676"/>
      <c r="L676"/>
      <c r="M676"/>
      <c r="N676"/>
      <c r="O676"/>
      <c r="P676"/>
      <c r="Q676"/>
      <c r="R676"/>
    </row>
    <row r="678" spans="4:18" x14ac:dyDescent="0.25">
      <c r="D678"/>
      <c r="E678"/>
      <c r="H678" s="214"/>
      <c r="I678" s="214"/>
      <c r="K678"/>
      <c r="L678"/>
      <c r="M678"/>
      <c r="N678"/>
      <c r="O678"/>
      <c r="P678"/>
      <c r="Q678"/>
      <c r="R678"/>
    </row>
    <row r="679" spans="4:18" x14ac:dyDescent="0.25">
      <c r="D679"/>
      <c r="E679"/>
      <c r="H679" s="214"/>
      <c r="I679" s="214"/>
      <c r="K679"/>
      <c r="L679"/>
      <c r="M679"/>
      <c r="N679"/>
      <c r="O679"/>
      <c r="P679"/>
      <c r="Q679"/>
      <c r="R679"/>
    </row>
    <row r="680" spans="4:18" x14ac:dyDescent="0.25">
      <c r="D680"/>
      <c r="E680"/>
      <c r="H680" s="214"/>
      <c r="I680" s="214"/>
      <c r="K680"/>
      <c r="L680"/>
      <c r="M680"/>
      <c r="N680"/>
      <c r="O680"/>
      <c r="P680"/>
      <c r="Q680"/>
      <c r="R680"/>
    </row>
    <row r="681" spans="4:18" x14ac:dyDescent="0.25">
      <c r="D681"/>
      <c r="E681"/>
      <c r="H681" s="214"/>
      <c r="I681" s="214"/>
      <c r="K681"/>
      <c r="L681"/>
      <c r="M681"/>
      <c r="N681"/>
      <c r="O681"/>
      <c r="P681"/>
      <c r="Q681"/>
      <c r="R681"/>
    </row>
    <row r="682" spans="4:18" x14ac:dyDescent="0.25">
      <c r="D682"/>
      <c r="E682"/>
      <c r="H682" s="214"/>
      <c r="I682" s="214"/>
      <c r="K682"/>
      <c r="L682"/>
      <c r="M682"/>
      <c r="N682"/>
      <c r="O682"/>
      <c r="P682"/>
      <c r="Q682"/>
      <c r="R682"/>
    </row>
    <row r="683" spans="4:18" x14ac:dyDescent="0.25">
      <c r="D683"/>
      <c r="E683"/>
      <c r="H683" s="214"/>
      <c r="I683" s="214"/>
      <c r="K683"/>
      <c r="L683"/>
      <c r="M683"/>
      <c r="N683"/>
      <c r="O683"/>
      <c r="P683"/>
      <c r="Q683"/>
      <c r="R683"/>
    </row>
    <row r="684" spans="4:18" x14ac:dyDescent="0.25">
      <c r="D684"/>
      <c r="E684"/>
      <c r="H684" s="214"/>
      <c r="I684" s="214"/>
      <c r="K684"/>
      <c r="L684"/>
      <c r="M684"/>
      <c r="N684"/>
      <c r="O684"/>
      <c r="P684"/>
      <c r="Q684"/>
      <c r="R684"/>
    </row>
    <row r="685" spans="4:18" x14ac:dyDescent="0.25">
      <c r="D685"/>
      <c r="E685"/>
      <c r="H685" s="214"/>
      <c r="I685" s="214"/>
      <c r="K685"/>
      <c r="L685"/>
      <c r="M685"/>
      <c r="N685"/>
      <c r="O685"/>
      <c r="P685"/>
      <c r="Q685"/>
      <c r="R685"/>
    </row>
    <row r="686" spans="4:18" x14ac:dyDescent="0.25">
      <c r="D686"/>
      <c r="E686"/>
      <c r="H686" s="214"/>
      <c r="I686" s="214"/>
      <c r="K686"/>
      <c r="L686"/>
      <c r="M686"/>
      <c r="N686"/>
      <c r="O686"/>
      <c r="P686"/>
      <c r="Q686"/>
      <c r="R686"/>
    </row>
    <row r="687" spans="4:18" x14ac:dyDescent="0.25">
      <c r="D687"/>
      <c r="E687"/>
      <c r="H687" s="214"/>
      <c r="I687" s="214"/>
      <c r="K687"/>
      <c r="L687"/>
      <c r="M687"/>
      <c r="N687"/>
      <c r="O687"/>
      <c r="P687"/>
      <c r="Q687"/>
      <c r="R687"/>
    </row>
    <row r="688" spans="4:18" x14ac:dyDescent="0.25">
      <c r="D688"/>
      <c r="E688"/>
      <c r="H688" s="214"/>
      <c r="I688" s="214"/>
      <c r="K688"/>
      <c r="L688"/>
      <c r="M688"/>
      <c r="N688"/>
      <c r="O688"/>
      <c r="P688"/>
      <c r="Q688"/>
      <c r="R688"/>
    </row>
    <row r="689" spans="4:18" x14ac:dyDescent="0.25">
      <c r="D689"/>
      <c r="E689"/>
      <c r="H689" s="214"/>
      <c r="I689" s="214"/>
      <c r="K689"/>
      <c r="L689"/>
      <c r="M689"/>
      <c r="N689"/>
      <c r="O689"/>
      <c r="P689"/>
      <c r="Q689"/>
      <c r="R689"/>
    </row>
    <row r="690" spans="4:18" x14ac:dyDescent="0.25">
      <c r="D690"/>
      <c r="E690"/>
      <c r="H690" s="214"/>
      <c r="I690" s="214"/>
      <c r="K690"/>
      <c r="L690"/>
      <c r="M690"/>
      <c r="N690"/>
      <c r="O690"/>
      <c r="P690"/>
      <c r="Q690"/>
      <c r="R690"/>
    </row>
    <row r="691" spans="4:18" x14ac:dyDescent="0.25">
      <c r="D691"/>
      <c r="E691"/>
      <c r="H691" s="214"/>
      <c r="I691" s="214"/>
      <c r="K691"/>
      <c r="L691"/>
      <c r="M691"/>
      <c r="N691"/>
      <c r="O691"/>
      <c r="P691"/>
      <c r="Q691"/>
      <c r="R691"/>
    </row>
    <row r="692" spans="4:18" x14ac:dyDescent="0.25">
      <c r="D692"/>
      <c r="E692"/>
      <c r="H692" s="214"/>
      <c r="I692" s="214"/>
      <c r="K692"/>
      <c r="L692"/>
      <c r="M692"/>
      <c r="N692"/>
      <c r="O692"/>
      <c r="P692"/>
      <c r="Q692"/>
      <c r="R692"/>
    </row>
    <row r="693" spans="4:18" x14ac:dyDescent="0.25">
      <c r="D693"/>
      <c r="E693"/>
      <c r="H693" s="214"/>
      <c r="I693" s="214"/>
      <c r="K693"/>
      <c r="L693"/>
      <c r="M693"/>
      <c r="N693"/>
      <c r="O693"/>
      <c r="P693"/>
      <c r="Q693"/>
      <c r="R693"/>
    </row>
    <row r="694" spans="4:18" x14ac:dyDescent="0.25">
      <c r="D694"/>
      <c r="E694"/>
      <c r="H694" s="214"/>
      <c r="I694" s="214"/>
      <c r="K694"/>
      <c r="L694"/>
      <c r="M694"/>
      <c r="N694"/>
      <c r="O694"/>
      <c r="P694"/>
      <c r="Q694"/>
      <c r="R694"/>
    </row>
    <row r="695" spans="4:18" x14ac:dyDescent="0.25">
      <c r="D695"/>
      <c r="E695"/>
      <c r="H695" s="214"/>
      <c r="I695" s="214"/>
      <c r="K695"/>
      <c r="L695"/>
      <c r="M695"/>
      <c r="N695"/>
      <c r="O695"/>
      <c r="P695"/>
      <c r="Q695"/>
      <c r="R695"/>
    </row>
    <row r="696" spans="4:18" x14ac:dyDescent="0.25">
      <c r="D696"/>
      <c r="E696"/>
      <c r="H696" s="214"/>
      <c r="I696" s="214"/>
      <c r="K696"/>
      <c r="L696"/>
      <c r="M696"/>
      <c r="N696"/>
      <c r="O696"/>
      <c r="P696"/>
      <c r="Q696"/>
      <c r="R696"/>
    </row>
    <row r="697" spans="4:18" x14ac:dyDescent="0.25">
      <c r="D697"/>
      <c r="E697"/>
      <c r="H697" s="214"/>
      <c r="I697" s="214"/>
      <c r="K697"/>
      <c r="L697"/>
      <c r="M697"/>
      <c r="N697"/>
      <c r="O697"/>
      <c r="P697"/>
      <c r="Q697"/>
      <c r="R697"/>
    </row>
    <row r="698" spans="4:18" x14ac:dyDescent="0.25">
      <c r="D698"/>
      <c r="E698"/>
      <c r="H698" s="214"/>
      <c r="I698" s="214"/>
      <c r="K698"/>
      <c r="L698"/>
      <c r="M698"/>
      <c r="N698"/>
      <c r="O698"/>
      <c r="P698"/>
      <c r="Q698"/>
      <c r="R698"/>
    </row>
    <row r="699" spans="4:18" x14ac:dyDescent="0.25">
      <c r="D699"/>
      <c r="E699"/>
      <c r="H699" s="214"/>
      <c r="I699" s="214"/>
      <c r="K699"/>
      <c r="L699"/>
      <c r="M699"/>
      <c r="N699"/>
      <c r="O699"/>
      <c r="P699"/>
      <c r="Q699"/>
      <c r="R699"/>
    </row>
    <row r="700" spans="4:18" x14ac:dyDescent="0.25">
      <c r="D700"/>
      <c r="E700"/>
      <c r="H700" s="214"/>
      <c r="I700" s="214"/>
      <c r="K700"/>
      <c r="L700"/>
      <c r="M700"/>
      <c r="N700"/>
      <c r="O700"/>
      <c r="P700"/>
      <c r="Q700"/>
      <c r="R700"/>
    </row>
    <row r="701" spans="4:18" x14ac:dyDescent="0.25">
      <c r="D701"/>
      <c r="E701"/>
      <c r="H701" s="214"/>
      <c r="I701" s="214"/>
      <c r="K701"/>
      <c r="L701"/>
      <c r="M701"/>
      <c r="N701"/>
      <c r="O701"/>
      <c r="P701"/>
      <c r="Q701"/>
      <c r="R701"/>
    </row>
    <row r="702" spans="4:18" x14ac:dyDescent="0.25">
      <c r="D702"/>
      <c r="E702"/>
      <c r="H702" s="214"/>
      <c r="I702" s="214"/>
      <c r="K702"/>
      <c r="L702"/>
      <c r="M702"/>
      <c r="N702"/>
      <c r="O702"/>
      <c r="P702"/>
      <c r="Q702"/>
      <c r="R702"/>
    </row>
    <row r="703" spans="4:18" x14ac:dyDescent="0.25">
      <c r="D703"/>
      <c r="E703"/>
      <c r="H703" s="214"/>
      <c r="I703" s="214"/>
      <c r="K703"/>
      <c r="L703"/>
      <c r="M703"/>
      <c r="N703"/>
      <c r="O703"/>
      <c r="P703"/>
      <c r="Q703"/>
      <c r="R703"/>
    </row>
    <row r="704" spans="4:18" x14ac:dyDescent="0.25">
      <c r="D704"/>
      <c r="E704"/>
      <c r="H704" s="214"/>
      <c r="I704" s="214"/>
      <c r="K704"/>
      <c r="L704"/>
      <c r="M704"/>
      <c r="N704"/>
      <c r="O704"/>
      <c r="P704"/>
      <c r="Q704"/>
      <c r="R704"/>
    </row>
    <row r="705" spans="4:18" x14ac:dyDescent="0.25">
      <c r="D705"/>
      <c r="E705"/>
      <c r="H705" s="214"/>
      <c r="I705" s="214"/>
      <c r="K705"/>
      <c r="L705"/>
      <c r="M705"/>
      <c r="N705"/>
      <c r="O705"/>
      <c r="P705"/>
      <c r="Q705"/>
      <c r="R705"/>
    </row>
    <row r="706" spans="4:18" x14ac:dyDescent="0.25">
      <c r="D706"/>
      <c r="E706"/>
      <c r="H706" s="214"/>
      <c r="I706" s="214"/>
      <c r="K706"/>
      <c r="L706"/>
      <c r="M706"/>
      <c r="N706"/>
      <c r="O706"/>
      <c r="P706"/>
      <c r="Q706"/>
      <c r="R706"/>
    </row>
    <row r="707" spans="4:18" x14ac:dyDescent="0.25">
      <c r="D707"/>
      <c r="E707"/>
      <c r="H707" s="214"/>
      <c r="I707" s="214"/>
      <c r="K707"/>
      <c r="L707"/>
      <c r="M707"/>
      <c r="N707"/>
      <c r="O707"/>
      <c r="P707"/>
      <c r="Q707"/>
      <c r="R707"/>
    </row>
    <row r="708" spans="4:18" x14ac:dyDescent="0.25">
      <c r="D708"/>
      <c r="E708"/>
      <c r="H708" s="214"/>
      <c r="I708" s="214"/>
      <c r="K708"/>
      <c r="L708"/>
      <c r="M708"/>
      <c r="N708"/>
      <c r="O708"/>
      <c r="P708"/>
      <c r="Q708"/>
      <c r="R708"/>
    </row>
    <row r="709" spans="4:18" x14ac:dyDescent="0.25">
      <c r="D709"/>
      <c r="E709"/>
      <c r="H709" s="214"/>
      <c r="I709" s="214"/>
      <c r="K709"/>
      <c r="L709"/>
      <c r="M709"/>
      <c r="N709"/>
      <c r="O709"/>
      <c r="P709"/>
      <c r="Q709"/>
      <c r="R709"/>
    </row>
    <row r="710" spans="4:18" x14ac:dyDescent="0.25">
      <c r="D710"/>
      <c r="E710"/>
      <c r="H710" s="214"/>
      <c r="I710" s="214"/>
      <c r="K710"/>
      <c r="L710"/>
      <c r="M710"/>
      <c r="N710"/>
      <c r="O710"/>
      <c r="P710"/>
      <c r="Q710"/>
      <c r="R710"/>
    </row>
    <row r="711" spans="4:18" x14ac:dyDescent="0.25">
      <c r="D711"/>
      <c r="E711"/>
      <c r="H711" s="214"/>
      <c r="I711" s="214"/>
      <c r="K711"/>
      <c r="L711"/>
      <c r="M711"/>
      <c r="N711"/>
      <c r="O711"/>
      <c r="P711"/>
      <c r="Q711"/>
      <c r="R711"/>
    </row>
    <row r="712" spans="4:18" x14ac:dyDescent="0.25">
      <c r="D712"/>
      <c r="E712"/>
      <c r="H712" s="214"/>
      <c r="I712" s="214"/>
      <c r="K712"/>
      <c r="L712"/>
      <c r="M712"/>
      <c r="N712"/>
      <c r="O712"/>
      <c r="P712"/>
      <c r="Q712"/>
      <c r="R712"/>
    </row>
    <row r="713" spans="4:18" x14ac:dyDescent="0.25">
      <c r="D713"/>
      <c r="E713"/>
      <c r="H713" s="214"/>
      <c r="I713" s="214"/>
      <c r="K713"/>
      <c r="L713"/>
      <c r="M713"/>
      <c r="N713"/>
      <c r="O713"/>
      <c r="P713"/>
      <c r="Q713"/>
      <c r="R713"/>
    </row>
    <row r="714" spans="4:18" x14ac:dyDescent="0.25">
      <c r="D714"/>
      <c r="E714"/>
      <c r="H714" s="214"/>
      <c r="I714" s="214"/>
      <c r="K714"/>
      <c r="L714"/>
      <c r="M714"/>
      <c r="N714"/>
      <c r="O714"/>
      <c r="P714"/>
      <c r="Q714"/>
      <c r="R714"/>
    </row>
    <row r="715" spans="4:18" x14ac:dyDescent="0.25">
      <c r="D715"/>
      <c r="E715"/>
      <c r="H715" s="214"/>
      <c r="I715" s="214"/>
      <c r="K715"/>
      <c r="L715"/>
      <c r="M715"/>
      <c r="N715"/>
      <c r="O715"/>
      <c r="P715"/>
      <c r="Q715"/>
      <c r="R715"/>
    </row>
    <row r="716" spans="4:18" x14ac:dyDescent="0.25">
      <c r="D716"/>
      <c r="E716"/>
      <c r="H716" s="214"/>
      <c r="I716" s="214"/>
      <c r="K716"/>
      <c r="L716"/>
      <c r="M716"/>
      <c r="N716"/>
      <c r="O716"/>
      <c r="P716"/>
      <c r="Q716"/>
      <c r="R716"/>
    </row>
    <row r="719" spans="4:18" x14ac:dyDescent="0.25">
      <c r="D719"/>
      <c r="E719"/>
      <c r="H719" s="214"/>
      <c r="I719" s="214"/>
      <c r="K719"/>
      <c r="L719"/>
      <c r="M719"/>
      <c r="N719"/>
      <c r="O719"/>
      <c r="P719"/>
      <c r="Q719"/>
      <c r="R719"/>
    </row>
    <row r="720" spans="4:18" x14ac:dyDescent="0.25">
      <c r="D720"/>
      <c r="E720"/>
      <c r="H720" s="214"/>
      <c r="I720" s="214"/>
      <c r="K720"/>
      <c r="L720"/>
      <c r="M720"/>
      <c r="N720"/>
      <c r="O720"/>
      <c r="P720"/>
      <c r="Q720"/>
      <c r="R720"/>
    </row>
    <row r="721" spans="4:18" x14ac:dyDescent="0.25">
      <c r="D721"/>
      <c r="E721"/>
      <c r="H721" s="214"/>
      <c r="I721" s="214"/>
      <c r="K721"/>
      <c r="L721"/>
      <c r="M721"/>
      <c r="N721"/>
      <c r="O721"/>
      <c r="P721"/>
      <c r="Q721"/>
      <c r="R721"/>
    </row>
    <row r="722" spans="4:18" x14ac:dyDescent="0.25">
      <c r="D722"/>
      <c r="E722"/>
      <c r="H722" s="214"/>
      <c r="I722" s="214"/>
      <c r="K722"/>
      <c r="L722"/>
      <c r="M722"/>
      <c r="N722"/>
      <c r="O722"/>
      <c r="P722"/>
      <c r="Q722"/>
      <c r="R722"/>
    </row>
    <row r="723" spans="4:18" x14ac:dyDescent="0.25">
      <c r="D723"/>
      <c r="E723"/>
      <c r="H723" s="214"/>
      <c r="I723" s="214"/>
      <c r="K723"/>
      <c r="L723"/>
      <c r="M723"/>
      <c r="N723"/>
      <c r="O723"/>
      <c r="P723"/>
      <c r="Q723"/>
      <c r="R723"/>
    </row>
    <row r="724" spans="4:18" x14ac:dyDescent="0.25">
      <c r="D724"/>
      <c r="E724"/>
      <c r="H724" s="214"/>
      <c r="I724" s="214"/>
      <c r="K724"/>
      <c r="L724"/>
      <c r="M724"/>
      <c r="N724"/>
      <c r="O724"/>
      <c r="P724"/>
      <c r="Q724"/>
      <c r="R724"/>
    </row>
    <row r="725" spans="4:18" x14ac:dyDescent="0.25">
      <c r="D725"/>
      <c r="E725"/>
      <c r="H725" s="214"/>
      <c r="I725" s="214"/>
      <c r="K725"/>
      <c r="L725"/>
      <c r="M725"/>
      <c r="N725"/>
      <c r="O725"/>
      <c r="P725"/>
      <c r="Q725"/>
      <c r="R725"/>
    </row>
    <row r="726" spans="4:18" x14ac:dyDescent="0.25">
      <c r="D726"/>
      <c r="E726"/>
      <c r="H726" s="214"/>
      <c r="I726" s="214"/>
      <c r="K726"/>
      <c r="L726"/>
      <c r="M726"/>
      <c r="N726"/>
      <c r="O726"/>
      <c r="P726"/>
      <c r="Q726"/>
      <c r="R726"/>
    </row>
    <row r="727" spans="4:18" x14ac:dyDescent="0.25">
      <c r="D727"/>
      <c r="E727"/>
      <c r="H727" s="214"/>
      <c r="I727" s="214"/>
      <c r="K727"/>
      <c r="L727"/>
      <c r="M727"/>
      <c r="N727"/>
      <c r="O727"/>
      <c r="P727"/>
      <c r="Q727"/>
      <c r="R727"/>
    </row>
    <row r="728" spans="4:18" x14ac:dyDescent="0.25">
      <c r="D728"/>
      <c r="E728"/>
      <c r="H728" s="214"/>
      <c r="I728" s="214"/>
      <c r="K728"/>
      <c r="L728"/>
      <c r="M728"/>
      <c r="N728"/>
      <c r="O728"/>
      <c r="P728"/>
      <c r="Q728"/>
      <c r="R728"/>
    </row>
    <row r="729" spans="4:18" x14ac:dyDescent="0.25">
      <c r="D729"/>
      <c r="E729"/>
      <c r="H729" s="214"/>
      <c r="I729" s="214"/>
      <c r="K729"/>
      <c r="L729"/>
      <c r="M729"/>
      <c r="N729"/>
      <c r="O729"/>
      <c r="P729"/>
      <c r="Q729"/>
      <c r="R729"/>
    </row>
    <row r="730" spans="4:18" x14ac:dyDescent="0.25">
      <c r="D730"/>
      <c r="E730"/>
      <c r="H730" s="214"/>
      <c r="I730" s="214"/>
      <c r="K730"/>
      <c r="L730"/>
      <c r="M730"/>
      <c r="N730"/>
      <c r="O730"/>
      <c r="P730"/>
      <c r="Q730"/>
      <c r="R730"/>
    </row>
    <row r="731" spans="4:18" x14ac:dyDescent="0.25">
      <c r="D731"/>
      <c r="E731"/>
      <c r="H731" s="214"/>
      <c r="I731" s="214"/>
      <c r="K731"/>
      <c r="L731"/>
      <c r="M731"/>
      <c r="N731"/>
      <c r="O731"/>
      <c r="P731"/>
      <c r="Q731"/>
      <c r="R731"/>
    </row>
    <row r="732" spans="4:18" x14ac:dyDescent="0.25">
      <c r="D732"/>
      <c r="E732"/>
      <c r="H732" s="214"/>
      <c r="I732" s="214"/>
      <c r="K732"/>
      <c r="L732"/>
      <c r="M732"/>
      <c r="N732"/>
      <c r="O732"/>
      <c r="P732"/>
      <c r="Q732"/>
      <c r="R732"/>
    </row>
    <row r="733" spans="4:18" x14ac:dyDescent="0.25">
      <c r="D733"/>
      <c r="E733"/>
      <c r="H733" s="214"/>
      <c r="I733" s="214"/>
      <c r="K733"/>
      <c r="L733"/>
      <c r="M733"/>
      <c r="N733"/>
      <c r="O733"/>
      <c r="P733"/>
      <c r="Q733"/>
      <c r="R733"/>
    </row>
    <row r="734" spans="4:18" x14ac:dyDescent="0.25">
      <c r="D734"/>
      <c r="E734"/>
      <c r="H734" s="214"/>
      <c r="I734" s="214"/>
      <c r="K734"/>
      <c r="L734"/>
      <c r="M734"/>
      <c r="N734"/>
      <c r="O734"/>
      <c r="P734"/>
      <c r="Q734"/>
      <c r="R734"/>
    </row>
    <row r="735" spans="4:18" x14ac:dyDescent="0.25">
      <c r="D735"/>
      <c r="E735"/>
      <c r="H735" s="214"/>
      <c r="I735" s="214"/>
      <c r="K735"/>
      <c r="L735"/>
      <c r="M735"/>
      <c r="N735"/>
      <c r="O735"/>
      <c r="P735"/>
      <c r="Q735"/>
      <c r="R735"/>
    </row>
    <row r="736" spans="4:18" x14ac:dyDescent="0.25">
      <c r="D736"/>
      <c r="E736"/>
      <c r="H736" s="214"/>
      <c r="I736" s="214"/>
      <c r="K736"/>
      <c r="L736"/>
      <c r="M736"/>
      <c r="N736"/>
      <c r="O736"/>
      <c r="P736"/>
      <c r="Q736"/>
      <c r="R736"/>
    </row>
    <row r="737" spans="4:18" x14ac:dyDescent="0.25">
      <c r="D737"/>
      <c r="E737"/>
      <c r="H737" s="214"/>
      <c r="I737" s="214"/>
      <c r="K737"/>
      <c r="L737"/>
      <c r="M737"/>
      <c r="N737"/>
      <c r="O737"/>
      <c r="P737"/>
      <c r="Q737"/>
      <c r="R737"/>
    </row>
    <row r="738" spans="4:18" x14ac:dyDescent="0.25">
      <c r="D738"/>
      <c r="E738"/>
      <c r="H738" s="214"/>
      <c r="I738" s="214"/>
      <c r="K738"/>
      <c r="L738"/>
      <c r="M738"/>
      <c r="N738"/>
      <c r="O738"/>
      <c r="P738"/>
      <c r="Q738"/>
      <c r="R738"/>
    </row>
    <row r="739" spans="4:18" x14ac:dyDescent="0.25">
      <c r="D739"/>
      <c r="E739"/>
      <c r="H739" s="214"/>
      <c r="I739" s="214"/>
      <c r="K739"/>
      <c r="L739"/>
      <c r="M739"/>
      <c r="N739"/>
      <c r="O739"/>
      <c r="P739"/>
      <c r="Q739"/>
      <c r="R739"/>
    </row>
    <row r="740" spans="4:18" x14ac:dyDescent="0.25">
      <c r="D740"/>
      <c r="E740"/>
      <c r="H740" s="214"/>
      <c r="I740" s="214"/>
      <c r="K740"/>
      <c r="L740"/>
      <c r="M740"/>
      <c r="N740"/>
      <c r="O740"/>
      <c r="P740"/>
      <c r="Q740"/>
      <c r="R740"/>
    </row>
    <row r="741" spans="4:18" x14ac:dyDescent="0.25">
      <c r="D741"/>
      <c r="E741"/>
      <c r="H741" s="214"/>
      <c r="I741" s="214"/>
      <c r="K741"/>
      <c r="L741"/>
      <c r="M741"/>
      <c r="N741"/>
      <c r="O741"/>
      <c r="P741"/>
      <c r="Q741"/>
      <c r="R741"/>
    </row>
    <row r="742" spans="4:18" x14ac:dyDescent="0.25">
      <c r="D742"/>
      <c r="E742"/>
      <c r="H742" s="214"/>
      <c r="I742" s="214"/>
      <c r="K742"/>
      <c r="L742"/>
      <c r="M742"/>
      <c r="N742"/>
      <c r="O742"/>
      <c r="P742"/>
      <c r="Q742"/>
      <c r="R742"/>
    </row>
    <row r="743" spans="4:18" x14ac:dyDescent="0.25">
      <c r="D743"/>
      <c r="E743"/>
      <c r="H743" s="214"/>
      <c r="I743" s="214"/>
      <c r="K743"/>
      <c r="L743"/>
      <c r="M743"/>
      <c r="N743"/>
      <c r="O743"/>
      <c r="P743"/>
      <c r="Q743"/>
      <c r="R743"/>
    </row>
    <row r="744" spans="4:18" x14ac:dyDescent="0.25">
      <c r="D744"/>
      <c r="E744"/>
      <c r="H744" s="214"/>
      <c r="I744" s="214"/>
      <c r="K744"/>
      <c r="L744"/>
      <c r="M744"/>
      <c r="N744"/>
      <c r="O744"/>
      <c r="P744"/>
      <c r="Q744"/>
      <c r="R744"/>
    </row>
    <row r="745" spans="4:18" x14ac:dyDescent="0.25">
      <c r="D745"/>
      <c r="E745"/>
      <c r="H745" s="214"/>
      <c r="I745" s="214"/>
      <c r="K745"/>
      <c r="L745"/>
      <c r="M745"/>
      <c r="N745"/>
      <c r="O745"/>
      <c r="P745"/>
      <c r="Q745"/>
      <c r="R745"/>
    </row>
    <row r="746" spans="4:18" x14ac:dyDescent="0.25">
      <c r="D746"/>
      <c r="E746"/>
      <c r="H746" s="214"/>
      <c r="I746" s="214"/>
      <c r="K746"/>
      <c r="L746"/>
      <c r="M746"/>
      <c r="N746"/>
      <c r="O746"/>
      <c r="P746"/>
      <c r="Q746"/>
      <c r="R746"/>
    </row>
    <row r="747" spans="4:18" x14ac:dyDescent="0.25">
      <c r="D747"/>
      <c r="E747"/>
      <c r="H747" s="214"/>
      <c r="I747" s="214"/>
      <c r="K747"/>
      <c r="L747"/>
      <c r="M747"/>
      <c r="N747"/>
      <c r="O747"/>
      <c r="P747"/>
      <c r="Q747"/>
      <c r="R747"/>
    </row>
    <row r="748" spans="4:18" x14ac:dyDescent="0.25">
      <c r="D748"/>
      <c r="E748"/>
      <c r="H748" s="214"/>
      <c r="I748" s="214"/>
      <c r="K748"/>
      <c r="L748"/>
      <c r="M748"/>
      <c r="N748"/>
      <c r="O748"/>
      <c r="P748"/>
      <c r="Q748"/>
      <c r="R748"/>
    </row>
    <row r="749" spans="4:18" x14ac:dyDescent="0.25">
      <c r="D749"/>
      <c r="E749"/>
      <c r="H749" s="214"/>
      <c r="I749" s="214"/>
      <c r="K749"/>
      <c r="L749"/>
      <c r="M749"/>
      <c r="N749"/>
      <c r="O749"/>
      <c r="P749"/>
      <c r="Q749"/>
      <c r="R749"/>
    </row>
    <row r="750" spans="4:18" x14ac:dyDescent="0.25">
      <c r="D750"/>
      <c r="E750"/>
      <c r="H750" s="214"/>
      <c r="I750" s="214"/>
      <c r="K750"/>
      <c r="L750"/>
      <c r="M750"/>
      <c r="N750"/>
      <c r="O750"/>
      <c r="P750"/>
      <c r="Q750"/>
      <c r="R750"/>
    </row>
    <row r="751" spans="4:18" x14ac:dyDescent="0.25">
      <c r="D751"/>
      <c r="E751"/>
      <c r="H751" s="214"/>
      <c r="I751" s="214"/>
      <c r="K751"/>
      <c r="L751"/>
      <c r="M751"/>
      <c r="N751"/>
      <c r="O751"/>
      <c r="P751"/>
      <c r="Q751"/>
      <c r="R751"/>
    </row>
    <row r="752" spans="4:18" x14ac:dyDescent="0.25">
      <c r="D752"/>
      <c r="E752"/>
      <c r="H752" s="214"/>
      <c r="I752" s="214"/>
      <c r="K752"/>
      <c r="L752"/>
      <c r="M752"/>
      <c r="N752"/>
      <c r="O752"/>
      <c r="P752"/>
      <c r="Q752"/>
      <c r="R752"/>
    </row>
    <row r="753" spans="4:18" x14ac:dyDescent="0.25">
      <c r="D753"/>
      <c r="E753"/>
      <c r="H753" s="214"/>
      <c r="I753" s="214"/>
      <c r="K753"/>
      <c r="L753"/>
      <c r="M753"/>
      <c r="N753"/>
      <c r="O753"/>
      <c r="P753"/>
      <c r="Q753"/>
      <c r="R753"/>
    </row>
    <row r="754" spans="4:18" x14ac:dyDescent="0.25">
      <c r="D754"/>
      <c r="E754"/>
      <c r="H754" s="214"/>
      <c r="I754" s="214"/>
      <c r="K754"/>
      <c r="L754"/>
      <c r="M754"/>
      <c r="N754"/>
      <c r="O754"/>
      <c r="P754"/>
      <c r="Q754"/>
      <c r="R754"/>
    </row>
    <row r="755" spans="4:18" x14ac:dyDescent="0.25">
      <c r="D755"/>
      <c r="E755"/>
      <c r="H755" s="214"/>
      <c r="I755" s="214"/>
      <c r="K755"/>
      <c r="L755"/>
      <c r="M755"/>
      <c r="N755"/>
      <c r="O755"/>
      <c r="P755"/>
      <c r="Q755"/>
      <c r="R755"/>
    </row>
    <row r="756" spans="4:18" x14ac:dyDescent="0.25">
      <c r="D756"/>
      <c r="E756"/>
      <c r="H756" s="214"/>
      <c r="I756" s="214"/>
      <c r="K756"/>
      <c r="L756"/>
      <c r="M756"/>
      <c r="N756"/>
      <c r="O756"/>
      <c r="P756"/>
      <c r="Q756"/>
      <c r="R756"/>
    </row>
    <row r="757" spans="4:18" x14ac:dyDescent="0.25">
      <c r="D757"/>
      <c r="E757"/>
      <c r="H757" s="214"/>
      <c r="I757" s="214"/>
      <c r="K757"/>
      <c r="L757"/>
      <c r="M757"/>
      <c r="N757"/>
      <c r="O757"/>
      <c r="P757"/>
      <c r="Q757"/>
      <c r="R757"/>
    </row>
    <row r="760" spans="4:18" x14ac:dyDescent="0.25">
      <c r="D760"/>
      <c r="E760"/>
      <c r="H760" s="214"/>
      <c r="I760" s="214"/>
      <c r="K760"/>
      <c r="L760"/>
      <c r="M760"/>
      <c r="N760"/>
      <c r="O760"/>
      <c r="P760"/>
      <c r="Q760"/>
      <c r="R760"/>
    </row>
    <row r="761" spans="4:18" x14ac:dyDescent="0.25">
      <c r="D761"/>
      <c r="E761"/>
      <c r="H761" s="214"/>
      <c r="I761" s="214"/>
      <c r="K761"/>
      <c r="L761"/>
      <c r="M761"/>
      <c r="N761"/>
      <c r="O761"/>
      <c r="P761"/>
      <c r="Q761"/>
      <c r="R761"/>
    </row>
    <row r="762" spans="4:18" x14ac:dyDescent="0.25">
      <c r="D762"/>
      <c r="E762"/>
      <c r="H762" s="214"/>
      <c r="I762" s="214"/>
      <c r="K762"/>
      <c r="L762"/>
      <c r="M762"/>
      <c r="N762"/>
      <c r="O762"/>
      <c r="P762"/>
      <c r="Q762"/>
      <c r="R762"/>
    </row>
    <row r="763" spans="4:18" x14ac:dyDescent="0.25">
      <c r="D763"/>
      <c r="E763"/>
      <c r="H763" s="214"/>
      <c r="I763" s="214"/>
      <c r="K763"/>
      <c r="L763"/>
      <c r="M763"/>
      <c r="N763"/>
      <c r="O763"/>
      <c r="P763"/>
      <c r="Q763"/>
      <c r="R763"/>
    </row>
    <row r="764" spans="4:18" x14ac:dyDescent="0.25">
      <c r="D764"/>
      <c r="E764"/>
      <c r="H764" s="214"/>
      <c r="I764" s="214"/>
      <c r="K764"/>
      <c r="L764"/>
      <c r="M764"/>
      <c r="N764"/>
      <c r="O764"/>
      <c r="P764"/>
      <c r="Q764"/>
      <c r="R764"/>
    </row>
    <row r="765" spans="4:18" x14ac:dyDescent="0.25">
      <c r="D765"/>
      <c r="E765"/>
      <c r="H765" s="214"/>
      <c r="I765" s="214"/>
      <c r="K765"/>
      <c r="L765"/>
      <c r="M765"/>
      <c r="N765"/>
      <c r="O765"/>
      <c r="P765"/>
      <c r="Q765"/>
      <c r="R765"/>
    </row>
    <row r="766" spans="4:18" x14ac:dyDescent="0.25">
      <c r="D766"/>
      <c r="E766"/>
      <c r="H766" s="214"/>
      <c r="I766" s="214"/>
      <c r="K766"/>
      <c r="L766"/>
      <c r="M766"/>
      <c r="N766"/>
      <c r="O766"/>
      <c r="P766"/>
      <c r="Q766"/>
      <c r="R766"/>
    </row>
    <row r="767" spans="4:18" x14ac:dyDescent="0.25">
      <c r="D767"/>
      <c r="E767"/>
      <c r="H767" s="214"/>
      <c r="I767" s="214"/>
      <c r="K767"/>
      <c r="L767"/>
      <c r="M767"/>
      <c r="N767"/>
      <c r="O767"/>
      <c r="P767"/>
      <c r="Q767"/>
      <c r="R767"/>
    </row>
    <row r="768" spans="4:18" x14ac:dyDescent="0.25">
      <c r="D768"/>
      <c r="E768"/>
      <c r="H768" s="214"/>
      <c r="I768" s="214"/>
      <c r="K768"/>
      <c r="L768"/>
      <c r="M768"/>
      <c r="N768"/>
      <c r="O768"/>
      <c r="P768"/>
      <c r="Q768"/>
      <c r="R768"/>
    </row>
    <row r="769" spans="4:18" x14ac:dyDescent="0.25">
      <c r="D769"/>
      <c r="E769"/>
      <c r="H769" s="214"/>
      <c r="I769" s="214"/>
      <c r="K769"/>
      <c r="L769"/>
      <c r="M769"/>
      <c r="N769"/>
      <c r="O769"/>
      <c r="P769"/>
      <c r="Q769"/>
      <c r="R769"/>
    </row>
    <row r="770" spans="4:18" x14ac:dyDescent="0.25">
      <c r="D770"/>
      <c r="E770"/>
      <c r="H770" s="214"/>
      <c r="I770" s="214"/>
      <c r="K770"/>
      <c r="L770"/>
      <c r="M770"/>
      <c r="N770"/>
      <c r="O770"/>
      <c r="P770"/>
      <c r="Q770"/>
      <c r="R770"/>
    </row>
    <row r="771" spans="4:18" x14ac:dyDescent="0.25">
      <c r="D771"/>
      <c r="E771"/>
      <c r="H771" s="214"/>
      <c r="I771" s="214"/>
      <c r="K771"/>
      <c r="L771"/>
      <c r="M771"/>
      <c r="N771"/>
      <c r="O771"/>
      <c r="P771"/>
      <c r="Q771"/>
      <c r="R771"/>
    </row>
    <row r="772" spans="4:18" x14ac:dyDescent="0.25">
      <c r="D772"/>
      <c r="E772"/>
      <c r="H772" s="214"/>
      <c r="I772" s="214"/>
      <c r="K772"/>
      <c r="L772"/>
      <c r="M772"/>
      <c r="N772"/>
      <c r="O772"/>
      <c r="P772"/>
      <c r="Q772"/>
      <c r="R772"/>
    </row>
    <row r="773" spans="4:18" x14ac:dyDescent="0.25">
      <c r="D773"/>
      <c r="E773"/>
      <c r="H773" s="214"/>
      <c r="I773" s="214"/>
      <c r="K773"/>
      <c r="L773"/>
      <c r="M773"/>
      <c r="N773"/>
      <c r="O773"/>
      <c r="P773"/>
      <c r="Q773"/>
      <c r="R773"/>
    </row>
    <row r="774" spans="4:18" x14ac:dyDescent="0.25">
      <c r="D774"/>
      <c r="E774"/>
      <c r="H774" s="214"/>
      <c r="I774" s="214"/>
      <c r="K774"/>
      <c r="L774"/>
      <c r="M774"/>
      <c r="N774"/>
      <c r="O774"/>
      <c r="P774"/>
      <c r="Q774"/>
      <c r="R774"/>
    </row>
    <row r="775" spans="4:18" x14ac:dyDescent="0.25">
      <c r="D775"/>
      <c r="E775"/>
      <c r="H775" s="214"/>
      <c r="I775" s="214"/>
      <c r="K775"/>
      <c r="L775"/>
      <c r="M775"/>
      <c r="N775"/>
      <c r="O775"/>
      <c r="P775"/>
      <c r="Q775"/>
      <c r="R775"/>
    </row>
    <row r="776" spans="4:18" x14ac:dyDescent="0.25">
      <c r="D776"/>
      <c r="E776"/>
      <c r="H776" s="214"/>
      <c r="I776" s="214"/>
      <c r="K776"/>
      <c r="L776"/>
      <c r="M776"/>
      <c r="N776"/>
      <c r="O776"/>
      <c r="P776"/>
      <c r="Q776"/>
      <c r="R776"/>
    </row>
    <row r="777" spans="4:18" x14ac:dyDescent="0.25">
      <c r="D777"/>
      <c r="E777"/>
      <c r="H777" s="214"/>
      <c r="I777" s="214"/>
      <c r="K777"/>
      <c r="L777"/>
      <c r="M777"/>
      <c r="N777"/>
      <c r="O777"/>
      <c r="P777"/>
      <c r="Q777"/>
      <c r="R777"/>
    </row>
    <row r="778" spans="4:18" x14ac:dyDescent="0.25">
      <c r="D778"/>
      <c r="E778"/>
      <c r="H778" s="214"/>
      <c r="I778" s="214"/>
      <c r="K778"/>
      <c r="L778"/>
      <c r="M778"/>
      <c r="N778"/>
      <c r="O778"/>
      <c r="P778"/>
      <c r="Q778"/>
      <c r="R778"/>
    </row>
    <row r="779" spans="4:18" x14ac:dyDescent="0.25">
      <c r="D779"/>
      <c r="E779"/>
      <c r="H779" s="214"/>
      <c r="I779" s="214"/>
      <c r="K779"/>
      <c r="L779"/>
      <c r="M779"/>
      <c r="N779"/>
      <c r="O779"/>
      <c r="P779"/>
      <c r="Q779"/>
      <c r="R779"/>
    </row>
    <row r="780" spans="4:18" x14ac:dyDescent="0.25">
      <c r="D780"/>
      <c r="E780"/>
      <c r="H780" s="214"/>
      <c r="I780" s="214"/>
      <c r="K780"/>
      <c r="L780"/>
      <c r="M780"/>
      <c r="N780"/>
      <c r="O780"/>
      <c r="P780"/>
      <c r="Q780"/>
      <c r="R780"/>
    </row>
    <row r="781" spans="4:18" x14ac:dyDescent="0.25">
      <c r="D781"/>
      <c r="E781"/>
      <c r="H781" s="214"/>
      <c r="I781" s="214"/>
      <c r="K781"/>
      <c r="L781"/>
      <c r="M781"/>
      <c r="N781"/>
      <c r="O781"/>
      <c r="P781"/>
      <c r="Q781"/>
      <c r="R781"/>
    </row>
    <row r="782" spans="4:18" x14ac:dyDescent="0.25">
      <c r="D782"/>
      <c r="E782"/>
      <c r="H782" s="214"/>
      <c r="I782" s="214"/>
      <c r="K782"/>
      <c r="L782"/>
      <c r="M782"/>
      <c r="N782"/>
      <c r="O782"/>
      <c r="P782"/>
      <c r="Q782"/>
      <c r="R782"/>
    </row>
    <row r="783" spans="4:18" x14ac:dyDescent="0.25">
      <c r="D783"/>
      <c r="E783"/>
      <c r="H783" s="214"/>
      <c r="I783" s="214"/>
      <c r="K783"/>
      <c r="L783"/>
      <c r="M783"/>
      <c r="N783"/>
      <c r="O783"/>
      <c r="P783"/>
      <c r="Q783"/>
      <c r="R783"/>
    </row>
    <row r="784" spans="4:18" x14ac:dyDescent="0.25">
      <c r="D784"/>
      <c r="E784"/>
      <c r="H784" s="214"/>
      <c r="I784" s="214"/>
      <c r="K784"/>
      <c r="L784"/>
      <c r="M784"/>
      <c r="N784"/>
      <c r="O784"/>
      <c r="P784"/>
      <c r="Q784"/>
      <c r="R784"/>
    </row>
    <row r="785" spans="4:18" x14ac:dyDescent="0.25">
      <c r="D785"/>
      <c r="E785"/>
      <c r="H785" s="214"/>
      <c r="I785" s="214"/>
      <c r="K785"/>
      <c r="L785"/>
      <c r="M785"/>
      <c r="N785"/>
      <c r="O785"/>
      <c r="P785"/>
      <c r="Q785"/>
      <c r="R785"/>
    </row>
    <row r="786" spans="4:18" x14ac:dyDescent="0.25">
      <c r="D786"/>
      <c r="E786"/>
      <c r="H786" s="214"/>
      <c r="I786" s="214"/>
      <c r="K786"/>
      <c r="L786"/>
      <c r="M786"/>
      <c r="N786"/>
      <c r="O786"/>
      <c r="P786"/>
      <c r="Q786"/>
      <c r="R786"/>
    </row>
    <row r="787" spans="4:18" x14ac:dyDescent="0.25">
      <c r="D787"/>
      <c r="E787"/>
      <c r="H787" s="214"/>
      <c r="I787" s="214"/>
      <c r="K787"/>
      <c r="L787"/>
      <c r="M787"/>
      <c r="N787"/>
      <c r="O787"/>
      <c r="P787"/>
      <c r="Q787"/>
      <c r="R787"/>
    </row>
    <row r="788" spans="4:18" x14ac:dyDescent="0.25">
      <c r="D788"/>
      <c r="E788"/>
      <c r="H788" s="214"/>
      <c r="I788" s="214"/>
      <c r="K788"/>
      <c r="L788"/>
      <c r="M788"/>
      <c r="N788"/>
      <c r="O788"/>
      <c r="P788"/>
      <c r="Q788"/>
      <c r="R788"/>
    </row>
    <row r="789" spans="4:18" x14ac:dyDescent="0.25">
      <c r="D789"/>
      <c r="E789"/>
      <c r="H789" s="214"/>
      <c r="I789" s="214"/>
      <c r="K789"/>
      <c r="L789"/>
      <c r="M789"/>
      <c r="N789"/>
      <c r="O789"/>
      <c r="P789"/>
      <c r="Q789"/>
      <c r="R789"/>
    </row>
    <row r="790" spans="4:18" x14ac:dyDescent="0.25">
      <c r="D790"/>
      <c r="E790"/>
      <c r="H790" s="214"/>
      <c r="I790" s="214"/>
      <c r="K790"/>
      <c r="L790"/>
      <c r="M790"/>
      <c r="N790"/>
      <c r="O790"/>
      <c r="P790"/>
      <c r="Q790"/>
      <c r="R790"/>
    </row>
    <row r="791" spans="4:18" x14ac:dyDescent="0.25">
      <c r="D791"/>
      <c r="E791"/>
      <c r="H791" s="214"/>
      <c r="I791" s="214"/>
      <c r="K791"/>
      <c r="L791"/>
      <c r="M791"/>
      <c r="N791"/>
      <c r="O791"/>
      <c r="P791"/>
      <c r="Q791"/>
      <c r="R791"/>
    </row>
    <row r="792" spans="4:18" x14ac:dyDescent="0.25">
      <c r="D792"/>
      <c r="E792"/>
      <c r="H792" s="214"/>
      <c r="I792" s="214"/>
      <c r="K792"/>
      <c r="L792"/>
      <c r="M792"/>
      <c r="N792"/>
      <c r="O792"/>
      <c r="P792"/>
      <c r="Q792"/>
      <c r="R792"/>
    </row>
    <row r="793" spans="4:18" x14ac:dyDescent="0.25">
      <c r="D793"/>
      <c r="E793"/>
      <c r="H793" s="214"/>
      <c r="I793" s="214"/>
      <c r="K793"/>
      <c r="L793"/>
      <c r="M793"/>
      <c r="N793"/>
      <c r="O793"/>
      <c r="P793"/>
      <c r="Q793"/>
      <c r="R793"/>
    </row>
    <row r="794" spans="4:18" x14ac:dyDescent="0.25">
      <c r="D794"/>
      <c r="E794"/>
      <c r="H794" s="214"/>
      <c r="I794" s="214"/>
      <c r="K794"/>
      <c r="L794"/>
      <c r="M794"/>
      <c r="N794"/>
      <c r="O794"/>
      <c r="P794"/>
      <c r="Q794"/>
      <c r="R794"/>
    </row>
    <row r="795" spans="4:18" x14ac:dyDescent="0.25">
      <c r="D795"/>
      <c r="E795"/>
      <c r="H795" s="214"/>
      <c r="I795" s="214"/>
      <c r="K795"/>
      <c r="L795"/>
      <c r="M795"/>
      <c r="N795"/>
      <c r="O795"/>
      <c r="P795"/>
      <c r="Q795"/>
      <c r="R795"/>
    </row>
    <row r="796" spans="4:18" x14ac:dyDescent="0.25">
      <c r="D796"/>
      <c r="E796"/>
      <c r="H796" s="214"/>
      <c r="I796" s="214"/>
      <c r="K796"/>
      <c r="L796"/>
      <c r="M796"/>
      <c r="N796"/>
      <c r="O796"/>
      <c r="P796"/>
      <c r="Q796"/>
      <c r="R796"/>
    </row>
    <row r="799" spans="4:18" x14ac:dyDescent="0.25">
      <c r="D799"/>
      <c r="E799"/>
      <c r="H799" s="214"/>
      <c r="I799" s="214"/>
      <c r="K799"/>
      <c r="L799"/>
      <c r="M799"/>
      <c r="N799"/>
      <c r="O799"/>
      <c r="P799"/>
      <c r="Q799"/>
      <c r="R799"/>
    </row>
    <row r="800" spans="4:18" x14ac:dyDescent="0.25">
      <c r="D800"/>
      <c r="E800"/>
      <c r="H800" s="214"/>
      <c r="I800" s="214"/>
      <c r="K800"/>
      <c r="L800"/>
      <c r="M800"/>
      <c r="N800"/>
      <c r="O800"/>
      <c r="P800"/>
      <c r="Q800"/>
      <c r="R800"/>
    </row>
    <row r="801" spans="4:18" x14ac:dyDescent="0.25">
      <c r="D801"/>
      <c r="E801"/>
      <c r="H801" s="214"/>
      <c r="I801" s="214"/>
      <c r="K801"/>
      <c r="L801"/>
      <c r="M801"/>
      <c r="N801"/>
      <c r="O801"/>
      <c r="P801"/>
      <c r="Q801"/>
      <c r="R801"/>
    </row>
    <row r="802" spans="4:18" x14ac:dyDescent="0.25">
      <c r="D802"/>
      <c r="E802"/>
      <c r="H802" s="214"/>
      <c r="I802" s="214"/>
      <c r="K802"/>
      <c r="L802"/>
      <c r="M802"/>
      <c r="N802"/>
      <c r="O802"/>
      <c r="P802"/>
      <c r="Q802"/>
      <c r="R802"/>
    </row>
    <row r="803" spans="4:18" x14ac:dyDescent="0.25">
      <c r="D803"/>
      <c r="E803"/>
      <c r="H803" s="214"/>
      <c r="I803" s="214"/>
      <c r="K803"/>
      <c r="L803"/>
      <c r="M803"/>
      <c r="N803"/>
      <c r="O803"/>
      <c r="P803"/>
      <c r="Q803"/>
      <c r="R803"/>
    </row>
    <row r="804" spans="4:18" x14ac:dyDescent="0.25">
      <c r="D804"/>
      <c r="E804"/>
      <c r="H804" s="214"/>
      <c r="I804" s="214"/>
      <c r="K804"/>
      <c r="L804"/>
      <c r="M804"/>
      <c r="N804"/>
      <c r="O804"/>
      <c r="P804"/>
      <c r="Q804"/>
      <c r="R804"/>
    </row>
    <row r="805" spans="4:18" x14ac:dyDescent="0.25">
      <c r="D805"/>
      <c r="E805"/>
      <c r="H805" s="214"/>
      <c r="I805" s="214"/>
      <c r="K805"/>
      <c r="L805"/>
      <c r="M805"/>
      <c r="N805"/>
      <c r="O805"/>
      <c r="P805"/>
      <c r="Q805"/>
      <c r="R805"/>
    </row>
    <row r="806" spans="4:18" x14ac:dyDescent="0.25">
      <c r="D806"/>
      <c r="E806"/>
      <c r="H806" s="214"/>
      <c r="I806" s="214"/>
      <c r="K806"/>
      <c r="L806"/>
      <c r="M806"/>
      <c r="N806"/>
      <c r="O806"/>
      <c r="P806"/>
      <c r="Q806"/>
      <c r="R806"/>
    </row>
    <row r="807" spans="4:18" x14ac:dyDescent="0.25">
      <c r="D807"/>
      <c r="E807"/>
      <c r="H807" s="214"/>
      <c r="I807" s="214"/>
      <c r="K807"/>
      <c r="L807"/>
      <c r="M807"/>
      <c r="N807"/>
      <c r="O807"/>
      <c r="P807"/>
      <c r="Q807"/>
      <c r="R807"/>
    </row>
    <row r="808" spans="4:18" x14ac:dyDescent="0.25">
      <c r="D808"/>
      <c r="E808"/>
      <c r="H808" s="214"/>
      <c r="I808" s="214"/>
      <c r="K808"/>
      <c r="L808"/>
      <c r="M808"/>
      <c r="N808"/>
      <c r="O808"/>
      <c r="P808"/>
      <c r="Q808"/>
      <c r="R808"/>
    </row>
    <row r="809" spans="4:18" x14ac:dyDescent="0.25">
      <c r="D809"/>
      <c r="E809"/>
      <c r="H809" s="214"/>
      <c r="I809" s="214"/>
      <c r="K809"/>
      <c r="L809"/>
      <c r="M809"/>
      <c r="N809"/>
      <c r="O809"/>
      <c r="P809"/>
      <c r="Q809"/>
      <c r="R809"/>
    </row>
    <row r="810" spans="4:18" x14ac:dyDescent="0.25">
      <c r="D810"/>
      <c r="E810"/>
      <c r="H810" s="214"/>
      <c r="I810" s="214"/>
      <c r="K810"/>
      <c r="L810"/>
      <c r="M810"/>
      <c r="N810"/>
      <c r="O810"/>
      <c r="P810"/>
      <c r="Q810"/>
      <c r="R810"/>
    </row>
    <row r="811" spans="4:18" x14ac:dyDescent="0.25">
      <c r="D811"/>
      <c r="E811"/>
      <c r="H811" s="214"/>
      <c r="I811" s="214"/>
      <c r="K811"/>
      <c r="L811"/>
      <c r="M811"/>
      <c r="N811"/>
      <c r="O811"/>
      <c r="P811"/>
      <c r="Q811"/>
      <c r="R811"/>
    </row>
    <row r="812" spans="4:18" x14ac:dyDescent="0.25">
      <c r="D812"/>
      <c r="E812"/>
      <c r="H812" s="214"/>
      <c r="I812" s="214"/>
      <c r="K812"/>
      <c r="L812"/>
      <c r="M812"/>
      <c r="N812"/>
      <c r="O812"/>
      <c r="P812"/>
      <c r="Q812"/>
      <c r="R812"/>
    </row>
    <row r="813" spans="4:18" x14ac:dyDescent="0.25">
      <c r="D813"/>
      <c r="E813"/>
      <c r="H813" s="214"/>
      <c r="I813" s="214"/>
      <c r="K813"/>
      <c r="L813"/>
      <c r="M813"/>
      <c r="N813"/>
      <c r="O813"/>
      <c r="P813"/>
      <c r="Q813"/>
      <c r="R813"/>
    </row>
    <row r="814" spans="4:18" x14ac:dyDescent="0.25">
      <c r="D814"/>
      <c r="E814"/>
      <c r="H814" s="214"/>
      <c r="I814" s="214"/>
      <c r="K814"/>
      <c r="L814"/>
      <c r="M814"/>
      <c r="N814"/>
      <c r="O814"/>
      <c r="P814"/>
      <c r="Q814"/>
      <c r="R814"/>
    </row>
    <row r="815" spans="4:18" x14ac:dyDescent="0.25">
      <c r="D815"/>
      <c r="E815"/>
      <c r="H815" s="214"/>
      <c r="I815" s="214"/>
      <c r="K815"/>
      <c r="L815"/>
      <c r="M815"/>
      <c r="N815"/>
      <c r="O815"/>
      <c r="P815"/>
      <c r="Q815"/>
      <c r="R815"/>
    </row>
    <row r="816" spans="4:18" x14ac:dyDescent="0.25">
      <c r="D816"/>
      <c r="E816"/>
      <c r="H816" s="214"/>
      <c r="I816" s="214"/>
      <c r="K816"/>
      <c r="L816"/>
      <c r="M816"/>
      <c r="N816"/>
      <c r="O816"/>
      <c r="P816"/>
      <c r="Q816"/>
      <c r="R816"/>
    </row>
    <row r="817" spans="4:18" x14ac:dyDescent="0.25">
      <c r="D817"/>
      <c r="E817"/>
      <c r="H817" s="214"/>
      <c r="I817" s="214"/>
      <c r="K817"/>
      <c r="L817"/>
      <c r="M817"/>
      <c r="N817"/>
      <c r="O817"/>
      <c r="P817"/>
      <c r="Q817"/>
      <c r="R817"/>
    </row>
    <row r="818" spans="4:18" x14ac:dyDescent="0.25">
      <c r="D818"/>
      <c r="E818"/>
      <c r="H818" s="214"/>
      <c r="I818" s="214"/>
      <c r="K818"/>
      <c r="L818"/>
      <c r="M818"/>
      <c r="N818"/>
      <c r="O818"/>
      <c r="P818"/>
      <c r="Q818"/>
      <c r="R818"/>
    </row>
    <row r="819" spans="4:18" x14ac:dyDescent="0.25">
      <c r="D819"/>
      <c r="E819"/>
      <c r="H819" s="214"/>
      <c r="I819" s="214"/>
      <c r="K819"/>
      <c r="L819"/>
      <c r="M819"/>
      <c r="N819"/>
      <c r="O819"/>
      <c r="P819"/>
      <c r="Q819"/>
      <c r="R819"/>
    </row>
    <row r="820" spans="4:18" x14ac:dyDescent="0.25">
      <c r="D820"/>
      <c r="E820"/>
      <c r="H820" s="214"/>
      <c r="I820" s="214"/>
      <c r="K820"/>
      <c r="L820"/>
      <c r="M820"/>
      <c r="N820"/>
      <c r="O820"/>
      <c r="P820"/>
      <c r="Q820"/>
      <c r="R820"/>
    </row>
    <row r="821" spans="4:18" x14ac:dyDescent="0.25">
      <c r="D821"/>
      <c r="E821"/>
      <c r="H821" s="214"/>
      <c r="I821" s="214"/>
      <c r="K821"/>
      <c r="L821"/>
      <c r="M821"/>
      <c r="N821"/>
      <c r="O821"/>
      <c r="P821"/>
      <c r="Q821"/>
      <c r="R821"/>
    </row>
    <row r="822" spans="4:18" x14ac:dyDescent="0.25">
      <c r="D822"/>
      <c r="E822"/>
      <c r="H822" s="214"/>
      <c r="I822" s="214"/>
      <c r="K822"/>
      <c r="L822"/>
      <c r="M822"/>
      <c r="N822"/>
      <c r="O822"/>
      <c r="P822"/>
      <c r="Q822"/>
      <c r="R822"/>
    </row>
    <row r="823" spans="4:18" x14ac:dyDescent="0.25">
      <c r="D823"/>
      <c r="E823"/>
      <c r="H823" s="214"/>
      <c r="I823" s="214"/>
      <c r="K823"/>
      <c r="L823"/>
      <c r="M823"/>
      <c r="N823"/>
      <c r="O823"/>
      <c r="P823"/>
      <c r="Q823"/>
      <c r="R823"/>
    </row>
    <row r="824" spans="4:18" x14ac:dyDescent="0.25">
      <c r="D824"/>
      <c r="E824"/>
      <c r="H824" s="214"/>
      <c r="I824" s="214"/>
      <c r="K824"/>
      <c r="L824"/>
      <c r="M824"/>
      <c r="N824"/>
      <c r="O824"/>
      <c r="P824"/>
      <c r="Q824"/>
      <c r="R824"/>
    </row>
    <row r="825" spans="4:18" x14ac:dyDescent="0.25">
      <c r="D825"/>
      <c r="E825"/>
      <c r="H825" s="214"/>
      <c r="I825" s="214"/>
      <c r="K825"/>
      <c r="L825"/>
      <c r="M825"/>
      <c r="N825"/>
      <c r="O825"/>
      <c r="P825"/>
      <c r="Q825"/>
      <c r="R825"/>
    </row>
    <row r="826" spans="4:18" x14ac:dyDescent="0.25">
      <c r="D826"/>
      <c r="E826"/>
      <c r="H826" s="214"/>
      <c r="I826" s="214"/>
      <c r="K826"/>
      <c r="L826"/>
      <c r="M826"/>
      <c r="N826"/>
      <c r="O826"/>
      <c r="P826"/>
      <c r="Q826"/>
      <c r="R826"/>
    </row>
    <row r="827" spans="4:18" x14ac:dyDescent="0.25">
      <c r="D827"/>
      <c r="E827"/>
      <c r="H827" s="214"/>
      <c r="I827" s="214"/>
      <c r="K827"/>
      <c r="L827"/>
      <c r="M827"/>
      <c r="N827"/>
      <c r="O827"/>
      <c r="P827"/>
      <c r="Q827"/>
      <c r="R827"/>
    </row>
    <row r="828" spans="4:18" x14ac:dyDescent="0.25">
      <c r="D828"/>
      <c r="E828"/>
      <c r="H828" s="214"/>
      <c r="I828" s="214"/>
      <c r="K828"/>
      <c r="L828"/>
      <c r="M828"/>
      <c r="N828"/>
      <c r="O828"/>
      <c r="P828"/>
      <c r="Q828"/>
      <c r="R828"/>
    </row>
    <row r="829" spans="4:18" x14ac:dyDescent="0.25">
      <c r="D829"/>
      <c r="E829"/>
      <c r="H829" s="214"/>
      <c r="I829" s="214"/>
      <c r="K829"/>
      <c r="L829"/>
      <c r="M829"/>
      <c r="N829"/>
      <c r="O829"/>
      <c r="P829"/>
      <c r="Q829"/>
      <c r="R829"/>
    </row>
    <row r="830" spans="4:18" x14ac:dyDescent="0.25">
      <c r="D830"/>
      <c r="E830"/>
      <c r="H830" s="214"/>
      <c r="I830" s="214"/>
      <c r="K830"/>
      <c r="L830"/>
      <c r="M830"/>
      <c r="N830"/>
      <c r="O830"/>
      <c r="P830"/>
      <c r="Q830"/>
      <c r="R830"/>
    </row>
    <row r="831" spans="4:18" x14ac:dyDescent="0.25">
      <c r="D831"/>
      <c r="E831"/>
      <c r="H831" s="214"/>
      <c r="I831" s="214"/>
      <c r="K831"/>
      <c r="L831"/>
      <c r="M831"/>
      <c r="N831"/>
      <c r="O831"/>
      <c r="P831"/>
      <c r="Q831"/>
      <c r="R831"/>
    </row>
    <row r="832" spans="4:18" x14ac:dyDescent="0.25">
      <c r="D832"/>
      <c r="E832"/>
      <c r="H832" s="214"/>
      <c r="I832" s="214"/>
      <c r="K832"/>
      <c r="L832"/>
      <c r="M832"/>
      <c r="N832"/>
      <c r="O832"/>
      <c r="P832"/>
      <c r="Q832"/>
      <c r="R832"/>
    </row>
    <row r="833" spans="4:18" x14ac:dyDescent="0.25">
      <c r="D833"/>
      <c r="E833"/>
      <c r="H833" s="214"/>
      <c r="I833" s="214"/>
      <c r="K833"/>
      <c r="L833"/>
      <c r="M833"/>
      <c r="N833"/>
      <c r="O833"/>
      <c r="P833"/>
      <c r="Q833"/>
      <c r="R833"/>
    </row>
    <row r="834" spans="4:18" x14ac:dyDescent="0.25">
      <c r="D834"/>
      <c r="E834"/>
      <c r="H834" s="214"/>
      <c r="I834" s="214"/>
      <c r="K834"/>
      <c r="L834"/>
      <c r="M834"/>
      <c r="N834"/>
      <c r="O834"/>
      <c r="P834"/>
      <c r="Q834"/>
      <c r="R834"/>
    </row>
    <row r="835" spans="4:18" x14ac:dyDescent="0.25">
      <c r="D835"/>
      <c r="E835"/>
      <c r="H835" s="214"/>
      <c r="I835" s="214"/>
      <c r="K835"/>
      <c r="L835"/>
      <c r="M835"/>
      <c r="N835"/>
      <c r="O835"/>
      <c r="P835"/>
      <c r="Q835"/>
      <c r="R835"/>
    </row>
    <row r="836" spans="4:18" x14ac:dyDescent="0.25">
      <c r="D836"/>
      <c r="E836"/>
      <c r="H836" s="214"/>
      <c r="I836" s="214"/>
      <c r="K836"/>
      <c r="L836"/>
      <c r="M836"/>
      <c r="N836"/>
      <c r="O836"/>
      <c r="P836"/>
      <c r="Q836"/>
      <c r="R836"/>
    </row>
    <row r="839" spans="4:18" x14ac:dyDescent="0.25">
      <c r="D839"/>
      <c r="E839"/>
      <c r="H839" s="214"/>
      <c r="I839" s="214"/>
      <c r="K839"/>
      <c r="L839"/>
      <c r="M839"/>
      <c r="N839"/>
      <c r="O839"/>
      <c r="P839"/>
      <c r="Q839"/>
      <c r="R839"/>
    </row>
    <row r="840" spans="4:18" x14ac:dyDescent="0.25">
      <c r="D840"/>
      <c r="E840"/>
      <c r="H840" s="214"/>
      <c r="I840" s="214"/>
      <c r="K840"/>
      <c r="L840"/>
      <c r="M840"/>
      <c r="N840"/>
      <c r="O840"/>
      <c r="P840"/>
      <c r="Q840"/>
      <c r="R840"/>
    </row>
    <row r="841" spans="4:18" x14ac:dyDescent="0.25">
      <c r="D841"/>
      <c r="E841"/>
      <c r="H841" s="214"/>
      <c r="I841" s="214"/>
      <c r="K841"/>
      <c r="L841"/>
      <c r="M841"/>
      <c r="N841"/>
      <c r="O841"/>
      <c r="P841"/>
      <c r="Q841"/>
      <c r="R841"/>
    </row>
    <row r="842" spans="4:18" x14ac:dyDescent="0.25">
      <c r="D842"/>
      <c r="E842"/>
      <c r="H842" s="214"/>
      <c r="I842" s="214"/>
      <c r="K842"/>
      <c r="L842"/>
      <c r="M842"/>
      <c r="N842"/>
      <c r="O842"/>
      <c r="P842"/>
      <c r="Q842"/>
      <c r="R842"/>
    </row>
    <row r="843" spans="4:18" x14ac:dyDescent="0.25">
      <c r="D843"/>
      <c r="E843"/>
      <c r="H843" s="214"/>
      <c r="I843" s="214"/>
      <c r="K843"/>
      <c r="L843"/>
      <c r="M843"/>
      <c r="N843"/>
      <c r="O843"/>
      <c r="P843"/>
      <c r="Q843"/>
      <c r="R843"/>
    </row>
    <row r="844" spans="4:18" x14ac:dyDescent="0.25">
      <c r="D844"/>
      <c r="E844"/>
      <c r="H844" s="214"/>
      <c r="I844" s="214"/>
      <c r="K844"/>
      <c r="L844"/>
      <c r="M844"/>
      <c r="N844"/>
      <c r="O844"/>
      <c r="P844"/>
      <c r="Q844"/>
      <c r="R844"/>
    </row>
    <row r="845" spans="4:18" x14ac:dyDescent="0.25">
      <c r="D845"/>
      <c r="E845"/>
      <c r="H845" s="214"/>
      <c r="I845" s="214"/>
      <c r="K845"/>
      <c r="L845"/>
      <c r="M845"/>
      <c r="N845"/>
      <c r="O845"/>
      <c r="P845"/>
      <c r="Q845"/>
      <c r="R845"/>
    </row>
    <row r="846" spans="4:18" x14ac:dyDescent="0.25">
      <c r="D846"/>
      <c r="E846"/>
      <c r="H846" s="214"/>
      <c r="I846" s="214"/>
      <c r="K846"/>
      <c r="L846"/>
      <c r="M846"/>
      <c r="N846"/>
      <c r="O846"/>
      <c r="P846"/>
      <c r="Q846"/>
      <c r="R846"/>
    </row>
    <row r="847" spans="4:18" x14ac:dyDescent="0.25">
      <c r="D847"/>
      <c r="E847"/>
      <c r="H847" s="214"/>
      <c r="I847" s="214"/>
      <c r="K847"/>
      <c r="L847"/>
      <c r="M847"/>
      <c r="N847"/>
      <c r="O847"/>
      <c r="P847"/>
      <c r="Q847"/>
      <c r="R847"/>
    </row>
    <row r="848" spans="4:18" x14ac:dyDescent="0.25">
      <c r="D848"/>
      <c r="E848"/>
      <c r="H848" s="214"/>
      <c r="I848" s="214"/>
      <c r="K848"/>
      <c r="L848"/>
      <c r="M848"/>
      <c r="N848"/>
      <c r="O848"/>
      <c r="P848"/>
      <c r="Q848"/>
      <c r="R848"/>
    </row>
    <row r="849" spans="4:18" x14ac:dyDescent="0.25">
      <c r="D849"/>
      <c r="E849"/>
      <c r="H849" s="214"/>
      <c r="I849" s="214"/>
      <c r="K849"/>
      <c r="L849"/>
      <c r="M849"/>
      <c r="N849"/>
      <c r="O849"/>
      <c r="P849"/>
      <c r="Q849"/>
      <c r="R849"/>
    </row>
    <row r="850" spans="4:18" x14ac:dyDescent="0.25">
      <c r="D850"/>
      <c r="E850"/>
      <c r="H850" s="214"/>
      <c r="I850" s="214"/>
      <c r="K850"/>
      <c r="L850"/>
      <c r="M850"/>
      <c r="N850"/>
      <c r="O850"/>
      <c r="P850"/>
      <c r="Q850"/>
      <c r="R850"/>
    </row>
    <row r="851" spans="4:18" x14ac:dyDescent="0.25">
      <c r="D851"/>
      <c r="E851"/>
      <c r="H851" s="214"/>
      <c r="I851" s="214"/>
      <c r="K851"/>
      <c r="L851"/>
      <c r="M851"/>
      <c r="N851"/>
      <c r="O851"/>
      <c r="P851"/>
      <c r="Q851"/>
      <c r="R851"/>
    </row>
    <row r="852" spans="4:18" x14ac:dyDescent="0.25">
      <c r="D852"/>
      <c r="E852"/>
      <c r="H852" s="214"/>
      <c r="I852" s="214"/>
      <c r="K852"/>
      <c r="L852"/>
      <c r="M852"/>
      <c r="N852"/>
      <c r="O852"/>
      <c r="P852"/>
      <c r="Q852"/>
      <c r="R852"/>
    </row>
    <row r="853" spans="4:18" x14ac:dyDescent="0.25">
      <c r="D853"/>
      <c r="E853"/>
      <c r="H853" s="214"/>
      <c r="I853" s="214"/>
      <c r="K853"/>
      <c r="L853"/>
      <c r="M853"/>
      <c r="N853"/>
      <c r="O853"/>
      <c r="P853"/>
      <c r="Q853"/>
      <c r="R853"/>
    </row>
    <row r="854" spans="4:18" x14ac:dyDescent="0.25">
      <c r="D854"/>
      <c r="E854"/>
      <c r="H854" s="214"/>
      <c r="I854" s="214"/>
      <c r="K854"/>
      <c r="L854"/>
      <c r="M854"/>
      <c r="N854"/>
      <c r="O854"/>
      <c r="P854"/>
      <c r="Q854"/>
      <c r="R854"/>
    </row>
    <row r="855" spans="4:18" x14ac:dyDescent="0.25">
      <c r="D855"/>
      <c r="E855"/>
      <c r="H855" s="214"/>
      <c r="I855" s="214"/>
      <c r="K855"/>
      <c r="L855"/>
      <c r="M855"/>
      <c r="N855"/>
      <c r="O855"/>
      <c r="P855"/>
      <c r="Q855"/>
      <c r="R855"/>
    </row>
    <row r="856" spans="4:18" x14ac:dyDescent="0.25">
      <c r="D856"/>
      <c r="E856"/>
      <c r="H856" s="214"/>
      <c r="I856" s="214"/>
      <c r="K856"/>
      <c r="L856"/>
      <c r="M856"/>
      <c r="N856"/>
      <c r="O856"/>
      <c r="P856"/>
      <c r="Q856"/>
      <c r="R856"/>
    </row>
    <row r="857" spans="4:18" x14ac:dyDescent="0.25">
      <c r="D857"/>
      <c r="E857"/>
      <c r="H857" s="214"/>
      <c r="I857" s="214"/>
      <c r="K857"/>
      <c r="L857"/>
      <c r="M857"/>
      <c r="N857"/>
      <c r="O857"/>
      <c r="P857"/>
      <c r="Q857"/>
      <c r="R857"/>
    </row>
    <row r="858" spans="4:18" x14ac:dyDescent="0.25">
      <c r="D858"/>
      <c r="E858"/>
      <c r="H858" s="214"/>
      <c r="I858" s="214"/>
      <c r="K858"/>
      <c r="L858"/>
      <c r="M858"/>
      <c r="N858"/>
      <c r="O858"/>
      <c r="P858"/>
      <c r="Q858"/>
      <c r="R858"/>
    </row>
    <row r="859" spans="4:18" x14ac:dyDescent="0.25">
      <c r="D859"/>
      <c r="E859"/>
      <c r="H859" s="214"/>
      <c r="I859" s="214"/>
      <c r="K859"/>
      <c r="L859"/>
      <c r="M859"/>
      <c r="N859"/>
      <c r="O859"/>
      <c r="P859"/>
      <c r="Q859"/>
      <c r="R859"/>
    </row>
    <row r="860" spans="4:18" x14ac:dyDescent="0.25">
      <c r="D860"/>
      <c r="E860"/>
      <c r="H860" s="214"/>
      <c r="I860" s="214"/>
      <c r="K860"/>
      <c r="L860"/>
      <c r="M860"/>
      <c r="N860"/>
      <c r="O860"/>
      <c r="P860"/>
      <c r="Q860"/>
      <c r="R860"/>
    </row>
    <row r="861" spans="4:18" x14ac:dyDescent="0.25">
      <c r="D861"/>
      <c r="E861"/>
      <c r="H861" s="214"/>
      <c r="I861" s="214"/>
      <c r="K861"/>
      <c r="L861"/>
      <c r="M861"/>
      <c r="N861"/>
      <c r="O861"/>
      <c r="P861"/>
      <c r="Q861"/>
      <c r="R861"/>
    </row>
    <row r="862" spans="4:18" x14ac:dyDescent="0.25">
      <c r="D862"/>
      <c r="E862"/>
      <c r="H862" s="214"/>
      <c r="I862" s="214"/>
      <c r="K862"/>
      <c r="L862"/>
      <c r="M862"/>
      <c r="N862"/>
      <c r="O862"/>
      <c r="P862"/>
      <c r="Q862"/>
      <c r="R862"/>
    </row>
    <row r="863" spans="4:18" x14ac:dyDescent="0.25">
      <c r="D863"/>
      <c r="E863"/>
      <c r="H863" s="214"/>
      <c r="I863" s="214"/>
      <c r="K863"/>
      <c r="L863"/>
      <c r="M863"/>
      <c r="N863"/>
      <c r="O863"/>
      <c r="P863"/>
      <c r="Q863"/>
      <c r="R863"/>
    </row>
    <row r="864" spans="4:18" x14ac:dyDescent="0.25">
      <c r="D864"/>
      <c r="E864"/>
      <c r="H864" s="214"/>
      <c r="I864" s="214"/>
      <c r="K864"/>
      <c r="L864"/>
      <c r="M864"/>
      <c r="N864"/>
      <c r="O864"/>
      <c r="P864"/>
      <c r="Q864"/>
      <c r="R864"/>
    </row>
    <row r="865" spans="4:18" x14ac:dyDescent="0.25">
      <c r="D865"/>
      <c r="E865"/>
      <c r="H865" s="214"/>
      <c r="I865" s="214"/>
      <c r="K865"/>
      <c r="L865"/>
      <c r="M865"/>
      <c r="N865"/>
      <c r="O865"/>
      <c r="P865"/>
      <c r="Q865"/>
      <c r="R865"/>
    </row>
    <row r="866" spans="4:18" x14ac:dyDescent="0.25">
      <c r="D866"/>
      <c r="E866"/>
      <c r="H866" s="214"/>
      <c r="I866" s="214"/>
      <c r="K866"/>
      <c r="L866"/>
      <c r="M866"/>
      <c r="N866"/>
      <c r="O866"/>
      <c r="P866"/>
      <c r="Q866"/>
      <c r="R866"/>
    </row>
    <row r="867" spans="4:18" x14ac:dyDescent="0.25">
      <c r="D867"/>
      <c r="E867"/>
      <c r="H867" s="214"/>
      <c r="I867" s="214"/>
      <c r="K867"/>
      <c r="L867"/>
      <c r="M867"/>
      <c r="N867"/>
      <c r="O867"/>
      <c r="P867"/>
      <c r="Q867"/>
      <c r="R867"/>
    </row>
    <row r="868" spans="4:18" x14ac:dyDescent="0.25">
      <c r="D868"/>
      <c r="E868"/>
      <c r="H868" s="214"/>
      <c r="I868" s="214"/>
      <c r="K868"/>
      <c r="L868"/>
      <c r="M868"/>
      <c r="N868"/>
      <c r="O868"/>
      <c r="P868"/>
      <c r="Q868"/>
      <c r="R868"/>
    </row>
    <row r="869" spans="4:18" x14ac:dyDescent="0.25">
      <c r="D869"/>
      <c r="E869"/>
      <c r="H869" s="214"/>
      <c r="I869" s="214"/>
      <c r="K869"/>
      <c r="L869"/>
      <c r="M869"/>
      <c r="N869"/>
      <c r="O869"/>
      <c r="P869"/>
      <c r="Q869"/>
      <c r="R869"/>
    </row>
    <row r="870" spans="4:18" x14ac:dyDescent="0.25">
      <c r="D870"/>
      <c r="E870"/>
      <c r="H870" s="214"/>
      <c r="I870" s="214"/>
      <c r="K870"/>
      <c r="L870"/>
      <c r="M870"/>
      <c r="N870"/>
      <c r="O870"/>
      <c r="P870"/>
      <c r="Q870"/>
      <c r="R870"/>
    </row>
    <row r="871" spans="4:18" x14ac:dyDescent="0.25">
      <c r="D871"/>
      <c r="E871"/>
      <c r="H871" s="214"/>
      <c r="I871" s="214"/>
      <c r="K871"/>
      <c r="L871"/>
      <c r="M871"/>
      <c r="N871"/>
      <c r="O871"/>
      <c r="P871"/>
      <c r="Q871"/>
      <c r="R871"/>
    </row>
    <row r="872" spans="4:18" x14ac:dyDescent="0.25">
      <c r="D872"/>
      <c r="E872"/>
      <c r="H872" s="214"/>
      <c r="I872" s="214"/>
      <c r="K872"/>
      <c r="L872"/>
      <c r="M872"/>
      <c r="N872"/>
      <c r="O872"/>
      <c r="P872"/>
      <c r="Q872"/>
      <c r="R872"/>
    </row>
    <row r="873" spans="4:18" x14ac:dyDescent="0.25">
      <c r="D873"/>
      <c r="E873"/>
      <c r="H873" s="214"/>
      <c r="I873" s="214"/>
      <c r="K873"/>
      <c r="L873"/>
      <c r="M873"/>
      <c r="N873"/>
      <c r="O873"/>
      <c r="P873"/>
      <c r="Q873"/>
      <c r="R873"/>
    </row>
    <row r="874" spans="4:18" x14ac:dyDescent="0.25">
      <c r="D874"/>
      <c r="E874"/>
      <c r="H874" s="214"/>
      <c r="I874" s="214"/>
      <c r="K874"/>
      <c r="L874"/>
      <c r="M874"/>
      <c r="N874"/>
      <c r="O874"/>
      <c r="P874"/>
      <c r="Q874"/>
      <c r="R874"/>
    </row>
    <row r="875" spans="4:18" x14ac:dyDescent="0.25">
      <c r="D875"/>
      <c r="E875"/>
      <c r="H875" s="214"/>
      <c r="I875" s="214"/>
      <c r="K875"/>
      <c r="L875"/>
      <c r="M875"/>
      <c r="N875"/>
      <c r="O875"/>
      <c r="P875"/>
      <c r="Q875"/>
      <c r="R875"/>
    </row>
    <row r="876" spans="4:18" x14ac:dyDescent="0.25">
      <c r="D876"/>
      <c r="E876"/>
      <c r="H876" s="214"/>
      <c r="I876" s="214"/>
      <c r="K876"/>
      <c r="L876"/>
      <c r="M876"/>
      <c r="N876"/>
      <c r="O876"/>
      <c r="P876"/>
      <c r="Q876"/>
      <c r="R876"/>
    </row>
    <row r="879" spans="4:18" x14ac:dyDescent="0.25">
      <c r="D879"/>
      <c r="E879"/>
      <c r="H879" s="214"/>
      <c r="I879" s="214"/>
      <c r="K879"/>
      <c r="L879"/>
      <c r="M879"/>
      <c r="N879"/>
      <c r="O879"/>
      <c r="P879"/>
      <c r="Q879"/>
      <c r="R879"/>
    </row>
    <row r="880" spans="4:18" x14ac:dyDescent="0.25">
      <c r="D880"/>
      <c r="E880"/>
      <c r="H880" s="214"/>
      <c r="I880" s="214"/>
      <c r="K880"/>
      <c r="L880"/>
      <c r="M880"/>
      <c r="N880"/>
      <c r="O880"/>
      <c r="P880"/>
      <c r="Q880"/>
      <c r="R880"/>
    </row>
    <row r="881" spans="4:18" x14ac:dyDescent="0.25">
      <c r="D881"/>
      <c r="E881"/>
      <c r="H881" s="214"/>
      <c r="I881" s="214"/>
      <c r="K881"/>
      <c r="L881"/>
      <c r="M881"/>
      <c r="N881"/>
      <c r="O881"/>
      <c r="P881"/>
      <c r="Q881"/>
      <c r="R881"/>
    </row>
    <row r="882" spans="4:18" x14ac:dyDescent="0.25">
      <c r="D882"/>
      <c r="E882"/>
      <c r="H882" s="214"/>
      <c r="I882" s="214"/>
      <c r="K882"/>
      <c r="L882"/>
      <c r="M882"/>
      <c r="N882"/>
      <c r="O882"/>
      <c r="P882"/>
      <c r="Q882"/>
      <c r="R882"/>
    </row>
    <row r="883" spans="4:18" x14ac:dyDescent="0.25">
      <c r="D883"/>
      <c r="E883"/>
      <c r="H883" s="214"/>
      <c r="I883" s="214"/>
      <c r="K883"/>
      <c r="L883"/>
      <c r="M883"/>
      <c r="N883"/>
      <c r="O883"/>
      <c r="P883"/>
      <c r="Q883"/>
      <c r="R883"/>
    </row>
    <row r="884" spans="4:18" x14ac:dyDescent="0.25">
      <c r="D884"/>
      <c r="E884"/>
      <c r="H884" s="214"/>
      <c r="I884" s="214"/>
      <c r="K884"/>
      <c r="L884"/>
      <c r="M884"/>
      <c r="N884"/>
      <c r="O884"/>
      <c r="P884"/>
      <c r="Q884"/>
      <c r="R884"/>
    </row>
    <row r="885" spans="4:18" x14ac:dyDescent="0.25">
      <c r="D885"/>
      <c r="E885"/>
      <c r="H885" s="214"/>
      <c r="I885" s="214"/>
      <c r="K885"/>
      <c r="L885"/>
      <c r="M885"/>
      <c r="N885"/>
      <c r="O885"/>
      <c r="P885"/>
      <c r="Q885"/>
      <c r="R885"/>
    </row>
    <row r="886" spans="4:18" x14ac:dyDescent="0.25">
      <c r="D886"/>
      <c r="E886"/>
      <c r="H886" s="214"/>
      <c r="I886" s="214"/>
      <c r="K886"/>
      <c r="L886"/>
      <c r="M886"/>
      <c r="N886"/>
      <c r="O886"/>
      <c r="P886"/>
      <c r="Q886"/>
      <c r="R886"/>
    </row>
    <row r="887" spans="4:18" x14ac:dyDescent="0.25">
      <c r="D887"/>
      <c r="E887"/>
      <c r="H887" s="214"/>
      <c r="I887" s="214"/>
      <c r="K887"/>
      <c r="L887"/>
      <c r="M887"/>
      <c r="N887"/>
      <c r="O887"/>
      <c r="P887"/>
      <c r="Q887"/>
      <c r="R887"/>
    </row>
    <row r="888" spans="4:18" x14ac:dyDescent="0.25">
      <c r="D888"/>
      <c r="E888"/>
      <c r="H888" s="214"/>
      <c r="I888" s="214"/>
      <c r="K888"/>
      <c r="L888"/>
      <c r="M888"/>
      <c r="N888"/>
      <c r="O888"/>
      <c r="P888"/>
      <c r="Q888"/>
      <c r="R888"/>
    </row>
    <row r="889" spans="4:18" x14ac:dyDescent="0.25">
      <c r="D889"/>
      <c r="E889"/>
      <c r="H889" s="214"/>
      <c r="I889" s="214"/>
      <c r="K889"/>
      <c r="L889"/>
      <c r="M889"/>
      <c r="N889"/>
      <c r="O889"/>
      <c r="P889"/>
      <c r="Q889"/>
      <c r="R889"/>
    </row>
    <row r="890" spans="4:18" x14ac:dyDescent="0.25">
      <c r="D890"/>
      <c r="E890"/>
      <c r="H890" s="214"/>
      <c r="I890" s="214"/>
      <c r="K890"/>
      <c r="L890"/>
      <c r="M890"/>
      <c r="N890"/>
      <c r="O890"/>
      <c r="P890"/>
      <c r="Q890"/>
      <c r="R890"/>
    </row>
    <row r="891" spans="4:18" x14ac:dyDescent="0.25">
      <c r="D891"/>
      <c r="E891"/>
      <c r="H891" s="214"/>
      <c r="I891" s="214"/>
      <c r="K891"/>
      <c r="L891"/>
      <c r="M891"/>
      <c r="N891"/>
      <c r="O891"/>
      <c r="P891"/>
      <c r="Q891"/>
      <c r="R891"/>
    </row>
    <row r="892" spans="4:18" x14ac:dyDescent="0.25">
      <c r="D892"/>
      <c r="E892"/>
      <c r="H892" s="214"/>
      <c r="I892" s="214"/>
      <c r="K892"/>
      <c r="L892"/>
      <c r="M892"/>
      <c r="N892"/>
      <c r="O892"/>
      <c r="P892"/>
      <c r="Q892"/>
      <c r="R892"/>
    </row>
    <row r="893" spans="4:18" x14ac:dyDescent="0.25">
      <c r="D893"/>
      <c r="E893"/>
      <c r="H893" s="214"/>
      <c r="I893" s="214"/>
      <c r="K893"/>
      <c r="L893"/>
      <c r="M893"/>
      <c r="N893"/>
      <c r="O893"/>
      <c r="P893"/>
      <c r="Q893"/>
      <c r="R893"/>
    </row>
    <row r="894" spans="4:18" x14ac:dyDescent="0.25">
      <c r="D894"/>
      <c r="E894"/>
      <c r="H894" s="214"/>
      <c r="I894" s="214"/>
      <c r="K894"/>
      <c r="L894"/>
      <c r="M894"/>
      <c r="N894"/>
      <c r="O894"/>
      <c r="P894"/>
      <c r="Q894"/>
      <c r="R894"/>
    </row>
    <row r="895" spans="4:18" x14ac:dyDescent="0.25">
      <c r="D895"/>
      <c r="E895"/>
      <c r="H895" s="214"/>
      <c r="I895" s="214"/>
      <c r="K895"/>
      <c r="L895"/>
      <c r="M895"/>
      <c r="N895"/>
      <c r="O895"/>
      <c r="P895"/>
      <c r="Q895"/>
      <c r="R895"/>
    </row>
    <row r="896" spans="4:18" x14ac:dyDescent="0.25">
      <c r="D896"/>
      <c r="E896"/>
      <c r="H896" s="214"/>
      <c r="I896" s="214"/>
      <c r="K896"/>
      <c r="L896"/>
      <c r="M896"/>
      <c r="N896"/>
      <c r="O896"/>
      <c r="P896"/>
      <c r="Q896"/>
      <c r="R896"/>
    </row>
    <row r="897" spans="4:18" x14ac:dyDescent="0.25">
      <c r="D897"/>
      <c r="E897"/>
      <c r="H897" s="214"/>
      <c r="I897" s="214"/>
      <c r="K897"/>
      <c r="L897"/>
      <c r="M897"/>
      <c r="N897"/>
      <c r="O897"/>
      <c r="P897"/>
      <c r="Q897"/>
      <c r="R897"/>
    </row>
    <row r="898" spans="4:18" x14ac:dyDescent="0.25">
      <c r="D898"/>
      <c r="E898"/>
      <c r="H898" s="214"/>
      <c r="I898" s="214"/>
      <c r="K898"/>
      <c r="L898"/>
      <c r="M898"/>
      <c r="N898"/>
      <c r="O898"/>
      <c r="P898"/>
      <c r="Q898"/>
      <c r="R898"/>
    </row>
    <row r="899" spans="4:18" x14ac:dyDescent="0.25">
      <c r="D899"/>
      <c r="E899"/>
      <c r="H899" s="214"/>
      <c r="I899" s="214"/>
      <c r="K899"/>
      <c r="L899"/>
      <c r="M899"/>
      <c r="N899"/>
      <c r="O899"/>
      <c r="P899"/>
      <c r="Q899"/>
      <c r="R899"/>
    </row>
    <row r="900" spans="4:18" x14ac:dyDescent="0.25">
      <c r="D900"/>
      <c r="E900"/>
      <c r="H900" s="214"/>
      <c r="I900" s="214"/>
      <c r="K900"/>
      <c r="L900"/>
      <c r="M900"/>
      <c r="N900"/>
      <c r="O900"/>
      <c r="P900"/>
      <c r="Q900"/>
      <c r="R900"/>
    </row>
    <row r="901" spans="4:18" x14ac:dyDescent="0.25">
      <c r="D901"/>
      <c r="E901"/>
      <c r="H901" s="214"/>
      <c r="I901" s="214"/>
      <c r="K901"/>
      <c r="L901"/>
      <c r="M901"/>
      <c r="N901"/>
      <c r="O901"/>
      <c r="P901"/>
      <c r="Q901"/>
      <c r="R901"/>
    </row>
    <row r="902" spans="4:18" x14ac:dyDescent="0.25">
      <c r="D902"/>
      <c r="E902"/>
      <c r="H902" s="214"/>
      <c r="I902" s="214"/>
      <c r="K902"/>
      <c r="L902"/>
      <c r="M902"/>
      <c r="N902"/>
      <c r="O902"/>
      <c r="P902"/>
      <c r="Q902"/>
      <c r="R902"/>
    </row>
    <row r="903" spans="4:18" x14ac:dyDescent="0.25">
      <c r="D903"/>
      <c r="E903"/>
      <c r="H903" s="214"/>
      <c r="I903" s="214"/>
      <c r="K903"/>
      <c r="L903"/>
      <c r="M903"/>
      <c r="N903"/>
      <c r="O903"/>
      <c r="P903"/>
      <c r="Q903"/>
      <c r="R903"/>
    </row>
    <row r="904" spans="4:18" x14ac:dyDescent="0.25">
      <c r="D904"/>
      <c r="E904"/>
      <c r="H904" s="214"/>
      <c r="I904" s="214"/>
      <c r="K904"/>
      <c r="L904"/>
      <c r="M904"/>
      <c r="N904"/>
      <c r="O904"/>
      <c r="P904"/>
      <c r="Q904"/>
      <c r="R904"/>
    </row>
    <row r="905" spans="4:18" x14ac:dyDescent="0.25">
      <c r="D905"/>
      <c r="E905"/>
      <c r="H905" s="214"/>
      <c r="I905" s="214"/>
      <c r="K905"/>
      <c r="L905"/>
      <c r="M905"/>
      <c r="N905"/>
      <c r="O905"/>
      <c r="P905"/>
      <c r="Q905"/>
      <c r="R905"/>
    </row>
    <row r="906" spans="4:18" x14ac:dyDescent="0.25">
      <c r="D906"/>
      <c r="E906"/>
      <c r="H906" s="214"/>
      <c r="I906" s="214"/>
      <c r="K906"/>
      <c r="L906"/>
      <c r="M906"/>
      <c r="N906"/>
      <c r="O906"/>
      <c r="P906"/>
      <c r="Q906"/>
      <c r="R906"/>
    </row>
    <row r="907" spans="4:18" x14ac:dyDescent="0.25">
      <c r="D907"/>
      <c r="E907"/>
      <c r="H907" s="214"/>
      <c r="I907" s="214"/>
      <c r="K907"/>
      <c r="L907"/>
      <c r="M907"/>
      <c r="N907"/>
      <c r="O907"/>
      <c r="P907"/>
      <c r="Q907"/>
      <c r="R907"/>
    </row>
    <row r="908" spans="4:18" x14ac:dyDescent="0.25">
      <c r="D908"/>
      <c r="E908"/>
      <c r="H908" s="214"/>
      <c r="I908" s="214"/>
      <c r="K908"/>
      <c r="L908"/>
      <c r="M908"/>
      <c r="N908"/>
      <c r="O908"/>
      <c r="P908"/>
      <c r="Q908"/>
      <c r="R908"/>
    </row>
    <row r="909" spans="4:18" x14ac:dyDescent="0.25">
      <c r="D909"/>
      <c r="E909"/>
      <c r="H909" s="214"/>
      <c r="I909" s="214"/>
      <c r="K909"/>
      <c r="L909"/>
      <c r="M909"/>
      <c r="N909"/>
      <c r="O909"/>
      <c r="P909"/>
      <c r="Q909"/>
      <c r="R909"/>
    </row>
    <row r="910" spans="4:18" x14ac:dyDescent="0.25">
      <c r="D910"/>
      <c r="E910"/>
      <c r="H910" s="214"/>
      <c r="I910" s="214"/>
      <c r="K910"/>
      <c r="L910"/>
      <c r="M910"/>
      <c r="N910"/>
      <c r="O910"/>
      <c r="P910"/>
      <c r="Q910"/>
      <c r="R910"/>
    </row>
    <row r="911" spans="4:18" x14ac:dyDescent="0.25">
      <c r="D911"/>
      <c r="E911"/>
      <c r="H911" s="214"/>
      <c r="I911" s="214"/>
      <c r="K911"/>
      <c r="L911"/>
      <c r="M911"/>
      <c r="N911"/>
      <c r="O911"/>
      <c r="P911"/>
      <c r="Q911"/>
      <c r="R911"/>
    </row>
    <row r="912" spans="4:18" x14ac:dyDescent="0.25">
      <c r="D912"/>
      <c r="E912"/>
      <c r="H912" s="214"/>
      <c r="I912" s="214"/>
      <c r="K912"/>
      <c r="L912"/>
      <c r="M912"/>
      <c r="N912"/>
      <c r="O912"/>
      <c r="P912"/>
      <c r="Q912"/>
      <c r="R912"/>
    </row>
  </sheetData>
  <mergeCells count="12">
    <mergeCell ref="O6:R6"/>
    <mergeCell ref="A2:R2"/>
    <mergeCell ref="O3:R4"/>
    <mergeCell ref="A3:A6"/>
    <mergeCell ref="D3:D4"/>
    <mergeCell ref="B3:B6"/>
    <mergeCell ref="E3:E4"/>
    <mergeCell ref="H6:I6"/>
    <mergeCell ref="H3:I4"/>
    <mergeCell ref="K3:K4"/>
    <mergeCell ref="L3:N4"/>
    <mergeCell ref="L6:N6"/>
  </mergeCell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DR36"/>
  <sheetViews>
    <sheetView workbookViewId="0">
      <pane xSplit="2" ySplit="6" topLeftCell="C31" activePane="bottomRight" state="frozen"/>
      <selection pane="topRight" activeCell="C1" sqref="C1"/>
      <selection pane="bottomLeft" activeCell="A7" sqref="A7"/>
      <selection pane="bottomRight" activeCell="G35" sqref="G35:J35"/>
    </sheetView>
  </sheetViews>
  <sheetFormatPr defaultRowHeight="15" x14ac:dyDescent="0.25"/>
  <cols>
    <col min="3" max="3" width="18.7109375" customWidth="1"/>
    <col min="4" max="5" width="12.7109375" customWidth="1"/>
    <col min="6" max="6" width="25.42578125" customWidth="1"/>
    <col min="7" max="12" width="10.7109375" customWidth="1"/>
  </cols>
  <sheetData>
    <row r="1" spans="1:17 16346:16346" s="209" customFormat="1" ht="24.95" customHeight="1" x14ac:dyDescent="0.25">
      <c r="A1" s="625" t="s">
        <v>218</v>
      </c>
      <c r="B1" s="626"/>
      <c r="C1" s="626"/>
      <c r="D1" s="626"/>
      <c r="E1" s="626"/>
      <c r="F1" s="626"/>
      <c r="G1" s="626"/>
      <c r="H1" s="626"/>
      <c r="I1" s="626"/>
      <c r="J1" s="626"/>
      <c r="K1" s="626"/>
      <c r="L1" s="627"/>
      <c r="M1" s="342"/>
      <c r="N1" s="342"/>
      <c r="O1" s="342"/>
      <c r="P1" s="342"/>
      <c r="Q1" s="343"/>
    </row>
    <row r="2" spans="1:17 16346:16346" x14ac:dyDescent="0.25">
      <c r="A2" s="341"/>
      <c r="B2" s="341"/>
      <c r="C2" s="642" t="s">
        <v>222</v>
      </c>
      <c r="D2" s="643"/>
      <c r="E2" s="644"/>
      <c r="F2" s="344" t="s">
        <v>307</v>
      </c>
      <c r="G2" s="642" t="s">
        <v>224</v>
      </c>
      <c r="H2" s="643"/>
      <c r="I2" s="643"/>
      <c r="J2" s="643"/>
      <c r="K2" s="643"/>
      <c r="L2" s="644"/>
    </row>
    <row r="3" spans="1:17 16346:16346" ht="79.5" customHeight="1" x14ac:dyDescent="0.25">
      <c r="A3" s="630" t="s">
        <v>172</v>
      </c>
      <c r="B3" s="634" t="s">
        <v>116</v>
      </c>
      <c r="C3" s="334" t="s">
        <v>164</v>
      </c>
      <c r="D3" s="628" t="s">
        <v>165</v>
      </c>
      <c r="E3" s="630"/>
      <c r="F3" s="335" t="s">
        <v>166</v>
      </c>
      <c r="G3" s="637" t="s">
        <v>260</v>
      </c>
      <c r="H3" s="638"/>
      <c r="I3" s="638"/>
      <c r="J3" s="638"/>
      <c r="K3" s="637" t="s">
        <v>319</v>
      </c>
      <c r="L3" s="639"/>
    </row>
    <row r="4" spans="1:17 16346:16346" ht="18" customHeight="1" x14ac:dyDescent="0.25">
      <c r="A4" s="646"/>
      <c r="B4" s="635"/>
      <c r="C4" s="337"/>
      <c r="D4" s="339"/>
      <c r="E4" s="340"/>
      <c r="F4" s="338"/>
      <c r="G4" s="637" t="s">
        <v>306</v>
      </c>
      <c r="H4" s="638"/>
      <c r="I4" s="638"/>
      <c r="J4" s="639"/>
      <c r="K4" s="645" t="s">
        <v>327</v>
      </c>
      <c r="L4" s="645"/>
    </row>
    <row r="5" spans="1:17 16346:16346" ht="24" customHeight="1" x14ac:dyDescent="0.25">
      <c r="A5" s="646"/>
      <c r="B5" s="635"/>
      <c r="C5" s="309" t="s">
        <v>219</v>
      </c>
      <c r="D5" s="316" t="s">
        <v>283</v>
      </c>
      <c r="E5" s="309" t="s">
        <v>220</v>
      </c>
      <c r="F5" s="309" t="s">
        <v>221</v>
      </c>
      <c r="G5" s="308" t="s">
        <v>167</v>
      </c>
      <c r="H5" s="309" t="s">
        <v>173</v>
      </c>
      <c r="I5" s="309" t="s">
        <v>169</v>
      </c>
      <c r="J5" s="309" t="s">
        <v>168</v>
      </c>
      <c r="K5" s="333" t="s">
        <v>326</v>
      </c>
      <c r="L5" s="333" t="s">
        <v>305</v>
      </c>
    </row>
    <row r="6" spans="1:17 16346:16346" x14ac:dyDescent="0.25">
      <c r="A6" s="633"/>
      <c r="B6" s="636"/>
      <c r="C6" s="305">
        <v>0.4</v>
      </c>
      <c r="D6" s="640">
        <v>0.25</v>
      </c>
      <c r="E6" s="641"/>
      <c r="F6" s="336">
        <v>0.1</v>
      </c>
      <c r="G6" s="622">
        <v>0.25</v>
      </c>
      <c r="H6" s="623"/>
      <c r="I6" s="623"/>
      <c r="J6" s="623"/>
      <c r="K6" s="623">
        <v>0.05</v>
      </c>
      <c r="L6" s="624"/>
    </row>
    <row r="7" spans="1:17 16346:16346" x14ac:dyDescent="0.25">
      <c r="A7" s="364" t="s">
        <v>178</v>
      </c>
      <c r="B7" s="364">
        <v>46054</v>
      </c>
      <c r="C7" s="365"/>
      <c r="D7" s="365"/>
      <c r="E7" s="365"/>
      <c r="F7" s="365"/>
      <c r="G7" s="366"/>
      <c r="H7" s="366"/>
      <c r="I7" s="366"/>
      <c r="J7" s="366"/>
      <c r="K7" s="366"/>
      <c r="L7" s="366"/>
    </row>
    <row r="8" spans="1:17 16346:16346" x14ac:dyDescent="0.25">
      <c r="A8" s="208" t="s">
        <v>285</v>
      </c>
      <c r="B8" s="208">
        <v>46055</v>
      </c>
      <c r="C8" s="224">
        <v>0.44791666666666669</v>
      </c>
      <c r="D8" s="224">
        <v>0.4548611111111111</v>
      </c>
      <c r="E8" s="224">
        <v>0.47569444444444442</v>
      </c>
      <c r="F8" s="224" t="s">
        <v>170</v>
      </c>
      <c r="G8" s="361">
        <v>0.37847222222222227</v>
      </c>
      <c r="H8" s="361" t="s">
        <v>170</v>
      </c>
      <c r="I8" s="361" t="s">
        <v>170</v>
      </c>
      <c r="J8" s="361" t="s">
        <v>170</v>
      </c>
      <c r="K8" s="361">
        <v>0.51041666666666663</v>
      </c>
      <c r="L8" s="361">
        <v>0.53819444444444442</v>
      </c>
    </row>
    <row r="9" spans="1:17 16346:16346" x14ac:dyDescent="0.25">
      <c r="A9" s="208" t="s">
        <v>286</v>
      </c>
      <c r="B9" s="208">
        <v>46056</v>
      </c>
      <c r="C9" s="224">
        <v>0.40763888888888888</v>
      </c>
      <c r="D9" s="224">
        <v>0.40763888888888888</v>
      </c>
      <c r="E9" s="224">
        <v>0.44791666666666669</v>
      </c>
      <c r="F9" s="224">
        <v>0.45</v>
      </c>
      <c r="G9" s="361" t="s">
        <v>170</v>
      </c>
      <c r="H9" s="361" t="s">
        <v>170</v>
      </c>
      <c r="I9" s="361" t="s">
        <v>170</v>
      </c>
      <c r="J9" s="361" t="s">
        <v>170</v>
      </c>
      <c r="K9" s="361" t="s">
        <v>170</v>
      </c>
      <c r="L9" s="361" t="s">
        <v>170</v>
      </c>
    </row>
    <row r="10" spans="1:17 16346:16346" s="25" customFormat="1" x14ac:dyDescent="0.25">
      <c r="A10" s="208" t="s">
        <v>175</v>
      </c>
      <c r="B10" s="208">
        <v>46057</v>
      </c>
      <c r="C10" s="224">
        <v>0.45833333333333331</v>
      </c>
      <c r="D10" s="224">
        <v>0.46875</v>
      </c>
      <c r="E10" s="224">
        <v>0.53819444444444442</v>
      </c>
      <c r="F10" s="224" t="s">
        <v>170</v>
      </c>
      <c r="G10" s="361" t="s">
        <v>170</v>
      </c>
      <c r="H10" s="361" t="s">
        <v>170</v>
      </c>
      <c r="I10" s="361" t="s">
        <v>170</v>
      </c>
      <c r="J10" s="361" t="s">
        <v>170</v>
      </c>
      <c r="K10" s="361" t="s">
        <v>170</v>
      </c>
      <c r="L10" s="361" t="s">
        <v>170</v>
      </c>
    </row>
    <row r="11" spans="1:17 16346:16346" x14ac:dyDescent="0.25">
      <c r="A11" s="208" t="s">
        <v>284</v>
      </c>
      <c r="B11" s="208">
        <v>46058</v>
      </c>
      <c r="C11" s="224">
        <v>0.46597222222222223</v>
      </c>
      <c r="D11" s="224">
        <v>0.46597222222222223</v>
      </c>
      <c r="E11" s="224">
        <v>0.47916666666666669</v>
      </c>
      <c r="F11" s="224" t="s">
        <v>170</v>
      </c>
      <c r="G11" s="361" t="s">
        <v>170</v>
      </c>
      <c r="H11" s="361">
        <v>0.40625</v>
      </c>
      <c r="I11" s="361" t="s">
        <v>170</v>
      </c>
      <c r="J11" s="361">
        <v>0.4201388888888889</v>
      </c>
      <c r="K11" s="361">
        <v>0.53125</v>
      </c>
      <c r="L11" s="361">
        <v>0.54513888888888895</v>
      </c>
    </row>
    <row r="12" spans="1:17 16346:16346" x14ac:dyDescent="0.25">
      <c r="A12" s="208" t="s">
        <v>177</v>
      </c>
      <c r="B12" s="208">
        <v>46059</v>
      </c>
      <c r="C12" s="224">
        <v>0.42708333333333331</v>
      </c>
      <c r="D12" s="224">
        <v>0.43402777777777773</v>
      </c>
      <c r="E12" s="224">
        <v>0.46527777777777773</v>
      </c>
      <c r="F12" s="224" t="s">
        <v>170</v>
      </c>
      <c r="G12" s="361">
        <v>0.42708333333333331</v>
      </c>
      <c r="H12" s="361" t="s">
        <v>170</v>
      </c>
      <c r="I12" s="361" t="s">
        <v>170</v>
      </c>
      <c r="J12" s="361" t="s">
        <v>170</v>
      </c>
      <c r="K12" s="361">
        <v>0.4548611111111111</v>
      </c>
      <c r="L12" s="361">
        <v>0.4597222222222222</v>
      </c>
      <c r="XDR12" s="208"/>
    </row>
    <row r="13" spans="1:17 16346:16346" x14ac:dyDescent="0.25">
      <c r="A13" s="208" t="s">
        <v>174</v>
      </c>
      <c r="B13" s="208">
        <v>46060</v>
      </c>
      <c r="C13" s="224" t="s">
        <v>170</v>
      </c>
      <c r="D13" s="224" t="s">
        <v>170</v>
      </c>
      <c r="E13" s="224" t="s">
        <v>170</v>
      </c>
      <c r="F13" s="224" t="s">
        <v>170</v>
      </c>
      <c r="G13" s="361" t="s">
        <v>170</v>
      </c>
      <c r="H13" s="361" t="s">
        <v>170</v>
      </c>
      <c r="I13" s="361" t="s">
        <v>170</v>
      </c>
      <c r="J13" s="361" t="s">
        <v>170</v>
      </c>
      <c r="K13" s="361" t="s">
        <v>170</v>
      </c>
      <c r="L13" s="361" t="s">
        <v>170</v>
      </c>
    </row>
    <row r="14" spans="1:17 16346:16346" x14ac:dyDescent="0.25">
      <c r="A14" s="364" t="s">
        <v>178</v>
      </c>
      <c r="B14" s="364">
        <v>46061</v>
      </c>
      <c r="C14" s="365"/>
      <c r="D14" s="365"/>
      <c r="E14" s="365"/>
      <c r="F14" s="365"/>
      <c r="G14" s="366"/>
      <c r="H14" s="366"/>
      <c r="I14" s="366"/>
      <c r="J14" s="366"/>
      <c r="K14" s="366"/>
      <c r="L14" s="366"/>
    </row>
    <row r="15" spans="1:17 16346:16346" x14ac:dyDescent="0.25">
      <c r="A15" s="208" t="s">
        <v>285</v>
      </c>
      <c r="B15" s="208">
        <v>46062</v>
      </c>
      <c r="C15" s="224">
        <v>0.49305555555555558</v>
      </c>
      <c r="D15" s="224">
        <v>0.49444444444444446</v>
      </c>
      <c r="E15" s="224">
        <v>0.51388888888888895</v>
      </c>
      <c r="F15" s="224" t="s">
        <v>170</v>
      </c>
      <c r="G15" s="361" t="s">
        <v>170</v>
      </c>
      <c r="H15" s="361" t="s">
        <v>170</v>
      </c>
      <c r="I15" s="361" t="s">
        <v>170</v>
      </c>
      <c r="J15" s="361" t="s">
        <v>170</v>
      </c>
      <c r="K15" s="361" t="s">
        <v>170</v>
      </c>
      <c r="L15" s="361" t="s">
        <v>170</v>
      </c>
    </row>
    <row r="16" spans="1:17 16346:16346" x14ac:dyDescent="0.25">
      <c r="A16" s="208" t="s">
        <v>286</v>
      </c>
      <c r="B16" s="208">
        <v>46063</v>
      </c>
      <c r="C16" s="224">
        <v>0.41111111111111115</v>
      </c>
      <c r="D16" s="224">
        <v>0.41388888888888892</v>
      </c>
      <c r="E16" s="224">
        <v>0.43055555555555558</v>
      </c>
      <c r="F16" s="224" t="s">
        <v>170</v>
      </c>
      <c r="G16" s="361">
        <v>0.3923611111111111</v>
      </c>
      <c r="H16" s="361" t="s">
        <v>170</v>
      </c>
      <c r="I16" s="361" t="s">
        <v>170</v>
      </c>
      <c r="J16" s="361" t="s">
        <v>170</v>
      </c>
      <c r="K16" s="361">
        <v>0.5</v>
      </c>
      <c r="L16" s="361">
        <v>0.54513888888888895</v>
      </c>
    </row>
    <row r="17" spans="1:12" s="25" customFormat="1" x14ac:dyDescent="0.25">
      <c r="A17" s="208" t="s">
        <v>175</v>
      </c>
      <c r="B17" s="208">
        <v>46064</v>
      </c>
      <c r="C17" s="224">
        <v>0.4055555555555555</v>
      </c>
      <c r="D17" s="224">
        <v>0.40625</v>
      </c>
      <c r="E17" s="224">
        <v>0.42708333333333331</v>
      </c>
      <c r="F17" s="224">
        <v>0.4291666666666667</v>
      </c>
      <c r="G17" s="361" t="s">
        <v>170</v>
      </c>
      <c r="H17" s="361">
        <v>0.3888888888888889</v>
      </c>
      <c r="I17" s="361" t="s">
        <v>170</v>
      </c>
      <c r="J17" s="361" t="s">
        <v>170</v>
      </c>
      <c r="K17" s="361">
        <v>0.55347222222222225</v>
      </c>
      <c r="L17" s="361">
        <v>0.57986111111111105</v>
      </c>
    </row>
    <row r="18" spans="1:12" x14ac:dyDescent="0.25">
      <c r="A18" s="208" t="s">
        <v>284</v>
      </c>
      <c r="B18" s="208">
        <v>46065</v>
      </c>
      <c r="C18" s="224">
        <v>0.48958333333333331</v>
      </c>
      <c r="D18" s="224">
        <v>0.49305555555555558</v>
      </c>
      <c r="E18" s="224">
        <v>0.51388888888888895</v>
      </c>
      <c r="F18" s="224" t="s">
        <v>170</v>
      </c>
      <c r="G18" s="361" t="s">
        <v>170</v>
      </c>
      <c r="H18" s="361" t="s">
        <v>170</v>
      </c>
      <c r="I18" s="361" t="s">
        <v>170</v>
      </c>
      <c r="J18" s="361" t="s">
        <v>170</v>
      </c>
      <c r="K18" s="361" t="s">
        <v>170</v>
      </c>
      <c r="L18" s="361" t="s">
        <v>170</v>
      </c>
    </row>
    <row r="19" spans="1:12" x14ac:dyDescent="0.25">
      <c r="A19" s="208" t="s">
        <v>177</v>
      </c>
      <c r="B19" s="208">
        <v>46066</v>
      </c>
      <c r="C19" s="224">
        <v>0.44791666666666669</v>
      </c>
      <c r="D19" s="224">
        <v>0.4548611111111111</v>
      </c>
      <c r="E19" s="224">
        <v>0.46875</v>
      </c>
      <c r="F19" s="224">
        <v>0.47222222222222227</v>
      </c>
      <c r="G19" s="361" t="s">
        <v>170</v>
      </c>
      <c r="H19" s="361" t="s">
        <v>170</v>
      </c>
      <c r="I19" s="361" t="s">
        <v>170</v>
      </c>
      <c r="J19" s="361" t="s">
        <v>170</v>
      </c>
      <c r="K19" s="361" t="s">
        <v>170</v>
      </c>
      <c r="L19" s="361" t="s">
        <v>170</v>
      </c>
    </row>
    <row r="20" spans="1:12" x14ac:dyDescent="0.25">
      <c r="A20" s="208" t="s">
        <v>174</v>
      </c>
      <c r="B20" s="208">
        <v>46067</v>
      </c>
      <c r="C20" s="224">
        <v>0.45902777777777781</v>
      </c>
      <c r="D20" s="224">
        <v>0.46249999999999997</v>
      </c>
      <c r="E20" s="224">
        <v>0.50138888888888888</v>
      </c>
      <c r="F20" s="224">
        <v>0.50555555555555554</v>
      </c>
      <c r="G20" s="361" t="s">
        <v>170</v>
      </c>
      <c r="H20" s="361" t="s">
        <v>170</v>
      </c>
      <c r="I20" s="361" t="s">
        <v>170</v>
      </c>
      <c r="J20" s="361" t="s">
        <v>170</v>
      </c>
      <c r="K20" s="361" t="s">
        <v>170</v>
      </c>
      <c r="L20" s="361" t="s">
        <v>170</v>
      </c>
    </row>
    <row r="21" spans="1:12" x14ac:dyDescent="0.25">
      <c r="A21" s="364" t="s">
        <v>178</v>
      </c>
      <c r="B21" s="364">
        <v>46068</v>
      </c>
      <c r="C21" s="365"/>
      <c r="D21" s="365"/>
      <c r="E21" s="365"/>
      <c r="F21" s="365"/>
      <c r="G21" s="366"/>
      <c r="H21" s="366"/>
      <c r="I21" s="366"/>
      <c r="J21" s="366"/>
      <c r="K21" s="366"/>
      <c r="L21" s="366"/>
    </row>
    <row r="22" spans="1:12" x14ac:dyDescent="0.25">
      <c r="A22" s="208" t="s">
        <v>285</v>
      </c>
      <c r="B22" s="208">
        <v>46069</v>
      </c>
      <c r="C22" s="224">
        <v>0.43958333333333338</v>
      </c>
      <c r="D22" s="224">
        <v>0.44097222222222227</v>
      </c>
      <c r="E22" s="224">
        <v>0.46875</v>
      </c>
      <c r="F22" s="224">
        <v>0.4694444444444445</v>
      </c>
      <c r="G22" s="361" t="s">
        <v>170</v>
      </c>
      <c r="H22" s="361" t="s">
        <v>170</v>
      </c>
      <c r="I22" s="361" t="s">
        <v>170</v>
      </c>
      <c r="J22" s="361" t="s">
        <v>170</v>
      </c>
      <c r="K22" s="361" t="s">
        <v>170</v>
      </c>
      <c r="L22" s="361" t="s">
        <v>170</v>
      </c>
    </row>
    <row r="23" spans="1:12" s="25" customFormat="1" x14ac:dyDescent="0.25">
      <c r="A23" s="364" t="s">
        <v>286</v>
      </c>
      <c r="B23" s="364">
        <v>46070</v>
      </c>
      <c r="C23" s="365"/>
      <c r="D23" s="365"/>
      <c r="E23" s="365"/>
      <c r="F23" s="365"/>
      <c r="G23" s="366"/>
      <c r="H23" s="366"/>
      <c r="I23" s="366"/>
      <c r="J23" s="366"/>
      <c r="K23" s="366"/>
      <c r="L23" s="366"/>
    </row>
    <row r="24" spans="1:12" s="25" customFormat="1" x14ac:dyDescent="0.25">
      <c r="A24" s="208" t="s">
        <v>175</v>
      </c>
      <c r="B24" s="208">
        <v>46071</v>
      </c>
      <c r="C24" s="224" t="s">
        <v>170</v>
      </c>
      <c r="D24" s="224" t="s">
        <v>170</v>
      </c>
      <c r="E24" s="224" t="s">
        <v>170</v>
      </c>
      <c r="F24" s="224" t="s">
        <v>170</v>
      </c>
      <c r="G24" s="361" t="s">
        <v>170</v>
      </c>
      <c r="H24" s="361" t="s">
        <v>170</v>
      </c>
      <c r="I24" s="361" t="s">
        <v>170</v>
      </c>
      <c r="J24" s="361" t="s">
        <v>170</v>
      </c>
      <c r="K24" s="361" t="s">
        <v>170</v>
      </c>
      <c r="L24" s="361" t="s">
        <v>170</v>
      </c>
    </row>
    <row r="25" spans="1:12" x14ac:dyDescent="0.25">
      <c r="A25" s="208" t="s">
        <v>284</v>
      </c>
      <c r="B25" s="208">
        <v>46072</v>
      </c>
      <c r="C25" s="224">
        <v>0.4152777777777778</v>
      </c>
      <c r="D25" s="224">
        <v>0.41805555555555557</v>
      </c>
      <c r="E25" s="224">
        <v>0.4513888888888889</v>
      </c>
      <c r="F25" s="224">
        <v>0.45277777777777778</v>
      </c>
      <c r="G25" s="361">
        <v>0.40277777777777773</v>
      </c>
      <c r="H25" s="361" t="s">
        <v>170</v>
      </c>
      <c r="I25" s="361" t="s">
        <v>170</v>
      </c>
      <c r="J25" s="361" t="s">
        <v>170</v>
      </c>
      <c r="K25" s="361">
        <v>0.53472222222222221</v>
      </c>
      <c r="L25" s="361">
        <v>0.55972222222222223</v>
      </c>
    </row>
    <row r="26" spans="1:12" x14ac:dyDescent="0.25">
      <c r="A26" s="208" t="s">
        <v>177</v>
      </c>
      <c r="B26" s="208">
        <v>46073</v>
      </c>
      <c r="C26" s="224">
        <v>0.4375</v>
      </c>
      <c r="D26" s="224">
        <v>0.44097222222222227</v>
      </c>
      <c r="E26" s="224">
        <v>0.4604166666666667</v>
      </c>
      <c r="F26" s="224" t="s">
        <v>170</v>
      </c>
      <c r="G26" s="361" t="s">
        <v>170</v>
      </c>
      <c r="H26" s="361" t="s">
        <v>170</v>
      </c>
      <c r="I26" s="361" t="s">
        <v>170</v>
      </c>
      <c r="J26" s="361" t="s">
        <v>170</v>
      </c>
      <c r="K26" s="361" t="s">
        <v>170</v>
      </c>
      <c r="L26" s="361" t="s">
        <v>170</v>
      </c>
    </row>
    <row r="27" spans="1:12" x14ac:dyDescent="0.25">
      <c r="A27" s="208" t="s">
        <v>174</v>
      </c>
      <c r="B27" s="208">
        <v>46074</v>
      </c>
      <c r="C27" s="224">
        <v>0.44097222222222227</v>
      </c>
      <c r="D27" s="224">
        <v>0.44305555555555554</v>
      </c>
      <c r="E27" s="224">
        <v>0.49652777777777773</v>
      </c>
      <c r="F27" s="224">
        <v>0.50069444444444444</v>
      </c>
      <c r="G27" s="361" t="s">
        <v>170</v>
      </c>
      <c r="H27" s="361" t="s">
        <v>170</v>
      </c>
      <c r="I27" s="361" t="s">
        <v>170</v>
      </c>
      <c r="J27" s="361" t="s">
        <v>170</v>
      </c>
      <c r="K27" s="361" t="s">
        <v>170</v>
      </c>
      <c r="L27" s="361" t="s">
        <v>170</v>
      </c>
    </row>
    <row r="28" spans="1:12" x14ac:dyDescent="0.25">
      <c r="A28" s="364" t="s">
        <v>178</v>
      </c>
      <c r="B28" s="364">
        <v>46075</v>
      </c>
      <c r="C28" s="365"/>
      <c r="D28" s="365"/>
      <c r="E28" s="365"/>
      <c r="F28" s="365"/>
      <c r="G28" s="366"/>
      <c r="H28" s="366"/>
      <c r="I28" s="366"/>
      <c r="J28" s="366"/>
      <c r="K28" s="366"/>
      <c r="L28" s="366"/>
    </row>
    <row r="29" spans="1:12" x14ac:dyDescent="0.25">
      <c r="A29" s="208" t="s">
        <v>285</v>
      </c>
      <c r="B29" s="208">
        <v>46076</v>
      </c>
      <c r="C29" s="224">
        <v>0.49444444444444446</v>
      </c>
      <c r="D29" s="224">
        <v>0.49652777777777773</v>
      </c>
      <c r="E29" s="224">
        <v>0.51736111111111105</v>
      </c>
      <c r="F29" s="224">
        <v>0.51874999999999993</v>
      </c>
      <c r="G29" s="361">
        <v>0.39652777777777781</v>
      </c>
      <c r="H29" s="361" t="s">
        <v>170</v>
      </c>
      <c r="I29" s="361" t="s">
        <v>170</v>
      </c>
      <c r="J29" s="361" t="s">
        <v>170</v>
      </c>
      <c r="K29" s="361">
        <v>0.62152777777777779</v>
      </c>
      <c r="L29" s="361">
        <v>0.6777777777777777</v>
      </c>
    </row>
    <row r="30" spans="1:12" x14ac:dyDescent="0.25">
      <c r="A30" s="208" t="s">
        <v>286</v>
      </c>
      <c r="B30" s="208">
        <v>46077</v>
      </c>
      <c r="C30" s="224" t="s">
        <v>170</v>
      </c>
      <c r="D30" s="224" t="s">
        <v>170</v>
      </c>
      <c r="E30" s="224" t="s">
        <v>170</v>
      </c>
      <c r="F30" s="224" t="s">
        <v>170</v>
      </c>
      <c r="G30" s="361" t="s">
        <v>170</v>
      </c>
      <c r="H30" s="361">
        <v>0.36805555555555558</v>
      </c>
      <c r="I30" s="361" t="s">
        <v>170</v>
      </c>
      <c r="J30" s="361">
        <v>0.36805555555555558</v>
      </c>
      <c r="K30" s="361">
        <v>0.54513888888888895</v>
      </c>
      <c r="L30" s="361">
        <v>0.5541666666666667</v>
      </c>
    </row>
    <row r="31" spans="1:12" s="25" customFormat="1" x14ac:dyDescent="0.25">
      <c r="A31" s="208" t="s">
        <v>175</v>
      </c>
      <c r="B31" s="208">
        <v>46078</v>
      </c>
      <c r="C31" s="224" t="s">
        <v>170</v>
      </c>
      <c r="D31" s="224" t="s">
        <v>170</v>
      </c>
      <c r="E31" s="224" t="s">
        <v>170</v>
      </c>
      <c r="F31" s="224" t="s">
        <v>170</v>
      </c>
      <c r="G31" s="361" t="s">
        <v>170</v>
      </c>
      <c r="H31" s="361" t="s">
        <v>170</v>
      </c>
      <c r="I31" s="361" t="s">
        <v>170</v>
      </c>
      <c r="J31" s="361" t="s">
        <v>170</v>
      </c>
      <c r="K31" s="361" t="s">
        <v>170</v>
      </c>
      <c r="L31" s="361" t="s">
        <v>170</v>
      </c>
    </row>
    <row r="32" spans="1:12" s="25" customFormat="1" x14ac:dyDescent="0.25">
      <c r="A32" s="208" t="s">
        <v>284</v>
      </c>
      <c r="B32" s="208">
        <v>46079</v>
      </c>
      <c r="C32" s="224">
        <v>0.47847222222222219</v>
      </c>
      <c r="D32" s="224">
        <v>0.47916666666666669</v>
      </c>
      <c r="E32" s="224">
        <v>0.50069444444444444</v>
      </c>
      <c r="F32" s="224" t="s">
        <v>170</v>
      </c>
      <c r="G32" s="361" t="s">
        <v>170</v>
      </c>
      <c r="H32" s="361" t="s">
        <v>170</v>
      </c>
      <c r="I32" s="361" t="s">
        <v>170</v>
      </c>
      <c r="J32" s="361" t="s">
        <v>170</v>
      </c>
      <c r="K32" s="361" t="s">
        <v>170</v>
      </c>
      <c r="L32" s="361" t="s">
        <v>170</v>
      </c>
    </row>
    <row r="33" spans="1:12" s="25" customFormat="1" x14ac:dyDescent="0.25">
      <c r="A33" s="208" t="s">
        <v>177</v>
      </c>
      <c r="B33" s="208">
        <v>46080</v>
      </c>
      <c r="C33" s="224" t="s">
        <v>170</v>
      </c>
      <c r="D33" s="224" t="s">
        <v>170</v>
      </c>
      <c r="E33" s="224" t="s">
        <v>170</v>
      </c>
      <c r="F33" s="224" t="s">
        <v>170</v>
      </c>
      <c r="G33" s="361" t="s">
        <v>170</v>
      </c>
      <c r="H33" s="361" t="s">
        <v>170</v>
      </c>
      <c r="I33" s="361">
        <v>0.40972222222222227</v>
      </c>
      <c r="J33" s="361" t="s">
        <v>170</v>
      </c>
      <c r="K33" s="361">
        <v>0.45833333333333331</v>
      </c>
      <c r="L33" s="361">
        <v>0.46875</v>
      </c>
    </row>
    <row r="34" spans="1:12" s="25" customFormat="1" x14ac:dyDescent="0.25">
      <c r="A34" s="208" t="s">
        <v>174</v>
      </c>
      <c r="B34" s="208">
        <v>46081</v>
      </c>
      <c r="C34" s="224">
        <v>0.44513888888888892</v>
      </c>
      <c r="D34" s="224">
        <v>0.4458333333333333</v>
      </c>
      <c r="E34" s="224">
        <v>0.49305555555555558</v>
      </c>
      <c r="F34" s="224">
        <v>0.49652777777777773</v>
      </c>
      <c r="G34" s="361" t="s">
        <v>170</v>
      </c>
      <c r="H34" s="361" t="s">
        <v>170</v>
      </c>
      <c r="I34" s="361" t="s">
        <v>170</v>
      </c>
      <c r="J34" s="361" t="s">
        <v>170</v>
      </c>
      <c r="K34" s="361" t="s">
        <v>170</v>
      </c>
      <c r="L34" s="361" t="s">
        <v>170</v>
      </c>
    </row>
    <row r="35" spans="1:12" ht="18.75" customHeight="1" x14ac:dyDescent="0.25">
      <c r="A35" s="207" t="s">
        <v>171</v>
      </c>
      <c r="B35" s="213"/>
      <c r="C35" s="213">
        <f>AVERAGE(C7:C34)</f>
        <v>0.44803240740740741</v>
      </c>
      <c r="D35" s="213">
        <f>AVERAGE(D7:D34)</f>
        <v>0.4511574074074074</v>
      </c>
      <c r="E35" s="213">
        <f>AVERAGE(E7:E34)</f>
        <v>0.48055555555555557</v>
      </c>
      <c r="F35" s="213">
        <f>AVERAGE(F7:F34)</f>
        <v>0.47723765432098769</v>
      </c>
      <c r="G35" s="213">
        <f t="shared" ref="G35:L35" si="0">AVERAGE(G6:G34)</f>
        <v>0.37453703703703706</v>
      </c>
      <c r="H35" s="213">
        <f t="shared" si="0"/>
        <v>0.38773148148148145</v>
      </c>
      <c r="I35" s="213">
        <f t="shared" si="0"/>
        <v>0.40972222222222227</v>
      </c>
      <c r="J35" s="213">
        <f t="shared" si="0"/>
        <v>0.39409722222222221</v>
      </c>
      <c r="K35" s="213">
        <f t="shared" si="0"/>
        <v>0.47597222222222219</v>
      </c>
      <c r="L35" s="213">
        <f t="shared" si="0"/>
        <v>0.54760802469135805</v>
      </c>
    </row>
    <row r="36" spans="1:12" x14ac:dyDescent="0.25">
      <c r="A36" s="207"/>
      <c r="B36" s="32"/>
      <c r="C36" s="229"/>
      <c r="D36" s="228"/>
      <c r="E36" s="228"/>
      <c r="F36" s="228"/>
      <c r="G36" s="214"/>
      <c r="H36" s="214"/>
      <c r="I36" s="214"/>
      <c r="J36" s="214"/>
    </row>
  </sheetData>
  <mergeCells count="13">
    <mergeCell ref="A1:L1"/>
    <mergeCell ref="G4:J4"/>
    <mergeCell ref="D6:E6"/>
    <mergeCell ref="D3:E3"/>
    <mergeCell ref="C2:E2"/>
    <mergeCell ref="G2:L2"/>
    <mergeCell ref="K4:L4"/>
    <mergeCell ref="A3:A6"/>
    <mergeCell ref="B3:B6"/>
    <mergeCell ref="G6:J6"/>
    <mergeCell ref="K6:L6"/>
    <mergeCell ref="G3:J3"/>
    <mergeCell ref="K3:L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7"/>
  <sheetViews>
    <sheetView tabSelected="1" workbookViewId="0">
      <pane xSplit="2" ySplit="4" topLeftCell="F20" activePane="bottomRight" state="frozen"/>
      <selection pane="topRight" activeCell="C1" sqref="C1"/>
      <selection pane="bottomLeft" activeCell="A5" sqref="A5"/>
      <selection pane="bottomRight" activeCell="P15" sqref="P15"/>
    </sheetView>
  </sheetViews>
  <sheetFormatPr defaultRowHeight="15" x14ac:dyDescent="0.25"/>
  <cols>
    <col min="1" max="1" width="7.5703125" customWidth="1"/>
    <col min="2" max="2" width="32.7109375" customWidth="1"/>
    <col min="3" max="4" width="9.28515625" customWidth="1"/>
    <col min="5" max="5" width="5.7109375" customWidth="1"/>
    <col min="6" max="6" width="10" customWidth="1"/>
    <col min="7" max="7" width="5.7109375" customWidth="1"/>
    <col min="8" max="8" width="14.7109375" customWidth="1"/>
    <col min="9" max="9" width="5.7109375" customWidth="1"/>
    <col min="10" max="10" width="14.7109375" customWidth="1"/>
    <col min="11" max="11" width="5.7109375" customWidth="1"/>
    <col min="12" max="12" width="14.7109375" customWidth="1"/>
    <col min="13" max="13" width="5.7109375" customWidth="1"/>
    <col min="14" max="14" width="14.7109375" customWidth="1"/>
    <col min="15" max="15" width="5.7109375" customWidth="1"/>
    <col min="16" max="16" width="14.7109375" customWidth="1"/>
    <col min="17" max="17" width="5.7109375" customWidth="1"/>
    <col min="18" max="18" width="41.42578125" style="348" customWidth="1"/>
    <col min="19" max="19" width="6.7109375" customWidth="1"/>
  </cols>
  <sheetData>
    <row r="1" spans="1:18" ht="24.95" customHeight="1" x14ac:dyDescent="0.25">
      <c r="A1" s="647" t="s">
        <v>332</v>
      </c>
      <c r="B1" s="647"/>
      <c r="C1" s="647"/>
      <c r="D1" s="647"/>
      <c r="E1" s="647"/>
      <c r="F1" s="647"/>
      <c r="G1" s="647"/>
      <c r="H1" s="647"/>
      <c r="I1" s="647"/>
      <c r="J1" s="647"/>
      <c r="K1" s="647"/>
      <c r="L1" s="647"/>
      <c r="M1" s="647"/>
      <c r="N1" s="647"/>
      <c r="O1" s="647"/>
      <c r="P1" s="647"/>
      <c r="Q1" s="647"/>
      <c r="R1" s="647"/>
    </row>
    <row r="2" spans="1:18" ht="15" customHeight="1" x14ac:dyDescent="0.25">
      <c r="A2" s="648" t="s">
        <v>278</v>
      </c>
      <c r="B2" s="634" t="s">
        <v>287</v>
      </c>
      <c r="C2" s="634" t="s">
        <v>282</v>
      </c>
      <c r="D2" s="634" t="s">
        <v>322</v>
      </c>
      <c r="E2" s="634" t="s">
        <v>172</v>
      </c>
      <c r="F2" s="634" t="s">
        <v>334</v>
      </c>
      <c r="G2" s="634" t="s">
        <v>172</v>
      </c>
      <c r="H2" s="634" t="s">
        <v>280</v>
      </c>
      <c r="I2" s="634" t="s">
        <v>172</v>
      </c>
      <c r="J2" s="634" t="s">
        <v>281</v>
      </c>
      <c r="K2" s="634" t="s">
        <v>172</v>
      </c>
      <c r="L2" s="634" t="s">
        <v>252</v>
      </c>
      <c r="M2" s="634" t="s">
        <v>172</v>
      </c>
      <c r="N2" s="634" t="s">
        <v>337</v>
      </c>
      <c r="O2" s="634" t="s">
        <v>172</v>
      </c>
      <c r="P2" s="634" t="s">
        <v>258</v>
      </c>
      <c r="Q2" s="634" t="s">
        <v>172</v>
      </c>
      <c r="R2" s="634" t="s">
        <v>223</v>
      </c>
    </row>
    <row r="3" spans="1:18" ht="99" customHeight="1" x14ac:dyDescent="0.25">
      <c r="A3" s="649"/>
      <c r="B3" s="635"/>
      <c r="C3" s="635"/>
      <c r="D3" s="635"/>
      <c r="E3" s="635"/>
      <c r="F3" s="635"/>
      <c r="G3" s="635"/>
      <c r="H3" s="635"/>
      <c r="I3" s="635"/>
      <c r="J3" s="635"/>
      <c r="K3" s="635"/>
      <c r="L3" s="635"/>
      <c r="M3" s="635"/>
      <c r="N3" s="635"/>
      <c r="O3" s="635"/>
      <c r="P3" s="635"/>
      <c r="Q3" s="635"/>
      <c r="R3" s="635"/>
    </row>
    <row r="4" spans="1:18" ht="12.75" customHeight="1" x14ac:dyDescent="0.25">
      <c r="A4" s="650"/>
      <c r="B4" s="636"/>
      <c r="C4" s="636"/>
      <c r="D4" s="636"/>
      <c r="E4" s="636"/>
      <c r="F4" s="636"/>
      <c r="G4" s="636"/>
      <c r="H4" s="303">
        <v>0.25</v>
      </c>
      <c r="I4" s="337"/>
      <c r="J4" s="378">
        <v>0.25</v>
      </c>
      <c r="K4" s="379"/>
      <c r="L4" s="378">
        <v>0.15</v>
      </c>
      <c r="M4" s="379"/>
      <c r="N4" s="378">
        <v>0.1</v>
      </c>
      <c r="O4" s="379"/>
      <c r="P4" s="378">
        <v>0.25</v>
      </c>
      <c r="Q4" s="379"/>
      <c r="R4" s="636"/>
    </row>
    <row r="5" spans="1:18" x14ac:dyDescent="0.25">
      <c r="A5" s="301"/>
      <c r="B5" s="328" t="s">
        <v>288</v>
      </c>
      <c r="C5" s="302"/>
      <c r="D5" s="302"/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2"/>
      <c r="P5" s="302"/>
      <c r="Q5" s="302"/>
      <c r="R5" s="345"/>
    </row>
    <row r="6" spans="1:18" x14ac:dyDescent="0.25">
      <c r="A6" s="287">
        <v>1</v>
      </c>
      <c r="B6" s="329" t="s">
        <v>289</v>
      </c>
      <c r="C6" s="283">
        <v>46081</v>
      </c>
      <c r="D6" s="283">
        <v>46069</v>
      </c>
      <c r="E6" s="261">
        <f>+D6-C6</f>
        <v>-12</v>
      </c>
      <c r="F6" s="281">
        <v>46071</v>
      </c>
      <c r="G6" s="261">
        <f t="shared" ref="G6" si="0">+F6-C6</f>
        <v>-10</v>
      </c>
      <c r="H6" s="281">
        <v>46073</v>
      </c>
      <c r="I6" s="284">
        <f t="shared" ref="I6" si="1">+H6-C6</f>
        <v>-8</v>
      </c>
      <c r="J6" s="281">
        <v>46074</v>
      </c>
      <c r="K6" s="284">
        <f t="shared" ref="K6" si="2">+J6-C6</f>
        <v>-7</v>
      </c>
      <c r="L6" s="281">
        <v>46074</v>
      </c>
      <c r="M6" s="284">
        <f t="shared" ref="M6" si="3">+L6-C6</f>
        <v>-7</v>
      </c>
      <c r="N6" s="281">
        <v>46074</v>
      </c>
      <c r="O6" s="284">
        <f t="shared" ref="O6" si="4">N6-J6</f>
        <v>0</v>
      </c>
      <c r="P6" s="281">
        <v>46074</v>
      </c>
      <c r="Q6" s="285">
        <f>P6-F6</f>
        <v>3</v>
      </c>
      <c r="R6" s="331"/>
    </row>
    <row r="7" spans="1:18" x14ac:dyDescent="0.25">
      <c r="A7" s="287"/>
      <c r="B7" s="330" t="s">
        <v>290</v>
      </c>
      <c r="C7" s="302"/>
      <c r="D7" s="302"/>
      <c r="E7" s="302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45"/>
    </row>
    <row r="8" spans="1:18" x14ac:dyDescent="0.25">
      <c r="A8" s="287">
        <v>1</v>
      </c>
      <c r="B8" s="329" t="s">
        <v>291</v>
      </c>
      <c r="C8" s="283">
        <v>46081</v>
      </c>
      <c r="D8" s="283">
        <v>46083</v>
      </c>
      <c r="E8" s="261">
        <f>+D8-C8</f>
        <v>2</v>
      </c>
      <c r="F8" s="281">
        <v>46084</v>
      </c>
      <c r="G8" s="261">
        <f t="shared" ref="G8" si="5">+F8-C8</f>
        <v>3</v>
      </c>
      <c r="H8" s="281">
        <v>46086</v>
      </c>
      <c r="I8" s="284">
        <f t="shared" ref="I8" si="6">+H8-C8</f>
        <v>5</v>
      </c>
      <c r="J8" s="281">
        <v>46086</v>
      </c>
      <c r="K8" s="284">
        <f t="shared" ref="K8" si="7">+J8-C8</f>
        <v>5</v>
      </c>
      <c r="L8" s="281">
        <v>46086</v>
      </c>
      <c r="M8" s="284">
        <f t="shared" ref="M8" si="8">+L8-C8</f>
        <v>5</v>
      </c>
      <c r="N8" s="281">
        <v>46088</v>
      </c>
      <c r="O8" s="284">
        <f t="shared" ref="O8" si="9">N8-J8</f>
        <v>2</v>
      </c>
      <c r="P8" s="281">
        <v>46090</v>
      </c>
      <c r="Q8" s="285">
        <f>P8-F8</f>
        <v>6</v>
      </c>
      <c r="R8" s="331"/>
    </row>
    <row r="9" spans="1:18" x14ac:dyDescent="0.25">
      <c r="A9" s="287"/>
      <c r="B9" s="330" t="s">
        <v>292</v>
      </c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45"/>
    </row>
    <row r="10" spans="1:18" x14ac:dyDescent="0.25">
      <c r="A10" s="287">
        <v>1</v>
      </c>
      <c r="B10" s="329" t="s">
        <v>293</v>
      </c>
      <c r="C10" s="283">
        <v>46081</v>
      </c>
      <c r="D10" s="283">
        <v>46081</v>
      </c>
      <c r="E10" s="261">
        <f>+D10-C10</f>
        <v>0</v>
      </c>
      <c r="F10" s="281">
        <v>46080</v>
      </c>
      <c r="G10" s="261">
        <f t="shared" ref="G10" si="10">+F10-C10</f>
        <v>-1</v>
      </c>
      <c r="H10" s="281">
        <v>46081</v>
      </c>
      <c r="I10" s="284">
        <f t="shared" ref="I10" si="11">+H10-C10</f>
        <v>0</v>
      </c>
      <c r="J10" s="281">
        <v>46081</v>
      </c>
      <c r="K10" s="284">
        <f t="shared" ref="K10" si="12">+J10-C10</f>
        <v>0</v>
      </c>
      <c r="L10" s="281">
        <v>46083</v>
      </c>
      <c r="M10" s="284">
        <f t="shared" ref="M10" si="13">+L10-C10</f>
        <v>2</v>
      </c>
      <c r="N10" s="281">
        <v>46083</v>
      </c>
      <c r="O10" s="284">
        <f t="shared" ref="O10" si="14">N10-J10</f>
        <v>2</v>
      </c>
      <c r="P10" s="281">
        <v>46088</v>
      </c>
      <c r="Q10" s="285">
        <f>P10-F10</f>
        <v>8</v>
      </c>
      <c r="R10" s="331"/>
    </row>
    <row r="11" spans="1:18" x14ac:dyDescent="0.25">
      <c r="A11" s="287"/>
      <c r="B11" s="330" t="s">
        <v>294</v>
      </c>
      <c r="C11" s="290"/>
      <c r="D11" s="290"/>
      <c r="E11" s="290"/>
      <c r="F11" s="291"/>
      <c r="G11" s="262"/>
      <c r="H11" s="291"/>
      <c r="I11" s="292"/>
      <c r="J11" s="291"/>
      <c r="K11" s="292"/>
      <c r="L11" s="291"/>
      <c r="M11" s="292"/>
      <c r="N11" s="291"/>
      <c r="O11" s="292"/>
      <c r="P11" s="291"/>
      <c r="Q11" s="293"/>
      <c r="R11" s="346"/>
    </row>
    <row r="12" spans="1:18" x14ac:dyDescent="0.25">
      <c r="A12" s="287">
        <v>1</v>
      </c>
      <c r="B12" s="329" t="s">
        <v>295</v>
      </c>
      <c r="C12" s="283">
        <v>46081</v>
      </c>
      <c r="D12" s="368">
        <v>46081</v>
      </c>
      <c r="E12" s="261">
        <f t="shared" ref="E12:E22" si="15">+D12-C12</f>
        <v>0</v>
      </c>
      <c r="F12" s="281">
        <v>46087</v>
      </c>
      <c r="G12" s="261">
        <f t="shared" ref="G12" si="16">+F12-C12</f>
        <v>6</v>
      </c>
      <c r="H12" s="281">
        <v>46088</v>
      </c>
      <c r="I12" s="284">
        <f t="shared" ref="I12" si="17">+H12-C12</f>
        <v>7</v>
      </c>
      <c r="J12" s="281">
        <v>46088</v>
      </c>
      <c r="K12" s="284">
        <f t="shared" ref="K12" si="18">+J12-C12</f>
        <v>7</v>
      </c>
      <c r="L12" s="281">
        <v>46088</v>
      </c>
      <c r="M12" s="284">
        <f t="shared" ref="M12" si="19">+L12-C12</f>
        <v>7</v>
      </c>
      <c r="N12" s="281">
        <v>46088</v>
      </c>
      <c r="O12" s="284">
        <f t="shared" ref="O12" si="20">N12-J12</f>
        <v>0</v>
      </c>
      <c r="P12" s="281">
        <v>46090</v>
      </c>
      <c r="Q12" s="285">
        <f t="shared" ref="Q12:Q22" si="21">P12-F12</f>
        <v>3</v>
      </c>
      <c r="R12" s="367" t="s">
        <v>329</v>
      </c>
    </row>
    <row r="13" spans="1:18" x14ac:dyDescent="0.25">
      <c r="A13" s="287">
        <v>2</v>
      </c>
      <c r="B13" s="329" t="s">
        <v>296</v>
      </c>
      <c r="C13" s="283">
        <v>46081</v>
      </c>
      <c r="D13" s="283">
        <v>46081</v>
      </c>
      <c r="E13" s="261">
        <f t="shared" si="15"/>
        <v>0</v>
      </c>
      <c r="F13" s="281">
        <v>46081</v>
      </c>
      <c r="G13" s="261">
        <f t="shared" ref="G13:G14" si="22">+F13-C13</f>
        <v>0</v>
      </c>
      <c r="H13" s="281">
        <v>46083</v>
      </c>
      <c r="I13" s="284">
        <f t="shared" ref="I13:I14" si="23">+H13-C13</f>
        <v>2</v>
      </c>
      <c r="J13" s="281">
        <v>46083</v>
      </c>
      <c r="K13" s="284">
        <f t="shared" ref="K13:K14" si="24">+J13-C13</f>
        <v>2</v>
      </c>
      <c r="L13" s="281">
        <v>46084</v>
      </c>
      <c r="M13" s="284">
        <f t="shared" ref="M13:M14" si="25">+L13-C13</f>
        <v>3</v>
      </c>
      <c r="N13" s="281">
        <v>46084</v>
      </c>
      <c r="O13" s="284">
        <f t="shared" ref="O13:O14" si="26">N13-J13</f>
        <v>1</v>
      </c>
      <c r="P13" s="281">
        <v>46088</v>
      </c>
      <c r="Q13" s="285">
        <f t="shared" si="21"/>
        <v>7</v>
      </c>
      <c r="R13" s="331"/>
    </row>
    <row r="14" spans="1:18" x14ac:dyDescent="0.25">
      <c r="A14" s="287">
        <v>3</v>
      </c>
      <c r="B14" s="329" t="s">
        <v>297</v>
      </c>
      <c r="C14" s="283">
        <v>46081</v>
      </c>
      <c r="D14" s="283">
        <v>46082</v>
      </c>
      <c r="E14" s="261">
        <f t="shared" si="15"/>
        <v>1</v>
      </c>
      <c r="F14" s="281">
        <v>46084</v>
      </c>
      <c r="G14" s="261">
        <f t="shared" si="22"/>
        <v>3</v>
      </c>
      <c r="H14" s="281">
        <v>46085</v>
      </c>
      <c r="I14" s="284">
        <f t="shared" si="23"/>
        <v>4</v>
      </c>
      <c r="J14" s="281">
        <v>46085</v>
      </c>
      <c r="K14" s="284">
        <f t="shared" si="24"/>
        <v>4</v>
      </c>
      <c r="L14" s="281">
        <v>46086</v>
      </c>
      <c r="M14" s="284">
        <f t="shared" si="25"/>
        <v>5</v>
      </c>
      <c r="N14" s="281">
        <v>46086</v>
      </c>
      <c r="O14" s="284">
        <f t="shared" si="26"/>
        <v>1</v>
      </c>
      <c r="P14" s="281">
        <v>46088</v>
      </c>
      <c r="Q14" s="285">
        <f t="shared" si="21"/>
        <v>4</v>
      </c>
      <c r="R14" s="331"/>
    </row>
    <row r="15" spans="1:18" x14ac:dyDescent="0.25">
      <c r="A15" s="287"/>
      <c r="B15" s="330" t="s">
        <v>298</v>
      </c>
      <c r="C15" s="290"/>
      <c r="D15" s="290"/>
      <c r="E15" s="290"/>
      <c r="F15" s="290"/>
      <c r="G15" s="292"/>
      <c r="H15" s="290"/>
      <c r="I15" s="289"/>
      <c r="J15" s="290"/>
      <c r="K15" s="288"/>
      <c r="L15" s="290"/>
      <c r="M15" s="288"/>
      <c r="N15" s="290"/>
      <c r="O15" s="289"/>
      <c r="P15" s="290"/>
      <c r="Q15" s="293"/>
      <c r="R15" s="346"/>
    </row>
    <row r="16" spans="1:18" x14ac:dyDescent="0.25">
      <c r="A16" s="287">
        <v>1</v>
      </c>
      <c r="B16" s="329" t="s">
        <v>299</v>
      </c>
      <c r="C16" s="283">
        <v>46081</v>
      </c>
      <c r="D16" s="283">
        <v>46081</v>
      </c>
      <c r="E16" s="261">
        <f t="shared" si="15"/>
        <v>0</v>
      </c>
      <c r="F16" s="281">
        <v>46081</v>
      </c>
      <c r="G16" s="261">
        <f t="shared" ref="G16" si="27">+F16-C16</f>
        <v>0</v>
      </c>
      <c r="H16" s="281">
        <v>46083</v>
      </c>
      <c r="I16" s="284">
        <f t="shared" ref="I16" si="28">+H16-C16</f>
        <v>2</v>
      </c>
      <c r="J16" s="281">
        <v>46083</v>
      </c>
      <c r="K16" s="284">
        <f t="shared" ref="K16" si="29">+J16-C16</f>
        <v>2</v>
      </c>
      <c r="L16" s="281">
        <v>46083</v>
      </c>
      <c r="M16" s="284">
        <f t="shared" ref="M16" si="30">+L16-C16</f>
        <v>2</v>
      </c>
      <c r="N16" s="281">
        <v>46083</v>
      </c>
      <c r="O16" s="284">
        <f t="shared" ref="O16" si="31">N16-J16</f>
        <v>0</v>
      </c>
      <c r="P16" s="281">
        <v>46088</v>
      </c>
      <c r="Q16" s="285">
        <f t="shared" si="21"/>
        <v>7</v>
      </c>
      <c r="R16" s="331"/>
    </row>
    <row r="17" spans="1:18" x14ac:dyDescent="0.25">
      <c r="A17" s="287"/>
      <c r="B17" s="330" t="s">
        <v>323</v>
      </c>
      <c r="C17" s="290"/>
      <c r="D17" s="290"/>
      <c r="E17" s="290"/>
      <c r="F17" s="290"/>
      <c r="G17" s="292"/>
      <c r="H17" s="290"/>
      <c r="I17" s="289"/>
      <c r="J17" s="290"/>
      <c r="K17" s="288"/>
      <c r="L17" s="290"/>
      <c r="M17" s="288"/>
      <c r="N17" s="290"/>
      <c r="O17" s="289"/>
      <c r="P17" s="290"/>
      <c r="Q17" s="293"/>
      <c r="R17" s="346"/>
    </row>
    <row r="18" spans="1:18" x14ac:dyDescent="0.25">
      <c r="A18" s="287">
        <v>1</v>
      </c>
      <c r="B18" s="329" t="s">
        <v>300</v>
      </c>
      <c r="C18" s="283">
        <v>46081</v>
      </c>
      <c r="D18" s="283">
        <v>46077</v>
      </c>
      <c r="E18" s="261">
        <f t="shared" si="15"/>
        <v>-4</v>
      </c>
      <c r="F18" s="281">
        <v>46079</v>
      </c>
      <c r="G18" s="261">
        <f t="shared" ref="G18:G20" si="32">+F18-C18</f>
        <v>-2</v>
      </c>
      <c r="H18" s="281">
        <v>46079</v>
      </c>
      <c r="I18" s="284">
        <f t="shared" ref="I18:I19" si="33">+H18-C18</f>
        <v>-2</v>
      </c>
      <c r="J18" s="281">
        <v>46079</v>
      </c>
      <c r="K18" s="284">
        <f t="shared" ref="K18:K19" si="34">+J18-C18</f>
        <v>-2</v>
      </c>
      <c r="L18" s="281">
        <v>46079</v>
      </c>
      <c r="M18" s="284">
        <f t="shared" ref="M18:M19" si="35">+L18-C18</f>
        <v>-2</v>
      </c>
      <c r="N18" s="281">
        <v>46079</v>
      </c>
      <c r="O18" s="284">
        <f t="shared" ref="O18:O19" si="36">N18-J18</f>
        <v>0</v>
      </c>
      <c r="P18" s="281">
        <v>46080</v>
      </c>
      <c r="Q18" s="285">
        <f t="shared" si="21"/>
        <v>1</v>
      </c>
      <c r="R18" s="349"/>
    </row>
    <row r="19" spans="1:18" x14ac:dyDescent="0.25">
      <c r="A19" s="287">
        <v>2</v>
      </c>
      <c r="B19" s="329" t="s">
        <v>301</v>
      </c>
      <c r="C19" s="283">
        <v>46081</v>
      </c>
      <c r="D19" s="283">
        <v>46081</v>
      </c>
      <c r="E19" s="261">
        <f t="shared" si="15"/>
        <v>0</v>
      </c>
      <c r="F19" s="281">
        <v>46083</v>
      </c>
      <c r="G19" s="261">
        <f t="shared" si="32"/>
        <v>2</v>
      </c>
      <c r="H19" s="281">
        <v>46084</v>
      </c>
      <c r="I19" s="284">
        <f t="shared" si="33"/>
        <v>3</v>
      </c>
      <c r="J19" s="281">
        <v>46084</v>
      </c>
      <c r="K19" s="284">
        <f t="shared" si="34"/>
        <v>3</v>
      </c>
      <c r="L19" s="281">
        <v>46085</v>
      </c>
      <c r="M19" s="284">
        <f t="shared" si="35"/>
        <v>4</v>
      </c>
      <c r="N19" s="281">
        <v>46085</v>
      </c>
      <c r="O19" s="284">
        <f t="shared" si="36"/>
        <v>1</v>
      </c>
      <c r="P19" s="281">
        <v>46088</v>
      </c>
      <c r="Q19" s="285">
        <f t="shared" si="21"/>
        <v>5</v>
      </c>
      <c r="R19" s="331"/>
    </row>
    <row r="20" spans="1:18" x14ac:dyDescent="0.25">
      <c r="A20" s="287">
        <v>3</v>
      </c>
      <c r="B20" s="329" t="s">
        <v>302</v>
      </c>
      <c r="C20" s="283">
        <v>46081</v>
      </c>
      <c r="D20" s="283">
        <v>46082</v>
      </c>
      <c r="E20" s="261">
        <f t="shared" si="15"/>
        <v>1</v>
      </c>
      <c r="F20" s="281">
        <v>46084</v>
      </c>
      <c r="G20" s="261">
        <f t="shared" si="32"/>
        <v>3</v>
      </c>
      <c r="H20" s="281">
        <v>46086</v>
      </c>
      <c r="I20" s="284">
        <f t="shared" ref="I20" si="37">+H20-C20</f>
        <v>5</v>
      </c>
      <c r="J20" s="281">
        <v>46086</v>
      </c>
      <c r="K20" s="284">
        <f t="shared" ref="K20" si="38">+J20-C20</f>
        <v>5</v>
      </c>
      <c r="L20" s="281">
        <v>46086</v>
      </c>
      <c r="M20" s="284">
        <f t="shared" ref="M20" si="39">+L20-C20</f>
        <v>5</v>
      </c>
      <c r="N20" s="281">
        <v>46086</v>
      </c>
      <c r="O20" s="284">
        <f t="shared" ref="O20" si="40">N20-J20</f>
        <v>0</v>
      </c>
      <c r="P20" s="281">
        <v>46088</v>
      </c>
      <c r="Q20" s="285">
        <f t="shared" si="21"/>
        <v>4</v>
      </c>
      <c r="R20" s="350"/>
    </row>
    <row r="21" spans="1:18" x14ac:dyDescent="0.25">
      <c r="A21" s="287"/>
      <c r="B21" s="330" t="s">
        <v>303</v>
      </c>
      <c r="C21" s="290"/>
      <c r="D21" s="290"/>
      <c r="E21" s="290"/>
      <c r="F21" s="289"/>
      <c r="G21" s="292"/>
      <c r="H21" s="289"/>
      <c r="I21" s="289"/>
      <c r="J21" s="289"/>
      <c r="K21" s="288"/>
      <c r="L21" s="289"/>
      <c r="M21" s="288"/>
      <c r="N21" s="289"/>
      <c r="O21" s="289"/>
      <c r="P21" s="289"/>
      <c r="Q21" s="293"/>
      <c r="R21" s="346"/>
    </row>
    <row r="22" spans="1:18" x14ac:dyDescent="0.25">
      <c r="A22" s="287">
        <v>1</v>
      </c>
      <c r="B22" s="369" t="s">
        <v>304</v>
      </c>
      <c r="C22" s="368">
        <v>46081</v>
      </c>
      <c r="D22" s="368">
        <v>46079</v>
      </c>
      <c r="E22" s="370">
        <f t="shared" si="15"/>
        <v>-2</v>
      </c>
      <c r="F22" s="371">
        <v>46079</v>
      </c>
      <c r="G22" s="370">
        <f t="shared" ref="G22" si="41">+F22-C22</f>
        <v>-2</v>
      </c>
      <c r="H22" s="371">
        <v>46079</v>
      </c>
      <c r="I22" s="372">
        <f t="shared" ref="I22" si="42">+H22-C22</f>
        <v>-2</v>
      </c>
      <c r="J22" s="371">
        <v>46079</v>
      </c>
      <c r="K22" s="372">
        <f t="shared" ref="K22" si="43">+J22-C22</f>
        <v>-2</v>
      </c>
      <c r="L22" s="371">
        <v>46079</v>
      </c>
      <c r="M22" s="372">
        <f t="shared" ref="M22" si="44">+L22-C22</f>
        <v>-2</v>
      </c>
      <c r="N22" s="371">
        <v>46079</v>
      </c>
      <c r="O22" s="372">
        <f t="shared" ref="O22" si="45">N22-J22</f>
        <v>0</v>
      </c>
      <c r="P22" s="371">
        <v>46080</v>
      </c>
      <c r="Q22" s="373">
        <f t="shared" si="21"/>
        <v>1</v>
      </c>
      <c r="R22" s="367" t="s">
        <v>328</v>
      </c>
    </row>
    <row r="23" spans="1:18" x14ac:dyDescent="0.25">
      <c r="A23" s="374"/>
      <c r="B23" s="330" t="s">
        <v>333</v>
      </c>
      <c r="C23" s="290"/>
      <c r="D23" s="290"/>
      <c r="E23" s="290"/>
      <c r="F23" s="289"/>
      <c r="G23" s="292"/>
      <c r="H23" s="289"/>
      <c r="I23" s="289"/>
      <c r="J23" s="289"/>
      <c r="K23" s="288"/>
      <c r="L23" s="289"/>
      <c r="M23" s="288"/>
      <c r="N23" s="289"/>
      <c r="O23" s="289"/>
      <c r="P23" s="289"/>
      <c r="Q23" s="293"/>
      <c r="R23" s="346"/>
    </row>
    <row r="24" spans="1:18" x14ac:dyDescent="0.25">
      <c r="A24" s="374">
        <v>1</v>
      </c>
      <c r="B24" s="375" t="s">
        <v>331</v>
      </c>
      <c r="C24" s="283">
        <v>46081</v>
      </c>
      <c r="D24" s="368">
        <v>46081</v>
      </c>
      <c r="E24" s="261">
        <f t="shared" ref="E24" si="46">+D24-C24</f>
        <v>0</v>
      </c>
      <c r="F24" s="281">
        <v>46087</v>
      </c>
      <c r="G24" s="261">
        <f t="shared" ref="G24" si="47">+F24-C24</f>
        <v>6</v>
      </c>
      <c r="H24" s="281">
        <v>46088</v>
      </c>
      <c r="I24" s="284">
        <f t="shared" ref="I24" si="48">+H24-C24</f>
        <v>7</v>
      </c>
      <c r="J24" s="281">
        <v>46088</v>
      </c>
      <c r="K24" s="284">
        <f t="shared" ref="K24" si="49">+J24-C24</f>
        <v>7</v>
      </c>
      <c r="L24" s="281">
        <v>46090</v>
      </c>
      <c r="M24" s="284">
        <f t="shared" ref="M24" si="50">+L24-C24</f>
        <v>9</v>
      </c>
      <c r="N24" s="281">
        <v>46090</v>
      </c>
      <c r="O24" s="284">
        <f t="shared" ref="O24" si="51">N24-J24</f>
        <v>2</v>
      </c>
      <c r="P24" s="281">
        <v>46090</v>
      </c>
      <c r="Q24" s="285">
        <f t="shared" ref="Q24" si="52">P24-F24</f>
        <v>3</v>
      </c>
      <c r="R24" s="367"/>
    </row>
    <row r="25" spans="1:18" x14ac:dyDescent="0.25">
      <c r="A25" s="374">
        <v>2</v>
      </c>
      <c r="B25" s="375" t="s">
        <v>330</v>
      </c>
      <c r="C25" s="283">
        <v>46081</v>
      </c>
      <c r="D25" s="283"/>
      <c r="E25" s="261">
        <f t="shared" ref="E25" si="53">+D25-C25</f>
        <v>-46081</v>
      </c>
      <c r="F25" s="281"/>
      <c r="G25" s="261">
        <f t="shared" ref="G25" si="54">+F25-C25</f>
        <v>-46081</v>
      </c>
      <c r="H25" s="281"/>
      <c r="I25" s="284">
        <f t="shared" ref="I25" si="55">+H25-C25</f>
        <v>-46081</v>
      </c>
      <c r="J25" s="281"/>
      <c r="K25" s="284">
        <f t="shared" ref="K25" si="56">+J25-C25</f>
        <v>-46081</v>
      </c>
      <c r="L25" s="281"/>
      <c r="M25" s="284">
        <f t="shared" ref="M25" si="57">+L25-C25</f>
        <v>-46081</v>
      </c>
      <c r="N25" s="281"/>
      <c r="O25" s="284">
        <f t="shared" ref="O25" si="58">N25-J25</f>
        <v>0</v>
      </c>
      <c r="P25" s="281"/>
      <c r="Q25" s="285">
        <f t="shared" ref="Q25" si="59">P25-F25</f>
        <v>0</v>
      </c>
      <c r="R25" s="367" t="s">
        <v>335</v>
      </c>
    </row>
    <row r="26" spans="1:18" ht="19.5" customHeight="1" x14ac:dyDescent="0.25">
      <c r="A26" s="332">
        <v>13</v>
      </c>
      <c r="B26" s="294" t="s">
        <v>279</v>
      </c>
      <c r="C26" s="295"/>
      <c r="D26" s="359">
        <f>AVERAGE(D6:D25)</f>
        <v>46079.833333333336</v>
      </c>
      <c r="E26" s="296">
        <f t="shared" ref="E26:Q26" si="60">AVERAGE(E6:E22)</f>
        <v>-1.2727272727272727</v>
      </c>
      <c r="F26" s="359">
        <f>AVERAGE(F6:F25)</f>
        <v>46081.666666666664</v>
      </c>
      <c r="G26" s="296">
        <f t="shared" si="60"/>
        <v>0.18181818181818182</v>
      </c>
      <c r="H26" s="359">
        <f>AVERAGE(H6:H25)</f>
        <v>46082.916666666664</v>
      </c>
      <c r="I26" s="296">
        <f t="shared" si="60"/>
        <v>1.4545454545454546</v>
      </c>
      <c r="J26" s="359">
        <f>AVERAGE(J6:J25)</f>
        <v>46083</v>
      </c>
      <c r="K26" s="296">
        <f t="shared" si="60"/>
        <v>1.5454545454545454</v>
      </c>
      <c r="L26" s="359">
        <f>AVERAGE(L6:L25)</f>
        <v>46083.583333333336</v>
      </c>
      <c r="M26" s="296">
        <f t="shared" si="60"/>
        <v>2</v>
      </c>
      <c r="N26" s="359">
        <f>AVERAGE(N6:N25)</f>
        <v>46083.75</v>
      </c>
      <c r="O26" s="296">
        <f t="shared" si="60"/>
        <v>0.63636363636363635</v>
      </c>
      <c r="P26" s="359">
        <f>AVERAGE(P6:P25)</f>
        <v>46086</v>
      </c>
      <c r="Q26" s="296">
        <f t="shared" si="60"/>
        <v>4.4545454545454541</v>
      </c>
      <c r="R26" s="347"/>
    </row>
    <row r="27" spans="1:18" x14ac:dyDescent="0.25">
      <c r="A27" s="287"/>
      <c r="B27" s="286"/>
      <c r="C27" s="283"/>
      <c r="D27" s="283"/>
      <c r="E27" s="283"/>
      <c r="F27" s="287"/>
      <c r="G27" s="284"/>
      <c r="H27" s="287"/>
      <c r="I27" s="287"/>
      <c r="J27" s="287"/>
      <c r="K27" s="282"/>
      <c r="L27" s="287"/>
      <c r="M27" s="282"/>
      <c r="N27" s="287"/>
      <c r="O27" s="282"/>
      <c r="P27" s="287"/>
      <c r="Q27" s="285"/>
      <c r="R27" s="331"/>
    </row>
  </sheetData>
  <mergeCells count="19">
    <mergeCell ref="A1:R1"/>
    <mergeCell ref="H2:H3"/>
    <mergeCell ref="J2:J3"/>
    <mergeCell ref="L2:L3"/>
    <mergeCell ref="B2:B4"/>
    <mergeCell ref="A2:A4"/>
    <mergeCell ref="C2:C4"/>
    <mergeCell ref="F2:F4"/>
    <mergeCell ref="N2:N3"/>
    <mergeCell ref="P2:P3"/>
    <mergeCell ref="R2:R4"/>
    <mergeCell ref="G2:G4"/>
    <mergeCell ref="O2:O3"/>
    <mergeCell ref="Q2:Q3"/>
    <mergeCell ref="I2:I3"/>
    <mergeCell ref="K2:K3"/>
    <mergeCell ref="M2:M3"/>
    <mergeCell ref="D2:D4"/>
    <mergeCell ref="E2:E4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KPI</vt:lpstr>
      <vt:lpstr>IKA</vt:lpstr>
      <vt:lpstr>DIKA</vt:lpstr>
      <vt:lpstr>Lampiran1</vt:lpstr>
      <vt:lpstr>Lampiran2</vt:lpstr>
      <vt:lpstr>Lampiran3</vt:lpstr>
      <vt:lpstr>IKA!Print_Area</vt:lpstr>
      <vt:lpstr>IKA!WAHYUARIFPRASETYO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Ika Herdiana Utami</cp:lastModifiedBy>
  <cp:lastPrinted>2025-06-06T08:23:21Z</cp:lastPrinted>
  <dcterms:created xsi:type="dcterms:W3CDTF">2021-06-05T03:16:25Z</dcterms:created>
  <dcterms:modified xsi:type="dcterms:W3CDTF">2026-03-09T07:56:32Z</dcterms:modified>
</cp:coreProperties>
</file>